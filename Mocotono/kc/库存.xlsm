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<sst xmlns="http://schemas.openxmlformats.org/spreadsheetml/2006/main" count="8096">
  <si>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</si>
  <si>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</si>
  <si>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</si>
  <si>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</si>
  <si>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</si>
  <si>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</si>
  <si>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</si>
  <si>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</si>
  <si>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CA171-G912-XL</t>
  </si>
  <si>
    <t>B073PQ12R6</t>
  </si>
  <si>
    <t>Men's Oxford Long Sleeve Button Down Dress Shirt With Pocket,Green,X-Large</t>
  </si>
  <si>
    <t>CA084-H10-XXL</t>
  </si>
  <si>
    <t>B06XPQSTPS</t>
  </si>
  <si>
    <t>MOCOTONO Men's Long Sleeve Plaid Button Down Cotton Casual Shirts White and Red XX-Large</t>
  </si>
  <si>
    <t>CA084-H15-M</t>
  </si>
  <si>
    <t>B06XPBRHK4</t>
  </si>
  <si>
    <t>MOCOTONO Men's Long Sleeve Plaid Button Down Cotton Casual Shirts Muti Plaid Medium</t>
  </si>
  <si>
    <t>CA084-H15-L</t>
  </si>
  <si>
    <t>B06XPBMYD7</t>
  </si>
  <si>
    <t>MOCOTONO Men's Long Sleeve Plaid Button Down Cotton Casual Shirts Muti Plaid Large</t>
  </si>
  <si>
    <t>CA171-ZL918-S</t>
  </si>
  <si>
    <t>B073PP7W37</t>
  </si>
  <si>
    <t>Men's Oxford Long Sleeve Button Down Dress Shirt With Pocket,Navy Blue,Small</t>
  </si>
  <si>
    <t>CA171-G912-S</t>
  </si>
  <si>
    <t>B073PP2Q5W</t>
  </si>
  <si>
    <t>Men's Oxford Long Sleeve Button Down Dress Shirt With Pocket,Green,Small</t>
  </si>
  <si>
    <t>CS-BBS003-BK-L</t>
  </si>
  <si>
    <t>B078JD6XLB</t>
  </si>
  <si>
    <t>MOCOTONO Men's Long Sleeve Denim Double-Pocket Shirt Black Large</t>
  </si>
  <si>
    <t>CS-BBS003-BK-XL</t>
  </si>
  <si>
    <t>B078JNMVTJ</t>
  </si>
  <si>
    <t>MOCOTONO Men's Long Sleeve Denim Double-Pocket Shirt Black X-Large</t>
  </si>
  <si>
    <t>CS-BS003-NB-XXL</t>
  </si>
  <si>
    <t>B078JSKYT9</t>
  </si>
  <si>
    <t>MOCOTONO Men's Long Sleeve Denim Double-Pocket Shirt Navy Blue XX-Large</t>
  </si>
  <si>
    <t>CS-BBS030-BL-XXL</t>
  </si>
  <si>
    <t>X001SSPMOX</t>
  </si>
  <si>
    <t>B078VZB69X</t>
  </si>
  <si>
    <t>Mocotono Men's Short Sleeve Oxford Button Down Casual Shirt, Sky Blue, XX-Large</t>
  </si>
  <si>
    <t>CS-BBS030-BL-M</t>
  </si>
  <si>
    <t>X001SSNEIJ</t>
  </si>
  <si>
    <t>B078VZKK67</t>
  </si>
  <si>
    <t>Mocotono Men's Short Sleeve Oxford Button Down Casual Shirt, Sky Blue, Medium</t>
  </si>
  <si>
    <t>CS-BBS030-GR-XL</t>
  </si>
  <si>
    <t>X001SSMWOL</t>
  </si>
  <si>
    <t>B078W1C6NX</t>
  </si>
  <si>
    <t>Mocotono Men's Short Sleeve Oxford Button Down Casual Shirt, Gray, X-Large</t>
  </si>
  <si>
    <t>CS-BS003-BK-XL</t>
  </si>
  <si>
    <t>CS-BBS030-BL-L</t>
  </si>
  <si>
    <t>X001SSO285</t>
  </si>
  <si>
    <t>B078W1C8KL</t>
  </si>
  <si>
    <t>Mocotono Men's Short Sleeve Oxford Button Down Casual Shirt, Sky Blue, Large</t>
  </si>
  <si>
    <t>CS-BBS030-BK-XL</t>
  </si>
  <si>
    <t>X001STI74T</t>
  </si>
  <si>
    <t>B078W1K5YJ</t>
  </si>
  <si>
    <t>Mocotono Men's Short Sleeve Oxford Button Down Casual Shirt, Black, X-Large</t>
  </si>
  <si>
    <t>CS-BBS030-BL-XL</t>
  </si>
  <si>
    <t>X001SSMHLJ</t>
  </si>
  <si>
    <t>B078W1MBSF</t>
  </si>
  <si>
    <t>Mocotono Men's Short Sleeve Oxford Button Down Casual Shirt, Sky Blue, X-Large</t>
  </si>
  <si>
    <t>CS-BBS030-GR-L</t>
  </si>
  <si>
    <t>X001SSNYK7</t>
  </si>
  <si>
    <t>B078W1JJNK</t>
  </si>
  <si>
    <t>Mocotono Men's Short Sleeve Oxford Button Down Casual Shirt, Gray, Large</t>
  </si>
  <si>
    <t>CS-BS003-BK-L</t>
  </si>
  <si>
    <t>CS-BBS030-BK-L</t>
  </si>
  <si>
    <t>X001THOR03</t>
  </si>
  <si>
    <t>B071W24T1L</t>
  </si>
  <si>
    <t>Men's Short Sleeve Oxford Button Down Casual Shirt Black Large</t>
  </si>
  <si>
    <t>CS-BUSB031-RD2-XL</t>
  </si>
  <si>
    <t>B078VZHKR7</t>
  </si>
  <si>
    <t>MOCOTONO Men's Long Sleeve Flannel Plaid Checkered Button Down Casual Dress Shirts Red2 X-Large</t>
  </si>
  <si>
    <t>CS-BUSB031LHY-YL1-XL</t>
  </si>
  <si>
    <t>X001SUEZ35</t>
  </si>
  <si>
    <t>B078VYLWMR</t>
  </si>
  <si>
    <t>MOCOTONO Men's Long Sleeve Flannel Plaid Checkered Button Down Casual Dress Shirts Yellow1 X-Large</t>
  </si>
  <si>
    <t>CS-BUSB031LHY-GN2-S</t>
  </si>
  <si>
    <t>X001SUEZ3P</t>
  </si>
  <si>
    <t>B078VZRGFC</t>
  </si>
  <si>
    <t>MOCOTONO Men's Long Sleeve Flannel Plaid Checkered Button Down Casual Dress Shirts Green2 Small</t>
  </si>
  <si>
    <t>CS-BUSB031LHY-YL1-S</t>
  </si>
  <si>
    <t>X001SLXGBV</t>
  </si>
  <si>
    <t>B07DDFF3SS</t>
  </si>
  <si>
    <t>MOCOTONO Men's Long Sleeve Flannel Plaid Checkered Button Down Casual Dress Shirts Yellow1 Small</t>
  </si>
  <si>
    <t>CS-BUSB031LHY-YL1-M</t>
  </si>
  <si>
    <t>X001SUADOP</t>
  </si>
  <si>
    <t>B078W2HYY3</t>
  </si>
  <si>
    <t>MOCOTONO Men's Long Sleeve Flannel Plaid Checkered Button Down Casual Dress Shirts Yellow1 Medium</t>
  </si>
  <si>
    <t>CS-LHY002-BK-XL</t>
  </si>
  <si>
    <t>X001UCH0ZL</t>
  </si>
  <si>
    <t>B074DTRY1X</t>
  </si>
  <si>
    <t>MOCOTONO Men's Long Sleeve Regular Fit Plaid Button Down Casual Shirts Black X-Large</t>
  </si>
  <si>
    <t>CS-LHY002-CF-XL</t>
  </si>
  <si>
    <t>X001UCIJ97</t>
  </si>
  <si>
    <t>B074DTNB3C</t>
  </si>
  <si>
    <t>MOCOTONO Men's Long Sleeve Regular Fit Plaid Button Down Casual Shirts Coffee X-Large</t>
  </si>
  <si>
    <t>CS-LHY002-BL-XL</t>
  </si>
  <si>
    <t>X001UCIKC3</t>
  </si>
  <si>
    <t>B074DT8ZS1</t>
  </si>
  <si>
    <t>MOCOTONO Men's Long Sleeve Regular Fit Plaid Button Down Casual Shirts Blue X-Large</t>
  </si>
  <si>
    <t>CS-LHY002-BK-2XL</t>
  </si>
  <si>
    <t>X001UCIPPF</t>
  </si>
  <si>
    <t>B074DTG73Y</t>
  </si>
  <si>
    <t>MOCOTONO Men's Long Sleeve Regular Fit Plaid Button Down Casual Shirts Black XX-Large</t>
  </si>
  <si>
    <t>CS-LHY003-LB-L</t>
  </si>
  <si>
    <t>X001THN9UH</t>
  </si>
  <si>
    <t>B078JFBBFF</t>
  </si>
  <si>
    <t>MOCOTONO Men's Long Sleeve Denim Double-Pocket Shirt Light Blue Large</t>
  </si>
  <si>
    <t>CS-LHY003-LB-XL</t>
  </si>
  <si>
    <t>X001THN9U7</t>
  </si>
  <si>
    <t>B078JBLCB7</t>
  </si>
  <si>
    <t>MOCOTONO Men's Long Sleeve Denim Solid Double-Pocket Shirt Light Blue X-Large</t>
  </si>
  <si>
    <t>CS-LHY003-LB-S</t>
  </si>
  <si>
    <t>X001THCG01</t>
  </si>
  <si>
    <t>B07511R3CB</t>
  </si>
  <si>
    <t>MOCOTONO Men's Long Sleeve Denim Solid Double-Pocket Shirt Light Blue Small</t>
  </si>
  <si>
    <t>CS-LHY002-BL-L</t>
  </si>
  <si>
    <t>X001UBZN8D</t>
  </si>
  <si>
    <t>B074DTNJCS</t>
  </si>
  <si>
    <t>MOCOTONO Men's Long Sleeve Regular Fit Plaid Button Down Casual Shirts Blue Large</t>
  </si>
  <si>
    <t>CS-LHY009-BK-XXL</t>
  </si>
  <si>
    <t>X001T33AJ1</t>
  </si>
  <si>
    <t>B07518CGWW</t>
  </si>
  <si>
    <t>MOCOTONO Men's Short Sleeve Plaid Checkered Button Down Casual Shirts Black XX-Large</t>
  </si>
  <si>
    <t>CS-LHY006-GN-L</t>
  </si>
  <si>
    <t>X001U7Y04F</t>
  </si>
  <si>
    <t>B07CGLZ9CD</t>
  </si>
  <si>
    <t>MOCOTONO Men's Long Sleeve Standard Fit Plaid Checked Button Up Casual Shirts Green Medium</t>
  </si>
  <si>
    <t>CS-LHY007-PP-XXL</t>
  </si>
  <si>
    <t>X001UDQHA9</t>
  </si>
  <si>
    <t>B07519P3CD</t>
  </si>
  <si>
    <t>Mens Oxford Long Sleeve Button Down Casual Dress Shirts Light Pink XX-Large</t>
  </si>
  <si>
    <t>CS-LHY007-LB-XXL</t>
  </si>
  <si>
    <t>X001UE6LBX</t>
  </si>
  <si>
    <t>B07519Q1DZ</t>
  </si>
  <si>
    <t>Mens Oxford Long Sleeve Button Down Casual Dress Shirts Light Pink Medium</t>
  </si>
  <si>
    <t>CS-LHY007-LP-M</t>
  </si>
  <si>
    <t>X001UE6Z73</t>
  </si>
  <si>
    <t>B07512LRVL</t>
  </si>
  <si>
    <t>CS-LHY007-PP-XL</t>
  </si>
  <si>
    <t>X001UE66HR</t>
  </si>
  <si>
    <t>B0751385MS</t>
  </si>
  <si>
    <t>CS-LHY007-PP-S</t>
  </si>
  <si>
    <t>X001UE5ZGZ</t>
  </si>
  <si>
    <t>B07513151T</t>
  </si>
  <si>
    <t>CS-LHY007-GR-S</t>
  </si>
  <si>
    <t>X001UE5ZH9</t>
  </si>
  <si>
    <t>B075181XPC</t>
  </si>
  <si>
    <t>CS-LHY032-BL-XL</t>
  </si>
  <si>
    <t>X001T54CT1</t>
  </si>
  <si>
    <t>B07C3Z3M7K</t>
  </si>
  <si>
    <t>MOCOTONO Men's Short Sleeve Floral Print Button Down Casual Shirt Blue X-Large</t>
  </si>
  <si>
    <t>CS-LHY009-LB1-L</t>
  </si>
  <si>
    <t>X001T1S89P</t>
  </si>
  <si>
    <t>B07518JBB9</t>
  </si>
  <si>
    <t>MOCOTONO Men's Short Sleeve Plaid Checkered Button Down Casual Shirts Blue &amp; Navy Large</t>
  </si>
  <si>
    <t>CS-LHY032-BL-L</t>
  </si>
  <si>
    <t>X001T60RHL</t>
  </si>
  <si>
    <t>B07C3PPB63</t>
  </si>
  <si>
    <t>MOCOTONO Men's Short Sleeve Floral Print Button Down Casual Shirt Blue Large</t>
  </si>
  <si>
    <t>CS-LHY084-H15-XL</t>
  </si>
  <si>
    <t>X001TZID9B</t>
  </si>
  <si>
    <t>B06XPVWPJV</t>
  </si>
  <si>
    <t>MOCOTONO Men's Long Sleeve Plaid Button Down Cotton Casual Shirts Muti Plaid X-Large</t>
  </si>
  <si>
    <t>CS-LHY016-BK-L</t>
  </si>
  <si>
    <t>X001UCMHD1</t>
  </si>
  <si>
    <t>B078JKPPFR</t>
  </si>
  <si>
    <t>CS-LHY032-GN1-L</t>
  </si>
  <si>
    <t>X001T54CN7</t>
  </si>
  <si>
    <t>B07C3PGX21</t>
  </si>
  <si>
    <t>MOCOTONO Men's Short Sleeve Floral Print Button Down Casual Shirt Green 1 Large</t>
  </si>
  <si>
    <t>CS-LHY084-H12-XL</t>
  </si>
  <si>
    <t>X001TZA6VT</t>
  </si>
  <si>
    <t>B06XPTRM9L</t>
  </si>
  <si>
    <t>MOCOTONO Men's Long Sleeve Plaid Button Down Cotton Casual Shirts White and Black X-Large</t>
  </si>
  <si>
    <t>CS-LHY032-GN1-XL</t>
  </si>
  <si>
    <t>X001T4SMYD</t>
  </si>
  <si>
    <t>B07C3RHLYS</t>
  </si>
  <si>
    <t>MOCOTONO Men's Short Sleeve Floral Print Button Down Casual Shirt Green 1 X-Large</t>
  </si>
  <si>
    <t>CS-LHY016-NB-S</t>
  </si>
  <si>
    <t>X001UCQAAH</t>
  </si>
  <si>
    <t>B078JLJB6P</t>
  </si>
  <si>
    <t>MOCOTONO Men's Long Sleeve Denim Double-Pocket Shirt Navy Blue Small</t>
  </si>
  <si>
    <t>CS-LHY084-H10-XL</t>
  </si>
  <si>
    <t>X001TZA6WD</t>
  </si>
  <si>
    <t>B06XPY2C9Q</t>
  </si>
  <si>
    <t>MOCOTONO Men's Long Sleeve Plaid Button Down Cotton Casual Shirts White and Red X-Large</t>
  </si>
  <si>
    <t>CS-LHY016-B0-L</t>
  </si>
  <si>
    <t>X001UCMGQJ</t>
  </si>
  <si>
    <t>B078JHYKHC</t>
  </si>
  <si>
    <t>MOCOTONO Men's Long Sleeve Denim Double-Pocket Shirt Blue Large</t>
  </si>
  <si>
    <t>CS-LHY084-H12-XXL</t>
  </si>
  <si>
    <t>X001TYKRPF</t>
  </si>
  <si>
    <t>B06XPDYHH7</t>
  </si>
  <si>
    <t>MOCOTONO Men's Long Sleeve Plaid Button Down Cotton Casual Shirts White and Black XX-Large</t>
  </si>
  <si>
    <t>CS-LHY030-BK-XXL</t>
  </si>
  <si>
    <t>X001TNBT5D</t>
  </si>
  <si>
    <t>B07DXQ4V2V</t>
  </si>
  <si>
    <t>Men's Short Sleeve Oxford Button Down Casual Shirt Black XX-Large</t>
  </si>
  <si>
    <t>CS-LHY084-H12-L</t>
  </si>
  <si>
    <t>X001TZNC6P</t>
  </si>
  <si>
    <t>B06XPF63MF</t>
  </si>
  <si>
    <t>MOCOTONO Men's Long Sleeve Plaid Button Down Cotton Casual Shirts White and Black Large</t>
  </si>
  <si>
    <t>CS-LHY084-H12-S</t>
  </si>
  <si>
    <t>X001TZNC7J</t>
  </si>
  <si>
    <t>B06XPTLB92</t>
  </si>
  <si>
    <t>MOCOTONO Men's Long Sleeve Plaid Button Down Cotton Casual Shirts White and Black Small</t>
  </si>
  <si>
    <t>CS-LHY032-NB-S</t>
  </si>
  <si>
    <t>X001T4KPKR</t>
  </si>
  <si>
    <t>B07C3WZSPL</t>
  </si>
  <si>
    <t>MOCOTONO Men's Short Sleeve Floral Print Button Down Casual Shirt Navy Small</t>
  </si>
  <si>
    <t>CS-LHY016-LB-L</t>
  </si>
  <si>
    <t>X001THO3JD</t>
  </si>
  <si>
    <t>B078JNL9TB</t>
  </si>
  <si>
    <t>CS-LHY084-H12-M</t>
  </si>
  <si>
    <t>X001TZNAIF</t>
  </si>
  <si>
    <t>B07FDVLF6M</t>
  </si>
  <si>
    <t>MOCOTONO Men's Long Sleeve Plaid Button Down Cotton Casual Shirts White and Black Medium</t>
  </si>
  <si>
    <t>CS-LHY032-GN1-M</t>
  </si>
  <si>
    <t>X001T4SMTN</t>
  </si>
  <si>
    <t>B07C3QD123</t>
  </si>
  <si>
    <t>MOCOTONO Men's Short Sleeve Floral Print Button Down Casual Shirt Green 1 Medium</t>
  </si>
  <si>
    <t>CS-LHY170-LG907-XXL</t>
  </si>
  <si>
    <t>X001TGKILL</t>
  </si>
  <si>
    <t>B0788L9M7W</t>
  </si>
  <si>
    <t>Men's Short Sleeve Oxford Button Down Casual Shirt Light Gray XX-Large</t>
  </si>
  <si>
    <t>CS-LHY084-H6-S</t>
  </si>
  <si>
    <t>X001TZFSJT</t>
  </si>
  <si>
    <t>B06XQPLY5J</t>
  </si>
  <si>
    <t>MOCOTONO Men's Long Sleeve Plaid Button Down Cotton Casual Shirts Black and White Small</t>
  </si>
  <si>
    <t>CS-LHY170-Sa911-XXL</t>
  </si>
  <si>
    <t>X001TGKIM5</t>
  </si>
  <si>
    <t>B0788K95NG</t>
  </si>
  <si>
    <t>Men's Short Sleeve Oxford Button Down Casual Shirt Sapphire XX-Large</t>
  </si>
  <si>
    <t>CS-LHY170-Sa911-XL</t>
  </si>
  <si>
    <t>X001TGKILV</t>
  </si>
  <si>
    <t>B0788MX8HG</t>
  </si>
  <si>
    <t>Men's Short Sleeve Oxford Button Down Casual Shirt Sapphire X-Large</t>
  </si>
  <si>
    <t>CS-LHY166-K33-2-XL</t>
  </si>
  <si>
    <t>X001TY7YLP</t>
  </si>
  <si>
    <t>B07916L9KB</t>
  </si>
  <si>
    <t>MOCOTONO Men's Long Sleeve Flannel Plaid Dress Shirt Western Button Down Shirts Green X-Large</t>
  </si>
  <si>
    <t>CS-LHY166-K33-2-L</t>
  </si>
  <si>
    <t>X001TXZMY7</t>
  </si>
  <si>
    <t>B071VYBSVW</t>
  </si>
  <si>
    <t>MOCOTONO Men's Long Sleeve Flannel Plaid Dress Shirt Western Button Down Shirts Green Large</t>
  </si>
  <si>
    <t>CS-LHY170-BLK-XL</t>
  </si>
  <si>
    <t>X001TQVMWZ</t>
  </si>
  <si>
    <t>B07F6G3P3K</t>
  </si>
  <si>
    <t>Men's Short Sleeve Oxford Button Down Casual Shirt Black X-Large</t>
  </si>
  <si>
    <t>CS-LHY166-K73-1-S</t>
  </si>
  <si>
    <t>X001TZCY41</t>
  </si>
  <si>
    <t>B07149VKWX</t>
  </si>
  <si>
    <t>MOCOTONO Men's Long Sleeve Flannel Plaid Dress Shirt Western Button Down Shirts Red Small</t>
  </si>
  <si>
    <t>CS-LHY170-LB916-XL</t>
  </si>
  <si>
    <t>X001TGKIRP</t>
  </si>
  <si>
    <t>B0788J8BPY</t>
  </si>
  <si>
    <t>Men's Short Sleeve Oxford Button Down Casual Shirt Light Blue X-Large</t>
  </si>
  <si>
    <t>CS-LHY166-K33-4-S</t>
  </si>
  <si>
    <t>X001TZLATB</t>
  </si>
  <si>
    <t>B07173Q2FN</t>
  </si>
  <si>
    <t>MOCOTONO Men's Long Sleeve Flannel Plaid Dress Shirt Western Button Down Shirts White and Navy Small</t>
  </si>
  <si>
    <t>CS-LHY170-BLK-S</t>
  </si>
  <si>
    <t>X001TQWBMF</t>
  </si>
  <si>
    <t>B07F6FX7XZ</t>
  </si>
  <si>
    <t>Men's Short Sleeve Oxford Button Down Casual Shirt Black Small</t>
  </si>
  <si>
    <t>CS-LHY170-LB916-S</t>
  </si>
  <si>
    <t>X001TJNG8P</t>
  </si>
  <si>
    <t>B07893KL3N</t>
  </si>
  <si>
    <t>Men's Short Sleeve Oxford Button Down Casual Shirt Light Blue Small</t>
  </si>
  <si>
    <t>CS-LHY166-B28-5-M</t>
  </si>
  <si>
    <t>X001TZQKMN</t>
  </si>
  <si>
    <t>B071P6G6S6</t>
  </si>
  <si>
    <t>MOCOTONO Men's Long Sleeve Flannel Plaid Dress Shirt Western Button Down Shirts Khaki Medium</t>
  </si>
  <si>
    <t>CS-LHY170-LG907-XL</t>
  </si>
  <si>
    <t>X001THQJLD</t>
  </si>
  <si>
    <t>B0788JG8QZ</t>
  </si>
  <si>
    <t>Mocotono Men's Short Sleeve Oxford Button Down Casual Shirt, Light Gray, X-Large</t>
  </si>
  <si>
    <t>CS-LHY170-BLK-L</t>
  </si>
  <si>
    <t>X001TQSHRN</t>
  </si>
  <si>
    <t>B07F69KM8V</t>
  </si>
  <si>
    <t>CS-LHY170-PI908-L</t>
  </si>
  <si>
    <t>X001TJMKKF</t>
  </si>
  <si>
    <t>B07F124YV4</t>
  </si>
  <si>
    <t>Men's Short Sleeve Oxford Button Down Casual Shirt Pink Large</t>
  </si>
  <si>
    <t>CS-LHY170-W902-L</t>
  </si>
  <si>
    <t>X001TGYZ7T</t>
  </si>
  <si>
    <t>B0788MPWXH</t>
  </si>
  <si>
    <t>Mocotono Men's Short Sleeve Oxford Button Down Casual Shirt, White, Large</t>
  </si>
  <si>
    <t>CS-LHY084-H6-M</t>
  </si>
  <si>
    <t>X001TZNC6Z</t>
  </si>
  <si>
    <t>B06XQVCJ44</t>
  </si>
  <si>
    <t>MOCOTONO Men's Long Sleeve Plaid Button Down Cotton Casual Shirts Black and White Medium</t>
  </si>
  <si>
    <t>CS-LHY170-LG907-M</t>
  </si>
  <si>
    <t>X001THPXPV</t>
  </si>
  <si>
    <t>B0788LCKVR</t>
  </si>
  <si>
    <t>Men's Short Sleeve Oxford Button Down Casual Shirt Light Gray Medium</t>
  </si>
  <si>
    <t>CS-LHY084-H6-L</t>
  </si>
  <si>
    <t>X001TYKRRN</t>
  </si>
  <si>
    <t>B06XQG7RR2</t>
  </si>
  <si>
    <t>MOCOTONO Men's Long Sleeve Plaid Button Down Cotton Casual Shirts Black and White Large</t>
  </si>
  <si>
    <t>CS-LHY170-G912-XXL</t>
  </si>
  <si>
    <t>X001THQ8G9</t>
  </si>
  <si>
    <t>B0788L3WMC</t>
  </si>
  <si>
    <t>Men's Short Sleeve Oxford Button Down Casual Shirt Green XX-Large</t>
  </si>
  <si>
    <t>CS-LHY170-PI908-XL</t>
  </si>
  <si>
    <t>X001THPXQF</t>
  </si>
  <si>
    <t>B0788HF2PK</t>
  </si>
  <si>
    <t>Men's Short Sleeve Oxford Button Down Casual Shirt Pink X-Large</t>
  </si>
  <si>
    <t>CS-LHY170-LG907-L</t>
  </si>
  <si>
    <t>X001TGKJ7J</t>
  </si>
  <si>
    <t>B0788KNR69</t>
  </si>
  <si>
    <t>Mocotono Men's Short Sleeve Oxford Button Down Casual Shirt, Light Gray, Large</t>
  </si>
  <si>
    <t>CS-LHY170-Sa911-S</t>
  </si>
  <si>
    <t>X001THPXQ5</t>
  </si>
  <si>
    <t>B0788KKY5L</t>
  </si>
  <si>
    <t>Men's Short Sleeve Oxford Button Down Casual Shirt Sapphire Small</t>
  </si>
  <si>
    <t>CS-LHY170-Sa911-L</t>
  </si>
  <si>
    <t>X001TGKHLR</t>
  </si>
  <si>
    <t>B0788NY1L5</t>
  </si>
  <si>
    <t>Men's Short Sleeve Oxford Button Down Casual Shirt Sapphire Large</t>
  </si>
  <si>
    <t>CS-LHY166-B28-4-S</t>
  </si>
  <si>
    <t>X001TZTV15</t>
  </si>
  <si>
    <t>B072J7L6PX</t>
  </si>
  <si>
    <t>MOCOTONO Men's Long Sleeve Flannel Plaid Dress Shirt Western Button Down Shirts Yellow Small</t>
  </si>
  <si>
    <t>CS-LHY170-G912-L</t>
  </si>
  <si>
    <t>X001TGWLHZ</t>
  </si>
  <si>
    <t>B0788NH1LR</t>
  </si>
  <si>
    <t>Men's Short Sleeve Oxford Button Down Casual Shirt Green Large</t>
  </si>
  <si>
    <t>CS-LHY084-H3-XL</t>
  </si>
  <si>
    <t>X001TZOXSV</t>
  </si>
  <si>
    <t>B06XQXLNQL</t>
  </si>
  <si>
    <t>MOCOTONO Men's Long Sleeve Plaid Button Down Cotton Casual Shirts Navy and Coffee X-Large</t>
  </si>
  <si>
    <t>CS-LHY170-Sa911-M</t>
  </si>
  <si>
    <t>X001THPXQP</t>
  </si>
  <si>
    <t>B0788KB8S4</t>
  </si>
  <si>
    <t>Men's Short Sleeve Oxford Button Down Casual Shirt Sapphire Medium</t>
  </si>
  <si>
    <t>CS-LHY084-H6-XXL</t>
  </si>
  <si>
    <t>X001TYKRPZ</t>
  </si>
  <si>
    <t>B06XQG8ZCL</t>
  </si>
  <si>
    <t>MOCOTONO Men's Long Sleeve Plaid Button Down Cotton Casual Shirts Black and White XX-Large</t>
  </si>
  <si>
    <t>CS-LHY170-LB916-L</t>
  </si>
  <si>
    <t>X001TGKJ0L</t>
  </si>
  <si>
    <t>B0788K28NT</t>
  </si>
  <si>
    <t>Men's Short Sleeve Oxford Button Down Casual Shirt Light Blue Large</t>
  </si>
  <si>
    <t>CS-LHY170-BLK-M</t>
  </si>
  <si>
    <t>X001TQVU13</t>
  </si>
  <si>
    <t>B07F6D252X</t>
  </si>
  <si>
    <t>Men's Short Sleeve Oxford Button Down Casual Shirt Light Black Medium</t>
  </si>
  <si>
    <t>CS-LHY170-ZL918-XXL</t>
  </si>
  <si>
    <t>X001TJLO0R</t>
  </si>
  <si>
    <t>B07DZS3N52</t>
  </si>
  <si>
    <t>Men's Short Sleeve Oxford Button Down Casual Shirt Navy Blue XX-Large</t>
  </si>
  <si>
    <t>CS-LHY170-WR917-S</t>
  </si>
  <si>
    <t>X001UHRQ3H</t>
  </si>
  <si>
    <t>B0788FRMZ3</t>
  </si>
  <si>
    <t>Men's Short Sleeve Oxford Button Down Casual Shirt Maroon Small</t>
  </si>
  <si>
    <t>CS-LHY170-ZL918-M</t>
  </si>
  <si>
    <t>X001TGYZCT</t>
  </si>
  <si>
    <t>B0788K4MHV</t>
  </si>
  <si>
    <t>Mocotono Men's Short Sleeve Oxford Button Down Casual Shirt, Navy, Medium</t>
  </si>
  <si>
    <t>CS-LHY170-W902-XL</t>
  </si>
  <si>
    <t>X001THQ7JH</t>
  </si>
  <si>
    <t>B0788LH3L3</t>
  </si>
  <si>
    <t>Mocotono Men's Short Sleeve Oxford Button Down Casual Shirt, White, X-Large</t>
  </si>
  <si>
    <t>CS-LHY170-WR917-L</t>
  </si>
  <si>
    <t>X001TGYZD3</t>
  </si>
  <si>
    <t>B0788L573R</t>
  </si>
  <si>
    <t>Mocotono Men's Short Sleeve Oxford Button Down Casual Shirt, Maroon, Large</t>
  </si>
  <si>
    <t>CS-LHY170-ZL918-L</t>
  </si>
  <si>
    <t>X001THQNPZ</t>
  </si>
  <si>
    <t>B0788KMQJK</t>
  </si>
  <si>
    <t>Mocotono Men's Short Sleeve Oxford Button Down Casual Shirt, Navy, Large</t>
  </si>
  <si>
    <t>CS-LHY170-W902-M</t>
  </si>
  <si>
    <t>X001TGYZIX</t>
  </si>
  <si>
    <t>B0788KD864</t>
  </si>
  <si>
    <t>Men's Short Sleeve Oxford Button Down Casual Shirt White Medium</t>
  </si>
  <si>
    <t>CS-LHY170-ZL918-XL</t>
  </si>
  <si>
    <t>X001THQ7Q5</t>
  </si>
  <si>
    <t>B0788MSV7Q</t>
  </si>
  <si>
    <t>Mocotono Men's Short Sleeve Oxford Button Down Casual Shirt, Navy, X-Large</t>
  </si>
  <si>
    <t>CS-LHY170-WR917-XXL</t>
  </si>
  <si>
    <t>X001TGKJDN</t>
  </si>
  <si>
    <t>B0788JCP1X</t>
  </si>
  <si>
    <t>Mocotono Men's Short Sleeve Oxford Button Down Casual Shirt, Maroon, XX-Large</t>
  </si>
  <si>
    <t>CS-LHY170-WR917-XL</t>
  </si>
  <si>
    <t>X001TGKJ0V</t>
  </si>
  <si>
    <t>B073PPP5ZG</t>
  </si>
  <si>
    <t>Mocotono Men's Short Sleeve Oxford Button Down Casual Shirt, Maroon, X-Large</t>
  </si>
  <si>
    <t>CS-LHY170-W902-XXL</t>
  </si>
  <si>
    <t>X001THQJLN</t>
  </si>
  <si>
    <t>B0788NVVCB</t>
  </si>
  <si>
    <t>Mocotono Men's Short Sleeve Oxford Button Down Casual Shirt, White, XX-Large</t>
  </si>
  <si>
    <t>CS-LHY170-WR917-M</t>
  </si>
  <si>
    <t>X001THE6WH</t>
  </si>
  <si>
    <t>B0788KYP6Y</t>
  </si>
  <si>
    <t>Mocotono Men's Short Sleeve Oxford Button Down Casual Shirt, Maroon, Medium</t>
  </si>
  <si>
    <t>CS-LY084-H10-XXL</t>
  </si>
  <si>
    <t>CS-LY084-H15-M</t>
  </si>
  <si>
    <t>CS-LY084-H15-L</t>
  </si>
  <si>
    <t>CS-LY171-G912-XL</t>
  </si>
  <si>
    <t>CS-LY171-G912-S</t>
  </si>
  <si>
    <t>CS-LY181-W902-L</t>
  </si>
  <si>
    <t>B073PQF1C1</t>
  </si>
  <si>
    <t>Men's Oxford Long Sleeve Button Down Casual Dress Shirt White Large</t>
  </si>
  <si>
    <t>CS-NEW171-ZL918-XL</t>
  </si>
  <si>
    <t>X001UDX7F7</t>
  </si>
  <si>
    <t>B07FT6D1RC</t>
  </si>
  <si>
    <t>Men's Oxford Long Sleeve Button Down Dress Shirt with Pocket,Navy Blue,X-Large</t>
  </si>
  <si>
    <t>CS-LY181-Sa911-S</t>
  </si>
  <si>
    <t>B073PQW6NB</t>
  </si>
  <si>
    <t>Men's Oxford Long Sleeve Button Down Casual Dress Shirt,Sapphire,Small</t>
  </si>
  <si>
    <t>CS-LY181-W902-S</t>
  </si>
  <si>
    <t>B073PQMVC9</t>
  </si>
  <si>
    <t>Men's Oxford Long Sleeve Button Down Casual Dress Shirt White Small</t>
  </si>
  <si>
    <t>CS-LY181-ZL918-S</t>
  </si>
  <si>
    <t>B073PQRF5N</t>
  </si>
  <si>
    <t>Men's Oxford Long Sleeve Button Down Casual Dress Shirt Navy Blue Small</t>
  </si>
  <si>
    <t>CS-NEW171-Sa911-S</t>
  </si>
  <si>
    <t>X001UE3YD1</t>
  </si>
  <si>
    <t>B073PQXDQX</t>
  </si>
  <si>
    <t>Men's Oxford Long Sleeve Button Down Dress Shirt with Pocket,Sapphire,Small</t>
  </si>
  <si>
    <t>CS-LY171-ZL918-S</t>
  </si>
  <si>
    <t>CS-LY181-Sa911-M</t>
  </si>
  <si>
    <t>B073PPQQSP</t>
  </si>
  <si>
    <t>Men's Oxford Long Sleeve Button Down Casual Dress Shirt,Sapphire,Medium</t>
  </si>
  <si>
    <t>CS-LY181-LG907-M</t>
  </si>
  <si>
    <t>B073PQ5WVC</t>
  </si>
  <si>
    <t>Men's Oxford Long Sleeve Button Down Casual Dress Shirt,Light Gray,Medium</t>
  </si>
  <si>
    <t>CS-NEW181-W902-XXL</t>
  </si>
  <si>
    <t>X001UDIPKT</t>
  </si>
  <si>
    <t>B078B69KQF</t>
  </si>
  <si>
    <t>Men's Oxford Long Sleeve Button Down Casual Dress Shirt White XX-Large</t>
  </si>
  <si>
    <t>CS-SB002-RNBL-2XL</t>
  </si>
  <si>
    <t>B074DV3V6N</t>
  </si>
  <si>
    <t>MOCOTONO Men's Long Sleeve Regular Fit Plaid Button Down Casual Shirts Red &amp; Navy XX-Large</t>
  </si>
  <si>
    <t>CS-NEW181-WR917-XL</t>
  </si>
  <si>
    <t>X001UDJ3M3</t>
  </si>
  <si>
    <t>B0789C9VYH</t>
  </si>
  <si>
    <t>Men's Oxford Long Sleeve Button Down Casual Dress Shirt,Wine Red,X-Large</t>
  </si>
  <si>
    <t>CS-NEW181-ZL918-XL</t>
  </si>
  <si>
    <t>X001UDX5GD</t>
  </si>
  <si>
    <t>B0789KX4J2</t>
  </si>
  <si>
    <t>Men's Oxford Long Sleeve Button Down Casual Dress Shirt,Navy Blue,X-Large</t>
  </si>
  <si>
    <t>CS-SB002-BK-L</t>
  </si>
  <si>
    <t>B074DV9RC7</t>
  </si>
  <si>
    <t>MOCOTONO Men's Long Sleeve Regular Fit Plaid Button Down Casual Shirts Black Large</t>
  </si>
  <si>
    <t>CS-NEW181-LG907-S</t>
  </si>
  <si>
    <t>X001UDIQBR</t>
  </si>
  <si>
    <t>B073PQ12FL</t>
  </si>
  <si>
    <t>MOCOTONO Men's Oxford Long Sleeve Button Down Casual Dress Shirt Light Gray Small</t>
  </si>
  <si>
    <t>CS-NEW181-WR917-XXL</t>
  </si>
  <si>
    <t>X001UDWXHF</t>
  </si>
  <si>
    <t>B0789FBLZS</t>
  </si>
  <si>
    <t>Men's Oxford Long Sleeve Button Down Casual Dress Shirt,Wine Red,XX-Large</t>
  </si>
  <si>
    <t>CS-NEW181-WR917-S</t>
  </si>
  <si>
    <t>X001UDJ477</t>
  </si>
  <si>
    <t>B07FSJFJCM</t>
  </si>
  <si>
    <t>Men's Oxford Long Sleeve Button Down Casual Dress Shirt Wine Red Small</t>
  </si>
  <si>
    <t>CS-NEW181-LG907-XXL</t>
  </si>
  <si>
    <t>X001UDYE3L</t>
  </si>
  <si>
    <t>B0789C4JV1</t>
  </si>
  <si>
    <t>Men's Oxford Long Sleeve Button Down Casual Dress Shirt,Light Gray,XX-Large</t>
  </si>
  <si>
    <t>CS-NEW181-LG907-XL</t>
  </si>
  <si>
    <t>X001UDFGAB</t>
  </si>
  <si>
    <t>B0789C7SK6</t>
  </si>
  <si>
    <t>Men's Oxford Long Sleeve Button Down Casual Dress Shirt,Light Gray,X-Large</t>
  </si>
  <si>
    <t>CS-NEW181-WR917-M</t>
  </si>
  <si>
    <t>X001UDX5GX</t>
  </si>
  <si>
    <t>B0789BVM4L</t>
  </si>
  <si>
    <t>Men's Oxford Long Sleeve Button Down Casual Dress Shirt,Wine Red,Medium</t>
  </si>
  <si>
    <t>CS-NEW181-LG907-L</t>
  </si>
  <si>
    <t>X001UDWMXF</t>
  </si>
  <si>
    <t>B07899ZPHF</t>
  </si>
  <si>
    <t>Men's Oxford Long Sleeve Button Down Casual Dress Shirt,Light Gray,Large</t>
  </si>
  <si>
    <t>CS-SB003-B0-L</t>
  </si>
  <si>
    <t>B074PN8TB2</t>
  </si>
  <si>
    <t>Men's Long Sleeve Denim Solid Double-Pocket Shirt Blue Large</t>
  </si>
  <si>
    <t>CS-NEW181-W902-XL</t>
  </si>
  <si>
    <t>X001UDXJ4V</t>
  </si>
  <si>
    <t>B0789CDSYR</t>
  </si>
  <si>
    <t>Men's Oxford Long Sleeve Button Down Casual Dress Shirt White X-Large</t>
  </si>
  <si>
    <t>CS-SB002-LB-XL</t>
  </si>
  <si>
    <t>B074DTQM6Q</t>
  </si>
  <si>
    <t>MOCOTONO Men's Long Sleeve Regular Fit Plaid Button Down Casual Shirts Light Blue X-Large</t>
  </si>
  <si>
    <t>CS-SB005-BL1-XL</t>
  </si>
  <si>
    <t>B074P36NC6</t>
  </si>
  <si>
    <t>MOCOTONO Men's Long Sleeve Cotton Plaid Button Down Casual Shirts Blue X-Large</t>
  </si>
  <si>
    <t>CS-SB005-BL1-2XL</t>
  </si>
  <si>
    <t>B074P2L5MB</t>
  </si>
  <si>
    <t>MOCOTONO Men's Long Sleeve Cotton Plaid Button Down Casual Shirts Blue XX-Large</t>
  </si>
  <si>
    <t>CS-SB006-CF-L</t>
  </si>
  <si>
    <t>B074P1B8ZM</t>
  </si>
  <si>
    <t>MOCOTONO Men's Long Sleeve Standard Fit Plaid Checked Button Up Casual Shirts Coffee Large</t>
  </si>
  <si>
    <t>CS-SB005-YL-XL</t>
  </si>
  <si>
    <t>B074NYLRYY</t>
  </si>
  <si>
    <t>MOCOTONO Men's Long Sleeve Cotton Plaid Button Down Casual Shirts Yellow X-Large</t>
  </si>
  <si>
    <t>CS-SB006-BL2-L</t>
  </si>
  <si>
    <t>B074NVGXCD</t>
  </si>
  <si>
    <t>MOCOTONO Men's Long Sleeve Standard Fit Plaid Checked Button Up Casual Shirts Sapphire Large</t>
  </si>
  <si>
    <t>CS-SB006-BK-S</t>
  </si>
  <si>
    <t>B074P485M2</t>
  </si>
  <si>
    <t>MOCOTONO Men's Long Sleeve Standard Fit Plaid Checked Button Up Casual Shirts Black Small</t>
  </si>
  <si>
    <t>CS-SB005-BK-2XL</t>
  </si>
  <si>
    <t>B074NQWD4N</t>
  </si>
  <si>
    <t>MOCOTONO Men's Long Sleeve Cotton Plaid Button Down Casual Shirts Black XX-Large</t>
  </si>
  <si>
    <t>CS-SB006-CF-M</t>
  </si>
  <si>
    <t>B074P1DYRF</t>
  </si>
  <si>
    <t>MOCOTONO Men's Long Sleeve Standard Fit Plaid Checked Button Up Casual Shirts Coffee Medium</t>
  </si>
  <si>
    <t>CS-SB006-BL2-S</t>
  </si>
  <si>
    <t>B074NVH8G2</t>
  </si>
  <si>
    <t>MOCOTONO Men's Long Sleeve Standard Fit Plaid Checked Button Up Casual Shirts Sapphire Small</t>
  </si>
  <si>
    <t>CS-SB005-BK-L</t>
  </si>
  <si>
    <t>B074P1FJYS</t>
  </si>
  <si>
    <t>MOCOTONO Men's Long Sleeve Cotton Plaid Button Down Casual Shirts Black Large</t>
  </si>
  <si>
    <t>CS-SB007-BL-L</t>
  </si>
  <si>
    <t>B0751B9WCV</t>
  </si>
  <si>
    <t>CS-SB005-BL1-M</t>
  </si>
  <si>
    <t>B074P1VP1B</t>
  </si>
  <si>
    <t>MOCOTONO Men's Long Sleeve Cotton Plaid Button Down Casual Shirts Blue Medium</t>
  </si>
  <si>
    <t>CS-SB005-RD1-L</t>
  </si>
  <si>
    <t>B074P25C71</t>
  </si>
  <si>
    <t>MOCOTONO Men's Long Sleeve Cotton Plaid Button Down Casual Shirts Scarlet Large</t>
  </si>
  <si>
    <t>CS-SB009-CF-M</t>
  </si>
  <si>
    <t>B07511Q71N</t>
  </si>
  <si>
    <t>MOCOTONO Men's Short Sleeve Plaid Checkered Button Down Casual Shirts Coffee Medium</t>
  </si>
  <si>
    <t>CS-SB009-YL-M</t>
  </si>
  <si>
    <t>B07518Q4Z1</t>
  </si>
  <si>
    <t>MOCOTONO Men's Short Sleeve Plaid Checkered Button Down Casual Shirts Yellow Medium</t>
  </si>
  <si>
    <t>CS-SB009-LB1-XXL</t>
  </si>
  <si>
    <t>B07512JL48</t>
  </si>
  <si>
    <t>MOCOTONO Men's Short Sleeve Plaid Checkered Button Down Casual Shirts Blue &amp; Navy XX-Large</t>
  </si>
  <si>
    <t>CS-SB007-LP-L</t>
  </si>
  <si>
    <t>B07514NWB4</t>
  </si>
  <si>
    <t>CS-SB009-BK-M</t>
  </si>
  <si>
    <t>B07514NV93</t>
  </si>
  <si>
    <t>MOCOTONO Men's Short Sleeve Plaid Checkered Button Down Casual Shirts Black Medium</t>
  </si>
  <si>
    <t>CS-SB009-LB1-S</t>
  </si>
  <si>
    <t>B075131VPH</t>
  </si>
  <si>
    <t>Men's Short Sleeve Plaid Checkered Button Down Casual Shirts Blue &amp; Navy Small</t>
  </si>
  <si>
    <t>CS-SB009-RD-L</t>
  </si>
  <si>
    <t>B07514KZFR</t>
  </si>
  <si>
    <t>MOCOTONO Men's Short Sleeve Plaid Checkered Button Down Casual Shirts Red Large</t>
  </si>
  <si>
    <t>CS-SB030-WR-L</t>
  </si>
  <si>
    <t>X001SPAR19</t>
  </si>
  <si>
    <t>B07DG2J87N</t>
  </si>
  <si>
    <t>Men's Short Sleeve Oxford Button Down Casual Shirt</t>
  </si>
  <si>
    <t>CS-SB166-B28-4-XL</t>
  </si>
  <si>
    <t>B07916PZPF</t>
  </si>
  <si>
    <t>MOCOTONO Men's Long Sleeve Flannel Plaid Dress Shirt Western Button Down Shirts Yellow X-Large</t>
  </si>
  <si>
    <t>CS-SB030-YL-S</t>
  </si>
  <si>
    <t>B078W1DC66</t>
  </si>
  <si>
    <t>Mocotono Men's Short Sleeve Oxford Button Down Casual Shirt, Yellow, Small</t>
  </si>
  <si>
    <t>CS-SB030-NY-XL</t>
  </si>
  <si>
    <t>X001SPBZYH</t>
  </si>
  <si>
    <t>B07DG2DFH9</t>
  </si>
  <si>
    <t>CS-SB030-WR-S</t>
  </si>
  <si>
    <t>X001SPBZYR</t>
  </si>
  <si>
    <t>B07DG4W15X</t>
  </si>
  <si>
    <t>CS-SB086-LB-M</t>
  </si>
  <si>
    <t>B078771NLD</t>
  </si>
  <si>
    <t>MOCOTONO Men's Long Sleeve Denim Western Work Shirt Denim Blue X-Large</t>
  </si>
  <si>
    <t>CS-SB166-B28-4-L</t>
  </si>
  <si>
    <t>B07916H4PV</t>
  </si>
  <si>
    <t>MOCOTONO Men's Long Sleeve Flannel Plaid Dress Shirt Western Button Down Shirts Yellow Large</t>
  </si>
  <si>
    <t>CS-SB166-B28-1-L</t>
  </si>
  <si>
    <t>B07916B4RM</t>
  </si>
  <si>
    <t>MOCOTONO Men's Long Sleeve Flannel Plaid Dress Shirt Western Button Down Shirts Muti Plaid Large</t>
  </si>
  <si>
    <t>CS-SB086-B0-XL</t>
  </si>
  <si>
    <t>B07876THBW</t>
  </si>
  <si>
    <t>CS-SB166-B28-3-XL</t>
  </si>
  <si>
    <t>B07916MXSB</t>
  </si>
  <si>
    <t>MOCOTONO Men's Long Sleeve Flannel Plaid Dress Shirt Western Button Down Shirts Navy X-Large</t>
  </si>
  <si>
    <t>CS-SB170-WR917-XXL</t>
  </si>
  <si>
    <t>CS-SB170-W902-XL</t>
  </si>
  <si>
    <t>CS-SB171-PI908-S</t>
  </si>
  <si>
    <t>B0788KSD6T</t>
  </si>
  <si>
    <t>Men's Long Sleeve Oxford Regular Fit Button Down Casual Shirt Pink Small</t>
  </si>
  <si>
    <t>CS-SB170-WR917-L</t>
  </si>
  <si>
    <t>CS-SB170-G912-M</t>
  </si>
  <si>
    <t>B0788LBJSB</t>
  </si>
  <si>
    <t>Men's Short Sleeve Oxford Button Down Casual Shirt Green Medium</t>
  </si>
  <si>
    <t>CS-SB170-PI908-XXL</t>
  </si>
  <si>
    <t>B0788J3G9C</t>
  </si>
  <si>
    <t>Men's Short Sleeve Oxford Button Down Casual Shirt XX-Large</t>
  </si>
  <si>
    <t>CS-SB170-LG907-XXL</t>
  </si>
  <si>
    <t>CS-SB170-WR-XL</t>
  </si>
  <si>
    <t>X001QZNLSH</t>
  </si>
  <si>
    <t>CS-SB170-PI908-M</t>
  </si>
  <si>
    <t>B0788MSVZ1</t>
  </si>
  <si>
    <t>Men's Short Sleeve Oxford Button Down Casual Shirt Pink Medium</t>
  </si>
  <si>
    <t>CS-SB170-WR917-S</t>
  </si>
  <si>
    <t>CS-SB170-LG907-M</t>
  </si>
  <si>
    <t>CS-SB171-LG907-XL</t>
  </si>
  <si>
    <t>B0788MSMMV</t>
  </si>
  <si>
    <t>Men's Long Sleeve Oxford Regular Fit Button Down Casual Shirt Light Gray X-Large</t>
  </si>
  <si>
    <t>CS-SB171-LG907-L</t>
  </si>
  <si>
    <t>B0788LX4R2</t>
  </si>
  <si>
    <t>Men's Long Sleeve Oxford Regular Fit Button Down Casual Shirt Light Gray Large</t>
  </si>
  <si>
    <t>CS-SB170-WR917-M</t>
  </si>
  <si>
    <t>CS-SB170-ZL918-S</t>
  </si>
  <si>
    <t>B0788LH11M</t>
  </si>
  <si>
    <t>Men's Short Sleeve Oxford Button Down Casual Shirt Navy Blue Small</t>
  </si>
  <si>
    <t>CS-SB171-WR917-L</t>
  </si>
  <si>
    <t>B0788LK4M5</t>
  </si>
  <si>
    <t>Men's Long Sleeve Oxford Regular Fit Button Down Casual Shirt Maroon Large</t>
  </si>
  <si>
    <t>CS-SB171-ZL918-L</t>
  </si>
  <si>
    <t>B0788N1XXM</t>
  </si>
  <si>
    <t>MOCOTONO Men's Long Sleeve Oxford Regular Fit Button Down Casual Shirt Navy Blue Large</t>
  </si>
  <si>
    <t>CS-SB171-W902-XL</t>
  </si>
  <si>
    <t>B0788N1TMH</t>
  </si>
  <si>
    <t>Men's Oxford Long Sleeve Button Down Dress Shirt with Pocket,White,X-Large</t>
  </si>
  <si>
    <t>CS-SB171-WR917-XXL</t>
  </si>
  <si>
    <t>B0788LBRVB</t>
  </si>
  <si>
    <t>Men's Long Sleeve Oxford Regular Fit Button Down Casual Shirt Maroon XX-Large</t>
  </si>
  <si>
    <t>CS-SB171-WR917-XL</t>
  </si>
  <si>
    <t>B0788MM9FZ</t>
  </si>
  <si>
    <t>Men's Long Sleeve Oxford Regular Fit Button Down Casual Shirt Maroon X-Large</t>
  </si>
  <si>
    <t>CS-SB181-G912-XL</t>
  </si>
  <si>
    <t>B0789C39QK</t>
  </si>
  <si>
    <t>Men's Oxford Long Sleeve Button Down Casual Dress Shirt,Green,X-Large</t>
  </si>
  <si>
    <t>CS-SB181-G912-M</t>
  </si>
  <si>
    <t>B0789DBL4N</t>
  </si>
  <si>
    <t>Men's Oxford Long Sleeve Button Down Casual Dress Shirt,Green,Medium</t>
  </si>
  <si>
    <t>CS-SB181-LG907-L</t>
  </si>
  <si>
    <t>CS-SB181-W902-M</t>
  </si>
  <si>
    <t>B0789C7H42</t>
  </si>
  <si>
    <t>Men's Oxford Long Sleeve Button Down Casual Dress Shirt,White,Medium</t>
  </si>
  <si>
    <t>CS-SB181-G912-L</t>
  </si>
  <si>
    <t>B0789CHCY1</t>
  </si>
  <si>
    <t>Men's Oxford Long Sleeve Button Down Casual Dress Shirt,Green,Large</t>
  </si>
  <si>
    <t>CS-SB181-WR917-L</t>
  </si>
  <si>
    <t>B0789CYL9S</t>
  </si>
  <si>
    <t>Men's Oxford Long Sleeve Button Down Casual Dress Shirt,Wine Red,Large</t>
  </si>
  <si>
    <t>DK-LY-K157-B0-42</t>
  </si>
  <si>
    <t>B073PZC3WT</t>
  </si>
  <si>
    <t>MOCOTONO Men's Casual Slim Fit Cotton Multi-Pocket Twill Cargo Shorts Sapphire Blue Tag 42/US 40</t>
  </si>
  <si>
    <t>KZ-LHY001-GRY-M</t>
  </si>
  <si>
    <t>X001SK4EY5</t>
  </si>
  <si>
    <t>B071VFYY2V</t>
  </si>
  <si>
    <t>MOCOTONO Women's Plus Size Elastic Waist Wide Leg Linen Cropped Pants Grey Medium</t>
  </si>
  <si>
    <t>KZ-LHYX001-BLK-L</t>
  </si>
  <si>
    <t>X001SS2BK1</t>
  </si>
  <si>
    <t>B07DHF9D3T</t>
  </si>
  <si>
    <t>MOCOTONO Women's Plus Size Elastic Waist Wide Leg Linen Cropped Pants Black Large</t>
  </si>
  <si>
    <t>KZ-LHY001-WHT-M</t>
  </si>
  <si>
    <t>X001SLFHQN</t>
  </si>
  <si>
    <t>B0716LH9B7</t>
  </si>
  <si>
    <t>MOCOTONO Women's Plus Size Elastic Waist Wide Leg Linen Cropped Pants White Medium</t>
  </si>
  <si>
    <t>KZ-LHY001-GRY-XL</t>
  </si>
  <si>
    <t>X001SQWM7Z</t>
  </si>
  <si>
    <t>B07DHFBB7D</t>
  </si>
  <si>
    <t>MOCOTONO Women's Plus Size Elastic Waist Wide Leg Linen Cropped Pants Grey X-Large</t>
  </si>
  <si>
    <t>KZ-LHY001-BLK-XL</t>
  </si>
  <si>
    <t>X001SRZUDR</t>
  </si>
  <si>
    <t>B07DHDXBXW</t>
  </si>
  <si>
    <t>MOCOTONO Women's Plus Size Elastic Waist Wide Leg Linen Cropped Pants Black X-Large</t>
  </si>
  <si>
    <t>MY-BBS011-NY-L</t>
  </si>
  <si>
    <t>X001T2RXXB</t>
  </si>
  <si>
    <t>B0758YTFV7</t>
  </si>
  <si>
    <t>MOCOTONO Men's V Neck Pullover Sweater Long Sleeve Cotton Casual Sweat Dress,Navy Blue,Medium</t>
  </si>
  <si>
    <t>MY-BBS011-WT-M</t>
  </si>
  <si>
    <t>X001T332FN</t>
  </si>
  <si>
    <t>B07CMMGJGG</t>
  </si>
  <si>
    <t>MOCOTONO Men's V Neck Pullover Sweater Long Sleeve Cotton Casual Sweat Dress,White,Small</t>
  </si>
  <si>
    <t>MY-BBS011-NY-XL</t>
  </si>
  <si>
    <t>X001T332H1</t>
  </si>
  <si>
    <t>B07597RF3K</t>
  </si>
  <si>
    <t>MOCOTONO Men's V Neck Pullover Sweater Long Sleeve Cotton Casual Sweat Dress,Navy Blue,Large</t>
  </si>
  <si>
    <t>MY-BBS011-WT-S</t>
  </si>
  <si>
    <t>X001T33BB3</t>
  </si>
  <si>
    <t>B075992BXS</t>
  </si>
  <si>
    <t>MOCOTONO Men's V Neck Pullover Sweater Long Sleeve Cotton Casual Sweat Dress,Black,X-Large</t>
  </si>
  <si>
    <t>MY-LYPoint021-K0-L</t>
  </si>
  <si>
    <t>B073XJFSC8</t>
  </si>
  <si>
    <t>MOCOTONO Men's V-Neck Long Sleeve Pullover Casual Sweater Black Large</t>
  </si>
  <si>
    <t>MY-LYPoint021-BL-S</t>
  </si>
  <si>
    <t>B0788HYWJ7</t>
  </si>
  <si>
    <t>MOCOTONO Men's V-Neck Long Sleeve Regular Fit Pullover Casual Sweater Blue Small Blue Small</t>
  </si>
  <si>
    <t>MY-LYPoint021-K0-XL</t>
  </si>
  <si>
    <t>B073XK7RVB</t>
  </si>
  <si>
    <t>MOCOTONO Men's V-Neck Long Sleeve Pullover Casual Sweater Black X-Large</t>
  </si>
  <si>
    <t>MY-LYPoint021-NY-XL</t>
  </si>
  <si>
    <t>B0788CHJ3V</t>
  </si>
  <si>
    <t>MOCOTONO Men's V-Neck Long Sleeve Pullover Casual Sweater Navy X-Large</t>
  </si>
  <si>
    <t>MY-LYRound020-WR-XL</t>
  </si>
  <si>
    <t>B073XJ1PM4</t>
  </si>
  <si>
    <t>MOCOTONO Men's Long Sleeve Crew Neck Pullover Knit Sweater Wine Red X-Large</t>
  </si>
  <si>
    <t>MY-LYRound020-WR-L</t>
  </si>
  <si>
    <t>B073XK9BD8</t>
  </si>
  <si>
    <t>MOCOTONO Men's Long Sleeve Crew Neck Pullover Knit Sweater Wine Red Large</t>
  </si>
  <si>
    <t>MY-SB011-BL-M</t>
  </si>
  <si>
    <t>B0758Z97V3</t>
  </si>
  <si>
    <t>MOCOTONO Men's V Neck Pullover Sweater Long Sleeve Cotton Casual Sweat Dress,Blue,Small</t>
  </si>
  <si>
    <t>MY-LYRound020-K0-XL</t>
  </si>
  <si>
    <t>B073XKG8VD</t>
  </si>
  <si>
    <t>MOCOTONO Men's Long Sleeve Crew Neck Pullover Knit Sweater Black X-Large</t>
  </si>
  <si>
    <t>MY-LYRound020-NY-S</t>
  </si>
  <si>
    <t>B07887XX7H</t>
  </si>
  <si>
    <t>MOCOTONO Men's Long Sleeve Crew Neck Pullover Knit Sweater Navy Small</t>
  </si>
  <si>
    <t>MY-SB011-DG-XL</t>
  </si>
  <si>
    <t>B0758WGQVQ</t>
  </si>
  <si>
    <t>MOCOTONO Men's V Neck Pullover Sweater Long Sleeve Cotton Casual Sweat Dress,Dark Gray,Large</t>
  </si>
  <si>
    <t>MY-LYRound020-K0-M</t>
  </si>
  <si>
    <t>B073XJL8XK</t>
  </si>
  <si>
    <t>MOCOTONO Men's Long Sleeve Crew Neck Pullover Knit Sweater Black Medium</t>
  </si>
  <si>
    <t>MY-LYRound020-GR-L</t>
  </si>
  <si>
    <t>B073XK4LR3</t>
  </si>
  <si>
    <t>MOCOTONO Men's Long Sleeve Crew Neck Pullover Knit Sweater Gray Large</t>
  </si>
  <si>
    <t>MY-LYPoint021-WR-XL</t>
  </si>
  <si>
    <t>B073XJW69Y</t>
  </si>
  <si>
    <t>MOCOTONO Men's V-Neck Long Sleeve Pullover Casual Sweater Wine Red X-Large</t>
  </si>
  <si>
    <t>MY-LYRound020-BL-L</t>
  </si>
  <si>
    <t>B0788CMJ2W</t>
  </si>
  <si>
    <t>MOCOTONO Men's Long Sleeve Crew Neck Pullover Knit Sweater Blue Large</t>
  </si>
  <si>
    <t>MY-SB027-KK-L</t>
  </si>
  <si>
    <t>B078TC3BK9</t>
  </si>
  <si>
    <t>MOCOTONO Men's V-Neck Cotton Sleeveless Sweater Casual Vest Khaki/Brown Large</t>
  </si>
  <si>
    <t>MY-SB027-DG-XL</t>
  </si>
  <si>
    <t>B078TD4NL1</t>
  </si>
  <si>
    <t>MOCOTONO Men's V-Neck Cotton Sleeveless Sweater Casual Vest Dark Gray X-Large</t>
  </si>
  <si>
    <t>MY-SB027-KK-M</t>
  </si>
  <si>
    <t>B078TD4DD1</t>
  </si>
  <si>
    <t>MOCOTONO Men's V-Neck Cotton Sleeveless Sweater Casual Vest Khaki/Brown Medium</t>
  </si>
  <si>
    <t>MY-SB026-KK-XL</t>
  </si>
  <si>
    <t>B078SLXQDC</t>
  </si>
  <si>
    <t>MOCOTONO Mens Long Sleeve Turtle Neck Zip Pullover Sweater Khaki X-Large</t>
  </si>
  <si>
    <t>MY-SB027-DG-L</t>
  </si>
  <si>
    <t>B078TBRRY1</t>
  </si>
  <si>
    <t>MOCOTONO Men's V-Neck Cotton Sleeveless Sweater Casual Vest Dark Gray Large</t>
  </si>
  <si>
    <t>MY-SB026-BK-XL</t>
  </si>
  <si>
    <t>B078SM9WX3</t>
  </si>
  <si>
    <t>MOCOTONO Mens Long Sleeve Turtle Neck Zip Pullover Sweater Black X-Large</t>
  </si>
  <si>
    <t>MY-SB021-BL-M</t>
  </si>
  <si>
    <t>B07C4GBN6N</t>
  </si>
  <si>
    <t>MOCOTONO Men's V-Neck Long Sleeve Regular Fit Pullover Casual Sweater Blue Medium Blue Medium</t>
  </si>
  <si>
    <t>MY-SBRound020-GR-M</t>
  </si>
  <si>
    <t>X001SV45RZ</t>
  </si>
  <si>
    <t>B073XJW9GC</t>
  </si>
  <si>
    <t>MOCOTONO Men's Long Sleeve Crew Neck Pullover Knit Sweater Gray Medium</t>
  </si>
  <si>
    <t>MY-SBPoint021-NY-M</t>
  </si>
  <si>
    <t>X001SV95HP</t>
  </si>
  <si>
    <t>B0788F8PXB</t>
  </si>
  <si>
    <t>MOCOTONO Men's V-Neck Long Sleeve Pullover Casual Sweater Navy Medium</t>
  </si>
  <si>
    <t>MY-SBPoint021-GR-M</t>
  </si>
  <si>
    <t>X001SVULT1</t>
  </si>
  <si>
    <t>B073XJLTJW</t>
  </si>
  <si>
    <t>MOCOTONO Men's V-Neck Long Sleeve Pullover Casual Sweater Light Gray Medium</t>
  </si>
  <si>
    <t>MY-SBPoint021-NY-L</t>
  </si>
  <si>
    <t>X001SV95HZ</t>
  </si>
  <si>
    <t>B0788F4HMX</t>
  </si>
  <si>
    <t>MOCOTONO Men's V-Neck Long Sleeve Pullover Casual Sweater Navy Large</t>
  </si>
  <si>
    <t>MY-SBPoint021-BK-M</t>
  </si>
  <si>
    <t>X001SW06RH</t>
  </si>
  <si>
    <t>B073XK1K4N</t>
  </si>
  <si>
    <t>MOCOTONO Men's V-Neck Long Sleeve Pullover Casual Sweater Black Medium</t>
  </si>
  <si>
    <t>MY-SBPoint021-NY-S</t>
  </si>
  <si>
    <t>X001SW06RR</t>
  </si>
  <si>
    <t>B0788CCG33</t>
  </si>
  <si>
    <t>MOCOTONO Men's V-Neck Long Sleeve Pullover Casual Sweater Navy Small</t>
  </si>
  <si>
    <t>MY-SBRound020-NY-XL</t>
  </si>
  <si>
    <t>X001SW06R7</t>
  </si>
  <si>
    <t>B07C4RDLSK</t>
  </si>
  <si>
    <t>MOCOTONO Men's Long Sleeve Crew Neck Pullover Knit Sweater Navy X-Large</t>
  </si>
  <si>
    <t>MY-SBRound020-GR-S</t>
  </si>
  <si>
    <t>X001SW06HH</t>
  </si>
  <si>
    <t>B073XKL2LF</t>
  </si>
  <si>
    <t>MOCOTONO Men's Long Sleeve Crew Neck Pullover Knit Sweater Gray Small</t>
  </si>
  <si>
    <t>MY-SBRound020-NY-M</t>
  </si>
  <si>
    <t>X001SV9VP1</t>
  </si>
  <si>
    <t>B0788GD6MN</t>
  </si>
  <si>
    <t>MOCOTONO Men's Long Sleeve Crew Neck Pullover Knit Sweater Navy Medium</t>
  </si>
  <si>
    <t>MY-SBRound020-BK-S</t>
  </si>
  <si>
    <t>X001SVULPZ</t>
  </si>
  <si>
    <t>B073XJZ6XV</t>
  </si>
  <si>
    <t>MOCOTONO Men's Long Sleeve Crew Neck Pullover Knit Sweater Black Small</t>
  </si>
  <si>
    <t>POLO-1503-GR-M</t>
  </si>
  <si>
    <t>B0788LXZHN</t>
  </si>
  <si>
    <t>MOCOTONO Men's Long Sleeve Casual Collared Polo Shirt Top Grey M</t>
  </si>
  <si>
    <t>POLO-1503-RD-L</t>
  </si>
  <si>
    <t>B0788KNNJ7</t>
  </si>
  <si>
    <t>MOCOTONO Men's Long Sleeve Casual Collared Polo Shirt Top Red L</t>
  </si>
  <si>
    <t>POLO-1503-BK-L</t>
  </si>
  <si>
    <t>B0788K43ZX</t>
  </si>
  <si>
    <t>MOCOTONO Men's Long Sleeve Casual Collared Polo Shirt Top Black L</t>
  </si>
  <si>
    <t>POLO-1503-NY-L</t>
  </si>
  <si>
    <t>B078HS362X</t>
  </si>
  <si>
    <t>MOCOTONO Men's Long Sleeve Casual Collared Polo Shirt Top Navy Blue L</t>
  </si>
  <si>
    <t>POLO-1503-RD-M</t>
  </si>
  <si>
    <t>B0788LK2N3</t>
  </si>
  <si>
    <t>MOCOTONO Men's Long Sleeve Casual Collared Polo Shirt Top Red M</t>
  </si>
  <si>
    <t>POLO-SB014-GN-XL</t>
  </si>
  <si>
    <t>B076DF9XV2</t>
  </si>
  <si>
    <t>MOCOTONO Men's Long Sleeve Casual Golf Polo Shirt Green X-Large</t>
  </si>
  <si>
    <t>POLO-1503-GR-L</t>
  </si>
  <si>
    <t>B0788JGZ5J</t>
  </si>
  <si>
    <t>MOCOTONO Men's Long Sleeve Casual Collared Polo Shirt Top Grey L</t>
  </si>
  <si>
    <t>POLO-SB1503-BK-L</t>
  </si>
  <si>
    <t>X001T33YAB</t>
  </si>
  <si>
    <t>POLO-SB014-NY-L</t>
  </si>
  <si>
    <t>B076D13MD3</t>
  </si>
  <si>
    <t>Mocotono Men's Long Sleeve Casual Golf Polo Shirt Navy Blue Large</t>
  </si>
  <si>
    <t>SHIRT-SB002-BK-L</t>
  </si>
  <si>
    <t>POLO-SB1503-BK-S</t>
  </si>
  <si>
    <t>X001T34Z1D</t>
  </si>
  <si>
    <t>B0788MSNZ9</t>
  </si>
  <si>
    <t>MOCOTONO Men's Long Sleeve Casual Collared Polo Shirt Top Black S</t>
  </si>
  <si>
    <t>POLO-SB1503-NY-M</t>
  </si>
  <si>
    <t>X001T3DL6X</t>
  </si>
  <si>
    <t>B0728K5VXT</t>
  </si>
  <si>
    <t>MOCOTONO Men's Long Sleeve Casual Collared Polo Shirt Top Navy Blue M</t>
  </si>
  <si>
    <t>POLO-SB014-YL-XL</t>
  </si>
  <si>
    <t>B076D4JCLQ</t>
  </si>
  <si>
    <t>MOCOTONO Men's Long Sleeve Casual Golf Polo Shirt Yellow (Brown) X-Large</t>
  </si>
  <si>
    <t>POLO-SB014-YL-S</t>
  </si>
  <si>
    <t>B076D4JLHB</t>
  </si>
  <si>
    <t>MOCOTONO Men's Long Sleeve Casual Golf Polo Shirt Yellow (Brown) Small</t>
  </si>
  <si>
    <t>POLO-SB1503-NY-L</t>
  </si>
  <si>
    <t>X001T328K3</t>
  </si>
  <si>
    <t>POLO-SB1503-RD-L</t>
  </si>
  <si>
    <t>X001T328JT</t>
  </si>
  <si>
    <t>POLO-SB1503-BK-M</t>
  </si>
  <si>
    <t>X001T2R62T</t>
  </si>
  <si>
    <t>B0788L5FHK</t>
  </si>
  <si>
    <t>MOCOTONO Men's Long Sleeve Casual Collared Polo Shirt Top Black M</t>
  </si>
  <si>
    <t>WQS-BN-1503-GR-M</t>
  </si>
  <si>
    <t>WQS-BN-1503-RO-L</t>
  </si>
  <si>
    <t>WQS-BN-1503-KO-L</t>
  </si>
  <si>
    <t>SHIRT-SB002-RNBL-2XL</t>
  </si>
  <si>
    <t>WQS-BN-1503-RO-M</t>
  </si>
  <si>
    <t>SHIRT-SB002-LB-XL</t>
  </si>
  <si>
    <t>WQS-BN-1503-GR-L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</si>
  <si>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</si>
  <si>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</si>
  <si>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</si>
  <si>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</si>
  <si>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</si>
  <si>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</si>
  <si>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</si>
  <si>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</si>
  <si>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</si>
  <si>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</si>
  <si>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</si>
  <si>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</si>
  <si>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</si>
  <si>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</si>
  <si>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</si>
  <si>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</si>
  <si>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</si>
  <si>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</si>
  <si>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</si>
  <si>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</si>
  <si>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</si>
  <si>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</si>
  <si>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</si>
  <si>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</si>
  <si>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</si>
  <si>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</si>
  <si>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</si>
  <si>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</si>
  <si>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</si>
  <si>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</si>
  <si>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</si>
  <si>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</si>
  <si>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</si>
  <si>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</si>
  <si>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</si>
  <si>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New</t>
  </si>
  <si>
    <t>USD</t>
  </si>
  <si>
    <t>Update inventory settings for:</t>
  </si>
  <si>
    <t>Apparel</t>
  </si>
  <si>
    <t>Low conversion</t>
  </si>
  <si>
    <t>CS-LY171-G912-L</t>
  </si>
  <si>
    <t>B073PQDCYM</t>
  </si>
  <si>
    <t>Men's Oxford Long Sleeve Button Down Dress Shirt With Pocket,Green,Large</t>
  </si>
  <si>
    <t>CS-LY084-H10-XL</t>
  </si>
  <si>
    <t>CS-BUSB031LHY-GN1-XXL</t>
  </si>
  <si>
    <t>X001SUEWIX</t>
  </si>
  <si>
    <t>B078VYVGV2</t>
  </si>
  <si>
    <t>MOCOTONO Men's Long Sleeve Flannel Plaid Checkered Button Down Casual Dress Shirts Green1 XX-Large</t>
  </si>
  <si>
    <t>CS-SB006-RD1-XL</t>
  </si>
  <si>
    <t>B074P174SV</t>
  </si>
  <si>
    <t>MOCOTONO Men's Long Sleeve Standard Fit Plaid Checked Button Up Casual Shirts Red X-Large</t>
  </si>
  <si>
    <t>Create Sale</t>
  </si>
  <si>
    <t>CS-LHY009-BL-XXL</t>
  </si>
  <si>
    <t>X001T338Z7</t>
  </si>
  <si>
    <t>B07515RB6G</t>
  </si>
  <si>
    <t>MOCOTONO Men's Short Sleeve Plaid Checkered Button Down Casual Shirts Blue XX-Large</t>
  </si>
  <si>
    <t>CS-SB006-GN-L</t>
  </si>
  <si>
    <t>B074NYHWDL</t>
  </si>
  <si>
    <t>Men's Plaid Long Sleeve Button up Casual Dress Shirts Green Large</t>
  </si>
  <si>
    <t>Edit listing</t>
  </si>
  <si>
    <t>CS-SB009-CF-S</t>
  </si>
  <si>
    <t>B07516DD7N</t>
  </si>
  <si>
    <t>MOCOTONO Men's Short Sleeve Plaid Checkered Button Down Casual Shirts Coffee Small</t>
  </si>
  <si>
    <t>CS-LY085-LG907-M</t>
  </si>
  <si>
    <t>B06XYL6KXB</t>
  </si>
  <si>
    <t>Men's Solid Color Oxford Long Sleeve Button Down Casual Shirt,Light Gray,Medium</t>
  </si>
  <si>
    <t>Standard</t>
  </si>
  <si>
    <t>CS-LHY009-BL-S</t>
  </si>
  <si>
    <t>X001T32CKT</t>
  </si>
  <si>
    <t>B07514LH9K</t>
  </si>
  <si>
    <t>MOCOTONO Men's Short Sleeve Plaid Checkered Button Down Casual Shirts Blue Small</t>
  </si>
  <si>
    <t>CS-LY166-K73-1-XL</t>
  </si>
  <si>
    <t>B071Z6DSH7</t>
  </si>
  <si>
    <t>MOCOTONO Men's Long Sleeve Flannel Plaid Dress Shirt Western Button Down Shirts Red X-Large</t>
  </si>
  <si>
    <t>MY-BBS011-RD-XL</t>
  </si>
  <si>
    <t>X001T34MD9</t>
  </si>
  <si>
    <t>B07597GBT2</t>
  </si>
  <si>
    <t>MOCOTONO Men's V Neck Pullover Sweater Long Sleeve Cotton Casual Sweat Dress,Red,Large</t>
  </si>
  <si>
    <t>CS-LY085-ZL918-S</t>
  </si>
  <si>
    <t>B06XZ1D6S1</t>
  </si>
  <si>
    <t>Men's Solid Color Oxford Long Sleeve Button Down Casual Shirt Navy Blue Small</t>
  </si>
  <si>
    <t>CS-LY181-G912-M</t>
  </si>
  <si>
    <t>B073PQ7KRK</t>
  </si>
  <si>
    <t>CS-SB030-NY-M</t>
  </si>
  <si>
    <t>X001SOGGGF</t>
  </si>
  <si>
    <t>B07DG2SX37</t>
  </si>
  <si>
    <t>POLO-1503-BK-XL</t>
  </si>
  <si>
    <t>B0788M9Z9R</t>
  </si>
  <si>
    <t>MOCOTONO Men's Long Sleeve Casual Collared Polo Shirt Top Black XL</t>
  </si>
  <si>
    <t>MTX-IULHY-DBMS90-NY-28</t>
  </si>
  <si>
    <t>X001UW0L39</t>
  </si>
  <si>
    <t>B07GB4QL3Y</t>
  </si>
  <si>
    <t>Men's Stripe Memory Foam Slippers Fleece Plush Slippers for Indoor Navy Medium</t>
  </si>
  <si>
    <t>Footwear</t>
  </si>
  <si>
    <t>CS-SB006-RD1-M</t>
  </si>
  <si>
    <t>B074P1N7FP</t>
  </si>
  <si>
    <t>MOCOTONO Men's Long Sleeve Standard Fit Plaid Checked Button Up Casual Shirts Red Medium</t>
  </si>
  <si>
    <t>CS-BUSB031-RD2-XXL</t>
  </si>
  <si>
    <t>B078VZVBTM</t>
  </si>
  <si>
    <t>MOCOTONO Men's Long Sleeve Flannel Plaid Checkered Button Down Casual Dress Shirts Red2 XX-Large</t>
  </si>
  <si>
    <t>MTX-IULHY-MA89-KK-41</t>
  </si>
  <si>
    <t>X001UPGFE5</t>
  </si>
  <si>
    <t>B07G57XR3M</t>
  </si>
  <si>
    <t>MOCOTONO Men's Memory Foam Slipper Fleece Lining Cute Print House Shoes Khaki(Milk) Medium</t>
  </si>
  <si>
    <t>Low traffic</t>
  </si>
  <si>
    <t>Advertise listing</t>
  </si>
  <si>
    <t>MY-LYPoint021-KQ-XL</t>
  </si>
  <si>
    <t>B073XKK5LR</t>
  </si>
  <si>
    <t>MOCOTONO Men's V-Neck Long Sleeve Pullover Casual Sweater Khaki X-Large</t>
  </si>
  <si>
    <t>KZ-LHY001-WHT-XL</t>
  </si>
  <si>
    <t>X001SS0FCH</t>
  </si>
  <si>
    <t>B07DHDJ8XK</t>
  </si>
  <si>
    <t>MOCOTONO Women's White Linen Pants Casual Loose Linen Cropped Wide Leg Pants White X-Large</t>
  </si>
  <si>
    <t>CS-SB002-LB-2XL</t>
  </si>
  <si>
    <t>B074DV9LG9</t>
  </si>
  <si>
    <t>MOCOTONO Men's Long Sleeve Regular Fit Plaid Button Down Casual Shirts Light Blue XX-Large</t>
  </si>
  <si>
    <t>CS-SB002-LB-M</t>
  </si>
  <si>
    <t>B074DTM89F</t>
  </si>
  <si>
    <t>MOCOTONO Men's Long Sleeve Regular Fit Plaid Button Down Casual Shirts Light Blue Medium</t>
  </si>
  <si>
    <t>POLO-SB014-GN-M</t>
  </si>
  <si>
    <t>B076D1NFQ1</t>
  </si>
  <si>
    <t>MOCOTONO Men's Long Sleeve Casual Golf Polo Shirt Green Medium</t>
  </si>
  <si>
    <t>CS-SB016-B0-M</t>
  </si>
  <si>
    <t>B077XMLJHY</t>
  </si>
  <si>
    <t>Mocotono Men's Long Sleeve Thick Denim Shirt Blue (Thick) Medium</t>
  </si>
  <si>
    <t>CS-SB166-B28-1-XL</t>
  </si>
  <si>
    <t>B072PR4741</t>
  </si>
  <si>
    <t>MOCOTONO Men's Long Sleeve Flannel Plaid Dress Shirt Western Button Down Shirts Muti Plaid X-Large</t>
  </si>
  <si>
    <t>MY-SB020-BL-XL</t>
  </si>
  <si>
    <t>B077XFVSPR</t>
  </si>
  <si>
    <t>MOCOTONO Men's V Neck Stripe Pullover Cotton Sweater Blue XL</t>
  </si>
  <si>
    <t>CS-BS003-NB-XL</t>
  </si>
  <si>
    <t>B078JNL9TC</t>
  </si>
  <si>
    <t>MOCOTONO Men's Long Sleeve Denim Double-Pocket Shirt Navy Blue X-Large</t>
  </si>
  <si>
    <t>CS-SB005-BL2-M</t>
  </si>
  <si>
    <t>B074P5N47J</t>
  </si>
  <si>
    <t>MOCOTONO Men's Long Sleeve Cotton Plaid Button Down Casual Shirts Sapphire Medium</t>
  </si>
  <si>
    <t>MY-SB011JR-PP-M</t>
  </si>
  <si>
    <t>B0786WNCV1</t>
  </si>
  <si>
    <t>MOCOTONO Men's V Neck Pullover Fleece Lined Cotton Sweater Purple Small</t>
  </si>
  <si>
    <t>CS-LY181-Sa911-XXL</t>
  </si>
  <si>
    <t>B073PPWPH1</t>
  </si>
  <si>
    <t>Men's Oxford Long Sleeve Button Down Casual Dress Shirt,Sapphire,XX-Large</t>
  </si>
  <si>
    <t>CS-SB009-LB-S</t>
  </si>
  <si>
    <t>B07516WWN4</t>
  </si>
  <si>
    <t>MOCOTONO Men's Short Sleeve Plaid Checkered Button Down Casual Shirts Light Blue Small</t>
  </si>
  <si>
    <t>CS-LY086-LB-XXL</t>
  </si>
  <si>
    <t>B06XPVRGLK</t>
  </si>
  <si>
    <t>Men's Denim Long Sleeve Pocket Casual Dress Shirt Light Blue XX-Large (Slim Fit)</t>
  </si>
  <si>
    <t>MTX-IULHY-M188-CF-40/42</t>
  </si>
  <si>
    <t>X001U4XJEP</t>
  </si>
  <si>
    <t>B07FM4PQ1T</t>
  </si>
  <si>
    <t>MOCOTONO Men's Cotton Knitted Memory Foam Slipper Fleece Lining Indoor House Shoes Coffee(Check) Medium</t>
  </si>
  <si>
    <t>Lower price</t>
  </si>
  <si>
    <t>MY-BS026-KK-M</t>
  </si>
  <si>
    <t>X001SVSK17</t>
  </si>
  <si>
    <t>B078SK82ZF</t>
  </si>
  <si>
    <t>MOCOTONO Mens Long Sleeve Turtle Neck Zip Pullover Sweater Khaki Medium</t>
  </si>
  <si>
    <t>CS-SB009-CF-L</t>
  </si>
  <si>
    <t>B075171TNX</t>
  </si>
  <si>
    <t>MOCOTONO Men's Short Sleeve Plaid Checkered Button Down Casual Shirts Coffee Large</t>
  </si>
  <si>
    <t>CS-LY181-PI908-XXL</t>
  </si>
  <si>
    <t>B073PPPDK9</t>
  </si>
  <si>
    <t>Men's Oxford Long Sleeve Button Down Casual Dress Shirt XX-Large</t>
  </si>
  <si>
    <t>POLO-SB1503-RD-S</t>
  </si>
  <si>
    <t>X001T34Z1N</t>
  </si>
  <si>
    <t>B0788MQ753</t>
  </si>
  <si>
    <t>MOCOTONO Men's Long Sleeve Casual Collared Polo Shirt Top Red S</t>
  </si>
  <si>
    <t>CS-LHY032-BL-S</t>
  </si>
  <si>
    <t>X001T615MH</t>
  </si>
  <si>
    <t>B07CC5Z3YB</t>
  </si>
  <si>
    <t>MOCOTONO Men's Short Sleeve Floral Print Button Down Casual Shirt Blue Small</t>
  </si>
  <si>
    <t>CS-LHY009-LB1-M</t>
  </si>
  <si>
    <t>X001T32T4N</t>
  </si>
  <si>
    <t>B07515NL7P</t>
  </si>
  <si>
    <t>MOCOTONO Men's Short Sleeve Plaid Checkered Button Down Casual Shirts Blue &amp; Navy Medium</t>
  </si>
  <si>
    <t>MTX-IULHY-M1758-DC-27</t>
  </si>
  <si>
    <t>X001U4I6HF</t>
  </si>
  <si>
    <t>B07FM1XCF2</t>
  </si>
  <si>
    <t>MOCOTONO Men's Cotton Knitted Memory Foam Slipper Fleece Lining Indoor House Shoes Dark Coffee(Stripe) Small</t>
  </si>
  <si>
    <t>MTX-IULHY-MA89-KK-43</t>
  </si>
  <si>
    <t>X001UPITSP</t>
  </si>
  <si>
    <t>B07G573ZYR</t>
  </si>
  <si>
    <t>MOCOTONO Men's Memory Foam Slipper Fleece Lining Cute Print House Shoes Khaki(Milk) Large</t>
  </si>
  <si>
    <t>MY-SB027-LG-XL</t>
  </si>
  <si>
    <t>B078TCG9L1</t>
  </si>
  <si>
    <t>MOCOTONO Men's V-Neck Cotton Sleeveless Sweater Casual Vest Light Grey X-Large</t>
  </si>
  <si>
    <t>MY-SBPoint021-GN-XL</t>
  </si>
  <si>
    <t>X001SVULEV</t>
  </si>
  <si>
    <t>B073XJV446</t>
  </si>
  <si>
    <t>MOCOTONO Men's V-Neck Long Sleeve Pullover Casual Sweater Green X-Large</t>
  </si>
  <si>
    <t>Men's Oxford Long Sleeve Button Down Casual Dress Shirt Wine Red X-Large</t>
  </si>
  <si>
    <t>CS-SB005-BL1-L</t>
  </si>
  <si>
    <t>B074NWD9JL</t>
  </si>
  <si>
    <t>MOCOTONO Men's Long Sleeve Cotton Plaid Button Down Casual Shirts Blue Large</t>
  </si>
  <si>
    <t>MY-SBPoint021-KK-M</t>
  </si>
  <si>
    <t>X001SW06S1</t>
  </si>
  <si>
    <t>B07C4PRQ85</t>
  </si>
  <si>
    <t>MOCOTONO Men's V-Neck Long Sleeve Pullover Casual Sweater Khaki Medium</t>
  </si>
  <si>
    <t>CS-SB016-NB-XL</t>
  </si>
  <si>
    <t>B077XT48SV</t>
  </si>
  <si>
    <t>Mocotono Men's Long Sleeve Thick Denim Shirt Light Blue (Thick) X-Large</t>
  </si>
  <si>
    <t>MY-LYRound020-K0-L</t>
  </si>
  <si>
    <t>B073XJW2V6</t>
  </si>
  <si>
    <t>MOCOTONO Men's Long Sleeve Crew Neck Pullover Knit Sweater Black Large</t>
  </si>
  <si>
    <t>CS-SB006-RD2-L</t>
  </si>
  <si>
    <t>B074NR4672</t>
  </si>
  <si>
    <t>MOCOTONO Men's Long Sleeve Standard Fit Plaid Checked Button Up Casual Shirts Scarlet Large</t>
  </si>
  <si>
    <t>MY-SB011-NY-XL</t>
  </si>
  <si>
    <t>CS-SB009-RD-XL</t>
  </si>
  <si>
    <t>B0751797BH</t>
  </si>
  <si>
    <t>MOCOTONO Men's Short Sleeve Plaid Checkered Button Down Casual Shirts Red X-Large</t>
  </si>
  <si>
    <t>MY-BBS011-BK-XL</t>
  </si>
  <si>
    <t>X001T32FN3</t>
  </si>
  <si>
    <t>B07591S5WZ</t>
  </si>
  <si>
    <t>MOCOTONO Men's V Neck Pullover Sweater Long Sleeve Cotton Casual Sweat Dress,Black,Large</t>
  </si>
  <si>
    <t>CFY-M1798-BK-XXL</t>
  </si>
  <si>
    <t>B076SR28L3</t>
  </si>
  <si>
    <t>MOCOTONO Men's Waterproof Rain Jacket Fleece Snow Ski Winter Coat Black 2 XX-Large</t>
  </si>
  <si>
    <t>CS-LY171-PI908-XXL</t>
  </si>
  <si>
    <t>B073PPLZTG</t>
  </si>
  <si>
    <t>Men's Oxford Long Sleeve Button Down Dress Shirt With Pocket,XX-Large</t>
  </si>
  <si>
    <t>CS-SB002-RD-2XL</t>
  </si>
  <si>
    <t>B074DTDP52</t>
  </si>
  <si>
    <t>MOCOTONO Men's Long Sleeve Regular Fit Plaid Button Down Casual Shirts Red XX-Large</t>
  </si>
  <si>
    <t>Men's Oxford Long Sleeve Button Down Casual Dress Shirt Wine Red Medium</t>
  </si>
  <si>
    <t>CS-BS016-LB-XXL</t>
  </si>
  <si>
    <t>B078JMZGT6</t>
  </si>
  <si>
    <t>MOCOTONO Men's Long Sleeve Denim Double-Pocket Shirt Light Blue XX-Large</t>
  </si>
  <si>
    <t>CS-SB166-K73-1-L</t>
  </si>
  <si>
    <t>B0791686VX</t>
  </si>
  <si>
    <t>MOCOTONO Men's Long Sleeve Flannel Plaid Dress Shirt Western Button Down Shirts Red Large</t>
  </si>
  <si>
    <t>MY-SB027-KK-S</t>
  </si>
  <si>
    <t>B078TBBBTL</t>
  </si>
  <si>
    <t>MOCOTONO Men's V-Neck Cotton Sleeveless Sweater Casual Vest Khaki/Brown Small</t>
  </si>
  <si>
    <t>WY-SB017-RD-S</t>
  </si>
  <si>
    <t>B078NL55Z2</t>
  </si>
  <si>
    <t>MOCOTONO Men's Pullover Hoodies Fleece Hooded Sweatshirt Red Small</t>
  </si>
  <si>
    <t>MY-LYRound020-KQ-L</t>
  </si>
  <si>
    <t>B073XJFXTR</t>
  </si>
  <si>
    <t>MOCOTONO Men's Long Sleeve Crew Neck Pullover Knit Sweater Khaki Large</t>
  </si>
  <si>
    <t>CS-SB171-PI908-XL</t>
  </si>
  <si>
    <t>B0788LNB86</t>
  </si>
  <si>
    <t>Men's Oxford Long Sleeve Button Down Dress Shirt with Pocket,Pink,X-Large</t>
  </si>
  <si>
    <t>MY-SB011-RD-S</t>
  </si>
  <si>
    <t>B0758RNYSD</t>
  </si>
  <si>
    <t>MOCOTONO Men's V Neck Pullover Sweater Long Sleeve Cotton Casual Sweat Dress,Blue,X-Large</t>
  </si>
  <si>
    <t>POLO-SB1503-GR-S</t>
  </si>
  <si>
    <t>X001T2WSY5</t>
  </si>
  <si>
    <t>B0788KFZ7Y</t>
  </si>
  <si>
    <t>MOCOTONO Men's Long Sleeve Casual Collared Polo Shirt Top Grey S</t>
  </si>
  <si>
    <t>MY-SB019-BK-M</t>
  </si>
  <si>
    <t>B077XDZT5K</t>
  </si>
  <si>
    <t>MOCOTONO Men's Cotton V Neck Sweater Regular Fit Pullover Knitwear Black M</t>
  </si>
  <si>
    <t>CS-SB010-WT-5</t>
  </si>
  <si>
    <t>B07555L3KW</t>
  </si>
  <si>
    <t>MOCOTONO Men's Non Iron Formal Business Tuxedo Dress Shirt White L 16" Neck, 33.75" Sleeve</t>
  </si>
  <si>
    <t>MTX-IULHY-M1798-CF-28</t>
  </si>
  <si>
    <t>X001U4WWEN</t>
  </si>
  <si>
    <t>B07FM3Y9N5</t>
  </si>
  <si>
    <t>MOCOTONO Men's Cotton Knitted Memory Foam Slipper Fleece Lining Indoor House Slippers Brown Medium</t>
  </si>
  <si>
    <t>CS-SB006-RD2-2XL</t>
  </si>
  <si>
    <t>B074P3P5F3</t>
  </si>
  <si>
    <t>MOCOTONO Men's Long Sleeve Standard Fit Plaid Checked Button Up Casual Shirts Scarlet XX-Large</t>
  </si>
  <si>
    <t>MY-SB011JR-BK-L</t>
  </si>
  <si>
    <t>B0786WFYHF</t>
  </si>
  <si>
    <t>MOCOTONO Men's V Neck Pullover Fleece Lined Cotton Sweater Black Medium</t>
  </si>
  <si>
    <t>CS-BS016-B0-M</t>
  </si>
  <si>
    <t>B078JBLCPB</t>
  </si>
  <si>
    <t>MOCOTONO Men's Long Sleeve Denim Double-Pocket Shirt Blue Medium</t>
  </si>
  <si>
    <t>MY-BS027-GN-XL</t>
  </si>
  <si>
    <t>X001SV94NP</t>
  </si>
  <si>
    <t>B078TC2XC1</t>
  </si>
  <si>
    <t>MOCOTONO Men's V-Neck Cotton Sleeveless Sweater Casual Vest Green X-Large</t>
  </si>
  <si>
    <t>CS-LHY002-CF-L</t>
  </si>
  <si>
    <t>X001UCIPP5</t>
  </si>
  <si>
    <t>B074DT4Z95</t>
  </si>
  <si>
    <t>MOCOTONO Men's Long Sleeve Regular Fit Plaid Button Down Casual Shirts Coffee Large</t>
  </si>
  <si>
    <t>Men's Oxford Long Sleeve Button Down Casual Dress Shirt Light Gray Small</t>
  </si>
  <si>
    <t>MY-SB019-RD-XL</t>
  </si>
  <si>
    <t>B077XGQHSM</t>
  </si>
  <si>
    <t>MOCOTONO Men's Cotton V Neck Sweater Regular Fit Pullover Knitwear Red XL</t>
  </si>
  <si>
    <t>MTX-IULHY-MA86-BK-43</t>
  </si>
  <si>
    <t>X001UPFDJD</t>
  </si>
  <si>
    <t>B07G4ZR5XD</t>
  </si>
  <si>
    <t>MOCOTONO Men's Memory Foam Slipper Fleece Lining Cute Print House Shoes Black(Star) Large</t>
  </si>
  <si>
    <t>CS-SB006-GN-M</t>
  </si>
  <si>
    <t>B074NZX79C</t>
  </si>
  <si>
    <t>CS-SB181-LG907-XXL</t>
  </si>
  <si>
    <t>Men's Oxford Long Sleeve Button Down Casual Dress Shirt Light Gray XX-Large</t>
  </si>
  <si>
    <t>CS-LHY007-LP-XL</t>
  </si>
  <si>
    <t>X001UE5E3T</t>
  </si>
  <si>
    <t>B07512KQBF</t>
  </si>
  <si>
    <t>CS-LHY084-H3-XXL</t>
  </si>
  <si>
    <t>X001TZPMBX</t>
  </si>
  <si>
    <t>B06XQVY2DZ</t>
  </si>
  <si>
    <t>MOCOTONO Men's Long Sleeve Plaid Button Down Cotton Casual Shirts Navy and Coffee XX-Large</t>
  </si>
  <si>
    <t>CS-LHY170-BLK-XXL</t>
  </si>
  <si>
    <t>X001TQVU1D</t>
  </si>
  <si>
    <t>B07F68GL7J</t>
  </si>
  <si>
    <t>Men's Short Sleeve Oxford Button Down Casual Shirt Light Blue XX-Large</t>
  </si>
  <si>
    <t>CS-LY181-LG-M</t>
  </si>
  <si>
    <t>CS-SB009-LB1-M</t>
  </si>
  <si>
    <t>CS-BUSB031-GN3-XXL</t>
  </si>
  <si>
    <t>B078W16WSC</t>
  </si>
  <si>
    <t>MOCOTONO Men's Long Sleeve Flannel Plaid Checkered Button Down Casual Dress Shirts Green3 XX-Large</t>
  </si>
  <si>
    <t>MY-SB027-BK-M</t>
  </si>
  <si>
    <t>B078T794FQ</t>
  </si>
  <si>
    <t>MOCOTONO Men's V-Neck Cotton Sleeveless Sweater Casual Vest Black Medium</t>
  </si>
  <si>
    <t>CS-BS016-LB-XL</t>
  </si>
  <si>
    <t>B078JFKHPW</t>
  </si>
  <si>
    <t>MOCOTONO Men's Long Sleeve Denim Double-Pocket Shirt Light Blue X-Large</t>
  </si>
  <si>
    <t>MTX-IULHY-GBMS90-BK-29</t>
  </si>
  <si>
    <t>X001UW0HAL</t>
  </si>
  <si>
    <t>B07GB4B8LM</t>
  </si>
  <si>
    <t>Men's Stripe Memory Foam Slippers Fleece Plush Slippers Ankle Boots for Indoor Black Large</t>
  </si>
  <si>
    <t>CS-LY084-H3-XL</t>
  </si>
  <si>
    <t>CS-SB166-B28-1-M</t>
  </si>
  <si>
    <t>B07916B356</t>
  </si>
  <si>
    <t>MOCOTONO Men's Long Sleeve Flannel Plaid Dress Shirt Western Button Down Shirts Muti Plaid Medium</t>
  </si>
  <si>
    <t>CS-SB002-BK-M</t>
  </si>
  <si>
    <t>B074DVC8L4</t>
  </si>
  <si>
    <t>MOCOTONO Men's Long Sleeve Regular Fit Plaid Button Down Casual Shirts Black Medium</t>
  </si>
  <si>
    <t>CS-LY171-Sa911-XL</t>
  </si>
  <si>
    <t>B073PPGD16</t>
  </si>
  <si>
    <t>Men's Oxford Long Sleeve Button Down Dress Shirt With Pocket,Sapphire,X-Large</t>
  </si>
  <si>
    <t>MTX-IULHY-M1798-CF-27</t>
  </si>
  <si>
    <t>X001U4WWS9</t>
  </si>
  <si>
    <t>B07FM2HRBL</t>
  </si>
  <si>
    <t>MOCOTONO Men's Cotton Knitted Memory Foam Slipper Fleece Lining Indoor House Slippers rown Small</t>
  </si>
  <si>
    <t>MY-SB019-BL-XL</t>
  </si>
  <si>
    <t>B077XGWRKM</t>
  </si>
  <si>
    <t>MOCOTONO Men's Cotton V Neck Sweater Regular Fit Pullover Knitwear Blue XL</t>
  </si>
  <si>
    <t>MY-SB011-CF-XL</t>
  </si>
  <si>
    <t>B0758ZXGPH</t>
  </si>
  <si>
    <t>MOCOTONO Men's V Neck Pullover Sweater Long Sleeve Cotton Casual Sweat Dress,Coffee,Large</t>
  </si>
  <si>
    <t>CS-LHY009-LB-L</t>
  </si>
  <si>
    <t>X001T2RYD5</t>
  </si>
  <si>
    <t>B07515HL3R</t>
  </si>
  <si>
    <t>MOCOTONO Men's Short Sleeve Plaid Checkered Button Down Casual Shirts Light Blue Large</t>
  </si>
  <si>
    <t>MTX-IULHY-DBM8022-DG-29</t>
  </si>
  <si>
    <t>X001UPETR5</t>
  </si>
  <si>
    <t>B07G4YQDN5</t>
  </si>
  <si>
    <t>Men's Indoor Rabbit Slippers Non-Slip Plush Slip-on Shoes Dark Grey Large</t>
  </si>
  <si>
    <t>MY-SB026-DG-S</t>
  </si>
  <si>
    <t>B078SGT2PY</t>
  </si>
  <si>
    <t>MOCOTONO Mens Long Sleeve Turtle Neck Zip Pullover Sweater Dark Gray Small</t>
  </si>
  <si>
    <t>CS-SB009-GN-S</t>
  </si>
  <si>
    <t>B07519GSMX</t>
  </si>
  <si>
    <t>MOCOTONO Men's Short Sleeve Plaid Checkered Button Down Casual Shirts Green Small</t>
  </si>
  <si>
    <t>MY-LYRound020-OR-XL</t>
  </si>
  <si>
    <t>B073XJCNJ1</t>
  </si>
  <si>
    <t>MOCOTONO Men's Long Sleeve Crew Neck Pullover Knit Sweater Orange X-Large</t>
  </si>
  <si>
    <t>CS-LY084-H1-M</t>
  </si>
  <si>
    <t>B072K1SLX8</t>
  </si>
  <si>
    <t>MOCOTONO Men's Long Sleeve Plaid Button Down Cotton Casual Shirts Coffee/Grass Green Medium</t>
  </si>
  <si>
    <t>MTX-IULHY-GBM8022-DG-29</t>
  </si>
  <si>
    <t>X001UPE6H3</t>
  </si>
  <si>
    <t>B07G56K995</t>
  </si>
  <si>
    <t>Men's Indoor Rabbit Slippers Non-Slip Plush Slip-on Shoes Ankle Boots Dark Grey Large</t>
  </si>
  <si>
    <t>CS-LY171-WR917-S</t>
  </si>
  <si>
    <t>B073PQ2K9M</t>
  </si>
  <si>
    <t>Men's Oxford Long Sleeve Button Down Dress Shirt With Pocket,Wine Red,Small</t>
  </si>
  <si>
    <t>CS-BUSB032-GN1-XXL</t>
  </si>
  <si>
    <t>B07C3W2JY6</t>
  </si>
  <si>
    <t>MOCOTONO Men's Short Sleeve Floral Print Button Down Casual Shirt Green 1 XX-Large</t>
  </si>
  <si>
    <t>CS-SB030-GR-S</t>
  </si>
  <si>
    <t>B078W1D7HX</t>
  </si>
  <si>
    <t>Mocotono Men's Short Sleeve Oxford Button Down Casual Shirt, Gray, Small</t>
  </si>
  <si>
    <t>CS-SB166-K73-2-XL</t>
  </si>
  <si>
    <t>B078XQK3N4</t>
  </si>
  <si>
    <t>MOCOTONO Men's Long Sleeve Flannel Plaid Dress Shirt Western Button Down Shirts Black X-Large</t>
  </si>
  <si>
    <t>MY-BBS011JR-BK-M</t>
  </si>
  <si>
    <t>X001T34MDT</t>
  </si>
  <si>
    <t>B0786X7VSX</t>
  </si>
  <si>
    <t>MOCOTONO Men's V Neck Pullover Fleece Lined Cotton Sweater Black Small</t>
  </si>
  <si>
    <t>MY-LYPoint021-KQ-S</t>
  </si>
  <si>
    <t>B073XJZ4MB</t>
  </si>
  <si>
    <t>MOCOTONO Men's V-Neck Long Sleeve Pullover Casual Sweater Khaki Small</t>
  </si>
  <si>
    <t>CS-LY084-H2-L</t>
  </si>
  <si>
    <t>B06XPW817S</t>
  </si>
  <si>
    <t>MOCOTONO Men's Long Sleeve Plaid Button Down Cotton Casual Shirts Coffee and Grass Green Large</t>
  </si>
  <si>
    <t>CS-BUSB031LHY-GN2-XL</t>
  </si>
  <si>
    <t>X001SUDN2J</t>
  </si>
  <si>
    <t>B078VZ27TC</t>
  </si>
  <si>
    <t>MOCOTONO Men's Long Sleeve Flannel Plaid Checkered Button Down Casual Dress Shirts Green2 X-Large</t>
  </si>
  <si>
    <t>MY-SB027-GN-XL</t>
  </si>
  <si>
    <t>CS-SB084-H16-XXL</t>
  </si>
  <si>
    <t>B0793MK73F</t>
  </si>
  <si>
    <t>MOCOTONO Men's Long Sleeve Plaid Button Down Cotton Casual Shirts Muti Plaid 16 XX-Large</t>
  </si>
  <si>
    <t>CS-LHY009-RD-M</t>
  </si>
  <si>
    <t>X001T32T57</t>
  </si>
  <si>
    <t>B07518TGGL</t>
  </si>
  <si>
    <t>MOCOTONO Men's Short Sleeve Plaid Checkered Button Down Casual Shirts Red Medium</t>
  </si>
  <si>
    <t>CS-SB005-BK-S</t>
  </si>
  <si>
    <t>B074P3WK1B</t>
  </si>
  <si>
    <t>MOCOTONO Men's Long Sleeve Cotton Plaid Button Down Casual Shirts Black Small</t>
  </si>
  <si>
    <t>CS-BUSB031LHY-RD2-XL</t>
  </si>
  <si>
    <t>X001STXETR</t>
  </si>
  <si>
    <t>MY-SB019-DG-XL</t>
  </si>
  <si>
    <t>B077XF2ZRG</t>
  </si>
  <si>
    <t>MOCOTONO Men's Cotton V Neck Sweater Regular Fit Pullover Knitwear Dark Gray XL</t>
  </si>
  <si>
    <t>DK-LY-K518-OR-42</t>
  </si>
  <si>
    <t>B073PZL9ZR</t>
  </si>
  <si>
    <t>Slim Fit Cotton Multi-Pocket Twill Cargo Shorts for Men Orange 3 Tag 42/US 40</t>
  </si>
  <si>
    <t>MY-BBS011JR-DG-L</t>
  </si>
  <si>
    <t>X001T34MCZ</t>
  </si>
  <si>
    <t>B0786XVK6X</t>
  </si>
  <si>
    <t>MOCOTONO Men's V Neck Pullover Fleece Lined Cotton Sweater Dark Gray Medium</t>
  </si>
  <si>
    <t>CS-LY084-H4-XXL</t>
  </si>
  <si>
    <t>B06XQG8ZCG</t>
  </si>
  <si>
    <t>MOCOTONO Men's Long Sleeve Plaid Button Down Cotton Casual Shirts Red and White XX-Large</t>
  </si>
  <si>
    <t>CS-BS003-BK-M</t>
  </si>
  <si>
    <t>B078JNP4BD</t>
  </si>
  <si>
    <t>MOCOTONO Men's Long Sleeve Denim Solid Double-Pocket Shirt Black Medium</t>
  </si>
  <si>
    <t>CS-SB166-K33-1-XL</t>
  </si>
  <si>
    <t>B072PQ6GGL</t>
  </si>
  <si>
    <t>MOCOTONO Men's Long Sleeve Flannel Plaid Dress Shirt Western Button Down Shirts Red and Navy X-Large</t>
  </si>
  <si>
    <t>MTX-IULHY-DBMS90-NY-29</t>
  </si>
  <si>
    <t>X001UW1ACP</t>
  </si>
  <si>
    <t>B07GB3PQJR</t>
  </si>
  <si>
    <t>Men's Stripe Memory Foam Slippers Fleece Plush Slippers for Indoor Navy Large</t>
  </si>
  <si>
    <t>CS-LHY007-LB-S</t>
  </si>
  <si>
    <t>X001UDQGW3</t>
  </si>
  <si>
    <t>B07512JPLR</t>
  </si>
  <si>
    <t>Mens Oxford Long Sleeve Button Down Casual Dress Shirts Gray Medium</t>
  </si>
  <si>
    <t>CS-SB007-BL-S</t>
  </si>
  <si>
    <t>B075185LMR</t>
  </si>
  <si>
    <t>Mens Oxford Long Sleeve Button Down Casual Dress Shirts Light Pink Large</t>
  </si>
  <si>
    <t>MY-LYRound020-DG-L</t>
  </si>
  <si>
    <t>B073XJW6BF</t>
  </si>
  <si>
    <t>MOCOTONO Men's Long Sleeve Crew Neck Pullover Knit Sweater Dark Green Large</t>
  </si>
  <si>
    <t>CS-SB006-GN-S</t>
  </si>
  <si>
    <t>B074P1LKV2</t>
  </si>
  <si>
    <t>MOCOTONO Men's Long Sleeve Standard Fit Plaid Checked Button Up Casual Shirts Green Small</t>
  </si>
  <si>
    <t>CS-SB166-B28-5-L</t>
  </si>
  <si>
    <t>B071P6G6FV</t>
  </si>
  <si>
    <t>MOCOTONO Men's Long Sleeve Flannel Plaid Dress Shirt Western Button Down Shirts Khaki Large</t>
  </si>
  <si>
    <t>CS-SB166-B28-5-XL</t>
  </si>
  <si>
    <t>B079172CJ6</t>
  </si>
  <si>
    <t>MOCOTONO Men's Long Sleeve Flannel Plaid Dress Shirt Western Button Down Shirts Khaki X-Large</t>
  </si>
  <si>
    <t>CS-SB171-WR917-M</t>
  </si>
  <si>
    <t>B07893HPBG</t>
  </si>
  <si>
    <t>Men's Oxford Long Sleeve Button Down Dress Shirt with Pocket,Wine Red,Medium</t>
  </si>
  <si>
    <t>WQS-BN-1503-WO-S</t>
  </si>
  <si>
    <t>B0788NZKVF</t>
  </si>
  <si>
    <t>MOCOTONO Men's Long Sleeve Casual Collared Polo Shirt Top White S</t>
  </si>
  <si>
    <t>MY-LYPoint021-LB-M</t>
  </si>
  <si>
    <t>B073XKLNR2</t>
  </si>
  <si>
    <t>MOCOTONO Men's V-Neck Long Sleeve Pullover Casual Sweater Light Blue Medium</t>
  </si>
  <si>
    <t>MY-BS027-NY-XL</t>
  </si>
  <si>
    <t>X001SV2JLJ</t>
  </si>
  <si>
    <t>B078TC5MC1</t>
  </si>
  <si>
    <t>MOCOTONO Men's V-Neck Cotton Sleeveless Sweater Casual Vest Navy X-Large</t>
  </si>
  <si>
    <t>CS-LY170-ZL918-S</t>
  </si>
  <si>
    <t>B073PPTRXC</t>
  </si>
  <si>
    <t>Mocotono Men's Short Sleeve Oxford Button Down Casual Shirt, Navy, Small</t>
  </si>
  <si>
    <t>CS-LY181-LB916-S</t>
  </si>
  <si>
    <t>B073PQKJBY</t>
  </si>
  <si>
    <t>Men's Oxford Long Sleeve Button Down Casual Dress Shirt,Light Blue,Small</t>
  </si>
  <si>
    <t>CS-LY166-B28-5-S</t>
  </si>
  <si>
    <t>B0711XBDP2</t>
  </si>
  <si>
    <t>MOCOTONO Men's Long Sleeve Flannel Plaid Dress Shirt Western Button Down Shirts Khaki Small</t>
  </si>
  <si>
    <t>MY-SB018-RD-M</t>
  </si>
  <si>
    <t>B077XHJ75P</t>
  </si>
  <si>
    <t>MOCOTONO Men's Button up Pullover Regular Fit Casual Sweater Red M</t>
  </si>
  <si>
    <t>CS-SB005-BK-M</t>
  </si>
  <si>
    <t>B074NXTZG9</t>
  </si>
  <si>
    <t>MOCOTONO Men's Long Sleeve Cotton Plaid Button Down Casual Shirts Black Medium</t>
  </si>
  <si>
    <t>CS-LY086-LB-M</t>
  </si>
  <si>
    <t>B06XPXSC2J</t>
  </si>
  <si>
    <t>MOCOTONO Men's Denim Long Sleeve Pocket Casual Dress Shirt Light Blue Tag Asian M/US S</t>
  </si>
  <si>
    <t>MY-BS027-BK-L</t>
  </si>
  <si>
    <t>X001SV7RTD</t>
  </si>
  <si>
    <t>B078T9CXWY</t>
  </si>
  <si>
    <t>MOCOTONO Men's V-Neck Cotton Sleeveless Sweater Casual Vest Black Large</t>
  </si>
  <si>
    <t>CS-LY085-PI908-XL</t>
  </si>
  <si>
    <t>B06XZ157NV</t>
  </si>
  <si>
    <t>Men's Solid Color Oxford Long Sleeve Button Down Casual Shirt Pink X-Large</t>
  </si>
  <si>
    <t>KZ-LHY001-RED-XL</t>
  </si>
  <si>
    <t>X001SQZCYP</t>
  </si>
  <si>
    <t>B07DHFF5YQ</t>
  </si>
  <si>
    <t>MOCOTONO Women's Plus Size Elastic Waist Wide Leg Linen Cropped Pants Red X-Large</t>
  </si>
  <si>
    <t>MY-SB020-DG-M</t>
  </si>
  <si>
    <t>B077XBDKM4</t>
  </si>
  <si>
    <t>MOCOTONO Men's V Neck Stripe Pullover Cotton Sweater Dark Gray M</t>
  </si>
  <si>
    <t>CS-LY181-LG907-S</t>
  </si>
  <si>
    <t>MY-SBPoint021-LB-L</t>
  </si>
  <si>
    <t>X001SVULFF</t>
  </si>
  <si>
    <t>B07C4WBNZJ</t>
  </si>
  <si>
    <t>MOCOTONO Men's V-Neck Long Sleeve Pullover Casual Sweater Light Blue Large</t>
  </si>
  <si>
    <t>MY-BBS011-DG-L</t>
  </si>
  <si>
    <t>X001T332GR</t>
  </si>
  <si>
    <t>B07CMRJSK1</t>
  </si>
  <si>
    <t>MOCOTONO Men's V Neck Pullover Sweater Long Sleeve Cotton Casual Sweat Dress,Dark Gray,Medium</t>
  </si>
  <si>
    <t>CS-SB181-G912-XXL</t>
  </si>
  <si>
    <t>B07899BNCB</t>
  </si>
  <si>
    <t>Men's Oxford Long Sleeve Button Down Casual Dress Shirt Green XX-Large</t>
  </si>
  <si>
    <t>MY-SB011JR-PP-XL</t>
  </si>
  <si>
    <t>B0786YLCHF</t>
  </si>
  <si>
    <t>MOCOTONO Men's V Neck Pullover Fleece Lined Cotton Sweater Purple Large</t>
  </si>
  <si>
    <t>CS-SB006-BL2-XL</t>
  </si>
  <si>
    <t>B074P1TN5R</t>
  </si>
  <si>
    <t>MOCOTONO Men's Long Sleeve Standard Fit Plaid Checked Button Up Casual Shirts Sapphire X-Large</t>
  </si>
  <si>
    <t>CS-LY085-WR917-S</t>
  </si>
  <si>
    <t>B06XYZKJKL</t>
  </si>
  <si>
    <t>Men's Solid Color Oxford Long Sleeve Button Down Casual Shirt Wine Red Small</t>
  </si>
  <si>
    <t>CS-LY084-H6-XXL</t>
  </si>
  <si>
    <t>CS-BS003-NB-L</t>
  </si>
  <si>
    <t>B078JD9MJD</t>
  </si>
  <si>
    <t>MOCOTONO Men's Long Sleeve Denim Double-Pocket Shirt Navy Blue Large</t>
  </si>
  <si>
    <t>MY-BBS011JR-LG-S</t>
  </si>
  <si>
    <t>X001T32CDL</t>
  </si>
  <si>
    <t>B0786WY2TL</t>
  </si>
  <si>
    <t>MOCOTONO Men's V Neck Pullover Fleece Lined Cotton Sweater White X-Large</t>
  </si>
  <si>
    <t>CS-SB030-WT-S</t>
  </si>
  <si>
    <t>B078VZD77Q</t>
  </si>
  <si>
    <t>Mocotono Men's Short Sleeve Oxford Button Down Casual Shirt, Light White, Small</t>
  </si>
  <si>
    <t>CS-SB005-RD-XL</t>
  </si>
  <si>
    <t>B074NX161X</t>
  </si>
  <si>
    <t>MOCOTONO Men's Long Sleeve Cotton Plaid Button Down Casual Shirts Red X-Large</t>
  </si>
  <si>
    <t>MTX-IULHY-MT836-KK-29</t>
  </si>
  <si>
    <t>X001UPCIR3</t>
  </si>
  <si>
    <t>B07G5CTGWG</t>
  </si>
  <si>
    <t>MOCOTONO Men's Cozy Memory Foam Slipper Fleece Lining Slip On House Shoes Brown Large</t>
  </si>
  <si>
    <t>CS-SB002-RNBL-XL</t>
  </si>
  <si>
    <t>B074DTS7HX</t>
  </si>
  <si>
    <t>MOCOTONO Men's Long Sleeve Regular Fit Plaid Button Down Casual Shirts Red &amp; Navy X-Large</t>
  </si>
  <si>
    <t>CFY-M1830-RD-M</t>
  </si>
  <si>
    <t>B076V1DD4V</t>
  </si>
  <si>
    <t>MOCOTONO Women's Waterproof Rain Jacket Fleece Snow Ski Winter Coat (Medium, Red)</t>
  </si>
  <si>
    <t>CS-BUSB032-RD-XXL</t>
  </si>
  <si>
    <t>B07CC3WQPP</t>
  </si>
  <si>
    <t>MOCOTONO Men's Short Sleeve Floral Print Button Down Casual Shirt Red XX-Large</t>
  </si>
  <si>
    <t>CS-LHY166-K33-2-M</t>
  </si>
  <si>
    <t>X001TY7Z4L</t>
  </si>
  <si>
    <t>B079165SZW</t>
  </si>
  <si>
    <t>MOCOTONO Men's Long Sleeve Flannel Plaid Dress Shirt Western Button Down Shirts Green Medium</t>
  </si>
  <si>
    <t>CS-LY170-LG907-L</t>
  </si>
  <si>
    <t>CS-SB009-RDNY-XL</t>
  </si>
  <si>
    <t>B074ZY4X45</t>
  </si>
  <si>
    <t>MOCOTONO Men's Short Sleeve Plaid Checkered Button Down Casual Shirts Red &amp; Navy X-Large</t>
  </si>
  <si>
    <t>MY-BBS011-WT-L</t>
  </si>
  <si>
    <t>X001T32FMT</t>
  </si>
  <si>
    <t>B0758SG9K8</t>
  </si>
  <si>
    <t>MOCOTONO Men's V Neck Pullover Sweater Long Sleeve Cotton Casual Sweat Dress,White,Medium</t>
  </si>
  <si>
    <t>MY-LYRound020-DG-M</t>
  </si>
  <si>
    <t>B073XKV6RW</t>
  </si>
  <si>
    <t>MOCOTONO Men's Long Sleeve Crew Neck Pullover Knit Sweater Dark Green Medium</t>
  </si>
  <si>
    <t>CS-SB170-LB916-S</t>
  </si>
  <si>
    <t>MY-SB026-GN-S</t>
  </si>
  <si>
    <t>B078SKFCPC</t>
  </si>
  <si>
    <t>MOCOTONO Mens Long Sleeve Turtle Neck Zip Pullover Sweater Green Small</t>
  </si>
  <si>
    <t>MY-SB027-BL-M</t>
  </si>
  <si>
    <t>B078TC9G8J</t>
  </si>
  <si>
    <t>MOCOTONO Men's V-Neck Cotton Sleeveless Sweater Casual Vest Blue Medium</t>
  </si>
  <si>
    <t>CS-SB009-RDNY-M</t>
  </si>
  <si>
    <t>B07515LVGV</t>
  </si>
  <si>
    <t>MOCOTONO Men's Short Sleeve Plaid Checkered Button Down Casual Shirts Red &amp; Navy Medium</t>
  </si>
  <si>
    <t>CS-LHY032-GN1-S</t>
  </si>
  <si>
    <t>X001T54CTV</t>
  </si>
  <si>
    <t>B07CC3X9WJ</t>
  </si>
  <si>
    <t>MOCOTONO Men's Short Sleeve Floral Print Button Down Casual Shirt Green 1 Small</t>
  </si>
  <si>
    <t>MTX-IULHY-GBMS90-BK-28</t>
  </si>
  <si>
    <t>X001UW15A7</t>
  </si>
  <si>
    <t>B07GB4XH9V</t>
  </si>
  <si>
    <t>Men's Stripe Memory Foam Slippers Fleece Plush Slippers Ankle Boots for Indoor Black Medium</t>
  </si>
  <si>
    <t>MY-SB027-BL-S</t>
  </si>
  <si>
    <t>B078TBLHR7</t>
  </si>
  <si>
    <t>MOCOTONO Men's V-Neck Cotton Sleeveless Sweater Casual Vest Blue Small</t>
  </si>
  <si>
    <t>MY-SBRound020-KK-S</t>
  </si>
  <si>
    <t>X001SVULXH</t>
  </si>
  <si>
    <t>B073XJD6WD</t>
  </si>
  <si>
    <t>MOCOTONO Men's Long Sleeve Crew Neck Pullover Knit Sweater Khaki Small</t>
  </si>
  <si>
    <t>CS-SB006-BL2-2XL</t>
  </si>
  <si>
    <t>B074P1GKWX</t>
  </si>
  <si>
    <t>MOCOTONO Men's Long Sleeve Standard Fit Plaid Checked Button Up Casual Shirts Sapphire XX-Large</t>
  </si>
  <si>
    <t>MY-BS026-GN-L</t>
  </si>
  <si>
    <t>X001SVVG31</t>
  </si>
  <si>
    <t>B078SLZFC9</t>
  </si>
  <si>
    <t>MOCOTONO Mens Long Sleeve Turtle Neck Zip Pullover Sweater Green Large</t>
  </si>
  <si>
    <t>CS-LY084-H2-M</t>
  </si>
  <si>
    <t>B06XPCX29X</t>
  </si>
  <si>
    <t>MOCOTONO Men's Long Sleeve Plaid Button Down Cotton Casual Shirts Coffee and Grass Green Medium</t>
  </si>
  <si>
    <t>CS-SB002-BLNGN-L</t>
  </si>
  <si>
    <t>B074DTYBNJ</t>
  </si>
  <si>
    <t>MOCOTONO Men's Long Sleeve Regular Fit Plaid Button Down Casual Shirts Blue &amp; Green Large</t>
  </si>
  <si>
    <t>CS-LY171-Sa911-M</t>
  </si>
  <si>
    <t>B073PQD5PP</t>
  </si>
  <si>
    <t>Men's Oxford Long Sleeve Button Down Dress Shirt With Pocket,Sapphire,Medium</t>
  </si>
  <si>
    <t>MY-SB019-BK-L</t>
  </si>
  <si>
    <t>B077XCVN16</t>
  </si>
  <si>
    <t>MOCOTONO Men's Cotton V Neck Sweater Regular Fit Pullover Knitwear Black L</t>
  </si>
  <si>
    <t>CS-BUSB031LHY-YL2-XL</t>
  </si>
  <si>
    <t>X001SUEZ3F</t>
  </si>
  <si>
    <t>B078W1DMDJ</t>
  </si>
  <si>
    <t>MOCOTONO Men's Long Sleeve Flannel Plaid Checkered Button Down Casual Dress Shirts Yellow2 X-Large</t>
  </si>
  <si>
    <t>CS-BUSB031-YL2-S</t>
  </si>
  <si>
    <t>B078VZT8ZR</t>
  </si>
  <si>
    <t>MOCOTONO Men's Long Sleeve Flannel Plaid Checkered Button Down Casual Dress Shirts Yellow2 Small</t>
  </si>
  <si>
    <t>CS-SB005-BK-XL</t>
  </si>
  <si>
    <t>B074NZKQBC</t>
  </si>
  <si>
    <t>MOCOTONO Men's Long Sleeve Cotton Plaid Button Down Casual Shirts Black X-Large</t>
  </si>
  <si>
    <t>SB-YL004-FD10</t>
  </si>
  <si>
    <t>B0776N31DR</t>
  </si>
  <si>
    <t>TiaNara Spinning Fishing Reel 12+1 BB Light Weight for Freshwater Saltwater Silver FD1000</t>
  </si>
  <si>
    <t>MY-LYPoint021-GN-L</t>
  </si>
  <si>
    <t>B078FBGQ2X</t>
  </si>
  <si>
    <t>MOCOTONO Men's V-Neck Long Sleeve Pullover Casual Sweater Green Large</t>
  </si>
  <si>
    <t>CS-LHY170X-LB916-XXL</t>
  </si>
  <si>
    <t>X001TJ5NJZ</t>
  </si>
  <si>
    <t>B07DZRCHPG</t>
  </si>
  <si>
    <t>MTX-IULHY-MA89-DG-41</t>
  </si>
  <si>
    <t>X001UPFDJ3</t>
  </si>
  <si>
    <t>B07G57BVY1</t>
  </si>
  <si>
    <t>MOCOTONO Men's Memory Foam Slipper Fleece Lining Cute Print House Shoes Dark Grey(Milk) Medium</t>
  </si>
  <si>
    <t>CS-SB002-LB-L</t>
  </si>
  <si>
    <t>B074DVG38W</t>
  </si>
  <si>
    <t>MOCOTONO Men's Long Sleeve Regular Fit Plaid Button Down Casual Shirts Light Blue Large</t>
  </si>
  <si>
    <t>CS-LY170-W902-XL</t>
  </si>
  <si>
    <t>B073PPWMDR</t>
  </si>
  <si>
    <t>Mocotono Men's Short Sleeve Oxford Button Down Casual Shirt, White, XX-Small</t>
  </si>
  <si>
    <t>CS-LY181-LB916-M</t>
  </si>
  <si>
    <t>B073PQ7Z9P</t>
  </si>
  <si>
    <t>Men's Oxford Long Sleeve Button Down Casual Dress Shirt,Light Blue,Medium</t>
  </si>
  <si>
    <t>CS-BUSB032-YL-L</t>
  </si>
  <si>
    <t>B07C3TJYQH</t>
  </si>
  <si>
    <t>MOCOTONO Men's Short Sleeve Floral Print Button Down Casual Shirt Yellow Large</t>
  </si>
  <si>
    <t>MY-SB027-LG-L</t>
  </si>
  <si>
    <t>B078TFDY2P</t>
  </si>
  <si>
    <t>MOCOTONO Men's V-Neck Cotton Sleeveless Sweater Casual Vest Light Grey Large</t>
  </si>
  <si>
    <t>CS-SB006-BK-M</t>
  </si>
  <si>
    <t>B074P44HT5</t>
  </si>
  <si>
    <t>MOCOTONO Men's Long Sleeve Standard Fit Plaid Checked Button Up Casual Shirts Black Medium</t>
  </si>
  <si>
    <t>WQS-BN-1503-WO-XL</t>
  </si>
  <si>
    <t>B0788LHPGK</t>
  </si>
  <si>
    <t>MOCOTONO Men's Long Sleeve Casual Collared Polo Shirt Top White XL</t>
  </si>
  <si>
    <t>CS-SB030-WT-XXL</t>
  </si>
  <si>
    <t>B078W13X4N</t>
  </si>
  <si>
    <t>Mocotono Men's Short Sleeve Oxford Button Down Casual Shirt, Light White, XX-Large</t>
  </si>
  <si>
    <t>CS-LY166-B28-5-L</t>
  </si>
  <si>
    <t>KZ-LHY001-BLK-M</t>
  </si>
  <si>
    <t>X001SLE8CH</t>
  </si>
  <si>
    <t>B0725CDCCN</t>
  </si>
  <si>
    <t>MOCOTONO Women's Plus Size Elastic Waist Wide Leg Linen Cropped Pants Black Medium</t>
  </si>
  <si>
    <t>MY-LYPoint021-W0-L</t>
  </si>
  <si>
    <t>B073XKD3LL</t>
  </si>
  <si>
    <t>MOCOTONO Men's V-Neck Long Sleeve Pullover Casual Sweater White Large</t>
  </si>
  <si>
    <t>CFY-W1830-RR-S</t>
  </si>
  <si>
    <t>B076HPQ2ZR</t>
  </si>
  <si>
    <t>MOCOTONO Women's Rain Waterproof Winter Jacket Sports Snow Ski Outdoor Coat Pink Small</t>
  </si>
  <si>
    <t>CS-BS016-NB-L</t>
  </si>
  <si>
    <t>B078J8FKC9</t>
  </si>
  <si>
    <t>CS-LY084-H1-XXL</t>
  </si>
  <si>
    <t>B072MML4VB</t>
  </si>
  <si>
    <t>MOCOTONO Men's Long Sleeve Plaid Button Down Cotton Casual Shirts Coffee/Grass Green XX-Large</t>
  </si>
  <si>
    <t>CS-BUSB031-GN3-M</t>
  </si>
  <si>
    <t>B078W251Y6</t>
  </si>
  <si>
    <t>MOCOTONO Men's Long Sleeve Flannel Plaid Checkered Button Down Casual Dress Shirts Green3 Medium</t>
  </si>
  <si>
    <t>SB-YL003-GH70</t>
  </si>
  <si>
    <t>B0776PBN3N</t>
  </si>
  <si>
    <t>TiaNara Trolling Fishing Reel with Metal Spool 13+1 BB Light Weight Ultra Smooth Black GH7000</t>
  </si>
  <si>
    <t>MTX-IULHY-M1798-CF-29</t>
  </si>
  <si>
    <t>X001U4XKQH</t>
  </si>
  <si>
    <t>B07FM2HM5F</t>
  </si>
  <si>
    <t>MOCOTONO Men's Cotton Knitted Memory Foam Slipper Fleece Lining Indoor House Slippers Brown Large</t>
  </si>
  <si>
    <t>MY-BBS011JR-DG-XL</t>
  </si>
  <si>
    <t>X001T331IB</t>
  </si>
  <si>
    <t>B0786XHZM3</t>
  </si>
  <si>
    <t>MOCOTONO Men's V Neck Pullover Fleece Lined Cotton Sweater Dark Gray Large</t>
  </si>
  <si>
    <t>CS-LY170-LB916-XL</t>
  </si>
  <si>
    <t>B073PP3ZWD</t>
  </si>
  <si>
    <t>Mocotono Men's Short Sleeve Oxford Button Down Casual Shirt, Light Blue, X-Large</t>
  </si>
  <si>
    <t>CS-BBS006-GN-L</t>
  </si>
  <si>
    <t>MY-LYPoint021-DG-XL</t>
  </si>
  <si>
    <t>B073XK66CZ</t>
  </si>
  <si>
    <t>MOCOTONO Men's V-Neck Long Sleeve Pullover Casual Sweater Dark Green X-Large</t>
  </si>
  <si>
    <t>CS-SB005-GN-M</t>
  </si>
  <si>
    <t>B074P378C6</t>
  </si>
  <si>
    <t>MOCOTONO Men's Long Sleeve Cotton Plaid Button Down Casual Shirts Green Medium</t>
  </si>
  <si>
    <t>CS-SB170-G912-S</t>
  </si>
  <si>
    <t>B0788HQDK5</t>
  </si>
  <si>
    <t>Men's Short Sleeve Oxford Button Down Casual Shirt Green Small</t>
  </si>
  <si>
    <t>CS-LHY032-NB-M</t>
  </si>
  <si>
    <t>X001T5UWKJ</t>
  </si>
  <si>
    <t>B07C3PGX1T</t>
  </si>
  <si>
    <t>MOCOTONO Men's Short Sleeve Floral Print Button Down Casual Shirt Navy Medium</t>
  </si>
  <si>
    <t>MY-BS027-LG-M</t>
  </si>
  <si>
    <t>X001SVSK5X</t>
  </si>
  <si>
    <t>B078T792KP</t>
  </si>
  <si>
    <t>MOCOTONO Men's V-Neck Cotton Sleeveless Sweater Casual Vest Light Grey Medium</t>
  </si>
  <si>
    <t>CS-LHY166-K33-2-XXL</t>
  </si>
  <si>
    <t>X001TY1XD5</t>
  </si>
  <si>
    <t>B079168DXM</t>
  </si>
  <si>
    <t>MOCOTONO Men's Long Sleeve Flannel Plaid Dress Shirt Western Button Down Shirts Green XX-Large</t>
  </si>
  <si>
    <t>CS-LY171-LG907-L</t>
  </si>
  <si>
    <t>B073PPT6XM</t>
  </si>
  <si>
    <t>Men's Oxford Long Sleeve Button Down Dress Shirt With Pocket,Light Gray,Large</t>
  </si>
  <si>
    <t>POLO-1503-NY-S</t>
  </si>
  <si>
    <t>B078HZ3731</t>
  </si>
  <si>
    <t>MOCOTONO Men's Long Sleeve Casual Collared Polo Shirt Top Navy Blue S</t>
  </si>
  <si>
    <t>CS-BUSB031-RD2-S</t>
  </si>
  <si>
    <t>B078W14ZXN</t>
  </si>
  <si>
    <t>MOCOTONO Men's Long Sleeve Flannel Plaid Checkered Button Down Casual Dress Shirts Red2 Small</t>
  </si>
  <si>
    <t>MY-BBS011JR-BK-S</t>
  </si>
  <si>
    <t>X001T32CE5</t>
  </si>
  <si>
    <t>B078F1J1G6</t>
  </si>
  <si>
    <t>MOCOTONO Men's V Neck Pullover Sweater Long Sleeve Cotton Casual Sweat Dress,Coffee,X-Large</t>
  </si>
  <si>
    <t>Men's Oxford Long Sleeve Button Down Dress Shirt with Pocket,Wine Red,XX-Large</t>
  </si>
  <si>
    <t>KZ-LHY001-YLW-M</t>
  </si>
  <si>
    <t>X001SKJGYN</t>
  </si>
  <si>
    <t>B071HHSJ1R</t>
  </si>
  <si>
    <t>MOCOTONO Women's Plus Size Elastic Waist Wide Leg Linen Cropped Pants Yellow Medium</t>
  </si>
  <si>
    <t>MY-SB019-LG-M</t>
  </si>
  <si>
    <t>B077XGKMY5</t>
  </si>
  <si>
    <t>MOCOTONO Men's Cotton V Neck Sweater Regular Fit Pullover Knitwear Light Gray M</t>
  </si>
  <si>
    <t>CS-SB170-W902-XXL</t>
  </si>
  <si>
    <t>CS-LY166-K73-2-XXL</t>
  </si>
  <si>
    <t>B072LTDN7F</t>
  </si>
  <si>
    <t>MOCOTONO Men's Long Sleeve Flannel Plaid Dress Shirt Western Button Down Shirts Black XX-Large</t>
  </si>
  <si>
    <t>CS-SB181-Sa911-XXL</t>
  </si>
  <si>
    <t>B0789DBL55</t>
  </si>
  <si>
    <t>Men's Oxford Long Sleeve Button Down Casual Dress Shirt Sapphire XX-Large</t>
  </si>
  <si>
    <t>CS-SB003-B0-M</t>
  </si>
  <si>
    <t>B074PNMQVK</t>
  </si>
  <si>
    <t>Men's Long Sleeve Denim Solid Double-Pocket Shirt Blue Medium</t>
  </si>
  <si>
    <t>CS-SB005-BL2-2XL</t>
  </si>
  <si>
    <t>B074P61RHZ</t>
  </si>
  <si>
    <t>MOCOTONO Men's Long Sleeve Cotton Plaid Button Down Casual Shirts Sapphire XX-Large</t>
  </si>
  <si>
    <t>CS-SB009-GN-L</t>
  </si>
  <si>
    <t>B07515PMRM</t>
  </si>
  <si>
    <t>MOCOTONO Men's Short Sleeve Plaid Checkered Button Down Casual Shirts Green Large</t>
  </si>
  <si>
    <t>CS-LY084-H10-L</t>
  </si>
  <si>
    <t>B06XPD9Q3H</t>
  </si>
  <si>
    <t>MOCOTONO Men's Long Sleeve Plaid Button Down Cotton Casual Shirts White and Red Large</t>
  </si>
  <si>
    <t>CS-NEW171-Sa911-XL</t>
  </si>
  <si>
    <t>X001UDPEL7</t>
  </si>
  <si>
    <t>CFY-M1830-RD-S</t>
  </si>
  <si>
    <t>B076V493NG</t>
  </si>
  <si>
    <t>MOCOTONO Women's Rain Waterproof Winter Jacket Sports Snow Ski Outdoor Coat Red Small</t>
  </si>
  <si>
    <t>CS-SB003-BK-M</t>
  </si>
  <si>
    <t>B0776RBWGZ</t>
  </si>
  <si>
    <t>Men's Long Sleeve Denim Solid Double-Pocket Shirt Black Medium</t>
  </si>
  <si>
    <t>CS-BUSB031-YL1-L</t>
  </si>
  <si>
    <t>B078W1DFNY</t>
  </si>
  <si>
    <t>MOCOTONO Men's Long Sleeve Flannel Plaid Checkered Button Down Casual Dress Shirts Yellow1 Large</t>
  </si>
  <si>
    <t>MY-BBS011JR-PP-M</t>
  </si>
  <si>
    <t>X001T32CEF</t>
  </si>
  <si>
    <t>CS-SB009-GN-M</t>
  </si>
  <si>
    <t>B075155VLL</t>
  </si>
  <si>
    <t>MOCOTONO Men's Short Sleeve Plaid Checkered Button Down Casual Shirts Green Medium</t>
  </si>
  <si>
    <t>MTX-IULHY-MA89-DG-43</t>
  </si>
  <si>
    <t>X001UPHDVJ</t>
  </si>
  <si>
    <t>B07G5DQJ99</t>
  </si>
  <si>
    <t>MOCOTONO Men's Memory Foam Slipper Fleece Lining Cute Print House Shoes Dark Grey(Milk) Large</t>
  </si>
  <si>
    <t>MY-LYRound020-W0-L</t>
  </si>
  <si>
    <t>B073XJW7BP</t>
  </si>
  <si>
    <t>MOCOTONO Men's Long Sleeve Crew Neck Pullover Knit Sweater White Large</t>
  </si>
  <si>
    <t>CS-LY085-PI908-L</t>
  </si>
  <si>
    <t>B06XYL6LJH</t>
  </si>
  <si>
    <t>Men's Solid Color Oxford Long Sleeve Button Down Casual Shirt Pink Large</t>
  </si>
  <si>
    <t>CS-SB170-PI908-S</t>
  </si>
  <si>
    <t>B0788KZFTN</t>
  </si>
  <si>
    <t>Men's Short Sleeve Oxford Button Down Casual Shirt Pink Small</t>
  </si>
  <si>
    <t>CS-SB007-GR-XXL</t>
  </si>
  <si>
    <t>B075168BJM</t>
  </si>
  <si>
    <t>MY-SB026-RD-XL</t>
  </si>
  <si>
    <t>B078SMF4BF</t>
  </si>
  <si>
    <t>MOCOTONO Mens Long Sleeve Turtle Neck Zip Pullover Sweater Red X-Large</t>
  </si>
  <si>
    <t>MY-LYHigh303-OR-S</t>
  </si>
  <si>
    <t>B073XJHHKT</t>
  </si>
  <si>
    <t>MiCotton Men's Casual Regular Fit Pullover High-Neck Sweater Cotton Knitwear Orange Small</t>
  </si>
  <si>
    <t>MY-SB019-DG-S</t>
  </si>
  <si>
    <t>B077XFL97Z</t>
  </si>
  <si>
    <t>MOCOTONO Men's Cotton V Neck Sweater Regular Fit Pullover Knitwear Dark Gray S</t>
  </si>
  <si>
    <t>CS-LHY166-K33-1-XXL</t>
  </si>
  <si>
    <t>X001TZRJHD</t>
  </si>
  <si>
    <t>B072J7L582</t>
  </si>
  <si>
    <t>MOCOTONO Men's Long Sleeve Flannel Plaid Dress Shirt Western Button Down Shirts Red and Navy XX-Large</t>
  </si>
  <si>
    <t>Men's Oxford Long Sleeve Button Down Dress Shirt with Pocket,Light Gray,X-Large</t>
  </si>
  <si>
    <t>Men's Oxford Long Sleeve Button Down Dress Shirt with Pocket,Wine Red,Large</t>
  </si>
  <si>
    <t>CS-SB006-GN-XL</t>
  </si>
  <si>
    <t>B074P1H1B1</t>
  </si>
  <si>
    <t>MOCOTONO Men's Long Sleeve Standard Fit Plaid Checked Button Up Casual Shirts Green X-Large</t>
  </si>
  <si>
    <t>CS-SB007-LP-M</t>
  </si>
  <si>
    <t>CS-LHY170-LB916-M</t>
  </si>
  <si>
    <t>X001TGKIRZ</t>
  </si>
  <si>
    <t>B0788L6MCP</t>
  </si>
  <si>
    <t>Men's Short Sleeve Oxford Button Down Casual Shirt Light Blue Medium</t>
  </si>
  <si>
    <t>CS-BUSB031-RD2-L</t>
  </si>
  <si>
    <t>B078VYG846</t>
  </si>
  <si>
    <t>MOCOTONO Men's Long Sleeve Flannel Plaid Checkered Button Down Casual Dress Shirts Red2 Large</t>
  </si>
  <si>
    <t>MTX-IULHY-GBM8022-DG-28</t>
  </si>
  <si>
    <t>X001UPFZWN</t>
  </si>
  <si>
    <t>B07G55181F</t>
  </si>
  <si>
    <t>Men's Indoor Rabbit Slippers Non-Slip Plush Slip-on Shoes Ankle Boots Dark Grey Medium</t>
  </si>
  <si>
    <t>CS-LY181-PI908-XL</t>
  </si>
  <si>
    <t>B073PQ9M5T</t>
  </si>
  <si>
    <t>Men's Oxford Long Sleeve Button Down Casual Dress Shirt Pink X-Large</t>
  </si>
  <si>
    <t>CS-LHY009-GN-L</t>
  </si>
  <si>
    <t>X001T34MJX</t>
  </si>
  <si>
    <t>CS-SB007-GR-L</t>
  </si>
  <si>
    <t>B07514NWBK</t>
  </si>
  <si>
    <t>MY-SB011JR-BK-M</t>
  </si>
  <si>
    <t>WQS-BN-1503-WO-2XL</t>
  </si>
  <si>
    <t>B0788MSRBP</t>
  </si>
  <si>
    <t>MOCOTONO Men's Long Sleeve Casual Collared Polo Shirt Top White XXL</t>
  </si>
  <si>
    <t>MY-LYPoint021-GR-XL</t>
  </si>
  <si>
    <t>CS-LHY003-BK-XL</t>
  </si>
  <si>
    <t>X001TGTPAB</t>
  </si>
  <si>
    <t>MTX-IULHY-M1758-LC-27</t>
  </si>
  <si>
    <t>X001U4E2NH</t>
  </si>
  <si>
    <t>B07FLX3VMP</t>
  </si>
  <si>
    <t>MOCOTONO Men's Cotton Knitted Memory Foam Slipper Fleece Lining Indoor House Shoes Coffee(Stripe) Small</t>
  </si>
  <si>
    <t>CS-LHY009-LB1-S</t>
  </si>
  <si>
    <t>X001T34BK3</t>
  </si>
  <si>
    <t>CS-SB016-BK-M</t>
  </si>
  <si>
    <t>B0785JHWJF</t>
  </si>
  <si>
    <t>CS-SB166-K73-2-L</t>
  </si>
  <si>
    <t>B07916L66S</t>
  </si>
  <si>
    <t>MOCOTONO Men's Long Sleeve Flannel Plaid Dress Shirt Western Button Down Shirts Black Large</t>
  </si>
  <si>
    <t>MY-BS026-KK-L</t>
  </si>
  <si>
    <t>X001SVSK03</t>
  </si>
  <si>
    <t>B078SLNJFQ</t>
  </si>
  <si>
    <t>MOCOTONO Mens Long Sleeve Turtle Neck Zip Pullover Sweater Khaki Large</t>
  </si>
  <si>
    <t>MY-LYRound020-OR-M</t>
  </si>
  <si>
    <t>B073XJ3KM5</t>
  </si>
  <si>
    <t>MOCOTONO Men's Long Sleeve Crew Neck Pullover Knit Sweater Orange Medium</t>
  </si>
  <si>
    <t>CS-SB170-ZL918-XXL</t>
  </si>
  <si>
    <t>B0788KLC8Q</t>
  </si>
  <si>
    <t>Mocotono Men's Short Sleeve Oxford Button Down Casual Shirt, Navy, XX-Large</t>
  </si>
  <si>
    <t>CS-SB002-CF-L</t>
  </si>
  <si>
    <t>MTX-IULHY-M8001-CF-27</t>
  </si>
  <si>
    <t>X001UX5UPR</t>
  </si>
  <si>
    <t>B07GBMRXL1</t>
  </si>
  <si>
    <t>Men's Suede Memory Foam House Slipper Fleece Plush Lining Slip-on Clog Shoes Indoor &amp; Outdoor Coffee Small</t>
  </si>
  <si>
    <t>WY-SB017-NY-L</t>
  </si>
  <si>
    <t>B078NQ3LVG</t>
  </si>
  <si>
    <t>MOCOTONO Men's Pullover Hoodies Fleece Hooded Sweatshirt Dark Blue Large</t>
  </si>
  <si>
    <t>MY-BBS011JR-BK-L</t>
  </si>
  <si>
    <t>X001T34BC1</t>
  </si>
  <si>
    <t>CS-SB170-LG907-XL</t>
  </si>
  <si>
    <t>CS-SB016-NB-L</t>
  </si>
  <si>
    <t>B077XQXW8V</t>
  </si>
  <si>
    <t>Mocotono Men's Long Sleeve Thick Denim Shirt Light Blue (Thick) Large</t>
  </si>
  <si>
    <t>CS-LHY170-G912-XL</t>
  </si>
  <si>
    <t>X001TGYZQZ</t>
  </si>
  <si>
    <t>B0788K7BBT</t>
  </si>
  <si>
    <t>Men's Short Sleeve Oxford Button Down Casual Shirt Green X-Large</t>
  </si>
  <si>
    <t>CS-SB005-RD-M</t>
  </si>
  <si>
    <t>B074P1NXR5</t>
  </si>
  <si>
    <t>MOCOTONO Men's Long Sleeve Cotton Plaid Button Down Casual Shirts Red Medium</t>
  </si>
  <si>
    <t>MY-SB018-LG-L</t>
  </si>
  <si>
    <t>B077XDCY1F</t>
  </si>
  <si>
    <t>MOCOTONO Men's Button up Pullover Regular Fit Casual Sweater Light Gray L</t>
  </si>
  <si>
    <t>MY-SB019-BK-S</t>
  </si>
  <si>
    <t>B077XDQ2X8</t>
  </si>
  <si>
    <t>MOCOTONO Men's Cotton V Neck Sweater Regular Fit Pullover Knitwear Black S</t>
  </si>
  <si>
    <t>Men's Oxford Long Sleeve Button Down Casual Dress Shirt Green Large</t>
  </si>
  <si>
    <t>CS-SB016-BK-XXL</t>
  </si>
  <si>
    <t>B0785KBCS1</t>
  </si>
  <si>
    <t>MOCOTONO Men's Snug Fit Long Sleeve Denim Flap Pockets Shirt Black XX-Large</t>
  </si>
  <si>
    <t>CS-LY084-H4-L</t>
  </si>
  <si>
    <t>B06XQX3XLN</t>
  </si>
  <si>
    <t>MOCOTONO Men's Long Sleeve Plaid Button Down Cotton Casual Shirts Red and White Large</t>
  </si>
  <si>
    <t>CS-LY084-H4-XL</t>
  </si>
  <si>
    <t>B06XQT1QRW</t>
  </si>
  <si>
    <t>MOCOTONO Men's Long Sleeve Plaid Button Down Cotton Casual Shirts Red and White X-Large</t>
  </si>
  <si>
    <t>MY-SB021-KK-M</t>
  </si>
  <si>
    <t>CS-LY166-B28-1-M</t>
  </si>
  <si>
    <t>B072FFTC6J</t>
  </si>
  <si>
    <t>CS-LY181-Sa911-XL</t>
  </si>
  <si>
    <t>B073PQFQFT</t>
  </si>
  <si>
    <t>Men's Oxford Long Sleeve Button Down Casual Dress Shirt,Sapphire,X-Large</t>
  </si>
  <si>
    <t>CS-BBS016-B0-XXL</t>
  </si>
  <si>
    <t>B078JKXVLL</t>
  </si>
  <si>
    <t>MOCOTONO Men's Long Sleeve Denim Double-Pocket Shirt Blue XX-Large</t>
  </si>
  <si>
    <t>CS-SB086-B0-L</t>
  </si>
  <si>
    <t>B0787HQ14H</t>
  </si>
  <si>
    <t>MOCOTONO Men's Long Sleeve Denim Western Work Shirt Denim Blue Large</t>
  </si>
  <si>
    <t>CS-LHY016-B0-S</t>
  </si>
  <si>
    <t>X001UCR0XN</t>
  </si>
  <si>
    <t>B078JL1QLC</t>
  </si>
  <si>
    <t>MOCOTONO Men's Long Sleeve Denim Double-Pocket Shirt Blue Small</t>
  </si>
  <si>
    <t>MY-LYRound020-BL-M</t>
  </si>
  <si>
    <t>B0788FV16R</t>
  </si>
  <si>
    <t>MOCOTONO Men's Long Sleeve Crew Neck Pullover Knit Sweater Blue Medium</t>
  </si>
  <si>
    <t>CS-LHY032-RD-L</t>
  </si>
  <si>
    <t>X001T4KPKH</t>
  </si>
  <si>
    <t>B07C3YBYX7</t>
  </si>
  <si>
    <t>MOCOTONO Men's Short Sleeve Floral Print Button Down Casual Shirt Red Large</t>
  </si>
  <si>
    <t>MY-SB027-LG-M</t>
  </si>
  <si>
    <t>MY-LYRound020-OR-L</t>
  </si>
  <si>
    <t>B073XJ44RR</t>
  </si>
  <si>
    <t>MOCOTONO Men's Long Sleeve Crew Neck Pullover Knit Sweater Orange Large</t>
  </si>
  <si>
    <t>MY-BBS011-NY-M</t>
  </si>
  <si>
    <t>X001T2RMRX</t>
  </si>
  <si>
    <t>B07599MVN2</t>
  </si>
  <si>
    <t>MOCOTONO Men's V Neck Pullover Sweater Long Sleeve Cotton Casual Sweat Dress,Navy Blue,Small</t>
  </si>
  <si>
    <t>MTX-IULHY-GBMS90-NY-28</t>
  </si>
  <si>
    <t>X001UVM61F</t>
  </si>
  <si>
    <t>B07GB4Q6L3</t>
  </si>
  <si>
    <t>Men's Stripe Memory Foam Slippers Fleece Plush Slippers Ankle Boots for Indoor Navy Medium</t>
  </si>
  <si>
    <t>MY-SB018-BK-M</t>
  </si>
  <si>
    <t>B077XBL8B9</t>
  </si>
  <si>
    <t>MOCOTONO Men's Button up Pullover Regular Fit Casual Sweater Black M</t>
  </si>
  <si>
    <t>CS-SB002-BLNGN-M</t>
  </si>
  <si>
    <t>B074DTM896</t>
  </si>
  <si>
    <t>MOCOTONO Men's Long Sleeve Regular Fit Plaid Button Down Casual Shirts Blue &amp; Green Medium</t>
  </si>
  <si>
    <t>MY-LYRound020-NY-L</t>
  </si>
  <si>
    <t>B0788GDKGJ</t>
  </si>
  <si>
    <t>MOCOTONO Men's Long Sleeve Crew Neck Pullover Knit Sweater Navy Large</t>
  </si>
  <si>
    <t>CS-LHY166-K33-1-L</t>
  </si>
  <si>
    <t>X001TZRT4L</t>
  </si>
  <si>
    <t>B072PQ4DG7</t>
  </si>
  <si>
    <t>MOCOTONO Men's Long Sleeve Flannel Plaid Dress Shirt Western Button Down Shirts Red and Navy Large</t>
  </si>
  <si>
    <t>CS-SB005-GN-L</t>
  </si>
  <si>
    <t>B074NZM7MK</t>
  </si>
  <si>
    <t>MOCOTONO Men's Long Sleeve Cotton Plaid Button Down Casual Shirts Green Large</t>
  </si>
  <si>
    <t>Men's Oxford Long Sleeve Button Down Casual Dress Shirt Wine Red XX-Large</t>
  </si>
  <si>
    <t>CS-SB006-BK-2XL</t>
  </si>
  <si>
    <t>B074P2L5MQ</t>
  </si>
  <si>
    <t>MOCOTONO Men's Long Sleeve Standard Fit Plaid Checked Button Up Casual Shirts Black XX-Large</t>
  </si>
  <si>
    <t>CS-BUSB032-RD-XL</t>
  </si>
  <si>
    <t>B07C3PCPDD</t>
  </si>
  <si>
    <t>MOCOTONO Men's Short Sleeve Floral Print Button Down Casual Shirt Red X-Large</t>
  </si>
  <si>
    <t>MY-SB027-BL-L</t>
  </si>
  <si>
    <t>B078TBH767</t>
  </si>
  <si>
    <t>MOCOTONO Men's V-Neck Cotton Sleeveless Sweater Casual Vest Blue Large</t>
  </si>
  <si>
    <t>MTX-IULHY-M8003-DG-29</t>
  </si>
  <si>
    <t>X001UXCTXX</t>
  </si>
  <si>
    <t>B07GBRWBQX</t>
  </si>
  <si>
    <t>MOCOTONO Men's Comfy House Slipper Anti Slip Memory Foam Slipper Dark Gray Large</t>
  </si>
  <si>
    <t>CS-LHY032-GN1-XXL</t>
  </si>
  <si>
    <t>X001T615MR</t>
  </si>
  <si>
    <t>CS-SB002-RNBL-M</t>
  </si>
  <si>
    <t>B074DVG24T</t>
  </si>
  <si>
    <t>MOCOTONO Men's Long Sleeve Regular Fit Plaid Button Down Casual Shirts Red &amp; Navy Medium</t>
  </si>
  <si>
    <t>POLO-SB014-GR-L</t>
  </si>
  <si>
    <t>B076D242XK</t>
  </si>
  <si>
    <t>MOCOTONO Men's Long Sleeve Casual Golf Polo Shirt Grey Large</t>
  </si>
  <si>
    <t>CS-SB166-K73-1-M</t>
  </si>
  <si>
    <t>B07916WPF8</t>
  </si>
  <si>
    <t>MOCOTONO Men's Long Sleeve Flannel Plaid Dress Shirt Western Button Down Shirts Red Medium</t>
  </si>
  <si>
    <t>CS-LHY009-GN-XXL</t>
  </si>
  <si>
    <t>X001T2RYWL</t>
  </si>
  <si>
    <t>B07513C7Z5</t>
  </si>
  <si>
    <t>MOCOTONO Men's Short Sleeve Plaid Checkered Button Down Casual Shirts Green XX-Large</t>
  </si>
  <si>
    <t>CS-SB006-BK-L</t>
  </si>
  <si>
    <t>B074P5BZWP</t>
  </si>
  <si>
    <t>MOCOTONO Men's Long Sleeve Standard Fit Plaid Checked Button Up Casual Shirts Black Large</t>
  </si>
  <si>
    <t>CS-LY166-K73-1-M</t>
  </si>
  <si>
    <t>B07149VLDC</t>
  </si>
  <si>
    <t>MY-SB011JR-DG-XL</t>
  </si>
  <si>
    <t>CS-SB171-PI908-L</t>
  </si>
  <si>
    <t>B0788LSVF4</t>
  </si>
  <si>
    <t>Men's Oxford Long Sleeve Button Down Dress Shirt with Pocket,Pink,Large</t>
  </si>
  <si>
    <t>MY-SB015-LG-XL</t>
  </si>
  <si>
    <t>B076J75677</t>
  </si>
  <si>
    <t>MOCOTONO Men's Crew Neck Long Sleeve Pullover Knit Sweater Light Green X-Large</t>
  </si>
  <si>
    <t>MY-SB018-DG-M</t>
  </si>
  <si>
    <t>B077XJ78J8</t>
  </si>
  <si>
    <t>MOCOTONO Men's Button up Pullover Regular Fit Casual Sweater Dark Gray M</t>
  </si>
  <si>
    <t>CS-BBS030-WT-M</t>
  </si>
  <si>
    <t>X001SSO5GT</t>
  </si>
  <si>
    <t>B078W1RK6T</t>
  </si>
  <si>
    <t>Mocotono Men's Short Sleeve Oxford Button Down Casual Shirt, Light White, Medium</t>
  </si>
  <si>
    <t>MY-SB019-BL-M</t>
  </si>
  <si>
    <t>B0785FT29B</t>
  </si>
  <si>
    <t>MOCOTONO Men's Cotton V Neck Sweater Regular Fit Pullover Knitwear Blue M</t>
  </si>
  <si>
    <t>WQS-BN-1503-WO-M</t>
  </si>
  <si>
    <t>B0788N79K3</t>
  </si>
  <si>
    <t>MOCOTONO Men's Long Sleeve Casual Collared Polo Shirt Top White M</t>
  </si>
  <si>
    <t>MY-LYRound020-KQ-S</t>
  </si>
  <si>
    <t>CS-SB009-LB-XXL</t>
  </si>
  <si>
    <t>B075169H56</t>
  </si>
  <si>
    <t>MOCOTONO Men's Short Sleeve Plaid Checkered Button Down Casual Shirts Light Blue XX-Large</t>
  </si>
  <si>
    <t>CS-LHY032-GN2-XL</t>
  </si>
  <si>
    <t>X001T615N1</t>
  </si>
  <si>
    <t>B07C3Z12F3</t>
  </si>
  <si>
    <t>MOCOTONO Men's Short Sleeve Floral Print Button Down Casual Shirt Green 2 X-Large</t>
  </si>
  <si>
    <t>CS-BUSB031-RD1-S</t>
  </si>
  <si>
    <t>B078W13P74</t>
  </si>
  <si>
    <t>MOCOTONO Men's Long Sleeve Flannel Plaid Checkered Button Down Casual Dress Shirts Red1 Small</t>
  </si>
  <si>
    <t>WQS-BN-1503-GR-XL</t>
  </si>
  <si>
    <t>B0788KZ4NT</t>
  </si>
  <si>
    <t>MOCOTONO Men's Long Sleeve Casual Collared Polo Shirt Top Grey XL</t>
  </si>
  <si>
    <t>MTX-IULHY-DBM8022-DG-28</t>
  </si>
  <si>
    <t>X001UPF76H</t>
  </si>
  <si>
    <t>B07G57BS9J</t>
  </si>
  <si>
    <t>Men's Indoor Rabbit Slippers Non-Slip Plush Slip-on Shoes Dark Grey Medium</t>
  </si>
  <si>
    <t>CS-BUSB031-GN3-L</t>
  </si>
  <si>
    <t>B078VYGB2L</t>
  </si>
  <si>
    <t>MOCOTONO Men's Long Sleeve Flannel Plaid Checkered Button Down Casual Dress Shirts Green3 Large</t>
  </si>
  <si>
    <t>CA171-ZL918-L</t>
  </si>
  <si>
    <t>B073PPB8RP</t>
  </si>
  <si>
    <t>Men's Oxford Long Sleeve Button Down Dress Shirt With Pocket,Navy Blue,Large</t>
  </si>
  <si>
    <t>CS-SB002-RNBL-L</t>
  </si>
  <si>
    <t>B074DTHLQK</t>
  </si>
  <si>
    <t>MOCOTONO Men's Long Sleeve Regular Fit Plaid Button Down Casual Shirts Red &amp; Navy Large</t>
  </si>
  <si>
    <t>POLO-SB014-BK-M</t>
  </si>
  <si>
    <t>B076CW4H4L</t>
  </si>
  <si>
    <t>MOCOTONO Men's Long Sleeve Casual Golf Polo Shirt Black Medium</t>
  </si>
  <si>
    <t>CS-SB006-CF-S</t>
  </si>
  <si>
    <t>B074NQZMVQ</t>
  </si>
  <si>
    <t>MOCOTONO Men's Long Sleeve Standard Fit Plaid Checked Button Up Casual Shirts Coffee Small</t>
  </si>
  <si>
    <t>CS-LY084-H16-S</t>
  </si>
  <si>
    <t>B06XYLG2DN</t>
  </si>
  <si>
    <t>MOCOTONO Men's Long Sleeve Plaid Button Down Cotton Casual Shirts Muti Plaid 16 Small</t>
  </si>
  <si>
    <t>CS-SB171-W902-M</t>
  </si>
  <si>
    <t>B0788LGPCS</t>
  </si>
  <si>
    <t>Men's Oxford Long Sleeve Button Down Dress Shirt,White,Medium</t>
  </si>
  <si>
    <t>CS-SB006-RD1-L</t>
  </si>
  <si>
    <t>B074NZVFT4</t>
  </si>
  <si>
    <t>MOCOTONO Men's Long Sleeve Standard Fit Plaid Checked Button Up Casual Shirts Red Large</t>
  </si>
  <si>
    <t>CS-LHY007-LB-M</t>
  </si>
  <si>
    <t>X001UE6DCF</t>
  </si>
  <si>
    <t>B07514LQM7</t>
  </si>
  <si>
    <t>Mens Oxford Long Sleeve Button Down Casual Dress Shirts Gray Large</t>
  </si>
  <si>
    <t>CS-SB007-LP-XXL</t>
  </si>
  <si>
    <t>B075189FCS</t>
  </si>
  <si>
    <t>KZ-LHY001-YLW-L</t>
  </si>
  <si>
    <t>X001SRZUE1</t>
  </si>
  <si>
    <t>B07DHFYGVY</t>
  </si>
  <si>
    <t>MOCOTONO Women's Plus Size Elastic Waist Wide Leg Linen Cropped Pants Yellow Large</t>
  </si>
  <si>
    <t>CS-BUSB031-RD2-M</t>
  </si>
  <si>
    <t>B078W16WSF</t>
  </si>
  <si>
    <t>MOCOTONO Men's Long Sleeve Flannel Plaid Checkered Button Down Casual Dress Shirts Red2 Medium</t>
  </si>
  <si>
    <t>SB-YL004-FD30</t>
  </si>
  <si>
    <t>B0776NYDKH</t>
  </si>
  <si>
    <t>TiaNara Spinning Fishing Reel 12+1 BB Light Weight for Freshwater Saltwater Silver FD3000</t>
  </si>
  <si>
    <t>CS-LY181-LB916-L</t>
  </si>
  <si>
    <t>B073PQDRHR</t>
  </si>
  <si>
    <t>Men's Oxford Long Sleeve Button Down Casual Dress Shirt,Light Blue,Large</t>
  </si>
  <si>
    <t>MY-BS027-BL-M</t>
  </si>
  <si>
    <t>X001SVXW8X</t>
  </si>
  <si>
    <t>POLO-SB014-RD-M</t>
  </si>
  <si>
    <t>B076DCMMN5</t>
  </si>
  <si>
    <t>MOCOTONO Men's Long Sleeve Casual Golf Polo Shirt Red (Maroon) Small</t>
  </si>
  <si>
    <t>CS-LHY166-B28-1-XL</t>
  </si>
  <si>
    <t>X001TZK38F</t>
  </si>
  <si>
    <t>CS-SB030-WR-XL</t>
  </si>
  <si>
    <t>X001SPBCUJ</t>
  </si>
  <si>
    <t>B07DG31F9Q</t>
  </si>
  <si>
    <t>MY-LYPoint021-KQ-L</t>
  </si>
  <si>
    <t>B073XJGNVS</t>
  </si>
  <si>
    <t>MOCOTONO Men's V-Neck Long Sleeve Pullover Casual Sweater Khaki Large</t>
  </si>
  <si>
    <t>MY-SB018-LG-M</t>
  </si>
  <si>
    <t>B077XJ7BKS</t>
  </si>
  <si>
    <t>MOCOTONO Men's Button up Pullover Regular Fit Casual Sweater Light Gray M</t>
  </si>
  <si>
    <t>CS-SB005-RD1-XL</t>
  </si>
  <si>
    <t>B074NYCNPN</t>
  </si>
  <si>
    <t>MOCOTONO Men's Long Sleeve Cotton Plaid Button Down Casual Shirts Scarlet X-Large</t>
  </si>
  <si>
    <t>MTX-IULHY-M8003-BK-27</t>
  </si>
  <si>
    <t>X001UXEK8Z</t>
  </si>
  <si>
    <t>B07GBTMY97</t>
  </si>
  <si>
    <t>MOCOTONO Men's Comfy House Slipper Anti Slip Memory Foam Slipper Black Small</t>
  </si>
  <si>
    <t>Men's Oxford Long Sleeve Button Down Dress Shirt with Pocket,Navy Blue,Large</t>
  </si>
  <si>
    <t>MY-SB011-LG-L</t>
  </si>
  <si>
    <t>B0758SR1C5</t>
  </si>
  <si>
    <t>MOCOTONO Men's V Neck Pullover Sweater Long Sleeve Cotton Casual Sweat Dress,Light Gray,Medium</t>
  </si>
  <si>
    <t>MY-SB027-KK-XL</t>
  </si>
  <si>
    <t>B078TC4SWY</t>
  </si>
  <si>
    <t>MOCOTONO Men's V-Neck Cotton Sleeveless Sweater Casual Vest Khaki/Brown X-Large</t>
  </si>
  <si>
    <t>CS-LY181-G912-S</t>
  </si>
  <si>
    <t>B073PQMWY8</t>
  </si>
  <si>
    <t>Men's Oxford Long Sleeve Button Down Casual Dress Shirt,Green,Small</t>
  </si>
  <si>
    <t>CS-SB003-BK-S</t>
  </si>
  <si>
    <t>B0776VDDPW</t>
  </si>
  <si>
    <t>MOCOTONO Men's Long Sleeve Denim Solid Double-Pocket Shirt Black Small</t>
  </si>
  <si>
    <t>MY-SB027-BK-XL</t>
  </si>
  <si>
    <t>B078TCD4ZX</t>
  </si>
  <si>
    <t>MOCOTONO Men's V-Neck Cotton Sleeveless Sweater Casual Vest Black X-Large</t>
  </si>
  <si>
    <t>WQS-BN-1503-WO-L</t>
  </si>
  <si>
    <t>B0788GKNWC</t>
  </si>
  <si>
    <t>MOCOTONO Men's Long Sleeve Casual Collared Polo Shirt Top White L</t>
  </si>
  <si>
    <t>MY-SB018-DG-XL</t>
  </si>
  <si>
    <t>B0785FJWSJ</t>
  </si>
  <si>
    <t>MOCOTONO Men's Button up Pullover Regular Fit Casual Sweater Dark Gray XL</t>
  </si>
  <si>
    <t>MY-SB019-LG-S</t>
  </si>
  <si>
    <t>B077XG4XDR</t>
  </si>
  <si>
    <t>MOCOTONO Men's Cotton V Neck Sweater Regular Fit Pullover Knitwear Light Gray S</t>
  </si>
  <si>
    <t>CS-LY166-K73-2-M</t>
  </si>
  <si>
    <t>B0714HXSNL</t>
  </si>
  <si>
    <t>MOCOTONO Men's Long Sleeve Flannel Plaid Dress Shirt Western Button Down Shirts Black Medium</t>
  </si>
  <si>
    <t>CS-BUSB031-RD1-XL</t>
  </si>
  <si>
    <t>B078VYLFD9</t>
  </si>
  <si>
    <t>MOCOTONO Men's Long Sleeve Flannel Plaid Checkered Button Down Casual Dress Shirts Red1 X-Large</t>
  </si>
  <si>
    <t>CS-LY084-H3-M</t>
  </si>
  <si>
    <t>B06XQWZJBB</t>
  </si>
  <si>
    <t>MOCOTONO Men's Long Sleeve Plaid Button Down Cotton Casual Shirts Navy and Coffee Medium</t>
  </si>
  <si>
    <t>MY-SB019-LG-L</t>
  </si>
  <si>
    <t>B0785FH16F</t>
  </si>
  <si>
    <t>MOCOTONO Men's Cotton V Neck Sweater Regular Fit Pullover Knitwear Light Gray L</t>
  </si>
  <si>
    <t>CS-LY085-LB916-L</t>
  </si>
  <si>
    <t>B06XYNCJV4</t>
  </si>
  <si>
    <t>Men's Solid Color Oxford Long Sleeve Button Down Casual Shirt Light Blue Large</t>
  </si>
  <si>
    <t>MTX-IULHY-DBMS90-BK-29</t>
  </si>
  <si>
    <t>X001UVZQNP</t>
  </si>
  <si>
    <t>B07GB56KRC</t>
  </si>
  <si>
    <t>Men's Stripe Memory Foam Slippers Fleece Plush Slippers for Indoor Black Large</t>
  </si>
  <si>
    <t>MTX-IULHY-M8003-LG-28</t>
  </si>
  <si>
    <t>X001UXCTY7</t>
  </si>
  <si>
    <t>B07GBSJWX6</t>
  </si>
  <si>
    <t>MOCOTONO Men's Comfy House Slipper Anti Slip Memory Foam Slipper Light Gray Medium</t>
  </si>
  <si>
    <t>MTX-IULHY-DBMS90-BK-27</t>
  </si>
  <si>
    <t>X001UW0L2P</t>
  </si>
  <si>
    <t>B07GB4P5QH</t>
  </si>
  <si>
    <t>Men's Stripe Memory Foam Slippers Fleece Plush Slippers for Indoor Black Small</t>
  </si>
  <si>
    <t>CS-BUSB032-GN2-L</t>
  </si>
  <si>
    <t>B07C3Z8HJY</t>
  </si>
  <si>
    <t>MOCOTONO Men's Short Sleeve Floral Print Button Down Casual Shirt Green 2 Large</t>
  </si>
  <si>
    <t>CS-SB007-PP-XXL</t>
  </si>
  <si>
    <t>CS-BBS030-BK-M</t>
  </si>
  <si>
    <t>X001SSNYKH</t>
  </si>
  <si>
    <t>B078W1DC69</t>
  </si>
  <si>
    <t>Mocotono Men's Short Sleeve Oxford Button Down Casual Shirt, Black, Medium</t>
  </si>
  <si>
    <t>CS-LHY007-LB-L</t>
  </si>
  <si>
    <t>X001UDQGVT</t>
  </si>
  <si>
    <t>B07517T6R9</t>
  </si>
  <si>
    <t>Mens Oxford Long Sleeve Button Down Casual Dress Shirts Gray X-Large</t>
  </si>
  <si>
    <t>CS-BUSB031-GN2-XXL</t>
  </si>
  <si>
    <t>B078VZ2JPL</t>
  </si>
  <si>
    <t>MOCOTONO Men's Long Sleeve Flannel Plaid Checkered Button Down Casual Dress Shirts Green2 XX-Large</t>
  </si>
  <si>
    <t>CS-LY171-PI908-XL</t>
  </si>
  <si>
    <t>B073PPHK1P</t>
  </si>
  <si>
    <t>Men's Oxford Long Sleeve Button Down Dress Shirt With Pocket,Pink,X-Large</t>
  </si>
  <si>
    <t>MY-BBS011JR-NY-M</t>
  </si>
  <si>
    <t>X001T334Y7</t>
  </si>
  <si>
    <t>B0786Y6WC1</t>
  </si>
  <si>
    <t>MOCOTONO Men's V Neck Pullover Fleece Lined Cotton Sweater Navy Blue Small</t>
  </si>
  <si>
    <t>CS-LY181-LG907-L</t>
  </si>
  <si>
    <t>B073PPMPVQ</t>
  </si>
  <si>
    <t>CS-LHY032-GN2-L</t>
  </si>
  <si>
    <t>X001T5477X</t>
  </si>
  <si>
    <t>CS-BS003-LB-XXL</t>
  </si>
  <si>
    <t>B078JFKHPP</t>
  </si>
  <si>
    <t>CS-LY084-H3-L</t>
  </si>
  <si>
    <t>B06XQW58X4</t>
  </si>
  <si>
    <t>MOCOTONO Men's Long Sleeve Plaid Button Down Cotton Casual Shirts Navy and Coffee Large</t>
  </si>
  <si>
    <t>MY-BBS011JR-NY-S</t>
  </si>
  <si>
    <t>X001T33AAF</t>
  </si>
  <si>
    <t>B0786ZM5QC</t>
  </si>
  <si>
    <t>MOCOTONO Men's V Neck Pullover Fleece Lined Cotton Sweater Dark Gray X-Large</t>
  </si>
  <si>
    <t>CS-LHY006-RD2-S</t>
  </si>
  <si>
    <t>X001U81F79</t>
  </si>
  <si>
    <t>B074NP2N3H</t>
  </si>
  <si>
    <t>MOCOTONO Men's Long Sleeve Standard Fit Plaid Checked Button Up Casual Shirts Scarlet Small</t>
  </si>
  <si>
    <t>CS-SB009-RD-M</t>
  </si>
  <si>
    <t>CS-LY171-ZL918-M</t>
  </si>
  <si>
    <t>B073PPHGGQ</t>
  </si>
  <si>
    <t>Men's Oxford Long Sleeve Button Down Dress Shirt With Pocket,Navy Blue,Medium</t>
  </si>
  <si>
    <t>MY-LYRound020-DG-XL</t>
  </si>
  <si>
    <t>B073XK53WW</t>
  </si>
  <si>
    <t>MOCOTONO Men's Long Sleeve Crew Neck Pullover Knit Sweater Dark Green X-Large</t>
  </si>
  <si>
    <t>MTX-IULHY-DBMS90-BK-28</t>
  </si>
  <si>
    <t>X001UW0QRF</t>
  </si>
  <si>
    <t>B07GB47QTP</t>
  </si>
  <si>
    <t>Men's Stripe Memory Foam Slippers Fleece Plush Slippers for Indoor Black Medium</t>
  </si>
  <si>
    <t>CS-SB084-H15-XXL</t>
  </si>
  <si>
    <t>X001OSFT9F</t>
  </si>
  <si>
    <t>B079DK99DZ</t>
  </si>
  <si>
    <t>MOCOTONO Men's Long Sleeve Plaid Button Down Cotton Casual Shirts Muti Plaid XX-Large</t>
  </si>
  <si>
    <t>CS-SB170-LG907-S</t>
  </si>
  <si>
    <t>B0788NVMQS</t>
  </si>
  <si>
    <t>Men's Short Sleeve Oxford Button Down Casual Shirt Light Gray Small</t>
  </si>
  <si>
    <t>CS-LY084-H16-L</t>
  </si>
  <si>
    <t>B06XYK4HHR</t>
  </si>
  <si>
    <t>MOCOTONO Men's Long Sleeve Plaid Button Down Cotton Casual Shirts Muti Plaid 16 Large</t>
  </si>
  <si>
    <t>MY-SB011JR-NY-S</t>
  </si>
  <si>
    <t>CS-SB007-BL-M</t>
  </si>
  <si>
    <t>B075132JDL</t>
  </si>
  <si>
    <t>CS-LY085-Sa911-M</t>
  </si>
  <si>
    <t>B06Y1Y8Q6M</t>
  </si>
  <si>
    <t>Men's Solid Color Oxford Long Sleeve Button Down Casual Shirt Sapphire Medium</t>
  </si>
  <si>
    <t>MY-SB018-RD-XL</t>
  </si>
  <si>
    <t>B0785GCLXY</t>
  </si>
  <si>
    <t>MOCOTONO Men's Button up Pullover Regular Fit Casual Sweater Red XL</t>
  </si>
  <si>
    <t>MTX-IULHY-MA86-CF-43</t>
  </si>
  <si>
    <t>X001UPHZET</t>
  </si>
  <si>
    <t>B07G586Q3D</t>
  </si>
  <si>
    <t>MOCOTONO Men's Memory Foam Slipper Fleece Lining Cute Print House Shoes Coffee(Star) Large</t>
  </si>
  <si>
    <t>CS-SB010-WT-9</t>
  </si>
  <si>
    <t>B0755CB8JY</t>
  </si>
  <si>
    <t>MOCOTONO Men's Non Iron Formal Business Tuxedo Dress Shirt White XXL 18" Neck, 36.25" Sleeve</t>
  </si>
  <si>
    <t>CS-SB007-GR-XL</t>
  </si>
  <si>
    <t>B07518NSC3</t>
  </si>
  <si>
    <t>MTX-IULHY-DBMS90-NY-27</t>
  </si>
  <si>
    <t>X001UVZQNF</t>
  </si>
  <si>
    <t>B07GB5QMMV</t>
  </si>
  <si>
    <t>Men's Stripe Memory Foam Slippers Fleece Plush Slippers for Indoor Navy Small</t>
  </si>
  <si>
    <t>CS-BS016-B0-XL</t>
  </si>
  <si>
    <t>B078J8JN33</t>
  </si>
  <si>
    <t>MOCOTONO Men's Long Sleeve Denim Double-Pocket Shirt Blue X-Large</t>
  </si>
  <si>
    <t>MY-BBS011-PP-M</t>
  </si>
  <si>
    <t>X001T332G7</t>
  </si>
  <si>
    <t>B0758VP5KS</t>
  </si>
  <si>
    <t>MOCOTONO Men's V Neck Pullover Sweater Long Sleeve Cotton Casual Sweat Dress,Purple,Small</t>
  </si>
  <si>
    <t>MY-LYPoint021-BL-XL</t>
  </si>
  <si>
    <t>B0788DV39D</t>
  </si>
  <si>
    <t>MOCOTONO Men's V-Neck Long Sleeve Regular Fit Pullover Casual Sweater Blue X-Large Blue X-Large</t>
  </si>
  <si>
    <t>MY-SB011-RD-L</t>
  </si>
  <si>
    <t>B07597T6BM</t>
  </si>
  <si>
    <t>MOCOTONO Men's V Neck Pullover Sweater Long Sleeve Cotton Casual Sweat Dress,Red,Medium</t>
  </si>
  <si>
    <t>CS-SB166-K73-2-M</t>
  </si>
  <si>
    <t>B079169XFD</t>
  </si>
  <si>
    <t>CFY-M1830-RD-XL</t>
  </si>
  <si>
    <t>B076V2MVLC</t>
  </si>
  <si>
    <t>MOCOTONO Men's Rain Waterproof Winter Jacket Sports Snow Ski Outdoor Coat Red X-Large</t>
  </si>
  <si>
    <t>MTX-IULHY-M8003-BK-29</t>
  </si>
  <si>
    <t>X001UXE11B</t>
  </si>
  <si>
    <t>B07GBRT3GH</t>
  </si>
  <si>
    <t>MOCOTONO Men's Comfy House Slipper Anti Slip Memory Foam Slipper Black Large</t>
  </si>
  <si>
    <t>MTX-IULHY-GBMS90-NY-29</t>
  </si>
  <si>
    <t>X001UW1KX9</t>
  </si>
  <si>
    <t>B07GB6S7GN</t>
  </si>
  <si>
    <t>Men's Stripe Memory Foam Slippers Fleece Plush Slippers Ankle Boots for Indoor Navy Large</t>
  </si>
  <si>
    <t>MY-LYRound020-LB-M</t>
  </si>
  <si>
    <t>B073XK4DWT</t>
  </si>
  <si>
    <t>MOCOTONO Men's Long Sleeve Crew Neck Pullover Knit Sweater Light Blue Medium</t>
  </si>
  <si>
    <t>CS-SB030-NY-XXL</t>
  </si>
  <si>
    <t>X001SPBM2H</t>
  </si>
  <si>
    <t>B07DG3FV9J</t>
  </si>
  <si>
    <t>CS-LY166-B28-1-XXL</t>
  </si>
  <si>
    <t>B071VYBRWZ</t>
  </si>
  <si>
    <t>MOCOTONO Men's Long Sleeve Flannel Plaid Dress Shirt Western Button Down Shirts Muti Plaid XX-Large</t>
  </si>
  <si>
    <t>CS-LHY032-YL-XL</t>
  </si>
  <si>
    <t>X001T4SMTD</t>
  </si>
  <si>
    <t>B07C3RFRDP</t>
  </si>
  <si>
    <t>MOCOTONO Men's Short Sleeve Floral Print Button Down Casual Shirt Yellow X-Large</t>
  </si>
  <si>
    <t>MTX-IULHY-MT836-KK-27</t>
  </si>
  <si>
    <t>X001UPH47R</t>
  </si>
  <si>
    <t>B07G53QX4P</t>
  </si>
  <si>
    <t>MOCOTONO Men's Cozy Memory Foam Slipper Fleece Lining Slip On House Shoes Brown Small</t>
  </si>
  <si>
    <t>Men's Oxford Long Sleeve Button Down Casual Dress Shirt Green X-Large</t>
  </si>
  <si>
    <t>MY-LYRound020-DG-S</t>
  </si>
  <si>
    <t>B073XJYHF5</t>
  </si>
  <si>
    <t>MOCOTONO Men's Long Sleeve Crew Neck Pullover Knit Sweater Dark Green Small</t>
  </si>
  <si>
    <t>CS-LY085-PI908-M</t>
  </si>
  <si>
    <t>B06XZ1KL82</t>
  </si>
  <si>
    <t>Men's Solid Color Oxford Long Sleeve Button Down Casual Shirt Pink Medium</t>
  </si>
  <si>
    <t>CS-LHY003-BK-M</t>
  </si>
  <si>
    <t>X001THCGW9</t>
  </si>
  <si>
    <t>CS-SB166-B28-3-L</t>
  </si>
  <si>
    <t>B07916DKL8</t>
  </si>
  <si>
    <t>MOCOTONO Men's Long Sleeve Flannel Plaid Dress Shirt Western Button Down Shirts Navy Large</t>
  </si>
  <si>
    <t>MTX-IULHY-DBMS90-GR-29</t>
  </si>
  <si>
    <t>X001UW1KXJ</t>
  </si>
  <si>
    <t>B07GB83Q6B</t>
  </si>
  <si>
    <t>Men's Stripe Memory Foam Slippers Fleece Plush Slippers for Indoor Gray Large</t>
  </si>
  <si>
    <t>CS-LY084-H15-XL</t>
  </si>
  <si>
    <t>CS-LY181-ZL918-M</t>
  </si>
  <si>
    <t>B073PPT396</t>
  </si>
  <si>
    <t>Men's Oxford Long Sleeve Button Down Casual Dress Shirt Navy Blue Medium</t>
  </si>
  <si>
    <t>CS-BBS030-BK-S</t>
  </si>
  <si>
    <t>X001SSMTUD</t>
  </si>
  <si>
    <t>B078W1XLVS</t>
  </si>
  <si>
    <t>Mocotono Men's Short Sleeve Oxford Button Down Casual Shirt, Black, Small</t>
  </si>
  <si>
    <t>CS-BUSB032-NB-XL</t>
  </si>
  <si>
    <t>B07C3SF9MQ</t>
  </si>
  <si>
    <t>MOCOTONO Men's Short Sleeve Floral Print Button Down Casual Shirt Navy X-Large</t>
  </si>
  <si>
    <t>MY-SB027-BK-L</t>
  </si>
  <si>
    <t>MTX-IULHY-M1758-DC-28</t>
  </si>
  <si>
    <t>X001U3WOYR</t>
  </si>
  <si>
    <t>B07FLWQ2VC</t>
  </si>
  <si>
    <t>MOCOTONO Men's Cotton Knitted Memory Foam Slipper Fleece Lining Indoor House Shoes Dark Coffee(Stripe) Medium</t>
  </si>
  <si>
    <t>CS-LY085-G912-S</t>
  </si>
  <si>
    <t>B06XYZW1W4</t>
  </si>
  <si>
    <t>Men's Solid Color Oxford Long Sleeve Button Down Casual Shirt Green Small</t>
  </si>
  <si>
    <t>CS-SB009-RDNY-XXL</t>
  </si>
  <si>
    <t>B075145KMT</t>
  </si>
  <si>
    <t>MOCOTONO Men's Short Sleeve Plaid Checkered Button Down Casual Shirts Red &amp; Navy XX-Large</t>
  </si>
  <si>
    <t>CFY-W1830-RD-XL</t>
  </si>
  <si>
    <t>B076HR9JQB</t>
  </si>
  <si>
    <t>MOCOTONO Women's Rain Waterproof Winter Jacket Sports Snow Ski Outdoor Coat Red X-Large</t>
  </si>
  <si>
    <t>CS-LHY032-NB-L</t>
  </si>
  <si>
    <t>X001T54CTL</t>
  </si>
  <si>
    <t>B07C3Q43WW</t>
  </si>
  <si>
    <t>MOCOTONO Men's Short Sleeve Floral Print Button Down Casual Shirt Navy Large</t>
  </si>
  <si>
    <t>CS-BS003-LB-M</t>
  </si>
  <si>
    <t>B078JBBY1F</t>
  </si>
  <si>
    <t>MOCOTONO Men's Long Sleeve Denim Double-Pocket Shirt Light Blue Medium</t>
  </si>
  <si>
    <t>CS-SB005-RD-L</t>
  </si>
  <si>
    <t>B074NY5LW3</t>
  </si>
  <si>
    <t>MOCOTONO Men's Long Sleeve Cotton Plaid Button Down Casual Shirts Red Large</t>
  </si>
  <si>
    <t>CS-BBS030-WT-XXL</t>
  </si>
  <si>
    <t>X001SSMTOT</t>
  </si>
  <si>
    <t>WQS-BN-1503-KO-2XL</t>
  </si>
  <si>
    <t>B0788JMBWN</t>
  </si>
  <si>
    <t>MOCOTONO Men's Long Sleeve Casual Collared Polo Shirt Top Black XXL</t>
  </si>
  <si>
    <t>MY-BBS011-BK-M</t>
  </si>
  <si>
    <t>X001T2RWZP</t>
  </si>
  <si>
    <t>B0759679WX</t>
  </si>
  <si>
    <t>MOCOTONO Men's V Neck Pullover Sweater Long Sleeve Cotton Casual Sweat Dress,Black,Small</t>
  </si>
  <si>
    <t>CS-LHY009-BK-M</t>
  </si>
  <si>
    <t>X001T2RY53</t>
  </si>
  <si>
    <t>SB-YL002-KCN80S</t>
  </si>
  <si>
    <t>B0776WQYCR</t>
  </si>
  <si>
    <t>TiaNara Large Trolling Fishing Reel 12+1 BB Metal Spool Light Weight for Freshwater Saltwater Silver KCN8000</t>
  </si>
  <si>
    <t>MY-BBS011-LG-S</t>
  </si>
  <si>
    <t>X001T331IL</t>
  </si>
  <si>
    <t>B0758SSJQY</t>
  </si>
  <si>
    <t>MOCOTONO Men's V Neck Pullover Sweater Long Sleeve Cotton Casual Sweat Dress,White,X-Large</t>
  </si>
  <si>
    <t>MY-021-GR-XL</t>
  </si>
  <si>
    <t>B07C4PDQWL</t>
  </si>
  <si>
    <t>MOCOTONO Men's V-Neck Long Sleeve Pullover Casual Sweater Light Gray X-Large</t>
  </si>
  <si>
    <t>CS-SB006-BL-L</t>
  </si>
  <si>
    <t>B074P3ZZHG</t>
  </si>
  <si>
    <t>MOCOTONO Men's Long Sleeve Standard Fit Plaid Checked Button Up Casual Shirts Blue Large</t>
  </si>
  <si>
    <t>MTX-IULHY-MT836-DG-27</t>
  </si>
  <si>
    <t>X001UPFSWF</t>
  </si>
  <si>
    <t>B07G5B1QS4</t>
  </si>
  <si>
    <t>MOCOTONO Men's Cozy Memory Foam Slipper Fleece Lining Slip On House Shoes Dark Grey Small</t>
  </si>
  <si>
    <t>CS-BS016-NB-M</t>
  </si>
  <si>
    <t>B078JKJHTG</t>
  </si>
  <si>
    <t>MOCOTONO Men's Long Sleeve Denim Double-Pocket Shirt Navy Blue Medium</t>
  </si>
  <si>
    <t>MY-BS026-BK-S</t>
  </si>
  <si>
    <t>X001SW0JSD</t>
  </si>
  <si>
    <t>B078SGRXPF</t>
  </si>
  <si>
    <t>MOCOTONO Mens Long Sleeve Turtle Neck Zip up Pullover Sweater Black Small</t>
  </si>
  <si>
    <t>CS-LY084-H3-S</t>
  </si>
  <si>
    <t>B06XQG6LKS</t>
  </si>
  <si>
    <t>MOCOTONO Men's Long Sleeve Plaid Button Down Cotton Casual Shirts Navy and Coffee Small</t>
  </si>
  <si>
    <t>CS-LY170-LG907-S</t>
  </si>
  <si>
    <t>B073PPSG6W</t>
  </si>
  <si>
    <t>Mocotono Men's Short Sleeve Oxford Button Down Casual Shirt, Light Gray, Small</t>
  </si>
  <si>
    <t>CS-LY181-LB916-XXL</t>
  </si>
  <si>
    <t>B073PPR1JW</t>
  </si>
  <si>
    <t>Men's Oxford Long Sleeve Button Down Casual Dress Shirt Light Blue XX-Large</t>
  </si>
  <si>
    <t>Men's Oxford Long Sleeve Button Down Casual Dress Shirt Wine Red Large</t>
  </si>
  <si>
    <t>CS-SB005-GN-2XL</t>
  </si>
  <si>
    <t>B074P29LFB</t>
  </si>
  <si>
    <t>MOCOTONO Men's Long Sleeve Cotton Plaid Button Down Casual Shirts Green XX-Large</t>
  </si>
  <si>
    <t>CS-SB166-K33-1-M</t>
  </si>
  <si>
    <t>B071VYBRWK</t>
  </si>
  <si>
    <t>MOCOTONO Men's Long Sleeve Flannel Plaid Dress Shirt Western Button Down Shirts Red and Navy Medium</t>
  </si>
  <si>
    <t>CS-BS016-LB-S</t>
  </si>
  <si>
    <t>B078JL1QLH</t>
  </si>
  <si>
    <t>MOCOTONO Men's Long Sleeve Denim Double-Pocket Shirt Light Blue Small</t>
  </si>
  <si>
    <t>CS-SB005-RD-S</t>
  </si>
  <si>
    <t>B074P34K32</t>
  </si>
  <si>
    <t>MOCOTONO Men's Long Sleeve Cotton Plaid Button Down Casual Shirts Red Small</t>
  </si>
  <si>
    <t>CS-LY181-LB916-XL</t>
  </si>
  <si>
    <t>B073PQJN96</t>
  </si>
  <si>
    <t>Men's Oxford Long Sleeve Button Down Casual Dress Shirt,Light Blue,X-Large</t>
  </si>
  <si>
    <t>CS-LY085-LB916-XXL</t>
  </si>
  <si>
    <t>B06XYZGNQP</t>
  </si>
  <si>
    <t>Men's Solid Color Oxford Long Sleeve Button Down Casual Shirt Light Blue XX-Large</t>
  </si>
  <si>
    <t>CS-SB005-YL-L</t>
  </si>
  <si>
    <t>B074NY9FXX</t>
  </si>
  <si>
    <t>MOCOTONO Men's Long Sleeve Cotton Plaid Button Down Casual Shirts Yellow Large</t>
  </si>
  <si>
    <t>CS-SB009-GN-XL</t>
  </si>
  <si>
    <t>B07513ZMT5</t>
  </si>
  <si>
    <t>MOCOTONO Men's Short Sleeve Plaid Checkered Button Down Casual Shirts Green X-Large</t>
  </si>
  <si>
    <t>CS-SB006-RD2-XL</t>
  </si>
  <si>
    <t>B074P6BFX9</t>
  </si>
  <si>
    <t>MOCOTONO Men's Long Sleeve Standard Fit Plaid Checked Button Up Casual Shirts Scarlet X-Large</t>
  </si>
  <si>
    <t>CS-LHY009-RD-S</t>
  </si>
  <si>
    <t>X001T338YX</t>
  </si>
  <si>
    <t>B07512LVFK</t>
  </si>
  <si>
    <t>MOCOTONO Men's Short Sleeve Plaid Checkered Button Down Casual Shirts Red Small</t>
  </si>
  <si>
    <t>MY-SB018-LG-XL</t>
  </si>
  <si>
    <t>B077XBL2SY</t>
  </si>
  <si>
    <t>MOCOTONO Men's Button up Pullover Regular Fit Casual Sweater Light Gray XL</t>
  </si>
  <si>
    <t>MTX-IULHY-GBMS90-NY-27</t>
  </si>
  <si>
    <t>X001UW0HAV</t>
  </si>
  <si>
    <t>B07GB42QPT</t>
  </si>
  <si>
    <t>Men's Stripe Memory Foam Slippers Fleece Plush Slippers Ankle Boots for Indoor Navy Small</t>
  </si>
  <si>
    <t>MTX-IULHY-MA86-KK-41</t>
  </si>
  <si>
    <t>X001UPFZQ9</t>
  </si>
  <si>
    <t>B07G554259</t>
  </si>
  <si>
    <t>MOCOTONO Men's Memory Foam Slipper Fleece Lining Cute Print House Shoes Khaki(Star) Medium</t>
  </si>
  <si>
    <t>MY-LYPoint021-GN-S</t>
  </si>
  <si>
    <t>B0788B5BWD</t>
  </si>
  <si>
    <t>MOCOTONO Men's V-Neck Long Sleeve Pullover Casual Sweater Green Small</t>
  </si>
  <si>
    <t>CS-SB016-NB-M</t>
  </si>
  <si>
    <t>B077XT6S1V</t>
  </si>
  <si>
    <t>MOCOTONO Men's Long Sleeve Denim Solid Double-Pocket Shirt Navy Blue Medium</t>
  </si>
  <si>
    <t>CS-BUSB032-RD-L</t>
  </si>
  <si>
    <t>CFY-M1830-BL-M</t>
  </si>
  <si>
    <t>B076V6DZHX</t>
  </si>
  <si>
    <t>MOCOTONO Men's Rain Waterproof Winter Jacket Sports Snow Ski Outdoor Coat Blue Medium</t>
  </si>
  <si>
    <t>CS-BBS030-WT-L</t>
  </si>
  <si>
    <t>X001SSMTP3</t>
  </si>
  <si>
    <t>B078W1ZVMK</t>
  </si>
  <si>
    <t>Mocotono Men's Short Sleeve Oxford Button Down Casual Shirt, Light White, Large</t>
  </si>
  <si>
    <t>CS-SB030-WR-M</t>
  </si>
  <si>
    <t>X001SPBCU9</t>
  </si>
  <si>
    <t>B07DG2ZPMN</t>
  </si>
  <si>
    <t>CS-BBS030-GR-M</t>
  </si>
  <si>
    <t>X001SSO1QD</t>
  </si>
  <si>
    <t>B078W1NBSR</t>
  </si>
  <si>
    <t>Mocotono Men's Short Sleeve Oxford Button Down Casual Shirt, Gray, Medium</t>
  </si>
  <si>
    <t>CS-LY085-W902-L</t>
  </si>
  <si>
    <t>B06XYZLGBC</t>
  </si>
  <si>
    <t>Men's Solid Color Oxford Long Sleeve Button Down Casual Shirt White Large</t>
  </si>
  <si>
    <t>CS-LY171-LG907-XL</t>
  </si>
  <si>
    <t>B073PQ8R84</t>
  </si>
  <si>
    <t>Men's Oxford Long Sleeve Button Down Dress Shirt With Pocket,Light Gray,X-Large</t>
  </si>
  <si>
    <t>CS-BUSB031LHY-GN2-XXL</t>
  </si>
  <si>
    <t>X001SUAJZ3</t>
  </si>
  <si>
    <t>MTX-IULHY-DBM8022-CF-29</t>
  </si>
  <si>
    <t>X001UPE6X7</t>
  </si>
  <si>
    <t>B07G572MKQ</t>
  </si>
  <si>
    <t>Men's Indoor Rabbit Slippers Non-Slip Plush Slip-on Shoes Dark Coffee Large</t>
  </si>
  <si>
    <t>CS-LY166-B28-3-L</t>
  </si>
  <si>
    <t>B072LTDBVG</t>
  </si>
  <si>
    <t>MY-SB021-LB-L</t>
  </si>
  <si>
    <t>Men's Oxford Long Sleeve Button Down Casual Dress Shirt Green Medium</t>
  </si>
  <si>
    <t>MY-LYRound020-LB-XL</t>
  </si>
  <si>
    <t>B073XJQR6K</t>
  </si>
  <si>
    <t>MOCOTONO Men's Long Sleeve Crew Neck Pullover Knit Sweater Light Blue X-Large</t>
  </si>
  <si>
    <t>CS-SB166-B28-4-XXL</t>
  </si>
  <si>
    <t>B07916XJ82</t>
  </si>
  <si>
    <t>MOCOTONO Men's Long Sleeve Flannel Plaid Dress Shirt Western Button Down Shirts Yellow XX-Large</t>
  </si>
  <si>
    <t>POLO-SB1503-WT-M</t>
  </si>
  <si>
    <t>X001T248RF</t>
  </si>
  <si>
    <t>CS-BS003-B0-XL</t>
  </si>
  <si>
    <t>B078JJDS4Z</t>
  </si>
  <si>
    <t>MOCOTONO Men's Long Sleeve Slim Fit Denim Double-Pocket Shirt Blue X-Large</t>
  </si>
  <si>
    <t>MY-SB011JR-PP-S</t>
  </si>
  <si>
    <t>B0786XVFPK</t>
  </si>
  <si>
    <t>MOCOTONO Men's V Neck Pullover Fleece Lined Cotton Sweater Navy Blue X-Large</t>
  </si>
  <si>
    <t>MY-LYPoint021-WR-L</t>
  </si>
  <si>
    <t>B073XKPZWF</t>
  </si>
  <si>
    <t>MOCOTONO Men's V-Neck Long Sleeve Pullover Casual Sweater Wine Red Large</t>
  </si>
  <si>
    <t>CS-LHY009-RD-XL</t>
  </si>
  <si>
    <t>X001T2RYWB</t>
  </si>
  <si>
    <t>CS-BS032-NB-L</t>
  </si>
  <si>
    <t>CS-BS016-BK-L</t>
  </si>
  <si>
    <t>MY-LYPoint021-WR-M</t>
  </si>
  <si>
    <t>B073XJVVGR</t>
  </si>
  <si>
    <t>MOCOTONO Men's V-Neck Long Sleeve Pullover Casual Sweater Wine Red Medium</t>
  </si>
  <si>
    <t>CS-SB181-W902-L</t>
  </si>
  <si>
    <t>B0789CR6SN</t>
  </si>
  <si>
    <t>MOCOTONO Men's Oxford Long Sleeve Button Down Casual Dress Shirt,White,Large</t>
  </si>
  <si>
    <t>CS-LHY003-LB-M</t>
  </si>
  <si>
    <t>X001THN9UR</t>
  </si>
  <si>
    <t>MY-SB020-NY-XL</t>
  </si>
  <si>
    <t>MTX-IULHY-MA89-CF-41</t>
  </si>
  <si>
    <t>X001UPI46R</t>
  </si>
  <si>
    <t>B07G5KD46R</t>
  </si>
  <si>
    <t>MOCOTONO Men's Memory Foam Slipper Fleece Lining Cute Print House Shoes Coffee(Milk) Medium</t>
  </si>
  <si>
    <t>MY-SB026-NY-XL</t>
  </si>
  <si>
    <t>B078SKQ8YP</t>
  </si>
  <si>
    <t>MOCOTONO Mens Long Sleeve Turtle Neck Zip Pullover Sweater Navy Blue X-Large</t>
  </si>
  <si>
    <t>DK-LY-K518-B0-40</t>
  </si>
  <si>
    <t>B073PZB2K2</t>
  </si>
  <si>
    <t>MOCOTONO Slim Fit Cotton Multi-Pocket Twill Cargo Shorts for Men Navy Tag 40/US 38</t>
  </si>
  <si>
    <t>MTX-IULHY-GBM8022-CF-29</t>
  </si>
  <si>
    <t>X001UPI1MJ</t>
  </si>
  <si>
    <t>B07G5FDVT6</t>
  </si>
  <si>
    <t>Men's Indoor Rabbit Slippers Non-Slip Plush Slip-on Shoes Ankle Boots Dark Coffee Large</t>
  </si>
  <si>
    <t>MY-SBPoint021-LB-M</t>
  </si>
  <si>
    <t>X001SV9VOR</t>
  </si>
  <si>
    <t>CS-SB009-RDNY-L</t>
  </si>
  <si>
    <t>B0751785W7</t>
  </si>
  <si>
    <t>MOCOTONO Men's Short Sleeve Plaid Checkered Button Down Casual Shirts Red &amp; Navy Large</t>
  </si>
  <si>
    <t>MY-LYRound020-BL-S</t>
  </si>
  <si>
    <t>B07889CR96</t>
  </si>
  <si>
    <t>MOCOTONO Men's Long Sleeve Crew Neck Pullover Knit Sweater Blue Small</t>
  </si>
  <si>
    <t>MY-SB011-CF-S</t>
  </si>
  <si>
    <t>B07595DG67</t>
  </si>
  <si>
    <t>MOCOTONO Men's V Neck Pullover Sweater Long Sleeve Cotton Casual Sweat Dress,Red,X-Large</t>
  </si>
  <si>
    <t>Create removal order</t>
  </si>
  <si>
    <t>MTX-IULHY-M188-CF-43/44</t>
  </si>
  <si>
    <t>X001U39TKJ</t>
  </si>
  <si>
    <t>B07FM2HW18</t>
  </si>
  <si>
    <t>MOCOTONO Men's Cotton Knitted Memory Foam Slipper Fleece Lining Indoor House Shoes Coffee(Check) Large</t>
  </si>
  <si>
    <t>Men's Oxford Long Sleeve Button Down Casual Dress Shirt Navy Blue X-Large</t>
  </si>
  <si>
    <t>CS-SB010-WT-7</t>
  </si>
  <si>
    <t>B075584M2W</t>
  </si>
  <si>
    <t>MOCOTONO Men's Non Iron Formal Business Tuxedo Dress Shirt White XL 17" Neck, 35" Sleeve</t>
  </si>
  <si>
    <t>CFY-W1830-BL-XL</t>
  </si>
  <si>
    <t>B076HP119S</t>
  </si>
  <si>
    <t>MOCOTONO Women's Rain Waterproof Winter Jacket Sports Snow Ski Outdoor Coat Blue X-Large</t>
  </si>
  <si>
    <t>CS-SB009-CF-XXL</t>
  </si>
  <si>
    <t>B075157KTJ</t>
  </si>
  <si>
    <t>MOCOTONO Men's Short Sleeve Plaid Checkered Button Down Casual Shirts Coffee XX-Large</t>
  </si>
  <si>
    <t>WY-SB017-DG-L</t>
  </si>
  <si>
    <t>B078NMDLP2</t>
  </si>
  <si>
    <t>MOCOTONO Men's Pullover Hoodies Fleece Hooded Sweatshirt Dark Grey Large</t>
  </si>
  <si>
    <t>CS-LHY032-GN2-M</t>
  </si>
  <si>
    <t>X001T54CMX</t>
  </si>
  <si>
    <t>B07C3W2BLZ</t>
  </si>
  <si>
    <t>MOCOTONO Men's Short Sleeve Floral Print Button Down Casual Shirt Green 2 Medium</t>
  </si>
  <si>
    <t>Men's Oxford Long Sleeve Button Down Casual Dress Shirt Light Gray Large</t>
  </si>
  <si>
    <t>SB-YL003-GH60</t>
  </si>
  <si>
    <t>B0776NPYHG</t>
  </si>
  <si>
    <t>TiaNara Trolling Fishing Reel with Metal Spool 13+1 BB Light Weight Ultra Smooth Black GH6000</t>
  </si>
  <si>
    <t>CS-SB002-BL-S</t>
  </si>
  <si>
    <t>B074DTFDVC</t>
  </si>
  <si>
    <t>MOCOTONO Men's Long Sleeve Regular Fit Plaid Button Down Casual Shirts Blue Small</t>
  </si>
  <si>
    <t>MY-SB011JR-BK-XL</t>
  </si>
  <si>
    <t>B078F1DXQV</t>
  </si>
  <si>
    <t>MOCOTONO Men's V Neck Pullover Fleece Lined Cotton Sweater Black Large</t>
  </si>
  <si>
    <t>CS-SB009-LB1-L</t>
  </si>
  <si>
    <t>CS-LY171-Sa911-XXL</t>
  </si>
  <si>
    <t>B073PPXNXD</t>
  </si>
  <si>
    <t>Men's Oxford Long Sleeve Button Down Dress Shirt With Pocket,Sapphire,XX-Large</t>
  </si>
  <si>
    <t>KZ-LHYX001-GRY-L</t>
  </si>
  <si>
    <t>X001SR0CUD</t>
  </si>
  <si>
    <t>B07DHDJKYV</t>
  </si>
  <si>
    <t>MOCOTONO Women's Plus Size Elastic Waist Wide Leg Linen Cropped Pants Grey Large</t>
  </si>
  <si>
    <t>MY-SB019-LG-XL</t>
  </si>
  <si>
    <t>B077XGHCKG</t>
  </si>
  <si>
    <t>MOCOTONO Men's Cotton V Neck Sweater Regular Fit Pullover Knitwear Light Gray XL</t>
  </si>
  <si>
    <t>CS-SB005-BL2-S</t>
  </si>
  <si>
    <t>B074P5N47H</t>
  </si>
  <si>
    <t>MOCOTONO Men's Long Sleeve Cotton Plaid Button Down Casual Shirts Sapphire Small</t>
  </si>
  <si>
    <t>CS-SB009-RDNY-S</t>
  </si>
  <si>
    <t>B075154XYS</t>
  </si>
  <si>
    <t>MOCOTONO Men's Short Sleeve Plaid Checkered Button Down Casual Shirts Red &amp; Navy Small</t>
  </si>
  <si>
    <t>MTX-IULHY-GBM8022-CF-28</t>
  </si>
  <si>
    <t>X001UPFZRX</t>
  </si>
  <si>
    <t>B07G4Z1M7B</t>
  </si>
  <si>
    <t>Men's Indoor Rabbit Slippers Non-Slip Plush Slip-on Shoes Ankle Boots Dark Coffee Medium</t>
  </si>
  <si>
    <t>Men's Oxford Long Sleeve Button Down Casual Dress Shirt Light Gray X-Large</t>
  </si>
  <si>
    <t>CS-SB030-NY-S</t>
  </si>
  <si>
    <t>X001SOGGG5</t>
  </si>
  <si>
    <t>B07DG35NXZ</t>
  </si>
  <si>
    <t>MY-LYRound020-WR-S</t>
  </si>
  <si>
    <t>B073XJYBS9</t>
  </si>
  <si>
    <t>MOCOTONO Men's Long Sleeve Crew Neck Pullover Knit Sweater Wine Red Small</t>
  </si>
  <si>
    <t>CS-LHY003-BK-L</t>
  </si>
  <si>
    <t>X001THCGVZ</t>
  </si>
  <si>
    <t>CS-SB002-RD-XL</t>
  </si>
  <si>
    <t>B074DVD7QH</t>
  </si>
  <si>
    <t>MOCOTONO Men's Long Sleeve Regular Fit Plaid Button Down Casual Shirts Red X-Large</t>
  </si>
  <si>
    <t>MY-SB027-GN-S</t>
  </si>
  <si>
    <t>B078TBRKRH</t>
  </si>
  <si>
    <t>MOCOTONO Men's V-Neck Cotton Sleeveless Sweater Casual Vest Green Small</t>
  </si>
  <si>
    <t>MTX-IULHY-M8003-DG-27</t>
  </si>
  <si>
    <t>X001UXE111</t>
  </si>
  <si>
    <t>B07GBS3FJN</t>
  </si>
  <si>
    <t>MOCOTONO Men's Comfy House Slipper Anti Slip Memory Foam Slipper Dark Gray Small</t>
  </si>
  <si>
    <t>CS-BUSB031-GN2-S</t>
  </si>
  <si>
    <t>MY-LYRound020-BL-XL</t>
  </si>
  <si>
    <t>B0788C9SJY</t>
  </si>
  <si>
    <t>MOCOTONO Men's Long Sleeve Crew Neck Pullover Knit Sweater Blue X-Large</t>
  </si>
  <si>
    <t>MY-BS027-DG-M</t>
  </si>
  <si>
    <t>X001SVXXHN</t>
  </si>
  <si>
    <t>B078TCFLP4</t>
  </si>
  <si>
    <t>MOCOTONO Men's V-Neck Cotton Sleeveless Sweater Casual Vest Dark Gray Medium</t>
  </si>
  <si>
    <t>CS-LHY009-BL-XL</t>
  </si>
  <si>
    <t>X001T33AI7</t>
  </si>
  <si>
    <t>B07512J697</t>
  </si>
  <si>
    <t>MOCOTONO Men's Short Sleeve Plaid Checkered Button Down Casual Shirts Blue X-Large</t>
  </si>
  <si>
    <t>POLO-SB014-YL-L</t>
  </si>
  <si>
    <t>B076D4JLH8</t>
  </si>
  <si>
    <t>MOCOTONO Men's Long Sleeve Casual Golf Polo Shirt Yellow (Brown) Medium</t>
  </si>
  <si>
    <t>CS-SB030-WR-XXL</t>
  </si>
  <si>
    <t>X001SOET6T</t>
  </si>
  <si>
    <t>B07DG33RXF</t>
  </si>
  <si>
    <t>CS-SB009-BK-S</t>
  </si>
  <si>
    <t>B07516K3PY</t>
  </si>
  <si>
    <t>MOCOTONO Men's Short Sleeve Plaid Checkered Button Down Casual Shirts Black Small</t>
  </si>
  <si>
    <t>CS-SB005-BL1-S</t>
  </si>
  <si>
    <t>B074P3B9JN</t>
  </si>
  <si>
    <t>MOCOTONO Men's Long Sleeve Cotton Plaid Button Down Casual Shirts Blue Small</t>
  </si>
  <si>
    <t>MY-SB015-BL-S</t>
  </si>
  <si>
    <t>B076J8NQXH</t>
  </si>
  <si>
    <t>MOCOTONO Men's Crew Neck Long Sleeve Pullover Knit Sweater Blue Small</t>
  </si>
  <si>
    <t>CS-LY181-W902-M</t>
  </si>
  <si>
    <t>B073PPT38S</t>
  </si>
  <si>
    <t>Men's Oxford Long Sleeve Button Down Casual Dress Shirt White Medium</t>
  </si>
  <si>
    <t>CS-LY086-N0-XL</t>
  </si>
  <si>
    <t>B06XPQSWSR</t>
  </si>
  <si>
    <t>MOCOTONO Men's Denim Long Sleeve Pocket Casual Dress Shirt Navy Blue X-Large</t>
  </si>
  <si>
    <t>MTX-IULHY-MT836-DG-28</t>
  </si>
  <si>
    <t>X001UPFD1V</t>
  </si>
  <si>
    <t>B07G58RYFD</t>
  </si>
  <si>
    <t>MOCOTONO Men's Cozy Memory Foam Slipper Fleece Lining Slip On House Shoes Dark Grey Medium</t>
  </si>
  <si>
    <t>CS-LHY003-BK-XXL</t>
  </si>
  <si>
    <t>X001TGTXDP</t>
  </si>
  <si>
    <t>B0776T1WP3</t>
  </si>
  <si>
    <t>MOCOTONO Men's Long Sleeve Denim Solid Double-Pocket Shirt Black XX-Large</t>
  </si>
  <si>
    <t>CS-SB005-RD1-2XL</t>
  </si>
  <si>
    <t>B074P33P2H</t>
  </si>
  <si>
    <t>MOCOTONO Men's Long Sleeve Cotton Plaid Button Down Casual Shirts Scarlet XX-Large</t>
  </si>
  <si>
    <t>MTX-IULHY-M1798-BK-27</t>
  </si>
  <si>
    <t>X001U4WXEH</t>
  </si>
  <si>
    <t>B07FM92G8H</t>
  </si>
  <si>
    <t>MOCOTONO Men's Cotton Knitted Memory Foam Slipper Fleece Lining House Slippers Black Small</t>
  </si>
  <si>
    <t>CS-LY084-H3-XXL</t>
  </si>
  <si>
    <t>CS-SB007-GR-M</t>
  </si>
  <si>
    <t>B0751BKQR9</t>
  </si>
  <si>
    <t>MY-LYRound020-GN-S</t>
  </si>
  <si>
    <t>B0788FCF71</t>
  </si>
  <si>
    <t>MOCOTONO Men's Long Sleeve Crew Neck Pullover Knit Sweater Green Small</t>
  </si>
  <si>
    <t>CS-LHY030-GR-XXL</t>
  </si>
  <si>
    <t>X001TN57MJ</t>
  </si>
  <si>
    <t>B07F2Z983G</t>
  </si>
  <si>
    <t>Men's Short Sleeve Oxford Button Down Casual Shirt Gray XX-Large</t>
  </si>
  <si>
    <t>MY-BBS011JR-PP-S</t>
  </si>
  <si>
    <t>X001T2RUVB</t>
  </si>
  <si>
    <t>MY-SB027-LG-S</t>
  </si>
  <si>
    <t>B078TD5RK6</t>
  </si>
  <si>
    <t>MOCOTONO Men's V-Neck Cotton Sleeveless Sweater Casual Vest Light Grey Small</t>
  </si>
  <si>
    <t>CS-NEW181-ZL918-XXL</t>
  </si>
  <si>
    <t>X001UDIPL3</t>
  </si>
  <si>
    <t>B0789CBLZK</t>
  </si>
  <si>
    <t>Men's Oxford Long Sleeve Button Down Casual Dress Shirt Navy Blue XX-Large</t>
  </si>
  <si>
    <t>CS-LHY009-YL-L</t>
  </si>
  <si>
    <t>X001T33AIH</t>
  </si>
  <si>
    <t>B07515DW7Z</t>
  </si>
  <si>
    <t>MOCOTONO Men's Short Sleeve Plaid Checkered Button Down Casual Shirts Yellow Large</t>
  </si>
  <si>
    <t>MY-BS026-LG-XL</t>
  </si>
  <si>
    <t>X001SV7OEV</t>
  </si>
  <si>
    <t>B078SK82ZD</t>
  </si>
  <si>
    <t>MOCOTONO Mens Long Sleeve Turtle Neck Zip Pullover Sweater Light Grey X-Large</t>
  </si>
  <si>
    <t>MY-LYRound020-LB-S</t>
  </si>
  <si>
    <t>B073XLCLNN</t>
  </si>
  <si>
    <t>MOCOTONO Men's Long Sleeve Crew Neck Pullover Knit Sweater Light Blue Small</t>
  </si>
  <si>
    <t>MY-SB027-DG-S</t>
  </si>
  <si>
    <t>B078TBQBCB</t>
  </si>
  <si>
    <t>MOCOTONO Men's V-Neck Cotton Sleeveless Sweater Casual Vest Dark Gray Small</t>
  </si>
  <si>
    <t>MY-SB027-BK-S</t>
  </si>
  <si>
    <t>B078TCGH2D</t>
  </si>
  <si>
    <t>MOCOTONO Men's V-Neck Cotton Sleeveless Sweater Casual Vest Black Small</t>
  </si>
  <si>
    <t>CS-LHY009-YL-XL</t>
  </si>
  <si>
    <t>X001T331OZ</t>
  </si>
  <si>
    <t>B075132NT4</t>
  </si>
  <si>
    <t>MOCOTONO Men's Short Sleeve Plaid Checkered Button Down Casual Shirts Yellow X-Large</t>
  </si>
  <si>
    <t>CS-SB002-RD-S</t>
  </si>
  <si>
    <t>B074DVCMNY</t>
  </si>
  <si>
    <t>MOCOTONO Men's Long Sleeve Regular Fit Plaid Button Down Casual Shirts Red Small</t>
  </si>
  <si>
    <t>CS-BS016-NB-XL</t>
  </si>
  <si>
    <t>B078JD6WT8</t>
  </si>
  <si>
    <t>CS-SB007-BL-XXL</t>
  </si>
  <si>
    <t>B0751368L2</t>
  </si>
  <si>
    <t>CS-SB016-B0-XL</t>
  </si>
  <si>
    <t>B077XRTTYL</t>
  </si>
  <si>
    <t>Mocotono Men's Long Sleeve Thick Denim Shirt Blue (Thick) X-Large</t>
  </si>
  <si>
    <t>CS-BS003-B0-XXL</t>
  </si>
  <si>
    <t>B078JM6YCM</t>
  </si>
  <si>
    <t>CFY-W1830-RD-M</t>
  </si>
  <si>
    <t>B076HPPN5P</t>
  </si>
  <si>
    <t>MOCOTONO Women's Rain Waterproof Winter Jacket Sports Snow Ski Outdoor Coat Red Medium</t>
  </si>
  <si>
    <t>MY-SB011JR-RD-M</t>
  </si>
  <si>
    <t>B0786VB6R8</t>
  </si>
  <si>
    <t>MOCOTONO Men's V Neck Pullover Fleece Lined Cotton Sweater Red Small</t>
  </si>
  <si>
    <t>MY-SB026-NY-S</t>
  </si>
  <si>
    <t>B078SLSTXR</t>
  </si>
  <si>
    <t>MOCOTONO Mens Long Sleeve Turtle Neck Zip Pullover Sweater Navy Blue Small</t>
  </si>
  <si>
    <t>CS-SB016-BK-S</t>
  </si>
  <si>
    <t>B077XP6VN9</t>
  </si>
  <si>
    <t>MOCOTONO Men's Long Sleeve Denim Solid Flap Pockets Shirt Black Small</t>
  </si>
  <si>
    <t>SB-YL004-FD20</t>
  </si>
  <si>
    <t>B0776NX9CK</t>
  </si>
  <si>
    <t>TiaNara Spinning Fishing Reel 12+1 BB Light Weight for Freshwater Saltwater Silver FD2000</t>
  </si>
  <si>
    <t>POLO-1503-NY-XL</t>
  </si>
  <si>
    <t>B078J1S9YQ</t>
  </si>
  <si>
    <t>MOCOTONO Men's Long Sleeve Casual Collared Polo Shirt Top Navy Blue XL</t>
  </si>
  <si>
    <t>CS-SB009-CF-XL</t>
  </si>
  <si>
    <t>B07519TQN3</t>
  </si>
  <si>
    <t>MOCOTONO Men's Short Sleeve Plaid Checkered Button Down Casual Shirts Coffee X-Large</t>
  </si>
  <si>
    <t>CS-SB006-BL-S</t>
  </si>
  <si>
    <t>B074P2B6M8</t>
  </si>
  <si>
    <t>MOCOTONO Men's Long Sleeve Standard Fit Plaid Checked Button Up Casual Shirts Blue Small</t>
  </si>
  <si>
    <t>MTX-IULHY-M1758-LC-29</t>
  </si>
  <si>
    <t>X001U3WOZ1</t>
  </si>
  <si>
    <t>B07FM6PPYV</t>
  </si>
  <si>
    <t>MOCOTONO Men's Cotton Knitted Memory Foam Slipper Fleece Lining Indoor House Shoes Coffee(Stripe) Large</t>
  </si>
  <si>
    <t>CS-SB166-K33-4-L</t>
  </si>
  <si>
    <t>B079162HRM</t>
  </si>
  <si>
    <t>MOCOTONO Men's Long Sleeve Flannel Plaid Dress Shirt Western Button Down Shirts White and Navy Large</t>
  </si>
  <si>
    <t>WY-SB017-BK-L</t>
  </si>
  <si>
    <t>B078NC5QP5</t>
  </si>
  <si>
    <t>MOCOTONO Men's Pullover Hoodies Fleece Hooded Sweatshirt Black Large</t>
  </si>
  <si>
    <t>CFY-W1798-RR-XL</t>
  </si>
  <si>
    <t>B076HP8HN2</t>
  </si>
  <si>
    <t>MOCOTONO Women's Waterproof Rain Jacket Fleece Snow Ski Winter Coat Pink X-Large</t>
  </si>
  <si>
    <t>KZ-LHY001-RED-M</t>
  </si>
  <si>
    <t>X001SLEXJF</t>
  </si>
  <si>
    <t>B071NP2X5N</t>
  </si>
  <si>
    <t>MOCOTONO Women's Plus Size Elastic Waist Wide Leg Linen Cropped Pants Red Medium</t>
  </si>
  <si>
    <t>MTX-IULHY-M1758-DC-29</t>
  </si>
  <si>
    <t>X001U4C9HD</t>
  </si>
  <si>
    <t>B07FLX3PJP</t>
  </si>
  <si>
    <t>MOCOTONO Men's Cotton Knitted Memory Foam Slipper Fleece Lining Indoor House Shoes Dark Coffee(Stripe) Large</t>
  </si>
  <si>
    <t>CS-BUSB031-RD1-L</t>
  </si>
  <si>
    <t>B078W17Y87</t>
  </si>
  <si>
    <t>MOCOTONO Men's Long Sleeve Flannel Plaid Checkered Button Down Casual Dress Shirts Red1 Large</t>
  </si>
  <si>
    <t>CS-LY166-B28-1-S</t>
  </si>
  <si>
    <t>B0711Q8WDR</t>
  </si>
  <si>
    <t>MOCOTONO Men's Long Sleeve Flannel Plaid Dress Shirt Western Button Down Shirts Muti Plaid Small</t>
  </si>
  <si>
    <t>POLO-SB014-GN-S</t>
  </si>
  <si>
    <t>B076CX8TL2</t>
  </si>
  <si>
    <t>MOCOTONO Men's Long Sleeve Casual Golf Polo Shirt Green Small</t>
  </si>
  <si>
    <t>POLO-SB014-BK-S</t>
  </si>
  <si>
    <t>B076DK4G2Q</t>
  </si>
  <si>
    <t>MOCOTONO Men's Long Sleeve Casual Golf Polo Shirt Black Small</t>
  </si>
  <si>
    <t>MY-LYRound020-WR-M</t>
  </si>
  <si>
    <t>B073XK31PD</t>
  </si>
  <si>
    <t>MOCOTONO Men's Long Sleeve Crew Neck Pullover Knit Sweater Wine Red Medium</t>
  </si>
  <si>
    <t>CS-LHY032-GN2-XXL</t>
  </si>
  <si>
    <t>X001T62D7X</t>
  </si>
  <si>
    <t>B07C3PLGYD</t>
  </si>
  <si>
    <t>MOCOTONO Men's Short Sleeve Floral Print Button Down Casual Shirt Green 2 XX-Large</t>
  </si>
  <si>
    <t>MTX-IULHY-DBM8022-CF-28</t>
  </si>
  <si>
    <t>X001UPFPQ9</t>
  </si>
  <si>
    <t>B07G55RTQV</t>
  </si>
  <si>
    <t>Men's Indoor Rabbit Slippers Non-Slip Plush Slip-on Shoes Dark Coffee Medium</t>
  </si>
  <si>
    <t>CS-LHY032-NB-XXL</t>
  </si>
  <si>
    <t>X001T5TBFB</t>
  </si>
  <si>
    <t>B07D6J2QZJ</t>
  </si>
  <si>
    <t>MOCOTONO Men's Short Sleeve Floral Print Button Down Casual Shirt Navy XX-Large</t>
  </si>
  <si>
    <t>CS-LY084-H2-XL</t>
  </si>
  <si>
    <t>B06XPX3S3M</t>
  </si>
  <si>
    <t>MOCOTONO Men's Long Sleeve Plaid Button Down Cotton Casual Shirts Coffee and Grass Green X-Large</t>
  </si>
  <si>
    <t>MY-SB018-RD-S</t>
  </si>
  <si>
    <t>B077XDKYXS</t>
  </si>
  <si>
    <t>MOCOTONO Men's Button up Pullover Regular Fit Casual Sweater Red S</t>
  </si>
  <si>
    <t>CS-SB030-BK-XXL</t>
  </si>
  <si>
    <t>B078VZH3PS</t>
  </si>
  <si>
    <t>Mocotono Men's Short Sleeve Oxford Button Down Casual Shirt, Black, XX-Large</t>
  </si>
  <si>
    <t>MY-LYPoint021-W0-XL</t>
  </si>
  <si>
    <t>B073XJMSN7</t>
  </si>
  <si>
    <t>MOCOTONO Men's V-Neck Long Sleeve Pullover Casual Sweater White X-Large</t>
  </si>
  <si>
    <t>MTX-IULHY-MT836-KK-28</t>
  </si>
  <si>
    <t>X001UPHXWX</t>
  </si>
  <si>
    <t>B07G53G7XQ</t>
  </si>
  <si>
    <t>MOCOTONO Men's Cozy Memory Foam Slipper Fleece Lining Slip On House Shoes Brown Medium</t>
  </si>
  <si>
    <t>WY-SB017-NY-M</t>
  </si>
  <si>
    <t>B078NK4CN7</t>
  </si>
  <si>
    <t>MOCOTONO Men's Pullover Hoodies Fleece Hooded Sweatshirt Dark Blue Medium</t>
  </si>
  <si>
    <t>CS-LY084-H1-XL</t>
  </si>
  <si>
    <t>B072MM1513</t>
  </si>
  <si>
    <t>MOCOTONO Men's Long Sleeve Plaid Button Down Cotton Casual Shirts Coffee/Grass Green X-Large</t>
  </si>
  <si>
    <t>POLO-SB1503-NY-S</t>
  </si>
  <si>
    <t>X001T23QVT</t>
  </si>
  <si>
    <t>MTX-IULHY-M1758-LC-28</t>
  </si>
  <si>
    <t>X001U4CCVB</t>
  </si>
  <si>
    <t>B07FM1DB56</t>
  </si>
  <si>
    <t>MOCOTONO Men's Cotton Knitted Memory Foam Slipper Fleece Lining Indoor House Shoes Coffee(Stripe) Medium</t>
  </si>
  <si>
    <t>MY-BS026-GN-XL</t>
  </si>
  <si>
    <t>X001SV94NF</t>
  </si>
  <si>
    <t>B078SNCQ64</t>
  </si>
  <si>
    <t>MOCOTONO Mens Long Sleeve Turtle Neck Zip Pullover Sweater Green X-Large</t>
  </si>
  <si>
    <t>CS-LHY009-RD-XXL</t>
  </si>
  <si>
    <t>X001T205SB</t>
  </si>
  <si>
    <t>B074ZXXLP5</t>
  </si>
  <si>
    <t>MOCOTONO Men's Short Sleeve Plaid Checkered Button Down Casual Shirts Red XX-Large</t>
  </si>
  <si>
    <t>MTX-IULHY-DBMS90-GR-28</t>
  </si>
  <si>
    <t>X001UW0L2Z</t>
  </si>
  <si>
    <t>B07GB4PC7F</t>
  </si>
  <si>
    <t>Men's Stripe Memory Foam Slippers Fleece Plush Slippers for Indoor Gray Medium</t>
  </si>
  <si>
    <t>CS-LY085-LG907-S</t>
  </si>
  <si>
    <t>B06XYZPBV7</t>
  </si>
  <si>
    <t>Men's Solid Color Oxford Long Sleeve Button Down Casual Shirt Light Gray Small</t>
  </si>
  <si>
    <t>CS-LHY016-LB-S</t>
  </si>
  <si>
    <t>X001THCFS9</t>
  </si>
  <si>
    <t>CS-LHY003-BK-S</t>
  </si>
  <si>
    <t>X001THM3A9</t>
  </si>
  <si>
    <t>MY-LYPoint021-DG-S</t>
  </si>
  <si>
    <t>B073XJP7H2</t>
  </si>
  <si>
    <t>MOCOTONO Men's V-Neck Long Sleeve Pullover Casual Sweater Dark Green Small</t>
  </si>
  <si>
    <t>MTX-IULHY-M8001-CF-28</t>
  </si>
  <si>
    <t>X001UX7JNX</t>
  </si>
  <si>
    <t>B07GBMCHRX</t>
  </si>
  <si>
    <t>Men's Suede Memory Foam House Slipper Fleece Plush Lining Slip-on Clog Shoes Indoor &amp; Outdoor Coffee Medium</t>
  </si>
  <si>
    <t>CS-BUSB031-GN1-S</t>
  </si>
  <si>
    <t>B078VZ8HXT</t>
  </si>
  <si>
    <t>MOCOTONO Men's Long Sleeve Flannel Plaid Checkered Button Down Casual Dress Shirts Green1 Small</t>
  </si>
  <si>
    <t>MTX-IULHY-MT836-DG-29</t>
  </si>
  <si>
    <t>X001UOVMAX</t>
  </si>
  <si>
    <t>B07G59Y2HT</t>
  </si>
  <si>
    <t>MOCOTONO Men's Cozy Memory Foam Slipper Fleece Lining Slip On House Shoes Dark Grey Large</t>
  </si>
  <si>
    <t>CS-LHY016-LB-XXL</t>
  </si>
  <si>
    <t>X001TGTPAL</t>
  </si>
  <si>
    <t>MY-SBRound020-BL-S</t>
  </si>
  <si>
    <t>X001SVULTB</t>
  </si>
  <si>
    <t>MTX-IULHY-M1798-BK-29</t>
  </si>
  <si>
    <t>X001U4WWSJ</t>
  </si>
  <si>
    <t>B07FMM1TMM</t>
  </si>
  <si>
    <t>MOCOTONO Men's Cotton Knitted Memory Foam Slipper Fleece Lining House Slippers Black Large</t>
  </si>
  <si>
    <t>CS-LHY009-CF-L</t>
  </si>
  <si>
    <t>X001T2RYCV</t>
  </si>
  <si>
    <t>CS-LY166-B28-1-XL</t>
  </si>
  <si>
    <t>CS-SB003-NB-S</t>
  </si>
  <si>
    <t>B075157GBJ</t>
  </si>
  <si>
    <t>Mocotono Men's Long Sleeve Denim Solid Double-Pocket Shirt Navy Blue Small</t>
  </si>
  <si>
    <t>CS-BBS003-BK-XXL</t>
  </si>
  <si>
    <t>B078JFBBFQ</t>
  </si>
  <si>
    <t>MOCOTONO Men's Long Sleeve Denim Double-Pocket Shirt Black XX-Large</t>
  </si>
  <si>
    <t>CS-SB007-LB-XXL</t>
  </si>
  <si>
    <t>WQS-BN-1503-RO-XL</t>
  </si>
  <si>
    <t>B0788L4FX6</t>
  </si>
  <si>
    <t>MOCOTONO Men's Long Sleeve Casual Collared Polo Shirt Top Red XL</t>
  </si>
  <si>
    <t>CS-LY085-LB916-M</t>
  </si>
  <si>
    <t>B06XYZHW8G</t>
  </si>
  <si>
    <t>Men's Solid Color Oxford Long Sleeve Button Down Casual Shirt Light Blue Medium</t>
  </si>
  <si>
    <t>CS-LY084-H16-XL</t>
  </si>
  <si>
    <t>B06XYHPM34</t>
  </si>
  <si>
    <t>MOCOTONO Men's Long Sleeve Plaid Button Down Cotton Casual Shirts Muti Plaid 16 X-Large</t>
  </si>
  <si>
    <t>CS-SB010-WT-4</t>
  </si>
  <si>
    <t>B075556QB8</t>
  </si>
  <si>
    <t>MOCOTONO Men's Non Iron Formal Business Tuxedo Dress Shirt White M 15.5" Neck, 33" Sleeve</t>
  </si>
  <si>
    <t>MY-SB011JR-LG-M</t>
  </si>
  <si>
    <t>B0786YYNJK</t>
  </si>
  <si>
    <t>MOCOTONO Men's V Neck Pullover Fleece Lined Cotton Sweater Light Gray Small</t>
  </si>
  <si>
    <t>KZ-LHYX001-WHT-L</t>
  </si>
  <si>
    <t>X001TKG2DZ</t>
  </si>
  <si>
    <t>B07F1FPHG7</t>
  </si>
  <si>
    <t>MOCOTONO Women's White Linen Pants Casual Loose Linen Cropped Wide Leg Pants White L</t>
  </si>
  <si>
    <t>CS-BUSB031-GN1-XXL</t>
  </si>
  <si>
    <t>CS-LY084-H12-XXL</t>
  </si>
  <si>
    <t>MY-SB011-PP-M</t>
  </si>
  <si>
    <t>MY-BS027-DG-XL</t>
  </si>
  <si>
    <t>X001SVSKBH</t>
  </si>
  <si>
    <t>WQS-BN-1503-RO-2XL</t>
  </si>
  <si>
    <t>B0788QHJLM</t>
  </si>
  <si>
    <t>MOCOTONO Men's Long Sleeve Casual Collared Polo Shirt Top Red XXL</t>
  </si>
  <si>
    <t>CS-SB006-RD1-2XL</t>
  </si>
  <si>
    <t>B074NWFV4Y</t>
  </si>
  <si>
    <t>MOCOTONO Men's Long Sleeve Standard Fit Plaid Checked Button Up Casual Shirts Red XX-Large</t>
  </si>
  <si>
    <t>CS-SB016-BK-XL</t>
  </si>
  <si>
    <t>B077XT6WM4</t>
  </si>
  <si>
    <t>Men's Long Sleeve Denim Solid Double-Pocket Shirt Black X-Large</t>
  </si>
  <si>
    <t>CS-BUSB031LHY-YL1-XXL</t>
  </si>
  <si>
    <t>X001STXDLB</t>
  </si>
  <si>
    <t>B078VZHFNC</t>
  </si>
  <si>
    <t>MOCOTONO Men's Long Sleeve Flannel Plaid Checkered Button Down Casual Dress Shirts Yellow1 XX-Large</t>
  </si>
  <si>
    <t>CS-BUSB031-GN3-XL</t>
  </si>
  <si>
    <t>B078VZTNHM</t>
  </si>
  <si>
    <t>MOCOTONO Men's Long Sleeve Flannel Plaid Checkered Button Down Casual Dress Shirts Green3 X-Large</t>
  </si>
  <si>
    <t>WY-SB017-NY-XL</t>
  </si>
  <si>
    <t>B078NL99VZ</t>
  </si>
  <si>
    <t>MOCOTONO Men's Pullover Hoodies Fleece Hooded Sweatshirt Dark Blue X-Large</t>
  </si>
  <si>
    <t>MY-LYRound020-KQ-XL</t>
  </si>
  <si>
    <t>B073XJYHF3</t>
  </si>
  <si>
    <t>MOCOTONO Men's Long Sleeve Crew Neck Pullover Knit Sweater Khaki X-Large</t>
  </si>
  <si>
    <t>POLO-SB014-NY-S</t>
  </si>
  <si>
    <t>B076CZ1HNN</t>
  </si>
  <si>
    <t>MOCOTONO Men's Long Sleeve Casual Golf Polo Shirt Navy Blue Small</t>
  </si>
  <si>
    <t>MY-SB011-PP-L</t>
  </si>
  <si>
    <t>B075914M1S</t>
  </si>
  <si>
    <t>MOCOTONO Men's V Neck Pullover Sweater Long Sleeve Cotton Casual Sweat Dress,Purple,Medium</t>
  </si>
  <si>
    <t>MY-LYPoint021-GN-M</t>
  </si>
  <si>
    <t>B0788G6985</t>
  </si>
  <si>
    <t>MOCOTONO Men's V-Neck Long Sleeve Pullover Casual Sweater Green Medium</t>
  </si>
  <si>
    <t>CS-SB166-K33-4-M</t>
  </si>
  <si>
    <t>B07915TV8G</t>
  </si>
  <si>
    <t>MOCOTONO Men's Long Sleeve Flannel Plaid Dress Shirt Western Button Down Shirts White and Navy Medium</t>
  </si>
  <si>
    <t>CS-SB009-YL-XXL</t>
  </si>
  <si>
    <t>B07519XDJ8</t>
  </si>
  <si>
    <t>MOCOTONO Men's Short Sleeve Plaid Checkered Button Down Casual Shirts Yellow XX-Large</t>
  </si>
  <si>
    <t>CS-BUSB031LHY-YL1-L</t>
  </si>
  <si>
    <t>X001SUEWJ7</t>
  </si>
  <si>
    <t>CS-SB007-LB-XL</t>
  </si>
  <si>
    <t>B075146M52</t>
  </si>
  <si>
    <t>Mens Oxford Long Sleeve Button Down Casual Dress Shirts Gray XX-Large</t>
  </si>
  <si>
    <t>CS-SB005-YL-M</t>
  </si>
  <si>
    <t>B074P2V5FF</t>
  </si>
  <si>
    <t>MOCOTONO Men's Long Sleeve Cotton Plaid Button Down Casual Shirts Yellow Medium</t>
  </si>
  <si>
    <t>CFY-W1798-RD-XL</t>
  </si>
  <si>
    <t>B076HMGS4Q</t>
  </si>
  <si>
    <t>MOCOTONO Women's Waterproof Rain Jacket Fleece Snow Ski Winter Coat Red X-Large</t>
  </si>
  <si>
    <t>CS-SB005-BL2-XL</t>
  </si>
  <si>
    <t>B074NSCYWN</t>
  </si>
  <si>
    <t>MOCOTONO Men's Long Sleeve Cotton Plaid Button Down Casual Shirts Sapphire X-Large</t>
  </si>
  <si>
    <t>MY-SB011-BL-S</t>
  </si>
  <si>
    <t>B07598FH1T</t>
  </si>
  <si>
    <t>MOCOTONO Men's V Neck Pullover Sweater Long Sleeve Cotton Casual Sweat Dress,Purple,X-Large</t>
  </si>
  <si>
    <t>CS-SB166-K73-2-XXL</t>
  </si>
  <si>
    <t>B07916B357</t>
  </si>
  <si>
    <t>CS-LY084-H2-XXL</t>
  </si>
  <si>
    <t>B06XPMVT3R</t>
  </si>
  <si>
    <t>MOCOTONO Men's Long Sleeve Plaid Button Down Cotton Casual Shirts Coffee and Grass Green XX-Large</t>
  </si>
  <si>
    <t>CS-LY170-WR917-S</t>
  </si>
  <si>
    <t>B073PQ59J8</t>
  </si>
  <si>
    <t>Mocotono Men's Short Sleeve Oxford Button Down Casual Shirt, Maroon, Small</t>
  </si>
  <si>
    <t>CS-NEW181-Sa911-S</t>
  </si>
  <si>
    <t>X001UDYE3B</t>
  </si>
  <si>
    <t>B078FH6LLH</t>
  </si>
  <si>
    <t>Men's Oxford Long Sleeve Button Down Casual Dress Shirt Sapphire Small</t>
  </si>
  <si>
    <t>MTX-IULHY-MA86-CF-41</t>
  </si>
  <si>
    <t>X001UPGFXV</t>
  </si>
  <si>
    <t>B07G55NW35</t>
  </si>
  <si>
    <t>MOCOTONO Men's Memory Foam Slipper Fleece Lining Cute Print House Shoes Coffee(Star) Medium</t>
  </si>
  <si>
    <t>MTX-IULHY-M8001-GR-27</t>
  </si>
  <si>
    <t>X001UX9F3P</t>
  </si>
  <si>
    <t>B07GBMXQ75</t>
  </si>
  <si>
    <t>Men's Suede Memory Foam House Slipper Fleece Plush Lining Slip-on Clog Shoes Indoor &amp; Outdoor Gray Small</t>
  </si>
  <si>
    <t>CS-LY171-G912-M</t>
  </si>
  <si>
    <t>B073PPMXD1</t>
  </si>
  <si>
    <t>Men's Oxford Long Sleeve Button Down Dress Shirt With Pocket,Green,Medium</t>
  </si>
  <si>
    <t>CS-SB016-NB-XXL</t>
  </si>
  <si>
    <t>B077XP95HD</t>
  </si>
  <si>
    <t>Mocotono Men's Long Sleeve Thick Denim Shirt Light Blue (Thick) XX-Large</t>
  </si>
  <si>
    <t>MTX-IULHY-MA86-BK-41</t>
  </si>
  <si>
    <t>X001UPFDIT</t>
  </si>
  <si>
    <t>B07G54ZLZY</t>
  </si>
  <si>
    <t>MOCOTONO Men's Memory Foam Slipper Fleece Lining Cute Print House Shoes Black(Star) Medium</t>
  </si>
  <si>
    <t>MY-SB011-RD-M</t>
  </si>
  <si>
    <t>B0758ZN6DM</t>
  </si>
  <si>
    <t>MOCOTONO Men's V Neck Pullover Sweater Long Sleeve Cotton Casual Sweat Dress,Red,Small</t>
  </si>
  <si>
    <t>CS-BUSB031-GN3-S</t>
  </si>
  <si>
    <t>B078VZN6N3</t>
  </si>
  <si>
    <t>MOCOTONO Men's Long Sleeve Flannel Plaid Checkered Button Down Casual Dress Shirts Green3 Small</t>
  </si>
  <si>
    <t>MTX-IULHY-DBMS90-GR-27</t>
  </si>
  <si>
    <t>X001UW0NMD</t>
  </si>
  <si>
    <t>B07GB55YCR</t>
  </si>
  <si>
    <t>Men's Stripe Memory Foam Slippers Fleece Plush Slippers for Indoor Gray Small</t>
  </si>
  <si>
    <t>WY-SB017-LG-XXL</t>
  </si>
  <si>
    <t>B078NPGK7L</t>
  </si>
  <si>
    <t>MOCOTONO Men's Pullover Hoodies Fleece Hooded Sweatshirt Light Grey XX-Large</t>
  </si>
  <si>
    <t>CS-SB171-PI908-XXL</t>
  </si>
  <si>
    <t>B0788KMQXD</t>
  </si>
  <si>
    <t>Men's Oxford Long Sleeve Button Down Dress Shirt with Pocket,XX-Large</t>
  </si>
  <si>
    <t>CS-BUSB031-GN1-M</t>
  </si>
  <si>
    <t>B078W17Y8B</t>
  </si>
  <si>
    <t>MOCOTONO Men's Long Sleeve Flannel Plaid Checkered Button Down Casual Dress Shirts Green1 Medium</t>
  </si>
  <si>
    <t>CS-LHY009-BK-L</t>
  </si>
  <si>
    <t>X001T32NEJ</t>
  </si>
  <si>
    <t>B07DNQMXPN</t>
  </si>
  <si>
    <t>MOCOTONO Men's Short Sleeve Plaid Checkered Button Down Casual Shirts Black Large</t>
  </si>
  <si>
    <t>CS-SB002-CF-XXL</t>
  </si>
  <si>
    <t>B07BLLSVKD</t>
  </si>
  <si>
    <t>MOCOTONO Men's Long Sleeve Regular Fit Plaid Button Down Casual Shirts Coffee XX-Large</t>
  </si>
  <si>
    <t>MTX-IULHY-M8003-LG-29</t>
  </si>
  <si>
    <t>X001UXCT01</t>
  </si>
  <si>
    <t>B07GBR858B</t>
  </si>
  <si>
    <t>MOCOTONO Men's Comfy House Slipper Anti Slip Memory Foam Slipper Light Gray Large</t>
  </si>
  <si>
    <t>MY-SB026-DG-XL</t>
  </si>
  <si>
    <t>B078SL9SLV</t>
  </si>
  <si>
    <t>MOCOTONO Mens Long Sleeve Turtle Neck Zip Pullover Sweater Dark Gray X-Large</t>
  </si>
  <si>
    <t>CS-LY166-K33-4-M</t>
  </si>
  <si>
    <t>B0711XBC78</t>
  </si>
  <si>
    <t>CS-BBS016-B0-L</t>
  </si>
  <si>
    <t>CS-SB005-RD1-M</t>
  </si>
  <si>
    <t>B074NRHJQL</t>
  </si>
  <si>
    <t>MOCOTONO Men's Long Sleeve Cotton Plaid Button Down Casual Shirts Scarlet Medium</t>
  </si>
  <si>
    <t>MY-BS027-LG-L</t>
  </si>
  <si>
    <t>X001SVYOIZ</t>
  </si>
  <si>
    <t>CS-SB006-RD2-M</t>
  </si>
  <si>
    <t>B074P174T6</t>
  </si>
  <si>
    <t>MOCOTONO Men's Long Sleeve Standard Fit Plaid Checked Button Up Casual Shirts Scarlet Medium</t>
  </si>
  <si>
    <t>CS-LHY009-GN-M</t>
  </si>
  <si>
    <t>X001T2RZ9X</t>
  </si>
  <si>
    <t>CS-SB007-PP-L</t>
  </si>
  <si>
    <t>B07519P3CB</t>
  </si>
  <si>
    <t>CS-BUSB032-NB-XXL</t>
  </si>
  <si>
    <t>B07C3W73C5</t>
  </si>
  <si>
    <t>CS-BUSB031-YL2-XL</t>
  </si>
  <si>
    <t>MY-LYRound020-GN-XL</t>
  </si>
  <si>
    <t>B0788FJLYT</t>
  </si>
  <si>
    <t>MOCOTONO Men's Long Sleeve Crew Neck Pullover Knit Sweater Green X-Large</t>
  </si>
  <si>
    <t>CS-LHY084-H1-S</t>
  </si>
  <si>
    <t>X001TZFSKX</t>
  </si>
  <si>
    <t>B071WRDPXY</t>
  </si>
  <si>
    <t>MOCOTONO Men's Long Sleeve Plaid Button Down Cotton Casual Shirts Coffee/Grass Green Small</t>
  </si>
  <si>
    <t>CS-SB002-CF-S</t>
  </si>
  <si>
    <t>B074DV8WZF</t>
  </si>
  <si>
    <t>MOCOTONO Men's Long Sleeve Regular Fit Plaid Button Down Casual Shirts Coffee Small</t>
  </si>
  <si>
    <t>KZ-LHY001-YLW-XL</t>
  </si>
  <si>
    <t>X001SQWLYJ</t>
  </si>
  <si>
    <t>B07DHFNS63</t>
  </si>
  <si>
    <t>MOCOTONO Women's Plus Size Elastic Waist Wide Leg Linen Cropped Pants Yellow X-Large</t>
  </si>
  <si>
    <t>MY-SB019-BL-L</t>
  </si>
  <si>
    <t>B077XFW386</t>
  </si>
  <si>
    <t>MOCOTONO Men's Cotton V Neck Sweater Regular Fit Pullover Knitwear Blue L</t>
  </si>
  <si>
    <t>CS-BUSB031-RD1-XXL</t>
  </si>
  <si>
    <t>B078VYD4YX</t>
  </si>
  <si>
    <t>MOCOTONO Men's Long Sleeve Flannel Plaid Checkered Button Down Casual Dress Shirts Red1 XX-Large</t>
  </si>
  <si>
    <t>CFY-M1798-RD-S</t>
  </si>
  <si>
    <t>B076STWKGB</t>
  </si>
  <si>
    <t>MOCOTONO Women's Waterproof Rain Jacket Fleece Snow Ski Winter Coat Red 2 Small</t>
  </si>
  <si>
    <t>CS-BUSB031LHY-RD2-L</t>
  </si>
  <si>
    <t>X001STSZ1T</t>
  </si>
  <si>
    <t>MY-SB019-RD-S</t>
  </si>
  <si>
    <t>B077XG52GV</t>
  </si>
  <si>
    <t>MOCOTONO Men's Cotton V Neck Sweater Regular Fit Pullover Knitwear Red S</t>
  </si>
  <si>
    <t>MY-SB011-CF-L</t>
  </si>
  <si>
    <t>B075951N98</t>
  </si>
  <si>
    <t>MOCOTONO Men's V Neck Pullover Sweater Long Sleeve Cotton Casual Sweat Dress,Coffee,Medium</t>
  </si>
  <si>
    <t>CS-SB016-B0-XXL</t>
  </si>
  <si>
    <t>B077XP4WLY</t>
  </si>
  <si>
    <t>MOCOTONO Men's Snug Fit Long Sleeve Denim Flap Pockets Shirt Blue (Thick) XX-Large</t>
  </si>
  <si>
    <t>MTX-IULHY-M8003-BK-28</t>
  </si>
  <si>
    <t>X001UXEX9V</t>
  </si>
  <si>
    <t>B07GBSSXDZ</t>
  </si>
  <si>
    <t>MOCOTONO Men's Comfy House Slipper Anti Slip Memory Foam Slipper Black Medium</t>
  </si>
  <si>
    <t>MY-LYPoint021-BL-L</t>
  </si>
  <si>
    <t>B0788DYWCT</t>
  </si>
  <si>
    <t>MOCOTONO Men's V-Neck Long Sleeve Regular Fit Pullover Casual Sweater Blue Large Blue Large</t>
  </si>
  <si>
    <t>MY-SB026-KK-S</t>
  </si>
  <si>
    <t>B078SKK34P</t>
  </si>
  <si>
    <t>MOCOTONO Mens Long Sleeve Turtle Neck Zip Pullover Sweater Khaki Small</t>
  </si>
  <si>
    <t>CS-SB006-BL-2XL</t>
  </si>
  <si>
    <t>B074P2RP7K</t>
  </si>
  <si>
    <t>MOCOTONO Men's Long Sleeve Standard Fit Plaid Checked Button Up Casual Shirts Blue XX-Large</t>
  </si>
  <si>
    <t>MY-SBRound020-WR-S</t>
  </si>
  <si>
    <t>X001SVULSH</t>
  </si>
  <si>
    <t>CS-LY181-G912-XXL</t>
  </si>
  <si>
    <t>B073PPXSX4</t>
  </si>
  <si>
    <t>MTX-IULHY-M8001-GR-28</t>
  </si>
  <si>
    <t>X001UX83HT</t>
  </si>
  <si>
    <t>B07GBMQKDL</t>
  </si>
  <si>
    <t>Men's Suede Memory Foam House Slipper Fleece Plush Lining Slip-on Clog Shoes Indoor &amp; Outdoor Gray Medium</t>
  </si>
  <si>
    <t>CS-LY086-N0-S</t>
  </si>
  <si>
    <t>B06XPCX59X</t>
  </si>
  <si>
    <t>Men's Denim Long Sleeve Pocket Casual Dress Shirt Navy Blue Small (Slim Fit)</t>
  </si>
  <si>
    <t>MY-BBS011-PP-S</t>
  </si>
  <si>
    <t>X001T33ABT</t>
  </si>
  <si>
    <t>B075995G27</t>
  </si>
  <si>
    <t>MOCOTONO Men's V Neck Pullover Sweater Long Sleeve Cotton Casual Sweat Dress,Navy Blue,X-Large</t>
  </si>
  <si>
    <t>CS-BUSB031-GN2-XL</t>
  </si>
  <si>
    <t>MY-SB011-NY-S</t>
  </si>
  <si>
    <t>B0758SR1CB</t>
  </si>
  <si>
    <t>MOCOTONO Men's V Neck Pullover Sweater Long Sleeve Cotton Casual Sweat Dress,Dark Gray,X-Large</t>
  </si>
  <si>
    <t>CS-SB010-WT-8</t>
  </si>
  <si>
    <t>B07556LCKF</t>
  </si>
  <si>
    <t>MOCOTONO Men's Non Iron Formal Business Tuxedo Dress Shirt White XL 17.5" Neck, 35.75" Sleeve</t>
  </si>
  <si>
    <t>CS-LY166-K33-1-S</t>
  </si>
  <si>
    <t>B0711XBBFZ</t>
  </si>
  <si>
    <t>MOCOTONO Men's Long Sleeve Flannel Plaid Dress Shirt Western Button Down Shirts Red and Navy Small</t>
  </si>
  <si>
    <t>WQS-BN-1503-RO-S</t>
  </si>
  <si>
    <t>CS-LY181-PI908-M</t>
  </si>
  <si>
    <t>B073PQHBRH</t>
  </si>
  <si>
    <t>Men's Oxford Long Sleeve Button Down Casual Dress Shirt Pink Medium</t>
  </si>
  <si>
    <t>MY-LYRound020-LB-L</t>
  </si>
  <si>
    <t>B073XJW2WJ</t>
  </si>
  <si>
    <t>MOCOTONO Men's Long Sleeve Crew Neck Pullover Knit Sweater Light Blue Large</t>
  </si>
  <si>
    <t>MY-SB019-DG-L</t>
  </si>
  <si>
    <t>B077XH38B9</t>
  </si>
  <si>
    <t>MOCOTONO Men's Cotton V Neck Sweater Regular Fit Pullover Knitwear Dark Gray L</t>
  </si>
  <si>
    <t>CS-SB181-LB916-XXL</t>
  </si>
  <si>
    <t>B0789BD4M4</t>
  </si>
  <si>
    <t>MTX-IULHY-M8001-CF-29</t>
  </si>
  <si>
    <t>X001UX8HXJ</t>
  </si>
  <si>
    <t>B07GBL116C</t>
  </si>
  <si>
    <t>Men's Suede Memory Foam House Slipper Fleece Plush Lining Slip-on Clog Shoes Indoor &amp; Outdoor Coffee Large</t>
  </si>
  <si>
    <t>CS-NEW171-ZL918-XXL</t>
  </si>
  <si>
    <t>X001UDWNB1</t>
  </si>
  <si>
    <t>B0788NS23T</t>
  </si>
  <si>
    <t>Men's Oxford Long Sleeve Button Down Dress Shirt Pocket,Navy Blue,XX-Large</t>
  </si>
  <si>
    <t>MY-SB027-GN-M</t>
  </si>
  <si>
    <t>B078TB9KGM</t>
  </si>
  <si>
    <t>MOCOTONO Men's V-Neck Cotton Sleeveless Sweater Casual Vest Green Medium</t>
  </si>
  <si>
    <t>MTX-IULHY-M8001-GR-29</t>
  </si>
  <si>
    <t>X001UXAIPJ</t>
  </si>
  <si>
    <t>B07GBPX9H8</t>
  </si>
  <si>
    <t>Men's Suede Memory Foam House Slipper Fleece Plush Lining Slip-on Clog Shoes Indoor &amp; Outdoor Gray Large</t>
  </si>
  <si>
    <t>MY-BS026-LG-M</t>
  </si>
  <si>
    <t>X001SVY5VB</t>
  </si>
  <si>
    <t>B078SGQ8B9</t>
  </si>
  <si>
    <t>MOCOTONO Mens Long Sleeve Turtle Neck Zip Pullover Sweater Light Grey Medium</t>
  </si>
  <si>
    <t>CS-LY085-ZL918-M</t>
  </si>
  <si>
    <t>B06XZ1KL3X</t>
  </si>
  <si>
    <t>Men's Solid Color Oxford Long Sleeve Button Down Casual Shirt Navy Blue Medium</t>
  </si>
  <si>
    <t>CS-BS003-NB-M</t>
  </si>
  <si>
    <t>B078J8H664</t>
  </si>
  <si>
    <t>CS-LHY032-NB-XL</t>
  </si>
  <si>
    <t>X001T5TV29</t>
  </si>
  <si>
    <t>CS-LY166-K33-1-XL</t>
  </si>
  <si>
    <t>MTX-IULHY-M188-GR-40/42</t>
  </si>
  <si>
    <t>X001U39TKT</t>
  </si>
  <si>
    <t>B07FM76VGV</t>
  </si>
  <si>
    <t>MOCOTONO Men's Cotton Knitted Memory Foam Slipper Fleece Lining Indoor House Shoes Grey(Check) Medium</t>
  </si>
  <si>
    <t>CS-LHY032-YL-L</t>
  </si>
  <si>
    <t>X001T4KPK7</t>
  </si>
  <si>
    <t>CS-SB006-BL-M</t>
  </si>
  <si>
    <t>B074NZMXCP</t>
  </si>
  <si>
    <t>MOCOTONO Men's Long Sleeve Standard Fit Plaid Checked Button Up Casual Shirts Blue Medium</t>
  </si>
  <si>
    <t>MY-BS026-GN-M</t>
  </si>
  <si>
    <t>X001SVVG2R</t>
  </si>
  <si>
    <t>B078SKLKRM</t>
  </si>
  <si>
    <t>MOCOTONO Mens Long Sleeve Turtle Neck Zip Pullover Sweater Green Medium</t>
  </si>
  <si>
    <t>CS-SB005-BL2-L</t>
  </si>
  <si>
    <t>B074P2STD5</t>
  </si>
  <si>
    <t>MOCOTONO Men's Long Sleeve Cotton Plaid Button Down Casual Shirts Sapphire Large</t>
  </si>
  <si>
    <t>POLO-1503-NY-2XL</t>
  </si>
  <si>
    <t>B078HXK3S1</t>
  </si>
  <si>
    <t>MOCOTONO Men's Long Sleeve Casual Collared Polo Shirt Top Navy Blue XXL</t>
  </si>
  <si>
    <t>CS-LY084-H16-M</t>
  </si>
  <si>
    <t>B06XYHWH3G</t>
  </si>
  <si>
    <t>MOCOTONO Men's Long Sleeve Plaid Button Down Cotton Casual Shirts Muti Plaid 16 Medium</t>
  </si>
  <si>
    <t>MTX-IULHY-GBMS90-GR-29</t>
  </si>
  <si>
    <t>X001UW0NMN</t>
  </si>
  <si>
    <t>B07GB4K58K</t>
  </si>
  <si>
    <t>Men's Stripe Memory Foam Slippers Fleece Plush Slippers Ankle Boots for Indoor Gray Large</t>
  </si>
  <si>
    <t>CS-SB002-BLNGN-S</t>
  </si>
  <si>
    <t>B074DV2S3R</t>
  </si>
  <si>
    <t>MOCOTONO Men's Long Sleeve Regular Fit Plaid Button Down Casual Shirts Blue &amp; Green Small</t>
  </si>
  <si>
    <t>CS-LY171-LB916-L</t>
  </si>
  <si>
    <t>B073PQ7JKT</t>
  </si>
  <si>
    <t>Men's Oxford Long Sleeve Button Down Dress Shirt With Pocket,Light Blue,Large</t>
  </si>
  <si>
    <t>MY-SB011JR-CF-M</t>
  </si>
  <si>
    <t>B0786TBV4B</t>
  </si>
  <si>
    <t>MOCOTONO Men's V Neck Pullover Fleece Lined Cotton Sweater Coffee Small</t>
  </si>
  <si>
    <t>CS-BUSB031-YL2-L</t>
  </si>
  <si>
    <t>B078VYTV9R</t>
  </si>
  <si>
    <t>MOCOTONO Men's Long Sleeve Flannel Plaid Checkered Button Down Casual Dress Shirts Yellow2 Large</t>
  </si>
  <si>
    <t>CS-SB181-ZL918-L</t>
  </si>
  <si>
    <t>B0789Z4KR8</t>
  </si>
  <si>
    <t>Men's Oxford Long Sleeve Button Down Casual Dress Shirt Navy Blue Large</t>
  </si>
  <si>
    <t>MY-SBRound020-KK-M</t>
  </si>
  <si>
    <t>X001SVULTL</t>
  </si>
  <si>
    <t>B073XJSM26</t>
  </si>
  <si>
    <t>MOCOTONO Men's Long Sleeve Crew Neck Pullover Knit Sweater Khaki Medium</t>
  </si>
  <si>
    <t>MY-BS026-LG-L</t>
  </si>
  <si>
    <t>X001SVXXHD</t>
  </si>
  <si>
    <t>B078SKZDVM</t>
  </si>
  <si>
    <t>MOCOTONO Mens Long Sleeve Turtle Neck Zip Pullover Sweater Light Grey Large</t>
  </si>
  <si>
    <t>MY-LYRound020-GN-L</t>
  </si>
  <si>
    <t>B0788FG1LY</t>
  </si>
  <si>
    <t>MOCOTONO Men's Long Sleeve Crew Neck Pullover Knit Sweater Green Large</t>
  </si>
  <si>
    <t>CS-SB166-K33-1-S</t>
  </si>
  <si>
    <t>CS-SB171-ZL918-XXL</t>
  </si>
  <si>
    <t>MY-SB027-NY-XL</t>
  </si>
  <si>
    <t>MY-SB026-LG-S</t>
  </si>
  <si>
    <t>B078SKHDF2</t>
  </si>
  <si>
    <t>MOCOTONO Mens Long Sleeve Turtle Neck Zip Pullover Sweater Light Grey Small</t>
  </si>
  <si>
    <t>MTX-IULHY-GBMS90-BK-27</t>
  </si>
  <si>
    <t>X001UW1ACZ</t>
  </si>
  <si>
    <t>B07GB5D3MN</t>
  </si>
  <si>
    <t>Men's Stripe Memory Foam Slippers Fleece Plush Slippers Ankle Boots for Indoor Black Small</t>
  </si>
  <si>
    <t>CFY-M1830-BL-L</t>
  </si>
  <si>
    <t>B076V4L7ZD</t>
  </si>
  <si>
    <t>MOCOTONO Men's Rain Waterproof Winter Jacket Sports Snow Ski Outdoor Coat Blue Large</t>
  </si>
  <si>
    <t>MTX-IULHY-M188-GR-43/44</t>
  </si>
  <si>
    <t>X001U4XK21</t>
  </si>
  <si>
    <t>B07FM4YDSB</t>
  </si>
  <si>
    <t>MOCOTONO Men's Cotton Knitted Memory Foam Slipper Fleece Lining Indoor House Shoes Grey(Check) Large</t>
  </si>
  <si>
    <t>MY-LYRound020-GR-XL</t>
  </si>
  <si>
    <t>B073XJXDRJ</t>
  </si>
  <si>
    <t>MOCOTONO Men's Long Sleeve Crew Neck Pullover Knit Sweater Gray X-Large</t>
  </si>
  <si>
    <t>MY-SB027-BL-XL</t>
  </si>
  <si>
    <t>B078TC2XBX</t>
  </si>
  <si>
    <t>MOCOTONO Men's V-Neck Cotton Sleeveless Sweater Casual Vest Blue X-Large</t>
  </si>
  <si>
    <t>CS-SB003-NB-L</t>
  </si>
  <si>
    <t>B075112589</t>
  </si>
  <si>
    <t>Mocotono Men's Long Sleeve Denim Solid Double-Pocket Shirt Navy Blue Large</t>
  </si>
  <si>
    <t>POLO-SB014-YL-M</t>
  </si>
  <si>
    <t>B076D38VYN</t>
  </si>
  <si>
    <t>CS-BS016-LB-M</t>
  </si>
  <si>
    <t>B078JBJ2V2</t>
  </si>
  <si>
    <t>CS-LHY166-K73-2-S</t>
  </si>
  <si>
    <t>X001TZLDJX</t>
  </si>
  <si>
    <t>B072LM9VCD</t>
  </si>
  <si>
    <t>MOCOTONO Men's Long Sleeve Flannel Plaid Dress Shirt Western Button Down Shirts Black Small</t>
  </si>
  <si>
    <t>MY-LYRound020-KQ-M</t>
  </si>
  <si>
    <t>MY-LYRound020-W0-M</t>
  </si>
  <si>
    <t>B073XK4Y1J</t>
  </si>
  <si>
    <t>MOCOTONO Men's Long Sleeve Crew Neck Pullover Knit Sweater White Medium</t>
  </si>
  <si>
    <t>CS-LY166-K33-4-XL</t>
  </si>
  <si>
    <t>B071Z63KQ2</t>
  </si>
  <si>
    <t>MOCOTONO Men's Long Sleeve Flannel Plaid Dress Shirt Western Button Down Shirts White and Navy X-Large</t>
  </si>
  <si>
    <t>MY-SB026-BK-M</t>
  </si>
  <si>
    <t>B078SLHWWD</t>
  </si>
  <si>
    <t>MOCOTONO Mens Long Sleeve Turtle Neck Zip Pullover Sweater Black Medium</t>
  </si>
  <si>
    <t>CS-BUSB032-NB-M</t>
  </si>
  <si>
    <t>CS-BUSB031-GN1-L</t>
  </si>
  <si>
    <t>B078VZWD4W</t>
  </si>
  <si>
    <t>MOCOTONO Men's Long Sleeve Flannel Plaid Checkered Button Down Casual Dress Shirts Green1 Large</t>
  </si>
  <si>
    <t>CS-SB166-K33-4-XXL</t>
  </si>
  <si>
    <t>B07916P7ZH</t>
  </si>
  <si>
    <t>MOCOTONO Men's Long Sleeve Flannel Plaid Dress Shirt Western Button Down Shirts White and Navy XX-Large</t>
  </si>
  <si>
    <t>MY-SB027-NY-S</t>
  </si>
  <si>
    <t>B078TBPN1H</t>
  </si>
  <si>
    <t>MOCOTONO Men's V-Neck Cotton Sleeveless Sweater Casual Vest Navy Small</t>
  </si>
  <si>
    <t>CS-SB009-LB-L</t>
  </si>
  <si>
    <t>CS-SB002-BL-XXL</t>
  </si>
  <si>
    <t>B074DTC4MR</t>
  </si>
  <si>
    <t>MOCOTONO Men's Long Sleeve Regular Fit Plaid Button Down Casual Shirts Blue XX-Large</t>
  </si>
  <si>
    <t>CS-SB171-WR917-S</t>
  </si>
  <si>
    <t>B0788LQ7VL</t>
  </si>
  <si>
    <t>Men's Oxford Long Sleeve Button Down Dress Shirt with Pocket,Wine Red,Small</t>
  </si>
  <si>
    <t>MY-SBPoint021-BL-M</t>
  </si>
  <si>
    <t>X001SVUG69</t>
  </si>
  <si>
    <t>POLO-SB014-GR-M</t>
  </si>
  <si>
    <t>B076CZ1K61</t>
  </si>
  <si>
    <t>MOCOTONO Men's Long Sleeve Casual Golf Polo Shirt Grey Medium</t>
  </si>
  <si>
    <t>CS-BUSB031-YL2-M</t>
  </si>
  <si>
    <t>B078VZ7M52</t>
  </si>
  <si>
    <t>MOCOTONO Men's Long Sleeve Flannel Plaid Checkered Button Down Casual Dress Shirts Yellow2 Medium</t>
  </si>
  <si>
    <t>CS-LY166-B28-3-S</t>
  </si>
  <si>
    <t>B072J7K92Q</t>
  </si>
  <si>
    <t>MOCOTONO Men's Long Sleeve Flannel Plaid Dress Shirt Western Button Down Shirts Navy Small</t>
  </si>
  <si>
    <t>CS-SB009-YL-L</t>
  </si>
  <si>
    <t>CS-LHY032-RD-XL</t>
  </si>
  <si>
    <t>X001T54CTB</t>
  </si>
  <si>
    <t>CS-BUSB031-RD1-M</t>
  </si>
  <si>
    <t>B078VYGCF1</t>
  </si>
  <si>
    <t>MOCOTONO Men's Long Sleeve Flannel Plaid Checkered Button Down Casual Dress Shirts Red1 Medium</t>
  </si>
  <si>
    <t>CS-SB166-K73-1-XXL</t>
  </si>
  <si>
    <t>B07916W6G7</t>
  </si>
  <si>
    <t>MOCOTONO Men's Long Sleeve Flannel Plaid Dress Shirt Western Button Down Shirts Red XX-Large</t>
  </si>
  <si>
    <t>CFY-W1830-RR-L</t>
  </si>
  <si>
    <t>B076HPT8P1</t>
  </si>
  <si>
    <t>MOCOTONO Women's Rain Waterproof Winter Jacket Sports Snow Ski Outdoor Coat Pink Large</t>
  </si>
  <si>
    <t>MY-SB026-RD-L</t>
  </si>
  <si>
    <t>B078SKTQ7J</t>
  </si>
  <si>
    <t>MOCOTONO Mens Long Sleeve Turtle Neck Zip Pullover Sweater Red Large</t>
  </si>
  <si>
    <t>MY-SB020-DG-XL</t>
  </si>
  <si>
    <t>B077XG567X</t>
  </si>
  <si>
    <t>MOCOTONO Men's V Neck Stripe Pullover Cotton Sweater Dark Gray XL</t>
  </si>
  <si>
    <t>CS-SB170-ZL918-L</t>
  </si>
  <si>
    <t>CS-SB007-BL-XL</t>
  </si>
  <si>
    <t>B075132L1Q</t>
  </si>
  <si>
    <t>MY-BBS011-PP-XL</t>
  </si>
  <si>
    <t>X001T2RXW7</t>
  </si>
  <si>
    <t>B07595PWSV</t>
  </si>
  <si>
    <t>MOCOTONO Men's V Neck Pullover Sweater Long Sleeve Cotton Casual Sweat Dress,Purple,Large</t>
  </si>
  <si>
    <t>CS-LY166-B28-4-M</t>
  </si>
  <si>
    <t>B07916VJSL</t>
  </si>
  <si>
    <t>MOCOTONO Men's Long Sleeve Flannel Plaid Dress Shirt Western Button Down Shirts Yellow Medium</t>
  </si>
  <si>
    <t>MY-SB027-NY-M</t>
  </si>
  <si>
    <t>B078TBS2S1</t>
  </si>
  <si>
    <t>MOCOTONO Men's V-Neck Cotton Sleeveless Sweater Casual Vest Navy Medium</t>
  </si>
  <si>
    <t>MTX-IULHY-MA86-KK-43</t>
  </si>
  <si>
    <t>X001UPITSZ</t>
  </si>
  <si>
    <t>B07G54ZTD8</t>
  </si>
  <si>
    <t>MOCOTONO Men's Memory Foam Slipper Fleece Lining Cute Print House Shoes Khaki(Star) Large</t>
  </si>
  <si>
    <t>MTX-IULHY-MA89-CF-43</t>
  </si>
  <si>
    <t>X001UPFZQJ</t>
  </si>
  <si>
    <t>B07G5B7V42</t>
  </si>
  <si>
    <t>MOCOTONO Men's Memory Foam Slipper Fleece Lining Cute Print House Shoes Coffee(Milk) Large</t>
  </si>
  <si>
    <t>MY-SB018-BK-XL</t>
  </si>
  <si>
    <t>B0785F4FS5</t>
  </si>
  <si>
    <t>MOCOTONO Men's Button up Pullover Regular Fit Casual Sweater Black XL</t>
  </si>
  <si>
    <t>MTX-IULHY-GBMS90-GR-28</t>
  </si>
  <si>
    <t>X001UW0QRP</t>
  </si>
  <si>
    <t>B07GB4MFXT</t>
  </si>
  <si>
    <t>Men's Stripe Memory Foam Slippers Fleece Plush Slippers Ankle Boots for Indoor Gray Medium</t>
  </si>
  <si>
    <t>MY-SB011-WT-XL</t>
  </si>
  <si>
    <t>B07599FBJK</t>
  </si>
  <si>
    <t>MOCOTONO Men's V Neck Pullover Sweater Long Sleeve Cotton Casual Sweat Dress,White,Large</t>
  </si>
  <si>
    <t>CS-LY181-ZL918-L</t>
  </si>
  <si>
    <t>B073PQ3NDG</t>
  </si>
  <si>
    <t>Men's Oxford Long Sleeve Button Down Casual Dress Shirt,Navy Blue,Large</t>
  </si>
  <si>
    <t>CS-SB002-BL-M</t>
  </si>
  <si>
    <t>B074DT9YV9</t>
  </si>
  <si>
    <t>MOCOTONO Men's Long Sleeve Regular Fit Plaid Button Down Casual Shirts Blue Medium</t>
  </si>
  <si>
    <t>CS-LHY009-LB-XXL</t>
  </si>
  <si>
    <t>X001T33BHH</t>
  </si>
  <si>
    <t>DK-LY-K157-OR-42</t>
  </si>
  <si>
    <t>B073PYVGPP</t>
  </si>
  <si>
    <t>MOCOTONO Men's Casual Slim Fit Cotton Multi-Pocket Twill Cargo Shorts Orange 1 Tag 42/US 40</t>
  </si>
  <si>
    <t>CS-LY166-B28-5-XXL</t>
  </si>
  <si>
    <t>B072J7L4LR</t>
  </si>
  <si>
    <t>MOCOTONO Men's Long Sleeve Flannel Plaid Dress Shirt Western Button Down Shirts Khaki XX-Large</t>
  </si>
  <si>
    <t>CS-LY084-H6-S</t>
  </si>
  <si>
    <t>CS-SB006-BL-XL</t>
  </si>
  <si>
    <t>B074P61GW5</t>
  </si>
  <si>
    <t>MOCOTONO Men's Long Sleeve Standard Fit Plaid Checked Button Up Casual Shirts Blue X-Large</t>
  </si>
  <si>
    <t>MTX-IULHY-M1798-BK-28</t>
  </si>
  <si>
    <t>X001U39TK9</t>
  </si>
  <si>
    <t>B07FM2HH8B</t>
  </si>
  <si>
    <t>MOCOTONO Men's Cotton Knitted Memory Foam Slipper Fleece Lining House Slippers Black Medium</t>
  </si>
  <si>
    <t>MY-LYRound020-W0-XL</t>
  </si>
  <si>
    <t>B073XJQR5H</t>
  </si>
  <si>
    <t>MOCOTONO Men's Long Sleeve Crew Neck Pullover Knit Sweater White X-Large</t>
  </si>
  <si>
    <t>MY-BBS011-DG-S</t>
  </si>
  <si>
    <t>X001T32FMJ</t>
  </si>
  <si>
    <t>B07592H6KH</t>
  </si>
  <si>
    <t>MOCOTONO Men's V Neck Pullover Sweater Long Sleeve Cotton Casual Sweat Dress,Light Gray,X-Large</t>
  </si>
  <si>
    <t>CS-SB002-RD-L</t>
  </si>
  <si>
    <t>B074DV3L9Z</t>
  </si>
  <si>
    <t>MOCOTONO Men's Long Sleeve Regular Fit Plaid Button Down Casual Shirts Red Large</t>
  </si>
  <si>
    <t>MY-SBPoint021-DG-M</t>
  </si>
  <si>
    <t>X001SW061N</t>
  </si>
  <si>
    <t>B07C4V5DH6</t>
  </si>
  <si>
    <t>MOCOTONO Men's V-Neck Long Sleeve Pullover Casual Sweater Dark Green Medium</t>
  </si>
  <si>
    <t>CS-SB166-B28-5-M</t>
  </si>
  <si>
    <t>B07916G9YZ</t>
  </si>
  <si>
    <t>CS-LHY009-CF-XXL</t>
  </si>
  <si>
    <t>X001T1QLY9</t>
  </si>
  <si>
    <t>B07DNRMJQJ</t>
  </si>
  <si>
    <t>MTX-IULHY-M8003-DG-28</t>
  </si>
  <si>
    <t>X001UXEEPT</t>
  </si>
  <si>
    <t>B07GBS3WDN</t>
  </si>
  <si>
    <t>MOCOTONO Men's Comfy House Slipper Anti Slip Memory Foam Slipper Dark Gray Medium</t>
  </si>
  <si>
    <t>CS-LY170-G912-M</t>
  </si>
  <si>
    <t>B073PPNNCM</t>
  </si>
  <si>
    <t>Mocotono Men's Short Sleeve Oxford Button Down Casual Shirt, Green, Medium</t>
  </si>
  <si>
    <t>CS-LY166-K73-1-XXL</t>
  </si>
  <si>
    <t>B072BV4Y8W</t>
  </si>
  <si>
    <t>WQS-BN-1503-GR-2XL</t>
  </si>
  <si>
    <t>B0788K4417</t>
  </si>
  <si>
    <t>MOCOTONO Men's Long Sleeve Casual Collared Polo Shirt Top Grey XXL</t>
  </si>
  <si>
    <t>MY-SB019-RD-L</t>
  </si>
  <si>
    <t>B077XHM6BN</t>
  </si>
  <si>
    <t>MOCOTONO Men's Cotton V Neck Sweater Regular Fit Pullover Knitwear Red L</t>
  </si>
  <si>
    <t>SB-YL004-FD50</t>
  </si>
  <si>
    <t>B0776NT9P7</t>
  </si>
  <si>
    <t>TiaNara Spinning Fishing Reel 12+1 BB Light Weight for Freshwater Saltwater Silver FD5000</t>
  </si>
  <si>
    <t>WQS-BN-1503-GR-S</t>
  </si>
  <si>
    <t>MTX-IULHY-M8003-LG-27</t>
  </si>
  <si>
    <t>X001UXENXR</t>
  </si>
  <si>
    <t>B07GBSVWM1</t>
  </si>
  <si>
    <t>MOCOTONO Men's Comfy House Slipper Anti Slip Memory Foam Slipper Light Gray Small</t>
  </si>
  <si>
    <t>CS-SB166-YL-M</t>
  </si>
  <si>
    <t>X001OPSHJ7</t>
  </si>
  <si>
    <t>MY-SB027-GN-L</t>
  </si>
  <si>
    <t>B078TBVZBM</t>
  </si>
  <si>
    <t>MOCOTONO Men's V-Neck Cotton Sleeveless Sweater Casual Vest Green Large</t>
  </si>
  <si>
    <t>CS-LY170-LB916-S</t>
  </si>
  <si>
    <t>B073PPS7FM</t>
  </si>
  <si>
    <t>Mocotono Men's Short Sleeve Oxford Button Down Casual Shirt, Light Blue, Small</t>
  </si>
  <si>
    <t>SB-YL004-FD40</t>
  </si>
  <si>
    <t>B0776NNRBJ</t>
  </si>
  <si>
    <t>TiaNara Spinning Fishing Reel 12+1 BB Light Weight for Freshwater Saltwater Silver FD4000</t>
  </si>
  <si>
    <t>CS-SB007-PP-M</t>
  </si>
  <si>
    <t>B07514MZYY</t>
  </si>
  <si>
    <t>MY-SB019-RD-M</t>
  </si>
  <si>
    <t>B077XCDSJ4</t>
  </si>
  <si>
    <t>MOCOTONO Men's Cotton V Neck Sweater Regular Fit Pullover Knitwear Red M</t>
  </si>
  <si>
    <t>MY-SBRound020-BK-M</t>
  </si>
  <si>
    <t>X001SVUG6T</t>
  </si>
  <si>
    <t>CS-SB005-GN-XL</t>
  </si>
  <si>
    <t>B074P437N4</t>
  </si>
  <si>
    <t>MOCOTONO Men's Long Sleeve Cotton Plaid Button Down Casual Shirts Green X-Large</t>
  </si>
  <si>
    <t>CS-LHY009-RD-L</t>
  </si>
  <si>
    <t>X001T2RZ9D</t>
  </si>
  <si>
    <t>MY-LYRound020-GN-M</t>
  </si>
  <si>
    <t>B0788CCG37</t>
  </si>
  <si>
    <t>MOCOTONO Men's Long Sleeve Crew Neck Pullover Knit Sweater Green Medium</t>
  </si>
  <si>
    <t>MY-LYPoint021-LB-XL</t>
  </si>
  <si>
    <t>B073XKSK51</t>
  </si>
  <si>
    <t>MOCOTONO Men's V-Neck Long Sleeve Pullover Casual Sweater Light Blue X-Large</t>
  </si>
  <si>
    <t>MY-SB018-RD-L</t>
  </si>
  <si>
    <t>B077XG4WJB</t>
  </si>
  <si>
    <t>MOCOTONO Men's Button up Pullover Regular Fit Casual Sweater Red L</t>
  </si>
  <si>
    <t>MY-BBS011-LG-XL</t>
  </si>
  <si>
    <t>X001T334YR</t>
  </si>
  <si>
    <t>B075997SDV</t>
  </si>
  <si>
    <t>MOCOTONO Men's V Neck Pullover Sweater Long Sleeve Cotton Casual Sweat Dress,Light Gray,Large</t>
  </si>
  <si>
    <t>CS-LHY032-GN2-S</t>
  </si>
  <si>
    <t>X001T54CU5</t>
  </si>
  <si>
    <t>B07C41Q6CQ</t>
  </si>
  <si>
    <t>MOCOTONO Men's Short Sleeve Floral Print Button Down Casual Shirt Green 2 Small</t>
  </si>
  <si>
    <t>MY-SB011JR-PP-L</t>
  </si>
  <si>
    <t>B0786YNV4M</t>
  </si>
  <si>
    <t>MOCOTONO Men's V Neck Pullover Fleece Lined Cotton Sweater Purple Medium</t>
  </si>
  <si>
    <t>CS-BBS030-WT-XL</t>
  </si>
  <si>
    <t>X001SSMXO5</t>
  </si>
  <si>
    <t>B078W14T3V</t>
  </si>
  <si>
    <t>Mocotono Men's Short Sleeve Oxford Button Down Casual Shirt, Light White, X-Large</t>
  </si>
  <si>
    <t>CS-LY085-WR917-XXL</t>
  </si>
  <si>
    <t>B06XYZR9HK</t>
  </si>
  <si>
    <t>Men's Solid Color Oxford Long Sleeve Button Down Casual Shirt Wine Red XX-Large</t>
  </si>
  <si>
    <t>CS-SB005-YL-S</t>
  </si>
  <si>
    <t>B074P18P6F</t>
  </si>
  <si>
    <t>MOCOTONO Men's Long Sleeve Cotton Plaid Button Down Casual Shirts Yellow Small</t>
  </si>
  <si>
    <t>MY-BBS011-PP-L</t>
  </si>
  <si>
    <t>X001T33AAP</t>
  </si>
  <si>
    <t>CS-SB002-CF-M</t>
  </si>
  <si>
    <t>B074DSWFS2</t>
  </si>
  <si>
    <t>MOCOTONO Men's Long Sleeve Regular Fit Plaid Button Down Casual Shirts Coffee Medium</t>
  </si>
  <si>
    <t>KZ-LHY001-RED-L</t>
  </si>
  <si>
    <t>X001SQUA8N</t>
  </si>
  <si>
    <t>B07DHFSP5S</t>
  </si>
  <si>
    <t>MOCOTONO Women's Plus Size Elastic Waist Wide Leg Linen Cropped Pants Red Large</t>
  </si>
  <si>
    <t>CS-LHY007-LG-S</t>
  </si>
  <si>
    <t>X001UE6LBN</t>
  </si>
  <si>
    <t>B07513F8HB</t>
  </si>
  <si>
    <t>MY-SBRound020-BK-L</t>
  </si>
  <si>
    <t>X001SW06QD</t>
  </si>
  <si>
    <t>WQS-BN-1503-KO-XL</t>
  </si>
  <si>
    <t>CS-LHY166-K33-2-S</t>
  </si>
  <si>
    <t>X001TY8969</t>
  </si>
  <si>
    <t>B07916G773</t>
  </si>
  <si>
    <t>MOCOTONO Men's Long Sleeve Flannel Plaid Dress Shirt Western Button Down Shirts Green Small</t>
  </si>
  <si>
    <t>MY-BBS011JR-DG-S</t>
  </si>
  <si>
    <t>X001T33BBN</t>
  </si>
  <si>
    <t>B0786VZLFS</t>
  </si>
  <si>
    <t>MOCOTONO Men's V Neck Pullover Fleece Lined Cotton Sweater Light Gray X-Large</t>
  </si>
  <si>
    <t>CS-SB009-YL-S</t>
  </si>
  <si>
    <t>B07516DD8B</t>
  </si>
  <si>
    <t>MOCOTONO Men's Short Sleeve Plaid Checkered Button Down Casual Shirts Yellow Small</t>
  </si>
  <si>
    <t>CS-LY084-H2-S</t>
  </si>
  <si>
    <t>B06XPTR7CR</t>
  </si>
  <si>
    <t>MOCOTONO Men's Long Sleeve Plaid Button Down Cotton Casual Shirts Coffee and Grass Green Small</t>
  </si>
  <si>
    <t>CS-LY085-LB916-XL</t>
  </si>
  <si>
    <t>B06XYYGLT1</t>
  </si>
  <si>
    <t>Men's Solid Color Oxford Long Sleeve Button Down Casual Shirt Light Blue X-Large</t>
  </si>
  <si>
    <t>CS-SB170-LB916-L</t>
  </si>
  <si>
    <t>CS-BS016-BK-M</t>
  </si>
  <si>
    <t>B078JN2MHB</t>
  </si>
  <si>
    <t>MOCOTONO Men's Long Sleeve Denim Double-Pocket Shirt Black Medium</t>
  </si>
  <si>
    <t>MY-BS027-GN-M</t>
  </si>
  <si>
    <t>X001SV9A93</t>
  </si>
  <si>
    <t>MY-BS011-DG-L</t>
  </si>
  <si>
    <t>MY-BS027-NY-L</t>
  </si>
  <si>
    <t>X001SVSKCL</t>
  </si>
  <si>
    <t>B078T9ZQGV</t>
  </si>
  <si>
    <t>MOCOTONO Men's V-Neck Cotton Sleeveless Sweater Casual Vest Navy Large</t>
  </si>
  <si>
    <t>MY-BBS011-BK-S</t>
  </si>
  <si>
    <t>X001T32CEP</t>
  </si>
  <si>
    <t>B075954D4Z</t>
  </si>
  <si>
    <t>MOCOTONO Men's V Neck Pullover Sweater Long Sleeve Cotton Casual Sweat Dress</t>
  </si>
  <si>
    <t>MY-SB026-BK-S</t>
  </si>
  <si>
    <t>MY-SB026-RD-S</t>
  </si>
  <si>
    <t>B078SLH2V1</t>
  </si>
  <si>
    <t>MOCOTONO Mens Long Sleeve Turtle Neck Zip Pullover Sweater Red Small</t>
  </si>
  <si>
    <t>CS-SB002-LB-S</t>
  </si>
  <si>
    <t>B074DTNDQ9</t>
  </si>
  <si>
    <t>MOCOTONO Men's Long Sleeve Regular Fit Plaid Button Down Casual Shirts Light Blue Small</t>
  </si>
  <si>
    <t>CS-LHY002-BL-S</t>
  </si>
  <si>
    <t>X001UCIKCD</t>
  </si>
  <si>
    <t>CS-LHY009-GN-XL</t>
  </si>
  <si>
    <t>X001T205RR</t>
  </si>
  <si>
    <t>CS-LY084-H15-S</t>
  </si>
  <si>
    <t>B06XPWLNQP</t>
  </si>
  <si>
    <t>MOCOTONO Men's Long Sleeve Plaid Button Down Cotton Casual Shirts Muti Plaid Small</t>
  </si>
  <si>
    <t>MY-SB011-BL-XL</t>
  </si>
  <si>
    <t>B075914FTD</t>
  </si>
  <si>
    <t>MOCOTONO Men's V Neck Pullover Sweater Long Sleeve Cotton Casual Sweat Dress,Blue,Large</t>
  </si>
  <si>
    <t>CS-LY181-Sa911-L</t>
  </si>
  <si>
    <t>B073PQFWZP</t>
  </si>
  <si>
    <t>Men's Oxford Long Sleeve Button Down Casual Dress Shirt,Sapphire,Large</t>
  </si>
  <si>
    <t>CS-SB002-RD-M</t>
  </si>
  <si>
    <t>B074DTZ2B4</t>
  </si>
  <si>
    <t>MOCOTONO Men's Long Sleeve Regular Fit Plaid Button Down Casual Shirts Red Medium</t>
  </si>
  <si>
    <t>MY-LYRound020-W0-S</t>
  </si>
  <si>
    <t>B073XJYLRX</t>
  </si>
  <si>
    <t>MOCOTONO Men's Long Sleeve Crew Neck Pullover Knit Sweater White Small</t>
  </si>
  <si>
    <t>MTX-IULHY-GBMS90-GR-27</t>
  </si>
  <si>
    <t>X001UW0HAB</t>
  </si>
  <si>
    <t>B07GB47MMV</t>
  </si>
  <si>
    <t>Men's Stripe Memory Foam Slippers Fleece Plush Slippers Ankle Boots for Indoor Gray Small</t>
  </si>
  <si>
    <t>CS-LY170-G912-S</t>
  </si>
  <si>
    <t>B073PPVWW3</t>
  </si>
  <si>
    <t>Mocotono Men's Short Sleeve Oxford Button Down Casual Shirt, Green, Small</t>
  </si>
  <si>
    <t>CS-SB166-K33-2-M</t>
  </si>
  <si>
    <t>CS-SB030-GR-XXL</t>
  </si>
  <si>
    <t>B078W18MW3</t>
  </si>
  <si>
    <t>Mocotono Men's Short Sleeve Oxford Button Down Casual Shirt, Gray, XX-Large</t>
  </si>
  <si>
    <t>CS-SB006-BK-XL</t>
  </si>
  <si>
    <t>B074NVHR58</t>
  </si>
  <si>
    <t>MOCOTONO Men's Long Sleeve Standard Fit Plaid Checked Button Up Casual Shirts Black X-Large</t>
  </si>
  <si>
    <t>CS-SB006-BL2-M</t>
  </si>
  <si>
    <t>B074NY5LWP</t>
  </si>
  <si>
    <t>MOCOTONO Men's Long Sleeve Standard Fit Plaid Checked Button Up Casual Shirts Sapphire Medium</t>
  </si>
  <si>
    <t>CS-LY166-B28-3-XXL</t>
  </si>
  <si>
    <t>B072FMY4JZ</t>
  </si>
  <si>
    <t>MOCOTONO Men's Long Sleeve Flannel Plaid Dress Shirt Western Button Down Shirts Navy XX-Large</t>
  </si>
  <si>
    <t>CS-SB009-LB-M</t>
  </si>
  <si>
    <t>B07514T5J6</t>
  </si>
  <si>
    <t>MOCOTONO Men's Short Sleeve Plaid Checkered Button Down Casual Shirts Light Blue Medium</t>
  </si>
  <si>
    <t>MY-SB019-DG-M</t>
  </si>
  <si>
    <t>B077XD73VG</t>
  </si>
  <si>
    <t>MOCOTONO Men's Cotton V Neck Sweater Regular Fit Pullover Knitwear Dark Gray M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</si>
  <si>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</si>
  <si>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</si>
  <si>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</si>
  <si>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</si>
  <si>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</si>
  <si>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</si>
  <si>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</si>
  <si>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</si>
  <si>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</si>
  <si>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</si>
  <si>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</si>
  <si>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</si>
  <si>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</si>
  <si>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</si>
  <si>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X001T2RY4T</t>
  </si>
  <si>
    <t>Unknown</t>
  </si>
  <si>
    <t>CA084-H1-L</t>
  </si>
  <si>
    <t>B07216G9G4</t>
  </si>
  <si>
    <t>CA084-H1-M</t>
  </si>
  <si>
    <t>CA084-H1-S</t>
  </si>
  <si>
    <t>CA084-H1-XL</t>
  </si>
  <si>
    <t>CA084-H1-XXL</t>
  </si>
  <si>
    <t>CA084-H10-L</t>
  </si>
  <si>
    <t>CA084-H10-M</t>
  </si>
  <si>
    <t>B06XPVW75N</t>
  </si>
  <si>
    <t>CA084-H10-S</t>
  </si>
  <si>
    <t>B06XPV79C5</t>
  </si>
  <si>
    <t>CA084-H10-XL</t>
  </si>
  <si>
    <t>CA084-H12-L</t>
  </si>
  <si>
    <t>CA084-H12-M</t>
  </si>
  <si>
    <t>B06XPXR992</t>
  </si>
  <si>
    <t>CA084-H12-XL</t>
  </si>
  <si>
    <t>CA084-H12-XXL</t>
  </si>
  <si>
    <t>CA084-H15-S</t>
  </si>
  <si>
    <t>CA084-H15-XL</t>
  </si>
  <si>
    <t>CA084-H15-XXL</t>
  </si>
  <si>
    <t>B06XPWWWTB</t>
  </si>
  <si>
    <t>CA084-H16-L</t>
  </si>
  <si>
    <t>CA084-H16-M</t>
  </si>
  <si>
    <t>CA084-H16-S</t>
  </si>
  <si>
    <t>CA084-H16-XL</t>
  </si>
  <si>
    <t>CA084-H16-XXL</t>
  </si>
  <si>
    <t>CA084-H2-L</t>
  </si>
  <si>
    <t>CA084-H2-M</t>
  </si>
  <si>
    <t>CA084-H2-S</t>
  </si>
  <si>
    <t>CA084-H2-XL</t>
  </si>
  <si>
    <t>CA084-H2-XXL</t>
  </si>
  <si>
    <t>CA084-H3-L</t>
  </si>
  <si>
    <t>CA084-H3-M</t>
  </si>
  <si>
    <t>CA084-H3-S</t>
  </si>
  <si>
    <t>CA084-H3-XL</t>
  </si>
  <si>
    <t>CA084-H3-XXL</t>
  </si>
  <si>
    <t>CA084-H4-L</t>
  </si>
  <si>
    <t>CA084-H4-M</t>
  </si>
  <si>
    <t>B06XQVX7D9</t>
  </si>
  <si>
    <t>CA084-H4-S</t>
  </si>
  <si>
    <t>B06XQG3WN3</t>
  </si>
  <si>
    <t>CA084-H4-XL</t>
  </si>
  <si>
    <t>CA084-H4-XXL</t>
  </si>
  <si>
    <t>CA084-H6-L</t>
  </si>
  <si>
    <t>CA084-H6-M</t>
  </si>
  <si>
    <t>CA084-H6-S</t>
  </si>
  <si>
    <t>CA084-H6-XXL</t>
  </si>
  <si>
    <t>CA171-G912-L</t>
  </si>
  <si>
    <t>CA171-G912-M</t>
  </si>
  <si>
    <t>CA171-G912-XXL</t>
  </si>
  <si>
    <t>B073PQ77BX</t>
  </si>
  <si>
    <t>CA171-LB916-L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</si>
  <si>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</si>
  <si>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</si>
  <si>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</si>
  <si>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</si>
  <si>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</si>
  <si>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</si>
  <si>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</si>
  <si>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</si>
  <si>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</si>
  <si>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CA171-LG907-M</t>
  </si>
  <si>
    <t>B073PQ8R7W</t>
  </si>
  <si>
    <t>CA171-LG907-S</t>
  </si>
  <si>
    <t>B073PPT3Z6</t>
  </si>
  <si>
    <t>CA171-LG907-XL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</si>
  <si>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</si>
  <si>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</si>
  <si>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</si>
  <si>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</si>
  <si>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</si>
  <si>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</si>
  <si>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</si>
  <si>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</si>
  <si>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</si>
  <si>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CA171-PI908-XXL</t>
  </si>
  <si>
    <t>CA171-Sa911-L</t>
  </si>
  <si>
    <t>B073PQLFVZ</t>
  </si>
  <si>
    <t>CA171-Sa911-M</t>
  </si>
  <si>
    <t>CA171-Sa911-S</t>
  </si>
  <si>
    <t>CA171-Sa911-XL</t>
  </si>
  <si>
    <t>CA171-Sa911-XXL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</si>
  <si>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</si>
  <si>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</si>
  <si>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</si>
  <si>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</si>
  <si>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</si>
  <si>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</si>
  <si>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</si>
  <si>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</si>
  <si>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</si>
  <si>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</si>
  <si>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</si>
  <si>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CA171-ZL918-M</t>
  </si>
  <si>
    <t>CFY-M1798-BK-XL</t>
  </si>
  <si>
    <t>B076T6LXHL</t>
  </si>
  <si>
    <t>MOCOTONO Men's Waterproof Rain Jacket Fleece Snow Ski Winter Coat Black 2 X-Large</t>
  </si>
  <si>
    <t>No</t>
  </si>
  <si>
    <t>Yes</t>
  </si>
  <si>
    <t>CFY-M1798-BL-L</t>
  </si>
  <si>
    <t>B076SSZ3YW</t>
  </si>
  <si>
    <t>MOCOTONO Men's Waterproof Rain Jacket Fleece Snow Ski Winter Coat Blue 2 Large</t>
  </si>
  <si>
    <t>CFY-M1798-BL-M</t>
  </si>
  <si>
    <t>B076STBB7P</t>
  </si>
  <si>
    <t>MOCOTONO Men's Waterproof Rain Jacket Fleece Snow Ski Winter Coat Blue 2 Medium</t>
  </si>
  <si>
    <t>CFY-M1798-BL-S</t>
  </si>
  <si>
    <t>B076T626JT</t>
  </si>
  <si>
    <t>MOCOTONO Men's Waterproof Rain Jacket Fleece Snow Ski Winter Coat Blue 2 Small</t>
  </si>
  <si>
    <t>CFY-M1798-BL-XXL</t>
  </si>
  <si>
    <t>B076T626JS</t>
  </si>
  <si>
    <t>MOCOTONO Men's Waterproof Rain Jacket Fleece Snow Ski Winter Coat Blue 2 XX-Large</t>
  </si>
  <si>
    <t>CFY-M1798-RD-L</t>
  </si>
  <si>
    <t>B076SLVQ2Q</t>
  </si>
  <si>
    <t>MOCOTONO Women's Waterproof Rain Jacket Fleece Snow Ski Winter Coat (Large, Red 3)</t>
  </si>
  <si>
    <t>CFY-M1798-RD-M</t>
  </si>
  <si>
    <t>B076SR2N5S</t>
  </si>
  <si>
    <t>MOCOTONO Women's Waterproof Rain Jacket Fleece Snow Ski Winter Coat Red 2 Medium</t>
  </si>
  <si>
    <t>CFY-M1830-AG-M</t>
  </si>
  <si>
    <t>B076TZ1VLJ</t>
  </si>
  <si>
    <t>MOCOTONO Men's Rain Waterproof Winter Jacket Sports Snow Ski Outdoor Coat Army Green Medium</t>
  </si>
  <si>
    <t>CFY-M1830-LB-XXL</t>
  </si>
  <si>
    <t>B076V5RGFN</t>
  </si>
  <si>
    <t>MOCOTONO Women's Rain Waterproof Winter Jacket Sports Snow Ski Outdoor Coat Light Blue XX-Large</t>
  </si>
  <si>
    <t>CFY-M1830-RD-L</t>
  </si>
  <si>
    <t>B076V38YVK</t>
  </si>
  <si>
    <t>MOCOTONO Women's Waterproof Rain Jacket Fleece Snow Ski Winter Coat (Large, Red)</t>
  </si>
  <si>
    <t>CFY-W1798-BL-XL</t>
  </si>
  <si>
    <t>B076HQV34J</t>
  </si>
  <si>
    <t>MOCOTONO Women's Waterproof Rain Jacket Fleece Snow Ski Winter Coat Blue X-Large</t>
  </si>
  <si>
    <t>CFY-W1798-RD-L</t>
  </si>
  <si>
    <t>B076HQYLYJ</t>
  </si>
  <si>
    <t>MOCOTONO Women's Waterproof Rain Jacket Fleece Snow Ski Winter Coat Red Large</t>
  </si>
  <si>
    <t>CFY-W1798-RR-S</t>
  </si>
  <si>
    <t>B076HPC6YW</t>
  </si>
  <si>
    <t>MOCOTONO Women's Waterproof Rain Jacket Fleece Snow Ski Winter Coat Pink Small</t>
  </si>
  <si>
    <t>CFY-W1830-BK-XL</t>
  </si>
  <si>
    <t>B076HLTT59</t>
  </si>
  <si>
    <t>MOCOTONO Women's Rain Waterproof Winter Jacket Sports Snow Ski Outdoor Coat Black X-Large</t>
  </si>
  <si>
    <t>CFY-W1830-PP-S</t>
  </si>
  <si>
    <t>B076HPWVWT</t>
  </si>
  <si>
    <t>MOCOTONO Women's Rain Waterproof Winter Jacket Sports Snow Ski Outdoor Coat Purple Small</t>
  </si>
  <si>
    <t>CFY-W1830-PP-XL</t>
  </si>
  <si>
    <t>B076HPQCCS</t>
  </si>
  <si>
    <t>MOCOTONO Women's Rain Waterproof Winter Jacket Sports Snow Ski Outdoor Coat Purple X-Large</t>
  </si>
  <si>
    <t>CFY-W1830-RD-L</t>
  </si>
  <si>
    <t>B076HPVG3H</t>
  </si>
  <si>
    <t>MOCOTONO Women's Rain Waterproof Winter Jacket Sports Snow Ski Outdoor Coat Red Large</t>
  </si>
  <si>
    <t>CS-2LHY171-ZL918-XL</t>
  </si>
  <si>
    <t>X001UB4CQR</t>
  </si>
  <si>
    <t>B07FR2JGRN</t>
  </si>
  <si>
    <t>CS-BBS003-B0-XL</t>
  </si>
  <si>
    <t>CS-BBS003-B0-XXL</t>
  </si>
  <si>
    <t>CS-BBS003-BK-M</t>
  </si>
  <si>
    <t>CS-BBS003-LB-L</t>
  </si>
  <si>
    <t>CS-BBS003-LB-M</t>
  </si>
  <si>
    <t>CS-BBS003-LB-S</t>
  </si>
  <si>
    <t>B078JFH21B</t>
  </si>
  <si>
    <t>CS-BBS003-LB-XL</t>
  </si>
  <si>
    <t>CS-BBS003-LB-XXL</t>
  </si>
  <si>
    <t>CS-BBS003-NB-L</t>
  </si>
  <si>
    <t>CS-BBS003-NB-M</t>
  </si>
  <si>
    <t>CS-BBS003-NB-XL</t>
  </si>
  <si>
    <t>CS-BBS003-NB-XXL</t>
  </si>
  <si>
    <t>CS-BBS016-B0-M</t>
  </si>
  <si>
    <t>CS-BBS016-B0-XL</t>
  </si>
  <si>
    <t>CS-BBS016-BK-L</t>
  </si>
  <si>
    <t>CS-BBS016-BK-M</t>
  </si>
  <si>
    <t>CS-BBS016-BK-XL</t>
  </si>
  <si>
    <t>B078JD9KD8</t>
  </si>
  <si>
    <t>CS-BBS016-LB-L</t>
  </si>
  <si>
    <t>CS-BBS016-LB-M</t>
  </si>
  <si>
    <t>CS-BBS016-LB-S</t>
  </si>
  <si>
    <t>CS-BBS016-LB-XL</t>
  </si>
  <si>
    <t>CS-BBS016-LB-XXL</t>
  </si>
  <si>
    <t>CS-BBS016-NB-L</t>
  </si>
  <si>
    <t>CS-BBS016-NB-M</t>
  </si>
  <si>
    <t>CS-BBS016-NB-XL</t>
  </si>
  <si>
    <t>CS-BBS016-NB-XXL</t>
  </si>
  <si>
    <t>B078JFH8KP</t>
  </si>
  <si>
    <t>CS-BBS030-BK-XXL</t>
  </si>
  <si>
    <t>X001SSMTUN</t>
  </si>
  <si>
    <t>CS-BBS030-BL-S</t>
  </si>
  <si>
    <t>X001SSO6WR</t>
  </si>
  <si>
    <t>B078VZHXDQ</t>
  </si>
  <si>
    <t>Mocotono Men's Short Sleeve Oxford Button Down Casual Shirt, Sky Blue, Small</t>
  </si>
  <si>
    <t>CS-BBS030-GR-S</t>
  </si>
  <si>
    <t>X001SSNR4F</t>
  </si>
  <si>
    <t>CS-BBS030-GR-XXL</t>
  </si>
  <si>
    <t>X001SSNR4P</t>
  </si>
  <si>
    <t>CS-BBS030-WT-S</t>
  </si>
  <si>
    <t>X001STI753</t>
  </si>
  <si>
    <t>CS-BBS030-YL-L</t>
  </si>
  <si>
    <t>X001SSMF8J</t>
  </si>
  <si>
    <t>B078W14YQ1</t>
  </si>
  <si>
    <t>Mocotono Men's Short Sleeve Oxford Button Down Casual Shirt, Yellow, Large</t>
  </si>
  <si>
    <t>CS-BBS030-YL-M</t>
  </si>
  <si>
    <t>X001SSMWOV</t>
  </si>
  <si>
    <t>B078W1415D</t>
  </si>
  <si>
    <t>Mocotono Men's Short Sleeve Oxford Button Down Casual Shirt, Yellow, Medium</t>
  </si>
  <si>
    <t>CS-BBS030-YL-S</t>
  </si>
  <si>
    <t>X001SSMTPD</t>
  </si>
  <si>
    <t>CS-BBS030-YL-XL</t>
  </si>
  <si>
    <t>X001SSN7IL</t>
  </si>
  <si>
    <t>B078VZCF7R</t>
  </si>
  <si>
    <t>Men's Short Sleeve Oxford Button Down Casual Shirt, Yellow, X-Large</t>
  </si>
  <si>
    <t>CS-BBS030-YL-XXL</t>
  </si>
  <si>
    <t>X001SSNYJ3</t>
  </si>
  <si>
    <t>B078VYBW2P</t>
  </si>
  <si>
    <t>CS-BS003-BK-XXL</t>
  </si>
  <si>
    <t>CS-BS003-LB-L</t>
  </si>
  <si>
    <t>CS-BS003-LB-S</t>
  </si>
  <si>
    <t>CS-BS003-LB-XL</t>
  </si>
  <si>
    <t>CS-BS016-B0-L</t>
  </si>
  <si>
    <t>CS-BS016-B0-XXL</t>
  </si>
  <si>
    <t>CS-BS016-BK-XL</t>
  </si>
  <si>
    <t>CS-BS016-LB-L</t>
  </si>
  <si>
    <t>CS-BS016-NB-XXL</t>
  </si>
  <si>
    <t>CS-BS030-BK-L</t>
  </si>
  <si>
    <t>CS-BS032-BL-XXL</t>
  </si>
  <si>
    <t>B07C3W1166</t>
  </si>
  <si>
    <t>CS-BS032-GN1-L</t>
  </si>
  <si>
    <t>CS-BS032-GN1-M</t>
  </si>
  <si>
    <t>CS-BS032-GN1-S</t>
  </si>
  <si>
    <t>CS-BS032-GN1-XL</t>
  </si>
  <si>
    <t>CS-BS032-GN1-XXL</t>
  </si>
  <si>
    <t>CS-BS032-GN2-L</t>
  </si>
  <si>
    <t>CS-BS032-GN2-M</t>
  </si>
  <si>
    <t>CS-BS032-GN2-XXL</t>
  </si>
  <si>
    <t>CS-BS032-NB-S</t>
  </si>
  <si>
    <t>CS-BS032-NB-XL</t>
  </si>
  <si>
    <t>CS-BS032-NB-XXL</t>
  </si>
  <si>
    <t>CS-BS032-RD-S</t>
  </si>
  <si>
    <t>B07C3VYLS7</t>
  </si>
  <si>
    <t>CS-BS032-RD-XL</t>
  </si>
  <si>
    <t>CS-BS032-RD-XXL</t>
  </si>
  <si>
    <t>CS-BS032-YL-XL</t>
  </si>
  <si>
    <t>CS-BULHY032-NB-XXL</t>
  </si>
  <si>
    <t>X001SXSF2J</t>
  </si>
  <si>
    <t>CS-BUSB031-GN1-XL</t>
  </si>
  <si>
    <t>B078VYGB63</t>
  </si>
  <si>
    <t>MOCOTONO Men's Long Sleeve Flannel Plaid Checkered Button Down Casual Dress Shirts Green1 X-Large</t>
  </si>
  <si>
    <t>CS-BUSB031-GN2-L</t>
  </si>
  <si>
    <t>B078VZV97W</t>
  </si>
  <si>
    <t>MOCOTONO Men's Long Sleeve Flannel Plaid Checkered Button Down Casual Dress Shirts Green2 Large</t>
  </si>
  <si>
    <t>CS-BUSB031-GN2-M</t>
  </si>
  <si>
    <t>B078VZ1HKP</t>
  </si>
  <si>
    <t>MOCOTONO Men's Long Sleeve Flannel Plaid Checkered Button Down Casual Dress Shirts Green2 Medium</t>
  </si>
  <si>
    <t>CS-BUSB031-YL1-M</t>
  </si>
  <si>
    <t>CS-BUSB031-YL1-S</t>
  </si>
  <si>
    <t>B078W166G7</t>
  </si>
  <si>
    <t>CS-BUSB031-YL1-XL</t>
  </si>
  <si>
    <t>CS-BUSB031-YL1-XXL</t>
  </si>
  <si>
    <t>CS-BUSB031-YL2-XXL</t>
  </si>
  <si>
    <t>B078W2LNH4</t>
  </si>
  <si>
    <t>MOCOTONO Men's Long Sleeve Flannel Plaid Checkered Button Down Casual Dress Shirts Yellow2 XX-Large</t>
  </si>
  <si>
    <t>CS-BUSB031LHY-GN1-L</t>
  </si>
  <si>
    <t>X001STT3QF</t>
  </si>
  <si>
    <t>CS-BUSB031LHY-GN1-M</t>
  </si>
  <si>
    <t>X001STXQ13</t>
  </si>
  <si>
    <t>CS-BUSB031LHY-GN1-S</t>
  </si>
  <si>
    <t>X001STT3HJ</t>
  </si>
  <si>
    <t>CS-BUSB031LHY-GN1-XL</t>
  </si>
  <si>
    <t>X001STT3I3</t>
  </si>
  <si>
    <t>CS-BUSB031LHY-GN2-L</t>
  </si>
  <si>
    <t>X001STXRV7</t>
  </si>
  <si>
    <t>CS-BUSB031LHY-GN2-M</t>
  </si>
  <si>
    <t>X001STSZ2N</t>
  </si>
  <si>
    <t>CS-BUSB031LHY-GN3-L</t>
  </si>
  <si>
    <t>X001STXRVR</t>
  </si>
  <si>
    <t>CS-BUSB031LHY-GN3-M</t>
  </si>
  <si>
    <t>X001STSZ23</t>
  </si>
  <si>
    <t>CS-BUSB031LHY-GN3-S</t>
  </si>
  <si>
    <t>X001SUAE1H</t>
  </si>
  <si>
    <t>CS-BUSB031LHY-GN3-XL</t>
  </si>
  <si>
    <t>X001STXQ1N</t>
  </si>
  <si>
    <t>CS-BUSB031LHY-GN3-XXL</t>
  </si>
  <si>
    <t>X001STXETH</t>
  </si>
  <si>
    <t>CS-BUSB031LHY-RD1-L</t>
  </si>
  <si>
    <t>X001STT3Q5</t>
  </si>
  <si>
    <t>CS-BUSB031LHY-RD1-M</t>
  </si>
  <si>
    <t>X001STXRVH</t>
  </si>
  <si>
    <t>CS-BUSB031LHY-RD1-S</t>
  </si>
  <si>
    <t>X001STXDLV</t>
  </si>
  <si>
    <t>CS-BUSB031LHY-RD1-XL</t>
  </si>
  <si>
    <t>X001SUAJYT</t>
  </si>
  <si>
    <t>CS-BUSB031LHY-RD1-XXL</t>
  </si>
  <si>
    <t>X001STXQ1D</t>
  </si>
  <si>
    <t>CS-BUSB031LHY-RD2-M</t>
  </si>
  <si>
    <t>X001STXDM5</t>
  </si>
  <si>
    <t>CS-BUSB031LHY-RD2-S</t>
  </si>
  <si>
    <t>X001STXQ1X</t>
  </si>
  <si>
    <t>CS-BUSB031LHY-RD2-XXL</t>
  </si>
  <si>
    <t>X001STXESX</t>
  </si>
  <si>
    <t>CS-BUSB031LHY-YL2-L</t>
  </si>
  <si>
    <t>X001STT3HT</t>
  </si>
  <si>
    <t>CS-BUSB031LHY-YL2-M</t>
  </si>
  <si>
    <t>X001STXDLL</t>
  </si>
  <si>
    <t>CS-BUSB031LHY-YL2-S</t>
  </si>
  <si>
    <t>X001STXRW1</t>
  </si>
  <si>
    <t>CS-BUSB031LHY-YL2-XXL</t>
  </si>
  <si>
    <t>X001STSZ2D</t>
  </si>
  <si>
    <t>CS-BUSB032-BL-L</t>
  </si>
  <si>
    <t>CS-BUSB032-BL-M</t>
  </si>
  <si>
    <t>B07CC3XJ81</t>
  </si>
  <si>
    <t>MOCOTONO Men's Short Sleeve Floral Print Button Down Casual Shirt Blue Medium</t>
  </si>
  <si>
    <t>CS-BUSB032-BL-S</t>
  </si>
  <si>
    <t>CS-BUSB032-BL-XL</t>
  </si>
  <si>
    <t>CS-BUSB032-BL-XXL</t>
  </si>
  <si>
    <t>MOCOTONO Men's Short Sleeve Floral Print Button Down Casual Shirt Blue XX-Large</t>
  </si>
  <si>
    <t>CS-BUSB032-GN1-L</t>
  </si>
  <si>
    <t>CS-BUSB032-GN1-M</t>
  </si>
  <si>
    <t>CS-BUSB032-GN1-S</t>
  </si>
  <si>
    <t>CS-BUSB032-GN1-XL</t>
  </si>
  <si>
    <t>CS-BUSB032-GN2-M</t>
  </si>
  <si>
    <t>CS-BUSB032-GN2-S</t>
  </si>
  <si>
    <t>CS-BUSB032-GN2-XL</t>
  </si>
  <si>
    <t>CS-BUSB032-GN2-XXL</t>
  </si>
  <si>
    <t>CS-BUSB032-NB-L</t>
  </si>
  <si>
    <t>CS-BUSB032-NB-S</t>
  </si>
  <si>
    <t>CS-BUSB032-RD-M</t>
  </si>
  <si>
    <t>B07C3ZH25J</t>
  </si>
  <si>
    <t>MOCOTONO Men's Short Sleeve Floral Print Button Down Casual Shirt Red Medium</t>
  </si>
  <si>
    <t>CS-BUSB032-RD-S</t>
  </si>
  <si>
    <t>MOCOTONO Men's Short Sleeve Floral Print Button Down Casual Shirt Red Small</t>
  </si>
  <si>
    <t>CS-BUSB032-YL-M</t>
  </si>
  <si>
    <t>B07C3T8GXY</t>
  </si>
  <si>
    <t>MOCOTONO Men's Short Sleeve Floral Print Button Down Casual Shirt Yellow Medium</t>
  </si>
  <si>
    <t>CS-BUSB032-YL-S</t>
  </si>
  <si>
    <t>B07C3R4C6Z</t>
  </si>
  <si>
    <t>MOCOTONO Men's Short Sleeve Floral Print Button Down Casual Shirt Yellow Small</t>
  </si>
  <si>
    <t>CS-BUSB032-YL-XL</t>
  </si>
  <si>
    <t>CS-BUSB032-YL-XXL</t>
  </si>
  <si>
    <t>B07C3Q56RF</t>
  </si>
  <si>
    <t>MOCOTONO Men's Short Sleeve Floral Print Button Down Casual Shirt Yellow XX-Large</t>
  </si>
  <si>
    <t>CS-CA031-GN1-L</t>
  </si>
  <si>
    <t>X001UKR3FF</t>
  </si>
  <si>
    <t>B07G2699RJ</t>
  </si>
  <si>
    <t>CS-CA031-GN1-M</t>
  </si>
  <si>
    <t>X001UKR3U5</t>
  </si>
  <si>
    <t>B07G2T23HW</t>
  </si>
  <si>
    <t>CS-CA031-GN1-S</t>
  </si>
  <si>
    <t>X001UL83I5</t>
  </si>
  <si>
    <t>B07G2CBXV9</t>
  </si>
  <si>
    <t>CS-CA031-GN1-XL</t>
  </si>
  <si>
    <t>X001UKQXWJ</t>
  </si>
  <si>
    <t>B07G2Q4YPQ</t>
  </si>
  <si>
    <t>CS-CA031-GN1-XXL</t>
  </si>
  <si>
    <t>X001UL89UH</t>
  </si>
  <si>
    <t>B07G2BV58F</t>
  </si>
  <si>
    <t>CS-CA031-GN2-L</t>
  </si>
  <si>
    <t>X001UL89NJ</t>
  </si>
  <si>
    <t>B07G299MPL</t>
  </si>
  <si>
    <t>CS-CA031-GN2-M</t>
  </si>
  <si>
    <t>X001UKR3FZ</t>
  </si>
  <si>
    <t>B07G2QFB48</t>
  </si>
  <si>
    <t>CS-CA031-GN2-S</t>
  </si>
  <si>
    <t>X001UKR3M3</t>
  </si>
  <si>
    <t>B07G1ZVHHD</t>
  </si>
  <si>
    <t>CS-CA031-GN2-XL</t>
  </si>
  <si>
    <t>X001UL83HV</t>
  </si>
  <si>
    <t>B07G2FL525</t>
  </si>
  <si>
    <t>CS-CA031-GN2-XXL</t>
  </si>
  <si>
    <t>X001UL8UEH</t>
  </si>
  <si>
    <t>B07G28W1V3</t>
  </si>
  <si>
    <t>CS-CA031-GN3-L</t>
  </si>
  <si>
    <t>X001ULB84B</t>
  </si>
  <si>
    <t>B07G2729N9</t>
  </si>
  <si>
    <t>CS-CA031-GN3-M</t>
  </si>
  <si>
    <t>X001UKR3MD</t>
  </si>
  <si>
    <t>B07G216SLN</t>
  </si>
  <si>
    <t>CS-CA031-GN3-S</t>
  </si>
  <si>
    <t>X001UKQXW9</t>
  </si>
  <si>
    <t>B07G22JK7R</t>
  </si>
  <si>
    <t>CS-CA031-GN3-XL</t>
  </si>
  <si>
    <t>X001ULAVPN</t>
  </si>
  <si>
    <t>B07G2GJ43J</t>
  </si>
  <si>
    <t>CS-CA031-GN3-XXL</t>
  </si>
  <si>
    <t>X001UL89U7</t>
  </si>
  <si>
    <t>B07G279MFW</t>
  </si>
  <si>
    <t>CS-CA031-RD1-L</t>
  </si>
  <si>
    <t>X001UL9X8J</t>
  </si>
  <si>
    <t>B07G22JR9K</t>
  </si>
  <si>
    <t>CS-CA031-RD1-M</t>
  </si>
  <si>
    <t>X001UL8UBP</t>
  </si>
  <si>
    <t>B07G26356D</t>
  </si>
  <si>
    <t>CS-CA031-RD1-S</t>
  </si>
  <si>
    <t>X001UL8371</t>
  </si>
  <si>
    <t>B07G2JQSKB</t>
  </si>
  <si>
    <t>CS-CA031-RD1-XL</t>
  </si>
  <si>
    <t>X001UKR3MN</t>
  </si>
  <si>
    <t>B07G2RD6XX</t>
  </si>
  <si>
    <t>CS-CA031-RD1-XXL</t>
  </si>
  <si>
    <t>X001UL89N9</t>
  </si>
  <si>
    <t>B07G265233</t>
  </si>
  <si>
    <t>CS-CA031-RD2-L</t>
  </si>
  <si>
    <t>X001UKR3FP</t>
  </si>
  <si>
    <t>B07G2HRHSL</t>
  </si>
  <si>
    <t>CS-CA031-RD2-M</t>
  </si>
  <si>
    <t>X001UL8UE7</t>
  </si>
  <si>
    <t>B07G2QDT5D</t>
  </si>
  <si>
    <t>CS-CA031-RD2-S</t>
  </si>
  <si>
    <t>X001ULBV2F</t>
  </si>
  <si>
    <t>B07G2PL6KD</t>
  </si>
  <si>
    <t>CS-CA031-RD2-XL</t>
  </si>
  <si>
    <t>X001UL83IF</t>
  </si>
  <si>
    <t>B07G2FHPX8</t>
  </si>
  <si>
    <t>CS-CA031-RD2-XXL</t>
  </si>
  <si>
    <t>X001UL9X6B</t>
  </si>
  <si>
    <t>B07G2L6FQW</t>
  </si>
  <si>
    <t>CS-CA031-YL1-L</t>
  </si>
  <si>
    <t>X001ULA2WZ</t>
  </si>
  <si>
    <t>B07G2L47JZ</t>
  </si>
  <si>
    <t>CS-CA031-YL1-M</t>
  </si>
  <si>
    <t>X001UL83AX</t>
  </si>
  <si>
    <t>B07G2QVT2Z</t>
  </si>
  <si>
    <t>CS-CA031-YL1-S</t>
  </si>
  <si>
    <t>X001UL9X8T</t>
  </si>
  <si>
    <t>B07G2BJWK9</t>
  </si>
  <si>
    <t>CS-CA031-YL1-XL</t>
  </si>
  <si>
    <t>X001UL83AN</t>
  </si>
  <si>
    <t>B07G288MX6</t>
  </si>
  <si>
    <t>CS-CA031-YL1-XXL</t>
  </si>
  <si>
    <t>X001ULAVPD</t>
  </si>
  <si>
    <t>B07G27K1CD</t>
  </si>
  <si>
    <t>CS-CA031-YL2-L</t>
  </si>
  <si>
    <t>X001UL83IP</t>
  </si>
  <si>
    <t>B07G231MC3</t>
  </si>
  <si>
    <t>CS-CA031-YL2-M</t>
  </si>
  <si>
    <t>X001UL83B7</t>
  </si>
  <si>
    <t>B07G2PB37G</t>
  </si>
  <si>
    <t>CS-CA031-YL2-S</t>
  </si>
  <si>
    <t>X001UL836R</t>
  </si>
  <si>
    <t>B07G2HKVSY</t>
  </si>
  <si>
    <t>CS-CA031-YL2-XL</t>
  </si>
  <si>
    <t>X001ULA2XJ</t>
  </si>
  <si>
    <t>B07G2N2W69</t>
  </si>
  <si>
    <t>CS-CA031-YL2-XXL</t>
  </si>
  <si>
    <t>X001ULA2X9</t>
  </si>
  <si>
    <t>B07G2C2M8W</t>
  </si>
  <si>
    <t>CS-CA170-G912-L</t>
  </si>
  <si>
    <t>X001OUNPCV</t>
  </si>
  <si>
    <t>B079GRX2TH</t>
  </si>
  <si>
    <t>CS-CA170-G912-M</t>
  </si>
  <si>
    <t>X001OUNPR1</t>
  </si>
  <si>
    <t>B079GR6VNP</t>
  </si>
  <si>
    <t>CS-CA170-G912-S</t>
  </si>
  <si>
    <t>X001OUNTRR</t>
  </si>
  <si>
    <t>B079GS6Y3H</t>
  </si>
  <si>
    <t>CS-CA170-G912-XL</t>
  </si>
  <si>
    <t>X001OUNKRV</t>
  </si>
  <si>
    <t>B079GPN39K</t>
  </si>
  <si>
    <t>CS-CA170-G912-XXL</t>
  </si>
  <si>
    <t>X001OUNKRB</t>
  </si>
  <si>
    <t>B079GQNGDL</t>
  </si>
  <si>
    <t>CS-CA170-LB916-L</t>
  </si>
  <si>
    <t>X001OUNTQX</t>
  </si>
  <si>
    <t>B079GR976S</t>
  </si>
  <si>
    <t>CS-CA170-LB916-M</t>
  </si>
  <si>
    <t>X001OTUHDH</t>
  </si>
  <si>
    <t>B079GVSPL3</t>
  </si>
  <si>
    <t>CS-CA170-LB916-S</t>
  </si>
  <si>
    <t>X001OT0BQ5</t>
  </si>
  <si>
    <t>B079GST22H</t>
  </si>
  <si>
    <t>CS-CA170-LB916-XL</t>
  </si>
  <si>
    <t>X001OTUHE1</t>
  </si>
  <si>
    <t>B079GSKHJJ</t>
  </si>
  <si>
    <t>CS-CA170-LB916-XXL</t>
  </si>
  <si>
    <t>X001OTUHMD</t>
  </si>
  <si>
    <t>B079GQYB4Y</t>
  </si>
  <si>
    <t>CS-CA170-LG907-L</t>
  </si>
  <si>
    <t>X001OTUHRD</t>
  </si>
  <si>
    <t>B079GRM97W</t>
  </si>
  <si>
    <t>CS-CA170-LG907-M</t>
  </si>
  <si>
    <t>X001OUHUEZ</t>
  </si>
  <si>
    <t>B079GV2D62</t>
  </si>
  <si>
    <t>CS-CA170-LG907-S</t>
  </si>
  <si>
    <t>X001OT0BQF</t>
  </si>
  <si>
    <t>B079GQVG2T</t>
  </si>
  <si>
    <t>CS-CA170-LG907-XL</t>
  </si>
  <si>
    <t>X001OTUHMN</t>
  </si>
  <si>
    <t>B079GSTC7J</t>
  </si>
  <si>
    <t>CS-CA170-LG907-XXL</t>
  </si>
  <si>
    <t>X001OTUHKF</t>
  </si>
  <si>
    <t>B079GSC1H8</t>
  </si>
  <si>
    <t>CS-CA170-PI908-L</t>
  </si>
  <si>
    <t>X001OTUHK5</t>
  </si>
  <si>
    <t>B079GTJQYX</t>
  </si>
  <si>
    <t>CS-CA170-PI908-M</t>
  </si>
  <si>
    <t>X001OT0BPV</t>
  </si>
  <si>
    <t>B079GT4GG4</t>
  </si>
  <si>
    <t>CS-CA170-PI908-S</t>
  </si>
  <si>
    <t>X001OTUHR3</t>
  </si>
  <si>
    <t>B079GT383K</t>
  </si>
  <si>
    <t>CS-CA170-PI908-XL</t>
  </si>
  <si>
    <t>X001OUHUEP</t>
  </si>
  <si>
    <t>B079GRGKFH</t>
  </si>
  <si>
    <t>CS-CA170-PI908-XXL</t>
  </si>
  <si>
    <t>X001OUNPD5</t>
  </si>
  <si>
    <t>B079GQD76C</t>
  </si>
  <si>
    <t>CS-CA170-Sa911-L</t>
  </si>
  <si>
    <t>X001OT04GR</t>
  </si>
  <si>
    <t>B079GQMN8N</t>
  </si>
  <si>
    <t>CS-CA170-Sa911-M</t>
  </si>
  <si>
    <t>X001OUNTX1</t>
  </si>
  <si>
    <t>B079GSCTMQ</t>
  </si>
  <si>
    <t>CS-CA170-Sa911-S</t>
  </si>
  <si>
    <t>X001OT04G7</t>
  </si>
  <si>
    <t>B079GST3FD</t>
  </si>
  <si>
    <t>CS-CA170-Sa911-XL</t>
  </si>
  <si>
    <t>X001OUNKR1</t>
  </si>
  <si>
    <t>B079GSTC7R</t>
  </si>
  <si>
    <t>CS-CA170-Sa911-XXL</t>
  </si>
  <si>
    <t>X001OUNTSB</t>
  </si>
  <si>
    <t>B079GQWKTP</t>
  </si>
  <si>
    <t>CS-CA170-W902-L</t>
  </si>
  <si>
    <t>X001OUHTWN</t>
  </si>
  <si>
    <t>B079GRTM5Y</t>
  </si>
  <si>
    <t>CS-CA170-W902-M</t>
  </si>
  <si>
    <t>X001OTUHDR</t>
  </si>
  <si>
    <t>B079GTF36C</t>
  </si>
  <si>
    <t>CS-CA170-W902-S</t>
  </si>
  <si>
    <t>X001OUNTS1</t>
  </si>
  <si>
    <t>B079GS925N</t>
  </si>
  <si>
    <t>CS-CA170-W902-XL</t>
  </si>
  <si>
    <t>X001OTUHKP</t>
  </si>
  <si>
    <t>B079GRPTTG</t>
  </si>
  <si>
    <t>CS-CA170-W902-XXL</t>
  </si>
  <si>
    <t>X001OUNTRH</t>
  </si>
  <si>
    <t>B079GV27GQ</t>
  </si>
  <si>
    <t>CS-CA170-WR917-L</t>
  </si>
  <si>
    <t>X001OT04FX</t>
  </si>
  <si>
    <t>B079GS5411</t>
  </si>
  <si>
    <t>CS-CA170-WR917-M</t>
  </si>
  <si>
    <t>X001OT04GH</t>
  </si>
  <si>
    <t>B079GQTV7Z</t>
  </si>
  <si>
    <t>CS-CA170-WR917-S</t>
  </si>
  <si>
    <t>X001OUPO1B</t>
  </si>
  <si>
    <t>B079GSDF9Q</t>
  </si>
  <si>
    <t>CS-CA170-WR917-XL</t>
  </si>
  <si>
    <t>X001OT0BFB</t>
  </si>
  <si>
    <t>B079GTZPCH</t>
  </si>
  <si>
    <t>CS-CA170-WR917-XXL</t>
  </si>
  <si>
    <t>X001OT0BF1</t>
  </si>
  <si>
    <t>B079GT61H8</t>
  </si>
  <si>
    <t>CS-CA170-ZL918-L</t>
  </si>
  <si>
    <t>X001OTUHJV</t>
  </si>
  <si>
    <t>B079GSYBPV</t>
  </si>
  <si>
    <t>CS-CA170-ZL918-M</t>
  </si>
  <si>
    <t>X001OT0BDN</t>
  </si>
  <si>
    <t>B079GTJNW6</t>
  </si>
  <si>
    <t>CS-CA170-ZL918-S</t>
  </si>
  <si>
    <t>X001OTUHRN</t>
  </si>
  <si>
    <t>B079GRTJX5</t>
  </si>
  <si>
    <t>CS-CA170-ZL918-XL</t>
  </si>
  <si>
    <t>X001OUNTR7</t>
  </si>
  <si>
    <t>B079GRVVCT</t>
  </si>
  <si>
    <t>CS-CA170-ZL918-XXL</t>
  </si>
  <si>
    <t>X001OUNKRL</t>
  </si>
  <si>
    <t>B079GSSR2M</t>
  </si>
  <si>
    <t>CS-CA181-G912-L</t>
  </si>
  <si>
    <t>X001OSWMFT</t>
  </si>
  <si>
    <t>B079GT6D99</t>
  </si>
  <si>
    <t>CS-CA181-G912-M</t>
  </si>
  <si>
    <t>X001OUOR9B</t>
  </si>
  <si>
    <t>B079GT1HFY</t>
  </si>
  <si>
    <t>CS-CA181-G912-XL</t>
  </si>
  <si>
    <t>X001OTV2UT</t>
  </si>
  <si>
    <t>B079GQSC7F</t>
  </si>
  <si>
    <t>CS-CA181-G912-XXL</t>
  </si>
  <si>
    <t>X001OUO8G3</t>
  </si>
  <si>
    <t>B079GRNHGQ</t>
  </si>
  <si>
    <t>CS-CA181-LG907-L</t>
  </si>
  <si>
    <t>X001OSWMQ3</t>
  </si>
  <si>
    <t>B079GR823H</t>
  </si>
  <si>
    <t>CS-CA181-LG907-M</t>
  </si>
  <si>
    <t>X001OSWMFJ</t>
  </si>
  <si>
    <t>B079GS275Z</t>
  </si>
  <si>
    <t>CS-CA181-LG907-S</t>
  </si>
  <si>
    <t>X001OT0UDJ</t>
  </si>
  <si>
    <t>B079GQJ9RT</t>
  </si>
  <si>
    <t>CS-CA181-LG907-XL</t>
  </si>
  <si>
    <t>X001OUOR9L</t>
  </si>
  <si>
    <t>B079GT5G3X</t>
  </si>
  <si>
    <t>CS-CA181-LG907-XXL</t>
  </si>
  <si>
    <t>X001OTV2RR</t>
  </si>
  <si>
    <t>B079GTRY2Q</t>
  </si>
  <si>
    <t>CS-CA181-W902-L</t>
  </si>
  <si>
    <t>X001OTV2UJ</t>
  </si>
  <si>
    <t>B079GQSZP8</t>
  </si>
  <si>
    <t>CS-CA181-W902-M</t>
  </si>
  <si>
    <t>X001OT0UDT</t>
  </si>
  <si>
    <t>B079GRHQ5F</t>
  </si>
  <si>
    <t>CS-CA181-W902-S</t>
  </si>
  <si>
    <t>X001OUIKQH</t>
  </si>
  <si>
    <t>B079GS3VMB</t>
  </si>
  <si>
    <t>CS-CA181-W902-XL</t>
  </si>
  <si>
    <t>X001OUIKRB</t>
  </si>
  <si>
    <t>B079GSMM6S</t>
  </si>
  <si>
    <t>CS-CA181-W902-XXL</t>
  </si>
  <si>
    <t>X001OSWXKN</t>
  </si>
  <si>
    <t>B079GSRC4F</t>
  </si>
  <si>
    <t>CS-CA181-WR917-L</t>
  </si>
  <si>
    <t>X001OTV2RH</t>
  </si>
  <si>
    <t>B079GV283Q</t>
  </si>
  <si>
    <t>CS-CA181-WR917-XL</t>
  </si>
  <si>
    <t>X001OT0UE3</t>
  </si>
  <si>
    <t>B079GSXSXS</t>
  </si>
  <si>
    <t>CS-CA181-WR917-XXL</t>
  </si>
  <si>
    <t>X001OSWMF9</t>
  </si>
  <si>
    <t>B079GRKTBJ</t>
  </si>
  <si>
    <t>CS-CA181-ZL918-L</t>
  </si>
  <si>
    <t>X001OSWMQD</t>
  </si>
  <si>
    <t>B079GVSYLV</t>
  </si>
  <si>
    <t>CS-CA181-ZL918-M</t>
  </si>
  <si>
    <t>X001OT0UG1</t>
  </si>
  <si>
    <t>B079GS2764</t>
  </si>
  <si>
    <t>CS-CA181-ZL918-S</t>
  </si>
  <si>
    <t>X001OTV2V3</t>
  </si>
  <si>
    <t>B079GV283S</t>
  </si>
  <si>
    <t>CS-CA181-ZL918-XL</t>
  </si>
  <si>
    <t>X001OUO8M7</t>
  </si>
  <si>
    <t>B079GSJQ9H</t>
  </si>
  <si>
    <t>CS-CA181-ZL918-XXL</t>
  </si>
  <si>
    <t>X001OSWMEP</t>
  </si>
  <si>
    <t>B079GT5HZL</t>
  </si>
  <si>
    <t>CS-LHY002-BK-L</t>
  </si>
  <si>
    <t>X001UCH0BF</t>
  </si>
  <si>
    <t>CS-LHY002-BK-M</t>
  </si>
  <si>
    <t>X001UBLZH1</t>
  </si>
  <si>
    <t>CS-LHY002-BK-S</t>
  </si>
  <si>
    <t>X001UCH0AV</t>
  </si>
  <si>
    <t>B074DTNWTF</t>
  </si>
  <si>
    <t>MOCOTONO Men's Long Sleeve Regular Fit Plaid Button Down Casual Shirts Black Small</t>
  </si>
  <si>
    <t>CS-LHY002-BL-M</t>
  </si>
  <si>
    <t>X001UBZN83</t>
  </si>
  <si>
    <t>CS-LHY002-BL-XXL</t>
  </si>
  <si>
    <t>X001UBLZCV</t>
  </si>
  <si>
    <t>CS-LHY002-BLNGN-2XL</t>
  </si>
  <si>
    <t>X001UBLZDP</t>
  </si>
  <si>
    <t>B074DTJ285</t>
  </si>
  <si>
    <t>MOCOTONO Men's Long Sleeve Regular Fit Plaid Button Down Casual Shirts Blue &amp; Green XX-Large</t>
  </si>
  <si>
    <t>CS-LHY002-BLNGN-L</t>
  </si>
  <si>
    <t>X001UBZEC3</t>
  </si>
  <si>
    <t>CS-LHY002-BLNGN-M</t>
  </si>
  <si>
    <t>X001UBZN7T</t>
  </si>
  <si>
    <t>CS-LHY002-BLNGN-S</t>
  </si>
  <si>
    <t>X001UCIU73</t>
  </si>
  <si>
    <t>CS-LHY002-BLNGN-XL</t>
  </si>
  <si>
    <t>X001UCI5A5</t>
  </si>
  <si>
    <t>B074DTPMLP</t>
  </si>
  <si>
    <t>MOCOTONO Men's Long Sleeve Regular Fit Plaid Button Down Casual Shirts Blue &amp; Green X-Large</t>
  </si>
  <si>
    <t>CS-LHY002-CF-M</t>
  </si>
  <si>
    <t>X001UBLZD5</t>
  </si>
  <si>
    <t>CS-LHY002-CF-S</t>
  </si>
  <si>
    <t>X001UCH0ZB</t>
  </si>
  <si>
    <t>CS-LHY002-CF-XXL</t>
  </si>
  <si>
    <t>X001UCIMCV</t>
  </si>
  <si>
    <t>CS-LHY002-LB-2XL</t>
  </si>
  <si>
    <t>X001UCH0B5</t>
  </si>
  <si>
    <t>CS-LHY002-LB-L</t>
  </si>
  <si>
    <t>X001UBLZGR</t>
  </si>
  <si>
    <t>CS-LHY002-LB-M</t>
  </si>
  <si>
    <t>X001UCILSB</t>
  </si>
  <si>
    <t>CS-LHY002-LB-S</t>
  </si>
  <si>
    <t>X001UCIJW9</t>
  </si>
  <si>
    <t>CS-LHY002-LB-XL</t>
  </si>
  <si>
    <t>X001UCH0Z1</t>
  </si>
  <si>
    <t>CS-LHY002-RD-2XL</t>
  </si>
  <si>
    <t>X001UBLZCL</t>
  </si>
  <si>
    <t>CS-LHY002-RD-L</t>
  </si>
  <si>
    <t>X001UBZEBT</t>
  </si>
  <si>
    <t>CS-LHY002-RD-M</t>
  </si>
  <si>
    <t>X001UCIU7D</t>
  </si>
  <si>
    <t>CS-LHY002-RD-S</t>
  </si>
  <si>
    <t>X001UCI5AF</t>
  </si>
  <si>
    <t>CS-LHY002-RD-XL</t>
  </si>
  <si>
    <t>X001UCIJWJ</t>
  </si>
  <si>
    <t>CS-LHY002-RNBL-2XL</t>
  </si>
  <si>
    <t>X001UCILSL</t>
  </si>
  <si>
    <t>CS-LHY002-RNBL-L</t>
  </si>
  <si>
    <t>X001UBLZDF</t>
  </si>
  <si>
    <t>CS-LHY002-RNBL-M</t>
  </si>
  <si>
    <t>X001UBLZHB</t>
  </si>
  <si>
    <t>CS-LHY002-RNBL-S</t>
  </si>
  <si>
    <t>X001UCH0AL</t>
  </si>
  <si>
    <t>B074DTPJW4</t>
  </si>
  <si>
    <t>MOCOTONO Men's Long Sleeve Regular Fit Plaid Button Down Casual Shirts Red &amp; Navy Small</t>
  </si>
  <si>
    <t>CS-LHY002-RNBL-XL</t>
  </si>
  <si>
    <t>X001UBZECD</t>
  </si>
  <si>
    <t>CS-LHY003-B0-L</t>
  </si>
  <si>
    <t>X001UCRWH7</t>
  </si>
  <si>
    <t>B078JD6PWC</t>
  </si>
  <si>
    <t>CS-LHY003-B0-M</t>
  </si>
  <si>
    <t>X001UCMH59</t>
  </si>
  <si>
    <t>B078J8FJLS</t>
  </si>
  <si>
    <t>CS-LHY003-B0-S</t>
  </si>
  <si>
    <t>X001UCQAAR</t>
  </si>
  <si>
    <t>B078JLVL3S</t>
  </si>
  <si>
    <t>CS-LHY003-B0-XL</t>
  </si>
  <si>
    <t>X001UCQ1BP</t>
  </si>
  <si>
    <t>CS-LHY003-B0-XXL</t>
  </si>
  <si>
    <t>X001UCMGQ9</t>
  </si>
  <si>
    <t>CS-LHY003-BL-XXL</t>
  </si>
  <si>
    <t>X001UDP0B1</t>
  </si>
  <si>
    <t>CS-LHY003-LB-XXL</t>
  </si>
  <si>
    <t>X001UDP179</t>
  </si>
  <si>
    <t>CS-LHY003-NB-L</t>
  </si>
  <si>
    <t>X001UCMGQT</t>
  </si>
  <si>
    <t>CS-LHY003-NB-M</t>
  </si>
  <si>
    <t>X001UCRWGX</t>
  </si>
  <si>
    <t>CS-LHY003-NB-S</t>
  </si>
  <si>
    <t>X001UCQAA7</t>
  </si>
  <si>
    <t>B078JLGRF4</t>
  </si>
  <si>
    <t>CS-LHY003-NB-XL</t>
  </si>
  <si>
    <t>X001UCQ78H</t>
  </si>
  <si>
    <t>B07FSKLV5K</t>
  </si>
  <si>
    <t>CS-LHY003-NB-XXL</t>
  </si>
  <si>
    <t>X001UCR0XD</t>
  </si>
  <si>
    <t>CS-LHY005-BK-2XL</t>
  </si>
  <si>
    <t>X001U9TKHZ</t>
  </si>
  <si>
    <t>CS-LHY005-BK-L</t>
  </si>
  <si>
    <t>X001U9TKI9</t>
  </si>
  <si>
    <t>CS-LHY005-BK-M</t>
  </si>
  <si>
    <t>X001U8T6WP</t>
  </si>
  <si>
    <t>CS-LHY005-BK-S</t>
  </si>
  <si>
    <t>X001U8T6WF</t>
  </si>
  <si>
    <t>CS-LHY005-BK-XL</t>
  </si>
  <si>
    <t>X001U8R0HN</t>
  </si>
  <si>
    <t>CS-LHY005-BL1-2XL</t>
  </si>
  <si>
    <t>X001U87N2F</t>
  </si>
  <si>
    <t>CS-LHY005-BL1-L</t>
  </si>
  <si>
    <t>X001U8H6N1</t>
  </si>
  <si>
    <t>CS-LHY005-BL1-M</t>
  </si>
  <si>
    <t>X001U9FESJ</t>
  </si>
  <si>
    <t>CS-LHY005-BL1-S</t>
  </si>
  <si>
    <t>X001U8R0HX</t>
  </si>
  <si>
    <t>CS-LHY005-BL1-XL</t>
  </si>
  <si>
    <t>X001U87MWB</t>
  </si>
  <si>
    <t>CS-LHY005-BL2-2XL</t>
  </si>
  <si>
    <t>X001U8R0EB</t>
  </si>
  <si>
    <t>CS-LHY005-BL2-L</t>
  </si>
  <si>
    <t>X001U8T6FR</t>
  </si>
  <si>
    <t>CS-LHY005-BL2-M</t>
  </si>
  <si>
    <t>X001U9R38N</t>
  </si>
  <si>
    <t>CS-LHY005-BL2-S</t>
  </si>
  <si>
    <t>X001U9R383</t>
  </si>
  <si>
    <t>CS-LHY005-BL2-XL</t>
  </si>
  <si>
    <t>X001U87N25</t>
  </si>
  <si>
    <t>CS-LHY005-GN-2XL</t>
  </si>
  <si>
    <t>X001U9R37T</t>
  </si>
  <si>
    <t>CS-LHY005-GN-L</t>
  </si>
  <si>
    <t>X001U87MW1</t>
  </si>
  <si>
    <t>CS-LHY005-GN-M</t>
  </si>
  <si>
    <t>X001U8H6NB</t>
  </si>
  <si>
    <t>CS-LHY005-GN-S</t>
  </si>
  <si>
    <t>X001U9TO35</t>
  </si>
  <si>
    <t>B074NZHLJW</t>
  </si>
  <si>
    <t>MOCOTONO Men's Long Sleeve Cotton Plaid Button Down Casual Shirts Green Small</t>
  </si>
  <si>
    <t>CS-LHY005-GN-XL</t>
  </si>
  <si>
    <t>X001U9FES9</t>
  </si>
  <si>
    <t>CS-LHY005-RD-2XL</t>
  </si>
  <si>
    <t>X001U87N2P</t>
  </si>
  <si>
    <t>B074NYS413</t>
  </si>
  <si>
    <t>MOCOTONO Men's Long Sleeve Cotton Plaid Button Down Casual Shirts Red XX-Large</t>
  </si>
  <si>
    <t>CS-LHY005-RD-L</t>
  </si>
  <si>
    <t>X001U8R0E1</t>
  </si>
  <si>
    <t>CS-LHY005-RD-M</t>
  </si>
  <si>
    <t>X001U8HHXZ</t>
  </si>
  <si>
    <t>CS-LHY005-RD-S</t>
  </si>
  <si>
    <t>X001U9TKIJ</t>
  </si>
  <si>
    <t>CS-LHY005-RD-XL</t>
  </si>
  <si>
    <t>X001U9TZ6L</t>
  </si>
  <si>
    <t>CS-LHY005-RD1-2XL</t>
  </si>
  <si>
    <t>X001U8T6W5</t>
  </si>
  <si>
    <t>CS-LHY005-RD1-L</t>
  </si>
  <si>
    <t>X001U8QZ6Z</t>
  </si>
  <si>
    <t>CS-LHY005-RD1-M</t>
  </si>
  <si>
    <t>X001U9TZ6B</t>
  </si>
  <si>
    <t>CS-LHY005-RD1-S</t>
  </si>
  <si>
    <t>X001U8HHY9</t>
  </si>
  <si>
    <t>B074NWPZS3</t>
  </si>
  <si>
    <t>MOCOTONO Men's Long Sleeve Cotton Plaid Button Down Casual Shirts Scarlet Small</t>
  </si>
  <si>
    <t>CS-LHY005-RD1-XL</t>
  </si>
  <si>
    <t>X001U8R0EL</t>
  </si>
  <si>
    <t>CS-LHY005-YL-2XL</t>
  </si>
  <si>
    <t>X001U87N2Z</t>
  </si>
  <si>
    <t>B074P2T462</t>
  </si>
  <si>
    <t>MOCOTONO Men's Long Sleeve Cotton Plaid Button Down Casual Shirts Yellow XX-Large</t>
  </si>
  <si>
    <t>CS-LHY005-YL-L</t>
  </si>
  <si>
    <t>X001U8T6VV</t>
  </si>
  <si>
    <t>CS-LHY005-YL-M</t>
  </si>
  <si>
    <t>X001U9FEST</t>
  </si>
  <si>
    <t>CS-LHY005-YL-S</t>
  </si>
  <si>
    <t>X001U9R38D</t>
  </si>
  <si>
    <t>CS-LHY005-YL-XL</t>
  </si>
  <si>
    <t>X001U8T77T</t>
  </si>
  <si>
    <t>CS-LHY006-BK-2XL</t>
  </si>
  <si>
    <t>X001U80WSR</t>
  </si>
  <si>
    <t>CS-LHY006-BK-L</t>
  </si>
  <si>
    <t>X001U806DD</t>
  </si>
  <si>
    <t>Men's Long Sleeve Standard Fit Plaid Checked Button Up Casual Shirts Black Large</t>
  </si>
  <si>
    <t>CS-LHY006-BK-M</t>
  </si>
  <si>
    <t>X001U7XUEB</t>
  </si>
  <si>
    <t>CS-LHY006-BK-S</t>
  </si>
  <si>
    <t>X001U7IIRF</t>
  </si>
  <si>
    <t>CS-LHY006-BK-XL</t>
  </si>
  <si>
    <t>X001U7Y04P</t>
  </si>
  <si>
    <t>CS-LHY006-BL-2XL</t>
  </si>
  <si>
    <t>X001U80F7P</t>
  </si>
  <si>
    <t>CS-LHY006-BL-L</t>
  </si>
  <si>
    <t>X001U80LQF</t>
  </si>
  <si>
    <t>CS-LHY006-BL-M</t>
  </si>
  <si>
    <t>X001U81F6P</t>
  </si>
  <si>
    <t>CS-LHY006-BL-S</t>
  </si>
  <si>
    <t>X001U7XZYB</t>
  </si>
  <si>
    <t>CS-LHY006-BL-XL</t>
  </si>
  <si>
    <t>X001U7IIQL</t>
  </si>
  <si>
    <t>CS-LHY006-BL2-2XL</t>
  </si>
  <si>
    <t>X001U7Y0C7</t>
  </si>
  <si>
    <t>CS-LHY006-BL2-L</t>
  </si>
  <si>
    <t>X001U81OOD</t>
  </si>
  <si>
    <t>CS-LHY006-BL2-M</t>
  </si>
  <si>
    <t>X001U7IIR5</t>
  </si>
  <si>
    <t>CS-LHY006-BL2-S</t>
  </si>
  <si>
    <t>X001U806DN</t>
  </si>
  <si>
    <t>CS-LHY006-BL2-XL</t>
  </si>
  <si>
    <t>X001U7NUKZ</t>
  </si>
  <si>
    <t>CS-LHY006-CF-2XL</t>
  </si>
  <si>
    <t>X001U81F6Z</t>
  </si>
  <si>
    <t>B074P3BM2D</t>
  </si>
  <si>
    <t>MOCOTONO Men's Long Sleeve Standard Fit Plaid Checked Button Up Casual Shirts Coffee XX-Large</t>
  </si>
  <si>
    <t>CS-LHY006-CF-L</t>
  </si>
  <si>
    <t>X001U7XZXR</t>
  </si>
  <si>
    <t>CS-LHY006-CF-M</t>
  </si>
  <si>
    <t>X001U7IF37</t>
  </si>
  <si>
    <t>CS-LHY006-CF-S</t>
  </si>
  <si>
    <t>X001U80WTB</t>
  </si>
  <si>
    <t>CS-LHY006-CF-XL</t>
  </si>
  <si>
    <t>X001U80WTV</t>
  </si>
  <si>
    <t>B074NVTZ48</t>
  </si>
  <si>
    <t>MOCOTONO Men's Long Sleeve Standard Fit Plaid Checked Button Up Casual Shirts Coffee X-Large</t>
  </si>
  <si>
    <t>CS-LHY006-GN-2XL</t>
  </si>
  <si>
    <t>X001U7Y04Z</t>
  </si>
  <si>
    <t>B074NWGDJG</t>
  </si>
  <si>
    <t>MOCOTONO Men's Long Sleeve Standard Fit Plaid Checked Button Up Casual Shirts Green XX-Large</t>
  </si>
  <si>
    <t>CS-LHY006-GN-M</t>
  </si>
  <si>
    <t>X001U80WT1</t>
  </si>
  <si>
    <t>CS-LHY006-GN-S</t>
  </si>
  <si>
    <t>X001U81OO3</t>
  </si>
  <si>
    <t>CS-LHY006-GN-XL</t>
  </si>
  <si>
    <t>X001U80F7Z</t>
  </si>
  <si>
    <t>CS-LHY006-RD1-2XL</t>
  </si>
  <si>
    <t>X001U7XZY1</t>
  </si>
  <si>
    <t>CS-LHY006-RD1-L</t>
  </si>
  <si>
    <t>X001U7BR23</t>
  </si>
  <si>
    <t>CS-LHY006-RD1-M</t>
  </si>
  <si>
    <t>X001U7XZXH</t>
  </si>
  <si>
    <t>CS-LHY006-RD1-S</t>
  </si>
  <si>
    <t>X001U7Y0CH</t>
  </si>
  <si>
    <t>B074P5J7Y8</t>
  </si>
  <si>
    <t>MOCOTONO Men's Long Sleeve Standard Fit Plaid Checked Button Up Casual Shirts Red Small</t>
  </si>
  <si>
    <t>CS-LHY006-RD1-XL</t>
  </si>
  <si>
    <t>X001U7IIQV</t>
  </si>
  <si>
    <t>CS-LHY006-RD2-2XL</t>
  </si>
  <si>
    <t>X001U7BR1J</t>
  </si>
  <si>
    <t>CS-LHY006-RD2-L</t>
  </si>
  <si>
    <t>X001U80F89</t>
  </si>
  <si>
    <t>CS-LHY006-RD2-M</t>
  </si>
  <si>
    <t>X001U80WTL</t>
  </si>
  <si>
    <t>CS-LHY006-RD2-XL</t>
  </si>
  <si>
    <t>X001U7BR1T</t>
  </si>
  <si>
    <t>CS-LHY007-BL-L</t>
  </si>
  <si>
    <t>X001UE5AB5</t>
  </si>
  <si>
    <t>CS-LHY007-BL-M</t>
  </si>
  <si>
    <t>X001UE6DC5</t>
  </si>
  <si>
    <t>CS-LHY007-BL-S</t>
  </si>
  <si>
    <t>X001UE67RB</t>
  </si>
  <si>
    <t>CS-LHY007-BL-XL</t>
  </si>
  <si>
    <t>X001UE66I1</t>
  </si>
  <si>
    <t>CS-LHY007-BL-XXL</t>
  </si>
  <si>
    <t>X001UE5VRX</t>
  </si>
  <si>
    <t>CS-LHY007-GR-L</t>
  </si>
  <si>
    <t>X001UE6IQ1</t>
  </si>
  <si>
    <t>CS-LHY007-GR-M</t>
  </si>
  <si>
    <t>X001UE6IQV</t>
  </si>
  <si>
    <t>CS-LHY007-GR-XL</t>
  </si>
  <si>
    <t>X001UE5AAV</t>
  </si>
  <si>
    <t>CS-LHY007-GR-XXL</t>
  </si>
  <si>
    <t>X001UE67R1</t>
  </si>
  <si>
    <t>CS-LHY007-LB-XL</t>
  </si>
  <si>
    <t>X001UE7HHZ</t>
  </si>
  <si>
    <t>CS-LHY007-LG-L</t>
  </si>
  <si>
    <t>X001UE66EZ</t>
  </si>
  <si>
    <t>B074ZXPF4W</t>
  </si>
  <si>
    <t>CS-LHY007-LG-M</t>
  </si>
  <si>
    <t>X001UE5VRN</t>
  </si>
  <si>
    <t>B07511TPGK</t>
  </si>
  <si>
    <t>CS-LHY007-LG-XL</t>
  </si>
  <si>
    <t>X001UE6IQL</t>
  </si>
  <si>
    <t>B075133HRC</t>
  </si>
  <si>
    <t>CS-LHY007-LG-XXL</t>
  </si>
  <si>
    <t>X001UE5ZGP</t>
  </si>
  <si>
    <t>B0751BCTDL</t>
  </si>
  <si>
    <t>CS-LHY007-LP-L</t>
  </si>
  <si>
    <t>X001UE6LBD</t>
  </si>
  <si>
    <t>CS-LHY007-LP-S</t>
  </si>
  <si>
    <t>X001UE67RL</t>
  </si>
  <si>
    <t>B075145FFS</t>
  </si>
  <si>
    <t>MOCOTONO Mens Oxford Long Sleeve Solid Standard Fit Button Down Casual Dress Shirts Light Pink Small</t>
  </si>
  <si>
    <t>CS-LHY007-LP-XXL</t>
  </si>
  <si>
    <t>X001UDQHAJ</t>
  </si>
  <si>
    <t>CS-LHY007-PP-L</t>
  </si>
  <si>
    <t>X001UE72D9</t>
  </si>
  <si>
    <t>CS-LHY007-PP-M</t>
  </si>
  <si>
    <t>X001UE6IQB</t>
  </si>
  <si>
    <t>CS-LHY009-BK-S</t>
  </si>
  <si>
    <t>X001T2RZA7</t>
  </si>
  <si>
    <t>CS-LHY009-BK-XL</t>
  </si>
  <si>
    <t>X001T2RYCL</t>
  </si>
  <si>
    <t>B07516WWNF</t>
  </si>
  <si>
    <t>MOCOTONO Men's Short Sleeve Plaid Checkered Button Down Casual Shirts Black X-Large</t>
  </si>
  <si>
    <t>CS-LHY009-BL-L</t>
  </si>
  <si>
    <t>X001T1S89Z</t>
  </si>
  <si>
    <t>B07516JWHJ</t>
  </si>
  <si>
    <t>MOCOTONO Men's Short Sleeve Plaid Checkered Button Down Casual Shirts Blue Large</t>
  </si>
  <si>
    <t>CS-LHY009-BL-M</t>
  </si>
  <si>
    <t>X001T32T4X</t>
  </si>
  <si>
    <t>B07516HP51</t>
  </si>
  <si>
    <t>CS-LHY009-CF-M</t>
  </si>
  <si>
    <t>X001T34MK7</t>
  </si>
  <si>
    <t>CS-LHY009-CF-S</t>
  </si>
  <si>
    <t>X001T33BHR</t>
  </si>
  <si>
    <t>CS-LHY009-CF-XL</t>
  </si>
  <si>
    <t>X001T2RYDF</t>
  </si>
  <si>
    <t>CS-LHY009-GN-S</t>
  </si>
  <si>
    <t>X001T33BH7</t>
  </si>
  <si>
    <t>CS-LHY009-LB-M</t>
  </si>
  <si>
    <t>X001T32CLD</t>
  </si>
  <si>
    <t>CS-LHY009-LB-S</t>
  </si>
  <si>
    <t>X001T331OP</t>
  </si>
  <si>
    <t>CS-LHY009-LB-XL</t>
  </si>
  <si>
    <t>X001T32CL3</t>
  </si>
  <si>
    <t>B07512TNSM</t>
  </si>
  <si>
    <t>MOCOTONO Men's Short Sleeve Plaid Checkered Button Down Casual Shirts Light Blue X-Large</t>
  </si>
  <si>
    <t>CS-LHY009-LB1-XL</t>
  </si>
  <si>
    <t>X001T34MJN</t>
  </si>
  <si>
    <t>B074ZY4X2Q</t>
  </si>
  <si>
    <t>MOCOTONO Men's Short Sleeve Plaid Checkered Button Down Casual Shirts Blue &amp; Navy X-Large</t>
  </si>
  <si>
    <t>CS-LHY009-LB1-XXL</t>
  </si>
  <si>
    <t>X001T205RH</t>
  </si>
  <si>
    <t>CS-LHY009-RDNY-L</t>
  </si>
  <si>
    <t>X001T338YN</t>
  </si>
  <si>
    <t>CS-LHY009-RDNY-M</t>
  </si>
  <si>
    <t>X001T34SL5</t>
  </si>
  <si>
    <t>CS-LHY009-RDNY-S</t>
  </si>
  <si>
    <t>X001T32T5H</t>
  </si>
  <si>
    <t>CS-LHY009-RDNY-XL</t>
  </si>
  <si>
    <t>X001T32R2H</t>
  </si>
  <si>
    <t>B07DNQRP1J</t>
  </si>
  <si>
    <t>CS-LHY009-RDNY-XXL</t>
  </si>
  <si>
    <t>X001T34MKH</t>
  </si>
  <si>
    <t>CS-LHY009-YL-M</t>
  </si>
  <si>
    <t>X001T33AIR</t>
  </si>
  <si>
    <t>CS-LHY009-YL-S</t>
  </si>
  <si>
    <t>X001T2RYCB</t>
  </si>
  <si>
    <t>CS-LHY009-YL-XXL</t>
  </si>
  <si>
    <t>X001T2RZ9N</t>
  </si>
  <si>
    <t>CS-LHY016-B0-M</t>
  </si>
  <si>
    <t>X001UCQ3SB</t>
  </si>
  <si>
    <t>CS-LHY016-B0-XL</t>
  </si>
  <si>
    <t>X001UCQ77N</t>
  </si>
  <si>
    <t>CS-LHY016-B0-XXL</t>
  </si>
  <si>
    <t>X001UCPR3D</t>
  </si>
  <si>
    <t>CS-LHY016-BK-M</t>
  </si>
  <si>
    <t>X001UCQA9N</t>
  </si>
  <si>
    <t>CS-LHY016-BK-S</t>
  </si>
  <si>
    <t>X001UCPR3N</t>
  </si>
  <si>
    <t>B078J8H6QS</t>
  </si>
  <si>
    <t>MOCOTONO Men's Long Sleeve Denim Double-Pocket Shirt Black Small</t>
  </si>
  <si>
    <t>CS-LHY016-BK-XL</t>
  </si>
  <si>
    <t>X001UCRWHH</t>
  </si>
  <si>
    <t>CS-LHY016-BK-XXL</t>
  </si>
  <si>
    <t>X001UCQ3R7</t>
  </si>
  <si>
    <t>B078JN2QF6</t>
  </si>
  <si>
    <t>CS-LHY016-LB-M</t>
  </si>
  <si>
    <t>X001THMBW9</t>
  </si>
  <si>
    <t>CS-LHY016-LB-XL</t>
  </si>
  <si>
    <t>X001THM39Z</t>
  </si>
  <si>
    <t>CS-LHY016-NB-L</t>
  </si>
  <si>
    <t>X001UCR0WJ</t>
  </si>
  <si>
    <t>CS-LHY016-NB-M</t>
  </si>
  <si>
    <t>X001UCMH5J</t>
  </si>
  <si>
    <t>CS-LHY016-NB-XL</t>
  </si>
  <si>
    <t>X001UCRJY3</t>
  </si>
  <si>
    <t>CS-LHY016-NB-XXL</t>
  </si>
  <si>
    <t>X001UCQ787</t>
  </si>
  <si>
    <t>CS-LHY030-YL-XXL</t>
  </si>
  <si>
    <t>X001THQ7JR</t>
  </si>
  <si>
    <t>B07DXMSQ3R</t>
  </si>
  <si>
    <t>Men's Short Sleeve Oxford Button Down Casual Shirt Yellow XX-Large</t>
  </si>
  <si>
    <t>CS-LHY032-BL-M</t>
  </si>
  <si>
    <t>X001T4SC0H</t>
  </si>
  <si>
    <t>CS-LHY032-BL-XXL</t>
  </si>
  <si>
    <t>X001T5UWK9</t>
  </si>
  <si>
    <t>CS-LHY032-RD-M</t>
  </si>
  <si>
    <t>X001T615NB</t>
  </si>
  <si>
    <t>CS-LHY032-RD-S</t>
  </si>
  <si>
    <t>X001T5TBFL</t>
  </si>
  <si>
    <t>CS-LHY032-RD-XXL</t>
  </si>
  <si>
    <t>X001T4KLXX</t>
  </si>
  <si>
    <t>CS-LHY032-YL-M</t>
  </si>
  <si>
    <t>X001T4KM2D</t>
  </si>
  <si>
    <t>CS-LHY032-YL-S</t>
  </si>
  <si>
    <t>X001T615M7</t>
  </si>
  <si>
    <t>CS-LHY032-YL-XXL</t>
  </si>
  <si>
    <t>X001T5UWJZ</t>
  </si>
  <si>
    <t>CS-LHY084-H1-L</t>
  </si>
  <si>
    <t>X001TZOXT5</t>
  </si>
  <si>
    <t>MOCOTONO Men's Long Sleeve Plaid Button Down Cotton Casual Shirts Coffee/Grass Green Large</t>
  </si>
  <si>
    <t>CS-LHY084-H1-M</t>
  </si>
  <si>
    <t>X001TZA6F5</t>
  </si>
  <si>
    <t>CS-LHY084-H1-XL</t>
  </si>
  <si>
    <t>X001TZFYLL</t>
  </si>
  <si>
    <t>CS-LHY084-H1-XXL</t>
  </si>
  <si>
    <t>X001TZNAJ9</t>
  </si>
  <si>
    <t>CS-LHY084-H10-L</t>
  </si>
  <si>
    <t>X001TZA6EV</t>
  </si>
  <si>
    <t>CS-LHY084-H10-M</t>
  </si>
  <si>
    <t>X001TZOXTF</t>
  </si>
  <si>
    <t>B07FDR7PG8</t>
  </si>
  <si>
    <t>MOCOTONO Men's Long Sleeve Plaid Button Down Cotton Casual Shirts White and Red Medium</t>
  </si>
  <si>
    <t>CS-LHY084-H10-S</t>
  </si>
  <si>
    <t>X001TZA69V</t>
  </si>
  <si>
    <t>MOCOTONO Men's Long Sleeve Plaid Button Down Cotton Casual Shirts White and Red Small</t>
  </si>
  <si>
    <t>CS-LHY084-H10-XXL</t>
  </si>
  <si>
    <t>X001TYKRPP</t>
  </si>
  <si>
    <t>CS-LHY084-H15-L</t>
  </si>
  <si>
    <t>X001TZID9L</t>
  </si>
  <si>
    <t>CS-LHY084-H15-M</t>
  </si>
  <si>
    <t>X001TZOXTZ</t>
  </si>
  <si>
    <t>CS-LHY084-H15-S</t>
  </si>
  <si>
    <t>X001TZA6FF</t>
  </si>
  <si>
    <t>CS-LHY084-H15-XXL</t>
  </si>
  <si>
    <t>X001TZFZ83</t>
  </si>
  <si>
    <t>CS-LHY084-H16-L</t>
  </si>
  <si>
    <t>X001TZID9V</t>
  </si>
  <si>
    <t>B07FDYPS4N</t>
  </si>
  <si>
    <t>CS-LHY084-H16-M</t>
  </si>
  <si>
    <t>X001TZFSKD</t>
  </si>
  <si>
    <t>CS-LHY084-H16-S</t>
  </si>
  <si>
    <t>X001TZNBST</t>
  </si>
  <si>
    <t>CS-LHY084-H16-XL</t>
  </si>
  <si>
    <t>X001TZNAJJ</t>
  </si>
  <si>
    <t>CS-LHY084-H16-XXL</t>
  </si>
  <si>
    <t>X001TZFYLV</t>
  </si>
  <si>
    <t>CS-LHY084-H2-L</t>
  </si>
  <si>
    <t>X001TZA6FP</t>
  </si>
  <si>
    <t>CS-LHY084-H2-M</t>
  </si>
  <si>
    <t>X001TZA6W3</t>
  </si>
  <si>
    <t>CS-LHY084-H2-S</t>
  </si>
  <si>
    <t>X001TYKRJ1</t>
  </si>
  <si>
    <t>CS-LHY084-H2-XL</t>
  </si>
  <si>
    <t>X001TZFSKN</t>
  </si>
  <si>
    <t>B07FDPBHPX</t>
  </si>
  <si>
    <t>CS-LHY084-H2-XXL</t>
  </si>
  <si>
    <t>X001TZFZ7J</t>
  </si>
  <si>
    <t>CS-LHY084-H3-L</t>
  </si>
  <si>
    <t>X001TZP96V</t>
  </si>
  <si>
    <t>CS-LHY084-H3-M</t>
  </si>
  <si>
    <t>X001TZNAIP</t>
  </si>
  <si>
    <t>CS-LHY084-H3-S</t>
  </si>
  <si>
    <t>X001TZNC79</t>
  </si>
  <si>
    <t>CS-LHY084-H4-L</t>
  </si>
  <si>
    <t>X001TZNBTD</t>
  </si>
  <si>
    <t>CS-LHY084-H4-M</t>
  </si>
  <si>
    <t>X001TZA6VJ</t>
  </si>
  <si>
    <t>MOCOTONO Men's Long Sleeve Plaid Button Down Cotton Casual Shirts Red and White Medium</t>
  </si>
  <si>
    <t>CS-LHY084-H4-S</t>
  </si>
  <si>
    <t>X001TZP975</t>
  </si>
  <si>
    <t>MOCOTONO Men's Long Sleeve Plaid Button Down Cotton Casual Shirts Red and White Small</t>
  </si>
  <si>
    <t>CS-LHY084-H4-XL</t>
  </si>
  <si>
    <t>X001TZOXTP</t>
  </si>
  <si>
    <t>CS-LHY084-H4-XXL</t>
  </si>
  <si>
    <t>X001TZFYMF</t>
  </si>
  <si>
    <t>CS-LHY084-H6-XL</t>
  </si>
  <si>
    <t>X001TZP97F</t>
  </si>
  <si>
    <t>B06XQVRZLJ</t>
  </si>
  <si>
    <t>MOCOTONO Men's Long Sleeve Plaid Button Down Cotton Casual Shirts Black and White X-Large</t>
  </si>
  <si>
    <t>CS-LHY086-B0-L</t>
  </si>
  <si>
    <t>X001UCRYT3</t>
  </si>
  <si>
    <t>CS-LHY086-B0-M</t>
  </si>
  <si>
    <t>X001UCRYJD</t>
  </si>
  <si>
    <t>B0787B63VM</t>
  </si>
  <si>
    <t>MOCOTONO Men's Long Sleeve Denim Western Work Shirt Denim Blue Medium</t>
  </si>
  <si>
    <t>CS-LHY086-B0-S</t>
  </si>
  <si>
    <t>X001UBYP2X</t>
  </si>
  <si>
    <t>B07876LJ8X</t>
  </si>
  <si>
    <t>MOCOTONO Men's Long Sleeve Denim Western Work Shirt Denim Blue Small</t>
  </si>
  <si>
    <t>CS-LHY086-B0-XL</t>
  </si>
  <si>
    <t>X001UCS483</t>
  </si>
  <si>
    <t>CS-LHY086-B0-XXL</t>
  </si>
  <si>
    <t>X001UCSNOX</t>
  </si>
  <si>
    <t>B0787N5FQD</t>
  </si>
  <si>
    <t>MOCOTONO Men's Long Sleeve Denim Western Work Shirt Denim Blue XX-Large</t>
  </si>
  <si>
    <t>CS-LHY166-B28-1-L</t>
  </si>
  <si>
    <t>X001TZRT4B</t>
  </si>
  <si>
    <t>B0719P8HYH</t>
  </si>
  <si>
    <t>CS-LHY166-B28-1-M</t>
  </si>
  <si>
    <t>X001TZTIHH</t>
  </si>
  <si>
    <t>CS-LHY166-B28-1-S</t>
  </si>
  <si>
    <t>X001TZLATL</t>
  </si>
  <si>
    <t>CS-LHY166-B28-1-XXL</t>
  </si>
  <si>
    <t>X001TZTINB</t>
  </si>
  <si>
    <t>CS-LHY166-B28-3-L</t>
  </si>
  <si>
    <t>X001TZTII1</t>
  </si>
  <si>
    <t>CS-LHY166-B28-3-M</t>
  </si>
  <si>
    <t>X001TZCY4B</t>
  </si>
  <si>
    <t>B072PR393B</t>
  </si>
  <si>
    <t>MOCOTONO Men's Long Sleeve Flannel Plaid Dress Shirt Western Button Down Shirts Navy Medium</t>
  </si>
  <si>
    <t>CS-LHY166-B28-3-S</t>
  </si>
  <si>
    <t>X001TZLAQT</t>
  </si>
  <si>
    <t>CS-LHY166-B28-3-XL</t>
  </si>
  <si>
    <t>X001TZTHG9</t>
  </si>
  <si>
    <t>B072FMY4VJ</t>
  </si>
  <si>
    <t>CS-LHY166-B28-3-XXL</t>
  </si>
  <si>
    <t>X001TZS3LJ</t>
  </si>
  <si>
    <t>B07FDSR71S</t>
  </si>
  <si>
    <t>CS-LHY166-B28-4-L</t>
  </si>
  <si>
    <t>X001TZT5VV</t>
  </si>
  <si>
    <t>B072PQ55W6</t>
  </si>
  <si>
    <t>CS-LHY166-B28-4-M</t>
  </si>
  <si>
    <t>X001TZSL9N</t>
  </si>
  <si>
    <t>CS-LHY166-B28-4-XL</t>
  </si>
  <si>
    <t>X001TZTIN1</t>
  </si>
  <si>
    <t>B072PRCFFJ</t>
  </si>
  <si>
    <t>CS-LHY166-B28-4-XXL</t>
  </si>
  <si>
    <t>X001TZS3L9</t>
  </si>
  <si>
    <t>B0719P8LD3</t>
  </si>
  <si>
    <t>CS-LHY166-B28-5-L</t>
  </si>
  <si>
    <t>X001TZCY3R</t>
  </si>
  <si>
    <t>CS-LHY166-B28-5-S</t>
  </si>
  <si>
    <t>X001TYPQY7</t>
  </si>
  <si>
    <t>CS-LHY166-B28-5-XL</t>
  </si>
  <si>
    <t>X001TZLAR3</t>
  </si>
  <si>
    <t>B072LT99LL</t>
  </si>
  <si>
    <t>Men's Flannel Long Sleeve Plaid Button Down Western Shirts Khaki X-Large</t>
  </si>
  <si>
    <t>CS-LHY166-B28-5-XXL</t>
  </si>
  <si>
    <t>X001TZTINL</t>
  </si>
  <si>
    <t>CS-LHY166-K33-1-M</t>
  </si>
  <si>
    <t>X001TZTV1F</t>
  </si>
  <si>
    <t>CS-LHY166-K33-1-S</t>
  </si>
  <si>
    <t>X001TZTIHR</t>
  </si>
  <si>
    <t>CS-LHY166-K33-1-XL</t>
  </si>
  <si>
    <t>X001TZTV29</t>
  </si>
  <si>
    <t>CS-LHY166-K33-4-L</t>
  </si>
  <si>
    <t>X001TYPQXX</t>
  </si>
  <si>
    <t>B072PQWBGT</t>
  </si>
  <si>
    <t>CS-LHY166-K33-4-M</t>
  </si>
  <si>
    <t>X001TZSL9D</t>
  </si>
  <si>
    <t>CS-LHY166-K33-4-XL</t>
  </si>
  <si>
    <t>X001TZTV1P</t>
  </si>
  <si>
    <t>CS-LHY166-K33-4-XXL</t>
  </si>
  <si>
    <t>X001TZQOT7</t>
  </si>
  <si>
    <t>B071LDNH24</t>
  </si>
  <si>
    <t>CS-LHY166-K73-1-L</t>
  </si>
  <si>
    <t>X001TZCY4L</t>
  </si>
  <si>
    <t>B0725NJ2NC</t>
  </si>
  <si>
    <t>CS-LHY166-K73-1-M</t>
  </si>
  <si>
    <t>X001TZCY3H</t>
  </si>
  <si>
    <t>CS-LHY166-K73-1-XL</t>
  </si>
  <si>
    <t>X001TZLARD</t>
  </si>
  <si>
    <t>CS-LHY166-K73-1-XXL</t>
  </si>
  <si>
    <t>X001TZTV1Z</t>
  </si>
  <si>
    <t>CS-LHY166-K73-2-L</t>
  </si>
  <si>
    <t>X001TZQKMX</t>
  </si>
  <si>
    <t>B0725VLGKV</t>
  </si>
  <si>
    <t>CS-LHY166-K73-2-M</t>
  </si>
  <si>
    <t>X001TYQ6WD</t>
  </si>
  <si>
    <t>B07FDXR1LJ</t>
  </si>
  <si>
    <t>CS-LHY166-K73-2-XL</t>
  </si>
  <si>
    <t>X001TZKKQ5</t>
  </si>
  <si>
    <t>CS-LHY166-K73-2-XXL</t>
  </si>
  <si>
    <t>X001TZSYQX</t>
  </si>
  <si>
    <t>CS-LHY170-G912-M</t>
  </si>
  <si>
    <t>X001UHRA7T</t>
  </si>
  <si>
    <t>CS-LHY170-G912-S</t>
  </si>
  <si>
    <t>X001UHRG7N</t>
  </si>
  <si>
    <t>CS-LHY170-LB916-XXL</t>
  </si>
  <si>
    <t>X001THQAGR</t>
  </si>
  <si>
    <t>B0788KFGJY</t>
  </si>
  <si>
    <t>CS-LHY170-LG907-S</t>
  </si>
  <si>
    <t>X001UHOU7R</t>
  </si>
  <si>
    <t>CS-LHY170-PI908-M</t>
  </si>
  <si>
    <t>X001THPXQZ</t>
  </si>
  <si>
    <t>CS-LHY170-PI908-S</t>
  </si>
  <si>
    <t>X001UHR65F</t>
  </si>
  <si>
    <t>CS-LHY170-PI908-XXL</t>
  </si>
  <si>
    <t>X001TGKJ79</t>
  </si>
  <si>
    <t>CS-LHY170-W902-S</t>
  </si>
  <si>
    <t>X001THPS8D</t>
  </si>
  <si>
    <t>B0788JN51X</t>
  </si>
  <si>
    <t>Men's Short Sleeve Oxford Button Down Casual Shirt White Small</t>
  </si>
  <si>
    <t>CS-LHY170-ZL918-S</t>
  </si>
  <si>
    <t>X001THQ7PV</t>
  </si>
  <si>
    <t>CS-LHY171-BK-L</t>
  </si>
  <si>
    <t>X001VK1H5V</t>
  </si>
  <si>
    <t>B07GVFBVRK</t>
  </si>
  <si>
    <t>Men's Oxford Long Sleeve Button Down Dress Shirt with Pocket,Black,Large</t>
  </si>
  <si>
    <t>CS-LHY171-BK-M</t>
  </si>
  <si>
    <t>X001VKJOHT</t>
  </si>
  <si>
    <t>B07GVFWLXT</t>
  </si>
  <si>
    <t>Men's Oxford Long Sleeve Button Down Dress Shirt with Pocket,Black,Medium</t>
  </si>
  <si>
    <t>CS-LHY171-BK-S</t>
  </si>
  <si>
    <t>X001VKJOHJ</t>
  </si>
  <si>
    <t>B07GVF413L</t>
  </si>
  <si>
    <t>Men's Oxford Long Sleeve Button Down Dress Shirt with Pocket,Black,Small</t>
  </si>
  <si>
    <t>CS-LHY171-BK-XL</t>
  </si>
  <si>
    <t>X001VK5739</t>
  </si>
  <si>
    <t>B07GVC5C79</t>
  </si>
  <si>
    <t>Men's Oxford Long Sleeve Button Down Dress Shirt with Pocket,Black,X-Large</t>
  </si>
  <si>
    <t>CS-LHY171-BK-XXL</t>
  </si>
  <si>
    <t>X001VK573J</t>
  </si>
  <si>
    <t>B07GVBF5LP</t>
  </si>
  <si>
    <t>Men's Oxford Long Sleeve Button Down Dress Shirt with Pocket,Black,XX-Large</t>
  </si>
  <si>
    <t>CS-LHY171-G912-L</t>
  </si>
  <si>
    <t>X001UBOJXD</t>
  </si>
  <si>
    <t>CS-LHY171-G912-M</t>
  </si>
  <si>
    <t>X001UBJYKL</t>
  </si>
  <si>
    <t>CS-LHY171-G912-S</t>
  </si>
  <si>
    <t>X001UBGEXL</t>
  </si>
  <si>
    <t>CS-LHY171-G912-XL</t>
  </si>
  <si>
    <t>X001UBG977</t>
  </si>
  <si>
    <t>CS-LHY171-G912-XXL</t>
  </si>
  <si>
    <t>X001UB4CRB</t>
  </si>
  <si>
    <t>B07FR8TRTL</t>
  </si>
  <si>
    <t>CS-LHY171-LB916-L</t>
  </si>
  <si>
    <t>X001UATDNZ</t>
  </si>
  <si>
    <t>CS-LHY171-LB916-M</t>
  </si>
  <si>
    <t>X001UBJYCT</t>
  </si>
  <si>
    <t>CS-LHY171-LB916-S</t>
  </si>
  <si>
    <t>X001UBG9CH</t>
  </si>
  <si>
    <t>CS-LHY171-LB916-XL</t>
  </si>
  <si>
    <t>X001UBGEY5</t>
  </si>
  <si>
    <t>CS-LHY171-LB916-XXL</t>
  </si>
  <si>
    <t>X001UBQ70V</t>
  </si>
  <si>
    <t>B07FR2MN64</t>
  </si>
  <si>
    <t>CS-LHY171-LG907-L</t>
  </si>
  <si>
    <t>X001UB4CQH</t>
  </si>
  <si>
    <t>CS-LHY171-LG907-M</t>
  </si>
  <si>
    <t>X001UBG9BN</t>
  </si>
  <si>
    <t>CS-LHY171-LG907-S</t>
  </si>
  <si>
    <t>X001UBQ70L</t>
  </si>
  <si>
    <t>CS-LHY171-LG907-XL</t>
  </si>
  <si>
    <t>X001UBJYCJ</t>
  </si>
  <si>
    <t>CS-LHY171-LG907-XXL</t>
  </si>
  <si>
    <t>X001UBQ82D</t>
  </si>
  <si>
    <t>CS-LHY171-PI908-L</t>
  </si>
  <si>
    <t>X001UBOJWT</t>
  </si>
  <si>
    <t>CS-LHY171-PI908-M</t>
  </si>
  <si>
    <t>X001UBG9C7</t>
  </si>
  <si>
    <t>B0788LFWBW</t>
  </si>
  <si>
    <t>CS-LHY171-PI908-S</t>
  </si>
  <si>
    <t>X001UBGEXB</t>
  </si>
  <si>
    <t>CS-LHY171-PI908-XL</t>
  </si>
  <si>
    <t>X001UBG9CR</t>
  </si>
  <si>
    <t>CS-LHY171-PI908-XXL</t>
  </si>
  <si>
    <t>X001UB4CQ7</t>
  </si>
  <si>
    <t>CS-LHY171-W902-L</t>
  </si>
  <si>
    <t>X001UBJYKV</t>
  </si>
  <si>
    <t>CS-LHY171-W902-M</t>
  </si>
  <si>
    <t>X001UATE2P</t>
  </si>
  <si>
    <t>CS-LHY171-W902-S</t>
  </si>
  <si>
    <t>X001UBQ82N</t>
  </si>
  <si>
    <t>B073PQRR8P</t>
  </si>
  <si>
    <t>CS-LHY171-W902-XL</t>
  </si>
  <si>
    <t>X001UBGEYF</t>
  </si>
  <si>
    <t>CS-LHY171-W902-XXL</t>
  </si>
  <si>
    <t>X001UBO6OZ</t>
  </si>
  <si>
    <t>CS-LHY171-WR917-L</t>
  </si>
  <si>
    <t>X001UBO6PJ</t>
  </si>
  <si>
    <t>CS-LHY171-WR917-M</t>
  </si>
  <si>
    <t>X001UBG9BX</t>
  </si>
  <si>
    <t>CS-LHY171-WR917-S</t>
  </si>
  <si>
    <t>X001UBO6P9</t>
  </si>
  <si>
    <t>B07FR1WJ25</t>
  </si>
  <si>
    <t>CS-LHY171-WR917-XL</t>
  </si>
  <si>
    <t>X001UBJYD3</t>
  </si>
  <si>
    <t>CS-LHY171-WR917-XXL</t>
  </si>
  <si>
    <t>X001UBNGYV</t>
  </si>
  <si>
    <t>CS-LHY171-ZL918-L</t>
  </si>
  <si>
    <t>X001UATDOJ</t>
  </si>
  <si>
    <t>CS-LHY171-ZL918-M</t>
  </si>
  <si>
    <t>X001UB4CR1</t>
  </si>
  <si>
    <t>B0788KQPVW</t>
  </si>
  <si>
    <t>CS-LHY171-ZL918-S</t>
  </si>
  <si>
    <t>X001UATE4N</t>
  </si>
  <si>
    <t>CS-LHY171-ZL918-XXL</t>
  </si>
  <si>
    <t>X001UB4Z19</t>
  </si>
  <si>
    <t>CS-LHY181-BK-L</t>
  </si>
  <si>
    <t>X001VKJOI3</t>
  </si>
  <si>
    <t>B07GVCW15V</t>
  </si>
  <si>
    <t>Men's Oxford Long Sleeve Button Down Casual Dress Shirt Black Large</t>
  </si>
  <si>
    <t>CS-LHY181-BK-M</t>
  </si>
  <si>
    <t>X001VK57EN</t>
  </si>
  <si>
    <t>B07GVBWDN7</t>
  </si>
  <si>
    <t>Men's Oxford Long Sleeve Button Down Casual Dress Shirt Black Medium</t>
  </si>
  <si>
    <t>CS-LHY181-BK-S</t>
  </si>
  <si>
    <t>X001VK57CZ</t>
  </si>
  <si>
    <t>B07GVDLTP8</t>
  </si>
  <si>
    <t>Men's Oxford Long Sleeve Button Down Casual Dress Shirt Black Small</t>
  </si>
  <si>
    <t>CS-LHY181-BK-XL</t>
  </si>
  <si>
    <t>X001VKKDH9</t>
  </si>
  <si>
    <t>B07GVBGKQK</t>
  </si>
  <si>
    <t>Men's Oxford Long Sleeve Button Down Casual Dress Shirt Black X-Large</t>
  </si>
  <si>
    <t>CS-LHY181-BK-XXL</t>
  </si>
  <si>
    <t>X001VKKPBD</t>
  </si>
  <si>
    <t>B07GVDG9RJ</t>
  </si>
  <si>
    <t>Men's Oxford Long Sleeve Button Down Casual Dress Shirt Black XX-Large</t>
  </si>
  <si>
    <t>CS-LHY181-G912-L</t>
  </si>
  <si>
    <t>X001UAUAZP</t>
  </si>
  <si>
    <t>B073PPLXB3</t>
  </si>
  <si>
    <t>CS-LHY181-G912-M</t>
  </si>
  <si>
    <t>X001UB6AUD</t>
  </si>
  <si>
    <t>CS-LHY181-G912-S</t>
  </si>
  <si>
    <t>X001UB641N</t>
  </si>
  <si>
    <t>CS-LHY181-G912-XL</t>
  </si>
  <si>
    <t>X001UAMYY5</t>
  </si>
  <si>
    <t>B073PQ5QTR</t>
  </si>
  <si>
    <t>CS-LHY181-G912-XXL</t>
  </si>
  <si>
    <t>X001UBHCKF</t>
  </si>
  <si>
    <t>CS-LHY181-LB916-L</t>
  </si>
  <si>
    <t>X001UBKR61</t>
  </si>
  <si>
    <t>CS-LHY181-LB916-M</t>
  </si>
  <si>
    <t>X001UB5Z2R</t>
  </si>
  <si>
    <t>CS-LHY181-LB916-S</t>
  </si>
  <si>
    <t>X001UBHO3Z</t>
  </si>
  <si>
    <t>CS-LHY181-LB916-XL</t>
  </si>
  <si>
    <t>X001UB6AU3</t>
  </si>
  <si>
    <t>CS-LHY181-LB916-XXL</t>
  </si>
  <si>
    <t>X001UBKR6B</t>
  </si>
  <si>
    <t>CS-LHY181-LG907-L</t>
  </si>
  <si>
    <t>X001UAMYPT</t>
  </si>
  <si>
    <t>B07FR79L3G</t>
  </si>
  <si>
    <t>CS-LHY181-LG907-M</t>
  </si>
  <si>
    <t>X001UBHCKP</t>
  </si>
  <si>
    <t>CS-LHY181-LG907-S</t>
  </si>
  <si>
    <t>X001UBKMAH</t>
  </si>
  <si>
    <t>CS-LHY181-LG907-XL</t>
  </si>
  <si>
    <t>X001UAUAPF</t>
  </si>
  <si>
    <t>B073PPZ2GJ</t>
  </si>
  <si>
    <t>CS-LHY181-LG907-XXL</t>
  </si>
  <si>
    <t>X001UBHO53</t>
  </si>
  <si>
    <t>B073PQ4PHF</t>
  </si>
  <si>
    <t>CS-LHY181-PI908-L</t>
  </si>
  <si>
    <t>X001UAUB09</t>
  </si>
  <si>
    <t>B073PQGWNJ</t>
  </si>
  <si>
    <t>CS-LHY181-PI908-M</t>
  </si>
  <si>
    <t>X001UB6427</t>
  </si>
  <si>
    <t>CS-LHY181-PI908-S</t>
  </si>
  <si>
    <t>X001UBHO4J</t>
  </si>
  <si>
    <t>B073PQQ4QW</t>
  </si>
  <si>
    <t>CS-LHY181-PI908-XL</t>
  </si>
  <si>
    <t>X001UBKMA7</t>
  </si>
  <si>
    <t>CS-LHY181-PI908-XXL</t>
  </si>
  <si>
    <t>X001UBHO4T</t>
  </si>
  <si>
    <t>CS-LHY181-Sa911-L</t>
  </si>
  <si>
    <t>X001UBHO5D</t>
  </si>
  <si>
    <t>CS-LHY181-Sa911-M</t>
  </si>
  <si>
    <t>X001UB5Z2H</t>
  </si>
  <si>
    <t>CS-LHY181-Sa911-S</t>
  </si>
  <si>
    <t>X001UAMYXV</t>
  </si>
  <si>
    <t>CS-LHY181-Sa911-XL</t>
  </si>
  <si>
    <t>X001UAMYXL</t>
  </si>
  <si>
    <t>CS-LHY181-Sa911-XXL</t>
  </si>
  <si>
    <t>X001UAUB2R</t>
  </si>
  <si>
    <t>B07FR373MF</t>
  </si>
  <si>
    <t>CS-LHY181-W902-L</t>
  </si>
  <si>
    <t>X001UATZQ5</t>
  </si>
  <si>
    <t>CS-LHY181-W902-M</t>
  </si>
  <si>
    <t>X001UB642H</t>
  </si>
  <si>
    <t>CS-LHY181-W902-S</t>
  </si>
  <si>
    <t>X001UAUB2H</t>
  </si>
  <si>
    <t>B0789DBL4T</t>
  </si>
  <si>
    <t>CS-LHY181-W902-XL</t>
  </si>
  <si>
    <t>X001UAMYPJ</t>
  </si>
  <si>
    <t>CS-LHY181-W902-XXL</t>
  </si>
  <si>
    <t>X001UAUB9F</t>
  </si>
  <si>
    <t>CS-LHY181-WR917-L</t>
  </si>
  <si>
    <t>X001UB641X</t>
  </si>
  <si>
    <t>B073PQ3N1Q</t>
  </si>
  <si>
    <t>CS-LHY181-WR917-M</t>
  </si>
  <si>
    <t>X001UBKMAR</t>
  </si>
  <si>
    <t>B073PPHCN1</t>
  </si>
  <si>
    <t>CS-LHY181-WR917-S</t>
  </si>
  <si>
    <t>X001UB5Z27</t>
  </si>
  <si>
    <t>B073PQP9C9</t>
  </si>
  <si>
    <t>CS-LHY181-WR917-XL</t>
  </si>
  <si>
    <t>X001UBKMB1</t>
  </si>
  <si>
    <t>B073PPBXGT</t>
  </si>
  <si>
    <t>CS-LHY181-WR917-XXL</t>
  </si>
  <si>
    <t>X001UATZPV</t>
  </si>
  <si>
    <t>B073PQDNZN</t>
  </si>
  <si>
    <t>CS-LHY181-ZL918-L</t>
  </si>
  <si>
    <t>X001UAUB9P</t>
  </si>
  <si>
    <t>CS-LHY181-ZL918-M</t>
  </si>
  <si>
    <t>X001UBKR6L</t>
  </si>
  <si>
    <t>CS-LHY181-ZL918-S</t>
  </si>
  <si>
    <t>X001UBHO49</t>
  </si>
  <si>
    <t>CS-LHY181-ZL918-XL</t>
  </si>
  <si>
    <t>X001UAUAZZ</t>
  </si>
  <si>
    <t>CS-LHY181-ZL918-XXL</t>
  </si>
  <si>
    <t>X001UB6ATT</t>
  </si>
  <si>
    <t>CS-LY082-G0-M</t>
  </si>
  <si>
    <t>B06XRTCGL9</t>
  </si>
  <si>
    <t>CS-LY082-G0-XXL</t>
  </si>
  <si>
    <t>B06XRMZFZ2</t>
  </si>
  <si>
    <t>CS-LY084-H1-L</t>
  </si>
  <si>
    <t>CS-LY084-H1-S</t>
  </si>
  <si>
    <t>CS-LY084-H10-M</t>
  </si>
  <si>
    <t>CS-LY084-H10-S</t>
  </si>
  <si>
    <t>CS-LY084-H12-L</t>
  </si>
  <si>
    <t>CS-LY084-H12-M</t>
  </si>
  <si>
    <t>CS-LY084-H12-XL</t>
  </si>
  <si>
    <t>CS-LY084-H15-XXL</t>
  </si>
  <si>
    <t>CS-LY084-H4-M</t>
  </si>
  <si>
    <t>CS-LY084-H4-S</t>
  </si>
  <si>
    <t>CS-LY084-H6-L</t>
  </si>
  <si>
    <t>CS-LY084-H6-M</t>
  </si>
  <si>
    <t>CS-LY085-G912-XL</t>
  </si>
  <si>
    <t>B06XYZ71JF</t>
  </si>
  <si>
    <t>CS-LY085-G912-XXL</t>
  </si>
  <si>
    <t>B06XYYLL91</t>
  </si>
  <si>
    <t>Men's Solid Color Oxford Long Sleeve Button Down Casual Shirt Green XX-Large</t>
  </si>
  <si>
    <t>CS-LY085-LG907-L</t>
  </si>
  <si>
    <t>B06XZ1S7LJ</t>
  </si>
  <si>
    <t>Men's Solid Color Oxford Long Sleeve Button Down Casual Shirt Light Gray Large</t>
  </si>
  <si>
    <t>CS-LY085-LG907-XL</t>
  </si>
  <si>
    <t>B06XYTL5SD</t>
  </si>
  <si>
    <t>Men's Solid Color Oxford Long Sleeve Button Down Casual Shirt Light Gray X-Large</t>
  </si>
  <si>
    <t>CS-LY085-LG907-XXL</t>
  </si>
  <si>
    <t>B06XYL584W</t>
  </si>
  <si>
    <t>Men's Solid Color Oxford Long Sleeve Button Down Casual Shirt Light Gray XX-Large</t>
  </si>
  <si>
    <t>CS-LY085-PI908-S</t>
  </si>
  <si>
    <t>B06XYZZB9L</t>
  </si>
  <si>
    <t>Men's Solid Color Oxford Long Sleeve Button Down Casual Shirt Pink Small</t>
  </si>
  <si>
    <t>CS-LY085-PI908-XXL</t>
  </si>
  <si>
    <t>B06XZ12WB5</t>
  </si>
  <si>
    <t>Men's Solid Color Oxford Long Sleeve Button Down Casual Shirt XX-Large</t>
  </si>
  <si>
    <t>CS-LY085-R901-L</t>
  </si>
  <si>
    <t>B06XYYYP97</t>
  </si>
  <si>
    <t>CS-LY085-R901-S</t>
  </si>
  <si>
    <t>B06XZ2NHTS</t>
  </si>
  <si>
    <t>Men's Solid Color Oxford Long Sleeve Button Down Casual Shirt Light Pink Small</t>
  </si>
  <si>
    <t>CS-LY085-R901-XL</t>
  </si>
  <si>
    <t>B06XYYF2K2</t>
  </si>
  <si>
    <t>Men's Solid Color Oxford Long Sleeve Button Down Casual Shirt Light Pink X-Large</t>
  </si>
  <si>
    <t>CS-LY085-R901-XXL</t>
  </si>
  <si>
    <t>B06XYWZVMM</t>
  </si>
  <si>
    <t>Men's Solid Color Oxford Long Sleeve Button Down Casual Shirt Light Pink XX-Large</t>
  </si>
  <si>
    <t>CS-LY085-Sa911-L</t>
  </si>
  <si>
    <t>B06XYNCJV2</t>
  </si>
  <si>
    <t>Men's Solid Color Oxford Long Sleeve Button Down Casual Shirt Sapphire Large</t>
  </si>
  <si>
    <t>CS-LY085-Sa911-XL</t>
  </si>
  <si>
    <t>B06XYTL6PG</t>
  </si>
  <si>
    <t>Men's Solid Color Oxford Long Sleeve Button Down Casual Shirt Sapphire X-Large</t>
  </si>
  <si>
    <t>CS-LY085-Sa911-XXL</t>
  </si>
  <si>
    <t>B06XYYDVWW</t>
  </si>
  <si>
    <t>CS-LY085-W902-M</t>
  </si>
  <si>
    <t>B06XYWTJPL</t>
  </si>
  <si>
    <t>CS-LY085-W902-S</t>
  </si>
  <si>
    <t>B06XYL56KD</t>
  </si>
  <si>
    <t>CS-LY085-W902-XL</t>
  </si>
  <si>
    <t>B06XYZKJKJ</t>
  </si>
  <si>
    <t>Men's Solid Color Oxford Long Sleeve Button Down Casual Shirt White X-Large</t>
  </si>
  <si>
    <t>CS-LY085-W902-XXL</t>
  </si>
  <si>
    <t>B06XYZRF7J</t>
  </si>
  <si>
    <t>CS-LY085-WR917-L</t>
  </si>
  <si>
    <t>B06XYZ789N</t>
  </si>
  <si>
    <t>CS-LY085-WR917-M</t>
  </si>
  <si>
    <t>B06XYZBB55</t>
  </si>
  <si>
    <t>Men's Solid Color Oxford Long Sleeve Button Down Casual Shirt Wine Red Medium</t>
  </si>
  <si>
    <t>CS-LY086-B0-L</t>
  </si>
  <si>
    <t>B06XPSH74T</t>
  </si>
  <si>
    <t>MOCOTONO Men's Denim Long Sleeve Pocket Casual Dress Shirt Denim Blue Tag Asian L/US M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</si>
  <si>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</si>
  <si>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</si>
  <si>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</si>
  <si>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</si>
  <si>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</si>
  <si>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</si>
  <si>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</si>
  <si>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</si>
  <si>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CS-LY086-LB-S</t>
  </si>
  <si>
    <t>B06XPDYJ5H</t>
  </si>
  <si>
    <t>MOCOTONO Men's Denim Long Sleeve Pocket Casual Dress Shirt Light Blue Tag Asian S/US XS</t>
  </si>
  <si>
    <t>CS-LY086-LB-XL</t>
  </si>
  <si>
    <t>B06XPW8C8K</t>
  </si>
  <si>
    <t>CS-LY086-N0-L</t>
  </si>
  <si>
    <t>B06XPBPVFL</t>
  </si>
  <si>
    <t>MOCOTONO Men's Denim Long Sleeve Pocket Casual Dress Shirt Navy Blue Large</t>
  </si>
  <si>
    <t>CS-LY086-N0-M</t>
  </si>
  <si>
    <t>B06XPWS8YL</t>
  </si>
  <si>
    <t>CS-LY086-N0-XXL</t>
  </si>
  <si>
    <t>B06XQW95T6</t>
  </si>
  <si>
    <t>CS-LY122-N0-L</t>
  </si>
  <si>
    <t>B06Y2SSH21</t>
  </si>
  <si>
    <t>MOCOTONO Men's 100% Cotton Long Sleeve Plaid Slim Fit Button Down Dress Shirt Navy Large</t>
  </si>
  <si>
    <t>CS-LY122-N0-S</t>
  </si>
  <si>
    <t>B06Y2J2ZDX</t>
  </si>
  <si>
    <t>CS-LY122-WR-L</t>
  </si>
  <si>
    <t>B06Y2MT2H7</t>
  </si>
  <si>
    <t>MOCOTONO Men's 100% Cotton Long Sleeve Plaid Slim Fit Button Down Dress Shirt Wine Red Large</t>
  </si>
  <si>
    <t>CS-LY122-WR-M</t>
  </si>
  <si>
    <t>B06Y2NN9GZ</t>
  </si>
  <si>
    <t>Men's 100% Cotton Long Sleeve Plaid Slim Fit Button Down Dress Shirt Wine Red Medium</t>
  </si>
  <si>
    <t>CS-LY122-WR-XS</t>
  </si>
  <si>
    <t>B06Y2RZ12R</t>
  </si>
  <si>
    <t>CS-LY166-B28-3-M</t>
  </si>
  <si>
    <t>CS-LY166-B28-4-S</t>
  </si>
  <si>
    <t>CS-LY166-B28-4-XL</t>
  </si>
  <si>
    <t>CS-LY166-B28-4-XXL</t>
  </si>
  <si>
    <t>CS-LY166-K33-1-M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</si>
  <si>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</si>
  <si>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</si>
  <si>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</si>
  <si>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</si>
  <si>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</si>
  <si>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</si>
  <si>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CS-LY166-K33-4-S</t>
  </si>
  <si>
    <t>CS-LY166-K73-1-S</t>
  </si>
  <si>
    <t>CS-LY166-K73-2-S</t>
  </si>
  <si>
    <t>CS-LY166-K73-2-XL</t>
  </si>
  <si>
    <t>B072LTDQRC</t>
  </si>
  <si>
    <t>CS-LY167-N0-S</t>
  </si>
  <si>
    <t>B071VYKCR7</t>
  </si>
  <si>
    <t>MOCOTONO Men's Plaid Cotton Long Sleeve Button Down Casual Shirts Navy Small</t>
  </si>
  <si>
    <t>CS-LY167-R0-XL</t>
  </si>
  <si>
    <t>B072391FZS</t>
  </si>
  <si>
    <t>CS-LY167-R0-XXL</t>
  </si>
  <si>
    <t>B071J1C6H7</t>
  </si>
  <si>
    <t>CS-LY167-W0-M</t>
  </si>
  <si>
    <t>B0711XJKGY</t>
  </si>
  <si>
    <t>MOCOTONO Men's Plaid Cotton Long Sleeve Button Down Casual Shirts White Medium</t>
  </si>
  <si>
    <t>CS-LY170-G912-L</t>
  </si>
  <si>
    <t>B073PNS6VG</t>
  </si>
  <si>
    <t>Mocotono Men's Short Sleeve Oxford Button Down Casual Shirt, Green, Large</t>
  </si>
  <si>
    <t>CS-LY170-G912-XL</t>
  </si>
  <si>
    <t>B073PPRLVC</t>
  </si>
  <si>
    <t>Mocotono Men's Short Sleeve Oxford Button Down Casual Shirt, Green, X-Large</t>
  </si>
  <si>
    <t>CS-LY170-G912-XXL</t>
  </si>
  <si>
    <t>B073PPRP1F</t>
  </si>
  <si>
    <t>CS-LY170-LB916-L</t>
  </si>
  <si>
    <t>B073PPTS8L</t>
  </si>
  <si>
    <t>Mocotono Men's Short Sleeve Oxford Button Down Casual Shirt, Light Blue, Large</t>
  </si>
  <si>
    <t>CS-LY170-LB916-M</t>
  </si>
  <si>
    <t>B073PQ752P</t>
  </si>
  <si>
    <t>Mocotono Men's Short Sleeve Oxford Button Down Casual Shirt, Light Blue, Medium</t>
  </si>
  <si>
    <t>CS-LY170-LB916-XXL</t>
  </si>
  <si>
    <t>B073PQKB9N</t>
  </si>
  <si>
    <t>Mocotono Men's Short Sleeve Oxford Button Down Casual Shirt, Light Blue, XX-Large</t>
  </si>
  <si>
    <t>CS-LY170-LG907-M</t>
  </si>
  <si>
    <t>B073PP2K9L</t>
  </si>
  <si>
    <t>Mocotono Men's Short Sleeve Oxford Button Down Casual Shirt, Light Gray, Medium</t>
  </si>
  <si>
    <t>CS-LY170-LG907-XXL</t>
  </si>
  <si>
    <t>B073PQFZ61</t>
  </si>
  <si>
    <t>Mocotono Men's Short Sleeve Oxford Button Down Casual Shirt, Light Gray, XX-Large</t>
  </si>
  <si>
    <t>CS-LY170-PI908-L</t>
  </si>
  <si>
    <t>B073PPM5HW</t>
  </si>
  <si>
    <t>Mocotono Men's Short Sleeve Oxford Button Down Casual Shirt, Pink, Large</t>
  </si>
  <si>
    <t>CS-LY170-PI908-S</t>
  </si>
  <si>
    <t>B073PQMGW1</t>
  </si>
  <si>
    <t>Mocotono Men's Short Sleeve Oxford Button Down Casual Shirt, Pink, Small</t>
  </si>
  <si>
    <t>CS-LY170-PI908-XXL</t>
  </si>
  <si>
    <t>B073PPMWTH</t>
  </si>
  <si>
    <t>CS-LY170-Sa911-M</t>
  </si>
  <si>
    <t>B073PPT2TW</t>
  </si>
  <si>
    <t>Mocotono Men's Short Sleeve Oxford Button Down Casual Shirt, Blue, Medium</t>
  </si>
  <si>
    <t>CS-LY170-Sa911-S</t>
  </si>
  <si>
    <t>B073PPY7H7</t>
  </si>
  <si>
    <t>Mocotono Men's Short Sleeve Oxford Button Down Casual Shirt, Blue, Small</t>
  </si>
  <si>
    <t>CS-LY170-Sa911-XXL</t>
  </si>
  <si>
    <t>B073PPT4YQ</t>
  </si>
  <si>
    <t>Mocotono Men's Short Sleeve Oxford Button Down Casual Shirt, Blue, XX-Large</t>
  </si>
  <si>
    <t>CS-LY170-W902-L</t>
  </si>
  <si>
    <t>CS-LY170-WR917-L</t>
  </si>
  <si>
    <t>B073PPT6WC</t>
  </si>
  <si>
    <t>CS-LY170-WR917-XL</t>
  </si>
  <si>
    <t>CS-LY170-ZL918-L</t>
  </si>
  <si>
    <t>B073PQ7KG6</t>
  </si>
  <si>
    <t>CS-LY170-ZL918-M</t>
  </si>
  <si>
    <t>B073PPP5ZQ</t>
  </si>
  <si>
    <t>CS-LY170-ZL918-XL</t>
  </si>
  <si>
    <t>B073PQRR85</t>
  </si>
  <si>
    <t>MOCOTONO Short Sleeve Shirt</t>
  </si>
  <si>
    <t>CS-LY171-G912-XXL</t>
  </si>
  <si>
    <t>CS-LY171-LB916-M</t>
  </si>
  <si>
    <t>Men's Oxford Long Sleeve Button Down Dress Shirt With Pocket,Light Blue,Medium</t>
  </si>
  <si>
    <t>CS-LY171-LB916-S</t>
  </si>
  <si>
    <t>Men's Oxford Long Sleeve Button Down Dress Shirt With Pocket,Light Blue,Small</t>
  </si>
  <si>
    <t>CS-LY171-LB916-XL</t>
  </si>
  <si>
    <t>Men's Oxford Long Sleeve Button Down Dress Shirt With Pocket,Light Blue,X-Large</t>
  </si>
  <si>
    <t>CS-LY171-LB916-XXL</t>
  </si>
  <si>
    <t>CS-LY171-LG907-M</t>
  </si>
  <si>
    <t>Men's Oxford Long Sleeve Button Down Dress Shirt With Pocket,Light Gray,Medium</t>
  </si>
  <si>
    <t>CS-LY171-LG907-S</t>
  </si>
  <si>
    <t>Men's Oxford Long Sleeve Button Down Dress Shirt With Pocket,Light Gray,Small</t>
  </si>
  <si>
    <t>CS-LY171-LG907-XXL</t>
  </si>
  <si>
    <t>Men's Oxford Long Sleeve Button Down Dress Shirt With Pocket,Light Gray,XX-Large</t>
  </si>
  <si>
    <t>CS-LY171-PI908-L</t>
  </si>
  <si>
    <t>Men's Oxford Long Sleeve Button Down Dress Shirt With Pocket,Pink,Large</t>
  </si>
  <si>
    <t>CS-LY171-PI908-M</t>
  </si>
  <si>
    <t>Men's Oxford Long Sleeve Button Down Dress Shirt With Pocket,Pink,Medium</t>
  </si>
  <si>
    <t>CS-LY171-PI908-S</t>
  </si>
  <si>
    <t>Men's Oxford Long Sleeve Button Down Dress Shirt With Pocket,Pink,Small</t>
  </si>
  <si>
    <t>CS-LY171-Sa911-L</t>
  </si>
  <si>
    <t>Men's Oxford Long Sleeve Button Down Dress Shirt with Pocket,Sapphire,Large</t>
  </si>
  <si>
    <t>Men's Oxford Long Sleeve Button Down Dress Shirt with Pocket,Sapphire,Medium</t>
  </si>
  <si>
    <t>CS-LY171-Sa911-S</t>
  </si>
  <si>
    <t>Men's Oxford Long Sleeve Button Down Dress Shirt with Pocket,Sapphire,X-Large</t>
  </si>
  <si>
    <t>Men's Oxford Long Sleeve Button Down Dress Shirt with Pocket,Sapphire,XX-Large</t>
  </si>
  <si>
    <t>CS-LY171-W902-L</t>
  </si>
  <si>
    <t>CS-LY171-W902-M</t>
  </si>
  <si>
    <t>CS-LY171-W902-XL</t>
  </si>
  <si>
    <t>Men's Oxford Long Sleeve Button Down Dress Shirt With Pocket,White,X-Large</t>
  </si>
  <si>
    <t>CS-LY171-W902-XXL</t>
  </si>
  <si>
    <t>CS-LY171-WR917-M</t>
  </si>
  <si>
    <t>CS-LY171-ZL918-L</t>
  </si>
  <si>
    <t>CS-LY181-G912-L</t>
  </si>
  <si>
    <t>CS-LY181-LG907-XL</t>
  </si>
  <si>
    <t>CS-LY181-PI908-L</t>
  </si>
  <si>
    <t>Men's Oxford Long Sleeve Button Down Casual Dress Shirt,Pink,Large</t>
  </si>
  <si>
    <t>CS-LY181-PI908-S</t>
  </si>
  <si>
    <t>Men's Oxford Long Sleeve Button Down Casual Dress Shirt Pink Small</t>
  </si>
  <si>
    <t>CS-LY181-W902-XL</t>
  </si>
  <si>
    <t>B073PPT8R9</t>
  </si>
  <si>
    <t>Men's Oxford Long Sleeve Button Down Casual Dress Shirt,White,X-Large</t>
  </si>
  <si>
    <t>CS-LY181-W902-XXL</t>
  </si>
  <si>
    <t>B073PPFMBV</t>
  </si>
  <si>
    <t>Men's Oxford Long Sleeve Button Down Casual Dress Shirt,White,XX-Large</t>
  </si>
  <si>
    <t>CS-LY181-WR917-L</t>
  </si>
  <si>
    <t>CS-LY181-WR917-M</t>
  </si>
  <si>
    <t>CS-LY181-WR917-S</t>
  </si>
  <si>
    <t>CS-LY181-WR917-XXL</t>
  </si>
  <si>
    <t>CS-LY181-ZL918-XXL</t>
  </si>
  <si>
    <t>B073PQ1CH8</t>
  </si>
  <si>
    <t>Men's Oxford Long Sleeve Button Down Casual Dress Shirt,Navy Blue,XX-Large</t>
  </si>
  <si>
    <t>CS-NEW171-G912-L</t>
  </si>
  <si>
    <t>X001UDXWCP</t>
  </si>
  <si>
    <t>B0788KSD6N</t>
  </si>
  <si>
    <t>MOCOTONO Men's Long Sleeve Oxford Regular Fit Button Down Casual Shirt Green Large</t>
  </si>
  <si>
    <t>CS-NEW171-G912-M</t>
  </si>
  <si>
    <t>X001UDWXQV</t>
  </si>
  <si>
    <t>B0788VG8RZ</t>
  </si>
  <si>
    <t>MOCOTONO Men's Long Sleeve Oxford Regular Fit Button Down Casual Shirt Green Medium</t>
  </si>
  <si>
    <t>CS-NEW171-G912-S</t>
  </si>
  <si>
    <t>X001UDY53P</t>
  </si>
  <si>
    <t>B0788JVRYV</t>
  </si>
  <si>
    <t>Men's Oxford Long Sleeve Button Down Dress Shirt with Pocket,Green,Small</t>
  </si>
  <si>
    <t>CS-NEW171-G912-XL</t>
  </si>
  <si>
    <t>X001UDWKXR</t>
  </si>
  <si>
    <t>B0788KGQL8</t>
  </si>
  <si>
    <t>MOCOTONO Men's Long Sleeve Oxford Regular Fit Button Down Casual Shirt Green X-Large</t>
  </si>
  <si>
    <t>CS-NEW171-G912-XXL</t>
  </si>
  <si>
    <t>X001UDEWUL</t>
  </si>
  <si>
    <t>B0788JXYXK</t>
  </si>
  <si>
    <t>Men's Long Sleeve Oxford Regular Fit Button Down Casual Shirt Green XX-Large</t>
  </si>
  <si>
    <t>CS-NEW171-LB916-L</t>
  </si>
  <si>
    <t>X001UDIO3R</t>
  </si>
  <si>
    <t>B0788KGLCK</t>
  </si>
  <si>
    <t>Men's Oxford Long Sleeve Button Down Dress Shirt with Pocket,Light Blue,Large</t>
  </si>
  <si>
    <t>CS-NEW171-LB916-M</t>
  </si>
  <si>
    <t>X001UDWURD</t>
  </si>
  <si>
    <t>B0788KR2V4</t>
  </si>
  <si>
    <t>Men's Oxford Long Sleeve Button Down Dress Shirt with Pocket,Light Blue,Medium</t>
  </si>
  <si>
    <t>CS-NEW171-LB916-S</t>
  </si>
  <si>
    <t>X001UDX7EX</t>
  </si>
  <si>
    <t>B0788Q96Y6</t>
  </si>
  <si>
    <t>Men's Oxford Long Sleeve Button Down Dress Shirt with Pocket,Light Blue,Small</t>
  </si>
  <si>
    <t>CS-NEW171-LB916-XL</t>
  </si>
  <si>
    <t>X001UDIO3H</t>
  </si>
  <si>
    <t>B0788K2Y38</t>
  </si>
  <si>
    <t>Men's Oxford Long Sleeve Button Down Dress Shirt with Pocket,Light Blue,X-Large</t>
  </si>
  <si>
    <t>CS-NEW171-LB916-XXL</t>
  </si>
  <si>
    <t>X001UDWUQT</t>
  </si>
  <si>
    <t>B0788KMBNM</t>
  </si>
  <si>
    <t>Men's Oxford Long Sleeve Button Down Dress Shirt with Pocket,Light Blue,XX-Large</t>
  </si>
  <si>
    <t>CS-NEW171-LG907-L</t>
  </si>
  <si>
    <t>X001UDWKX7</t>
  </si>
  <si>
    <t>B07FSJZ4NK</t>
  </si>
  <si>
    <t>Men's Oxford Long Sleeve Button Down Dress Shirt with Pocket,Light Gray,Large</t>
  </si>
  <si>
    <t>CS-NEW171-LG907-M</t>
  </si>
  <si>
    <t>X001UDV0A1</t>
  </si>
  <si>
    <t>B0788LCLLQ</t>
  </si>
  <si>
    <t>Men's Long Sleeve Oxford Regular Fit Button Down Casual Shirt Light Gray Medium</t>
  </si>
  <si>
    <t>CS-NEW171-LG907-S</t>
  </si>
  <si>
    <t>X001UDWLSB</t>
  </si>
  <si>
    <t>B0788J8C4Q</t>
  </si>
  <si>
    <t>Men's Long Sleeve Oxford Regular Fit Button Down Casual Shirt Light Gray Small</t>
  </si>
  <si>
    <t>CS-NEW171-LG907-XL</t>
  </si>
  <si>
    <t>X001UDY5RB</t>
  </si>
  <si>
    <t>CS-NEW171-LG907-XXL</t>
  </si>
  <si>
    <t>X001UDWLSV</t>
  </si>
  <si>
    <t>B0788PJ2TY</t>
  </si>
  <si>
    <t>Men's Long Sleeve Oxford Regular Fit Button Down Casual Shirt Light Gray XX-Large</t>
  </si>
  <si>
    <t>CS-NEW171-PI908-L</t>
  </si>
  <si>
    <t>X001UDYKX5</t>
  </si>
  <si>
    <t>Men's Long Sleeve Oxford Regular Fit Button Down Casual Shirt Pink Large</t>
  </si>
  <si>
    <t>CS-NEW171-PI908-M</t>
  </si>
  <si>
    <t>X001UDWNBL</t>
  </si>
  <si>
    <t>Men's Long Sleeve Oxford Regular Fit Button Down Casual Shirt Pink Medium</t>
  </si>
  <si>
    <t>CS-NEW171-PI908-S</t>
  </si>
  <si>
    <t>X001UDEWUB</t>
  </si>
  <si>
    <t>CS-NEW171-PI908-XL</t>
  </si>
  <si>
    <t>X001UDXLNZ</t>
  </si>
  <si>
    <t>Men's Long Sleeve Oxford Regular Fit Button Down Casual Shirt Pink X-Large</t>
  </si>
  <si>
    <t>CS-NEW171-PI908-XXL</t>
  </si>
  <si>
    <t>X001UDV09R</t>
  </si>
  <si>
    <t>Men's Long Sleeve Oxford Regular Fit Button Down Casual Shirt XX-Large</t>
  </si>
  <si>
    <t>CS-NEW171-Sa911-L</t>
  </si>
  <si>
    <t>X001UDPELH</t>
  </si>
  <si>
    <t>CS-NEW171-Sa911-M</t>
  </si>
  <si>
    <t>X001UDPES5</t>
  </si>
  <si>
    <t>CS-NEW171-Sa911-XXL</t>
  </si>
  <si>
    <t>X001UE5JS9</t>
  </si>
  <si>
    <t>CS-NEW171-W902-L</t>
  </si>
  <si>
    <t>X001UDEWUV</t>
  </si>
  <si>
    <t>B0788R2MXR</t>
  </si>
  <si>
    <t>Men's Oxford Long Sleeve Button Down Dress Shirt with Pocket,White,Large</t>
  </si>
  <si>
    <t>CS-NEW171-W902-M</t>
  </si>
  <si>
    <t>X001UDYKWV</t>
  </si>
  <si>
    <t>CS-NEW171-W902-S</t>
  </si>
  <si>
    <t>X001UDWNAR</t>
  </si>
  <si>
    <t>B0789FYTW3</t>
  </si>
  <si>
    <t>Men's Oxford Long Sleeve Button Down Dress Shirt with Pocket,White,Small</t>
  </si>
  <si>
    <t>CS-NEW171-W902-XL</t>
  </si>
  <si>
    <t>X001UDIO2X</t>
  </si>
  <si>
    <t>CS-NEW171-W902-XXL</t>
  </si>
  <si>
    <t>X001UDIO37</t>
  </si>
  <si>
    <t>B0788N1Z2R</t>
  </si>
  <si>
    <t>Men's Oxford Long Sleeve Button Down Dress Shirt with Pocket,White,XX-Large</t>
  </si>
  <si>
    <t>CS-NEW171-WR917-L</t>
  </si>
  <si>
    <t>X001UDXLNP</t>
  </si>
  <si>
    <t>CS-NEW171-WR917-M</t>
  </si>
  <si>
    <t>X001UDWUR3</t>
  </si>
  <si>
    <t>MOCOTONO Men's Long Sleeve Oxford Regular Fit Button Down Casual Shirt Maroon Medium</t>
  </si>
  <si>
    <t>CS-NEW171-WR917-S</t>
  </si>
  <si>
    <t>X001UDWNBB</t>
  </si>
  <si>
    <t>CS-NEW171-WR917-XL</t>
  </si>
  <si>
    <t>X001UDWKXH</t>
  </si>
  <si>
    <t>B07FT5K7M9</t>
  </si>
  <si>
    <t>Men's Oxford Long Sleeve Button Down Dress Shirt with Pocket,Wine Red,X-Large</t>
  </si>
  <si>
    <t>CS-NEW171-WR917-XXL</t>
  </si>
  <si>
    <t>X001UDV09H</t>
  </si>
  <si>
    <t>CS-NEW171-ZL918-L</t>
  </si>
  <si>
    <t>X001UDXWCZ</t>
  </si>
  <si>
    <t>Men's Long Sleeve Oxford Regular Fit Button Down Casual Shirt Navy Blue Large</t>
  </si>
  <si>
    <t>CS-NEW171-ZL918-M</t>
  </si>
  <si>
    <t>X001UDY5RL</t>
  </si>
  <si>
    <t>Men's Oxford Long Sleeve Button Down Dress Shirt with Pocket,Navy Blue,Medium</t>
  </si>
  <si>
    <t>CS-NEW171-ZL918-S</t>
  </si>
  <si>
    <t>X001UDWLSL</t>
  </si>
  <si>
    <t>B0788L4ZMM</t>
  </si>
  <si>
    <t>Men's Oxford Long Sleeve Button Down Dress Shirt with Pocket,Navy Blue,Small</t>
  </si>
  <si>
    <t>Men's Long Sleeve Oxford Regular Fit Button Down Casual Shirt Navy Blue XX-Large</t>
  </si>
  <si>
    <t>CS-NEW181-G912-L</t>
  </si>
  <si>
    <t>X001UDY55N</t>
  </si>
  <si>
    <t>CS-NEW181-G912-M</t>
  </si>
  <si>
    <t>X001UDX9KF</t>
  </si>
  <si>
    <t>CS-NEW181-G912-S</t>
  </si>
  <si>
    <t>X001UDJ46N</t>
  </si>
  <si>
    <t>B0789BZGCV</t>
  </si>
  <si>
    <t>Men's Oxford Long Sleeve Button Down Casual Dress Shirt Green Small</t>
  </si>
  <si>
    <t>CS-NEW181-G912-XL</t>
  </si>
  <si>
    <t>X001UDX5H7</t>
  </si>
  <si>
    <t>CS-NEW181-G912-XXL</t>
  </si>
  <si>
    <t>X001UDIQBH</t>
  </si>
  <si>
    <t>Men's Oxford Long Sleeve Button Down Casual Dress Shirt,Green,XX-Large</t>
  </si>
  <si>
    <t>CS-NEW181-LB916-L</t>
  </si>
  <si>
    <t>X001UDIQB7</t>
  </si>
  <si>
    <t>B0789DSF67</t>
  </si>
  <si>
    <t>Men's Oxford Long Sleeve Button Down Casual Dress Shirt Light Blue Large</t>
  </si>
  <si>
    <t>CS-NEW181-LB916-M</t>
  </si>
  <si>
    <t>X001UDWXGL</t>
  </si>
  <si>
    <t>B0789HW7VN</t>
  </si>
  <si>
    <t>Men's Oxford Long Sleeve Button Down Casual Dress Shirt Light Blue Medium</t>
  </si>
  <si>
    <t>CS-NEW181-LB916-S</t>
  </si>
  <si>
    <t>X001UDXAYF</t>
  </si>
  <si>
    <t>B0789DXLYT</t>
  </si>
  <si>
    <t>Men's Oxford Long Sleeve Button Down Casual Dress Shirt Light Blue Small</t>
  </si>
  <si>
    <t>CS-NEW181-LB916-XL</t>
  </si>
  <si>
    <t>X001UDYE31</t>
  </si>
  <si>
    <t>B0789C1H39</t>
  </si>
  <si>
    <t>Men's Oxford Long Sleeve Button Down Casual Dress Shirt Light Blue X-Large</t>
  </si>
  <si>
    <t>CS-NEW181-LB916-XXL</t>
  </si>
  <si>
    <t>X001UDJ409</t>
  </si>
  <si>
    <t>CS-NEW181-LG907-M</t>
  </si>
  <si>
    <t>X001UDXAY5</t>
  </si>
  <si>
    <t>CS-NEW181-PI908-L</t>
  </si>
  <si>
    <t>X001UDJ3MD</t>
  </si>
  <si>
    <t>B0789DFWJP</t>
  </si>
  <si>
    <t>Men's Oxford Long Sleeve Button Down Casual Dress Shirt Pink Large</t>
  </si>
  <si>
    <t>CS-NEW181-PI908-M</t>
  </si>
  <si>
    <t>X001UDYTK9</t>
  </si>
  <si>
    <t>CS-NEW181-PI908-S</t>
  </si>
  <si>
    <t>X001UDWXH5</t>
  </si>
  <si>
    <t>CS-NEW181-PI908-XL</t>
  </si>
  <si>
    <t>X001UDJ46X</t>
  </si>
  <si>
    <t>CS-NEW181-PI908-XXL</t>
  </si>
  <si>
    <t>X001UDWMXP</t>
  </si>
  <si>
    <t>CS-NEW181-Sa911-L</t>
  </si>
  <si>
    <t>X001UDX5GN</t>
  </si>
  <si>
    <t>B0789CDR5W</t>
  </si>
  <si>
    <t>Men's Oxford Long Sleeve Button Down Casual Dress Shirt Sapphire Large</t>
  </si>
  <si>
    <t>CS-NEW181-Sa911-M</t>
  </si>
  <si>
    <t>X001UDYTJP</t>
  </si>
  <si>
    <t>B0789N66CM</t>
  </si>
  <si>
    <t>MOCOTONO Men's Oxford Long Sleeve Button Down Casual Dress Shirt,Sapphire,Medium</t>
  </si>
  <si>
    <t>CS-NEW181-Sa911-XL</t>
  </si>
  <si>
    <t>X001UDX5HH</t>
  </si>
  <si>
    <t>B0789DFWJQ</t>
  </si>
  <si>
    <t>MOCOTONO Men's Oxford Long Sleeve Button Down Casual Dress Shirt,Sapphire,X-Large</t>
  </si>
  <si>
    <t>CS-NEW181-Sa911-XXL</t>
  </si>
  <si>
    <t>X001UDYTJZ</t>
  </si>
  <si>
    <t>CS-NEW181-W902-L</t>
  </si>
  <si>
    <t>X001UDJ3ZZ</t>
  </si>
  <si>
    <t>CS-NEW181-W902-M</t>
  </si>
  <si>
    <t>X001UDWXGV</t>
  </si>
  <si>
    <t>CS-NEW181-W902-S</t>
  </si>
  <si>
    <t>X001UDIPKJ</t>
  </si>
  <si>
    <t>CS-NEW181-WR917-L</t>
  </si>
  <si>
    <t>X001UDZF2F</t>
  </si>
  <si>
    <t>CS-NEW181-ZL918-L</t>
  </si>
  <si>
    <t>X001UDY55X</t>
  </si>
  <si>
    <t>CS-NEW181-ZL918-M</t>
  </si>
  <si>
    <t>X001UDY567</t>
  </si>
  <si>
    <t>CS-NEW181-ZL918-S</t>
  </si>
  <si>
    <t>X001UDY55D</t>
  </si>
  <si>
    <t>CS-SB002-BK-S</t>
  </si>
  <si>
    <t>CS-SB002-BK-XL</t>
  </si>
  <si>
    <t>CS-SB002-BLNGN-XL</t>
  </si>
  <si>
    <t>CS-SB002-CF-XL</t>
  </si>
  <si>
    <t>CS-SB002-RNBL-S</t>
  </si>
  <si>
    <t>CS-SB003-B0-S</t>
  </si>
  <si>
    <t>B074PPW6NK</t>
  </si>
  <si>
    <t>Mocotono Men's Long Sleeve Denim Solid Double-Pocket Shirt Blue Small</t>
  </si>
  <si>
    <t>CS-SB003-B0-XL</t>
  </si>
  <si>
    <t>B074PP6TL2</t>
  </si>
  <si>
    <t>CS-SB003-B0-XXL</t>
  </si>
  <si>
    <t>B07512L44P</t>
  </si>
  <si>
    <t>CS-SB003-BK-XXL</t>
  </si>
  <si>
    <t>CS-SB003-LB-M</t>
  </si>
  <si>
    <t>B07517DLPW</t>
  </si>
  <si>
    <t>Men's Long Sleeve Denim Solid Double-Pocket Shirt Light Blue Medium</t>
  </si>
  <si>
    <t>CS-SB003-LB-S</t>
  </si>
  <si>
    <t>CS-SB003-LB-XL</t>
  </si>
  <si>
    <t>B074PPL8KW</t>
  </si>
  <si>
    <t>CS-SB003-NB-M</t>
  </si>
  <si>
    <t>B07512GCPL</t>
  </si>
  <si>
    <t>Men's Long Sleeve Denim Solid Double-Pocket Shirt Navy Blue Medium</t>
  </si>
  <si>
    <t>CS-SB003-NB-XL</t>
  </si>
  <si>
    <t>B07511VGHB</t>
  </si>
  <si>
    <t>MOCOTONO Men's Snug Fit Long Sleeve Denim Flap Pockets Shirt Navy Blue X-Large</t>
  </si>
  <si>
    <t>CS-SB003-NB-XXL</t>
  </si>
  <si>
    <t>B074ZX6K53</t>
  </si>
  <si>
    <t>Mocotono Men's Long Sleeve Denim Solid Double-Pocket Shirt Navy Blue XX-Large</t>
  </si>
  <si>
    <t>CS-SB005-GN-S</t>
  </si>
  <si>
    <t>CS-SB005-RD1-S</t>
  </si>
  <si>
    <t>CS-SB006-CF-2XL</t>
  </si>
  <si>
    <t>CS-SB006-RD1-S</t>
  </si>
  <si>
    <t>CS-SB006-RD2-S</t>
  </si>
  <si>
    <t>CS-SB007-GR-S</t>
  </si>
  <si>
    <t>CS-SB007-LB-L</t>
  </si>
  <si>
    <t>CS-SB007-LB-M</t>
  </si>
  <si>
    <t>CS-SB007-LB-S</t>
  </si>
  <si>
    <t>CS-SB007-LG-M</t>
  </si>
  <si>
    <t>CS-SB007-LG-S</t>
  </si>
  <si>
    <t>CS-SB007-LG-XXL</t>
  </si>
  <si>
    <t>CS-SB007-LP-S</t>
  </si>
  <si>
    <t>CS-SB007-LP-XL</t>
  </si>
  <si>
    <t>CS-SB007-PP-S</t>
  </si>
  <si>
    <t>CS-SB007-PP-XL</t>
  </si>
  <si>
    <t>CS-SB008-WR-L</t>
  </si>
  <si>
    <t>B07518SDWD</t>
  </si>
  <si>
    <t>CS-SB008-WR-M</t>
  </si>
  <si>
    <t>B07515PLB7</t>
  </si>
  <si>
    <t>CS-SB008-ZL-L</t>
  </si>
  <si>
    <t>B07518MPTQ</t>
  </si>
  <si>
    <t>CS-SB009-BK-L</t>
  </si>
  <si>
    <t>B07515SYYK</t>
  </si>
  <si>
    <t>CS-SB009-BK-XL</t>
  </si>
  <si>
    <t>CS-SB009-BK-XXL</t>
  </si>
  <si>
    <t>CS-SB009-BL-L</t>
  </si>
  <si>
    <t>CS-SB009-BL-M</t>
  </si>
  <si>
    <t>MOCOTONO Men's Short Sleeve Plaid Checkered Button Down Casual Shirts Blue Medium</t>
  </si>
  <si>
    <t>CS-SB009-BL-S</t>
  </si>
  <si>
    <t>CS-SB009-BL-XL</t>
  </si>
  <si>
    <t>CS-SB009-BL-XXL</t>
  </si>
  <si>
    <t>CS-SB009-BL1-S</t>
  </si>
  <si>
    <t>CS-SB009-BL2-M</t>
  </si>
  <si>
    <t>CS-SB009-BL3-L</t>
  </si>
  <si>
    <t>CS-SB009-BL4-XL</t>
  </si>
  <si>
    <t>CS-SB009-BL5-XXL</t>
  </si>
  <si>
    <t>CS-SB009-GN-XXL</t>
  </si>
  <si>
    <t>CS-SB009-LB-XL</t>
  </si>
  <si>
    <t>CS-SB009-LB1-XL</t>
  </si>
  <si>
    <t>CS-SB009-RD-S</t>
  </si>
  <si>
    <t>CS-SB009-RD-XXL</t>
  </si>
  <si>
    <t>CS-SB009-YL-XL</t>
  </si>
  <si>
    <t>CS-SB010-WT-1</t>
  </si>
  <si>
    <t>B07559157L</t>
  </si>
  <si>
    <t>MOCOTONO Men's Non Iron Formal Business Tuxedo Dress Shirt White S 14" Neck, 31.25" Sleeve</t>
  </si>
  <si>
    <t>CS-SB010-WT-2</t>
  </si>
  <si>
    <t>B0755C5MTD</t>
  </si>
  <si>
    <t>CS-SB010-WT-3</t>
  </si>
  <si>
    <t>B075591F93</t>
  </si>
  <si>
    <t>MOCOTONO Men's Non Iron Formal Business Tuxedo Dress Shirt White M 15" Neck, 32" Sleeve</t>
  </si>
  <si>
    <t>CS-SB010-WT-6</t>
  </si>
  <si>
    <t>B0755CGZ1Q</t>
  </si>
  <si>
    <t>Mocotono Men's Non Iron Formal Business Dress Shirt White L 16.5" Neck, 34.5" Sleeve</t>
  </si>
  <si>
    <t>CS-SB016-B0-L</t>
  </si>
  <si>
    <t>B077XMGXVF</t>
  </si>
  <si>
    <t>CS-SB016-B0-S</t>
  </si>
  <si>
    <t>B077XMGSS1</t>
  </si>
  <si>
    <t>MOCOTONO Men's Snug Fit Long Sleeve Denim Flap Pockets Shirt Blue (Thick) Small</t>
  </si>
  <si>
    <t>CS-SB016-BK-L</t>
  </si>
  <si>
    <t>B077XR57XS</t>
  </si>
  <si>
    <t>MOCOTONO Men's Long Sleeve Denim Solid Double-Pocket Shirt Black Large</t>
  </si>
  <si>
    <t>CS-SB016-LB-L</t>
  </si>
  <si>
    <t>B077XT4444</t>
  </si>
  <si>
    <t>MOCOTONO Men's Long Sleeve Denim Solid Double-Pocket Shirt Light Blue Large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</si>
  <si>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</si>
  <si>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</si>
  <si>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</si>
  <si>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</si>
  <si>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</si>
  <si>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</si>
  <si>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</si>
  <si>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</si>
  <si>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CS-SB016-NB-S</t>
  </si>
  <si>
    <t>B077XRK1S3</t>
  </si>
  <si>
    <t>MOCOTONO Men's Snug Fit Long Sleeve Denim Flap Pockets Shirt Navy Blue (Thick) Small</t>
  </si>
  <si>
    <t>CS-SB030-BK-M</t>
  </si>
  <si>
    <t>CS-SB030-BK-S</t>
  </si>
  <si>
    <t>CS-SB030-BK-XL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</si>
  <si>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</si>
  <si>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</si>
  <si>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</si>
  <si>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</si>
  <si>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</si>
  <si>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</si>
  <si>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</si>
  <si>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CS-SB030-GR-XL</t>
  </si>
  <si>
    <t>CS-SB030-NY-L</t>
  </si>
  <si>
    <t>X001SPBZY7</t>
  </si>
  <si>
    <t>B07DG2ZYCD</t>
  </si>
  <si>
    <t>CS-SB030-WT-L</t>
  </si>
  <si>
    <t>CS-SB030-WT-M</t>
  </si>
  <si>
    <t>CS-SB030-WT-XL</t>
  </si>
  <si>
    <t>CS-SB030-YL-L</t>
  </si>
  <si>
    <t>CS-SB030-YL-M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</si>
  <si>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</si>
  <si>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</si>
  <si>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</si>
  <si>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</si>
  <si>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</si>
  <si>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</si>
  <si>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</si>
  <si>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</si>
  <si>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</si>
  <si>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</si>
  <si>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</si>
  <si>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</si>
  <si>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</si>
  <si>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</si>
  <si>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</si>
  <si>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</si>
  <si>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</si>
  <si>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</si>
  <si>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</si>
  <si>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</si>
  <si>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</si>
  <si>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</si>
  <si>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</si>
  <si>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</si>
  <si>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</si>
  <si>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</si>
  <si>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</si>
  <si>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</si>
  <si>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</si>
  <si>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</si>
  <si>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</si>
  <si>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</si>
  <si>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CS-SB086-LB-L</t>
  </si>
  <si>
    <t>B078771D18</t>
  </si>
  <si>
    <t>MOCOTONO Men's Long Sleeve Denim Western Work Shirt Light Blue Large</t>
  </si>
  <si>
    <t>CS-SB086-LB-XL</t>
  </si>
  <si>
    <t>B0787VBR2P</t>
  </si>
  <si>
    <t>CS-SB166-B28-1-S</t>
  </si>
  <si>
    <t>B07916QHCT</t>
  </si>
  <si>
    <t>CS-SB166-B28-1-XXL</t>
  </si>
  <si>
    <t>B07916RXLG</t>
  </si>
  <si>
    <t>CS-SB166-B28-3-M</t>
  </si>
  <si>
    <t>B07915X9K1</t>
  </si>
  <si>
    <t>CS-SB166-B28-4-M</t>
  </si>
  <si>
    <t>CS-SB166-B28-5-S</t>
  </si>
  <si>
    <t>B07916NJN8</t>
  </si>
  <si>
    <t>CS-SB166-B28-5-XXL</t>
  </si>
  <si>
    <t>B079168BFT</t>
  </si>
  <si>
    <t>CS-SB166-K33-1-L</t>
  </si>
  <si>
    <t>B07916FH2Q</t>
  </si>
  <si>
    <t>CS-SB166-K33-1-XXL</t>
  </si>
  <si>
    <t>CS-SB166-K33-2-L</t>
  </si>
  <si>
    <t>CS-SB166-K33-2-S</t>
  </si>
  <si>
    <t>CS-SB166-K33-2-XL</t>
  </si>
  <si>
    <t>CS-SB166-K33-2-XXL</t>
  </si>
  <si>
    <t>CS-SB170-G912-L</t>
  </si>
  <si>
    <t>CS-SB170-G912-XL</t>
  </si>
  <si>
    <t>CS-SB170-G912-XXL</t>
  </si>
  <si>
    <t>CS-SB170-LB916-M</t>
  </si>
  <si>
    <t>CS-SB170-LB916-XL</t>
  </si>
  <si>
    <t>CS-SB170-LB916-XXL</t>
  </si>
  <si>
    <t>CS-SB170-LG907-L</t>
  </si>
  <si>
    <t>CS-SB170-PI908-L</t>
  </si>
  <si>
    <t>B0788JN2XB</t>
  </si>
  <si>
    <t>CS-SB170-PI908-XL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</si>
  <si>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</si>
  <si>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</si>
  <si>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</si>
  <si>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</si>
  <si>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</si>
  <si>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</si>
  <si>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</si>
  <si>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</si>
  <si>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CS-SB170-WR917-XL</t>
  </si>
  <si>
    <t>CS-SB170-ZL918-M</t>
  </si>
  <si>
    <t>CS-SB170-ZL918-XL</t>
  </si>
  <si>
    <t>CS-SB171-PI908-M</t>
  </si>
  <si>
    <t>CS-SB171-W902-L</t>
  </si>
  <si>
    <t>CS-SB171-W902-S</t>
  </si>
  <si>
    <t>CS-SB171-ZL918-M</t>
  </si>
  <si>
    <t>CS-SB171-ZL918-XL</t>
  </si>
  <si>
    <t>B0788KFQ7J</t>
  </si>
  <si>
    <t>MOCOTONO Men's Long Sleeve Oxford Regular Fit Button Down Casual Shirt Navy Blue X-Large</t>
  </si>
  <si>
    <t>CS-SB181-LG907-XL</t>
  </si>
  <si>
    <t>CS-SB181-PI908-L</t>
  </si>
  <si>
    <t>CS-SB181-W902-XL</t>
  </si>
  <si>
    <t>CS-SB181-WR917-M</t>
  </si>
  <si>
    <t>CS-SB181-WR917-S</t>
  </si>
  <si>
    <t>MOCOTONO Men's Oxford Long Sleeve Button Down Casual Dress Shirt,Wine Red,Small</t>
  </si>
  <si>
    <t>CS-SB181-WR917-XL</t>
  </si>
  <si>
    <t>CS-SB181-WR917-XXL</t>
  </si>
  <si>
    <t>CS-SB181-ZL918-S</t>
  </si>
  <si>
    <t>B07899GCTB</t>
  </si>
  <si>
    <t>Men's Oxford Long Sleeve Button Down Casual Dress Shirt,Navy Blue,Small</t>
  </si>
  <si>
    <t>CS-SB181-ZL918-XL</t>
  </si>
  <si>
    <t>CS-SB181-ZL918-XXL</t>
  </si>
  <si>
    <t>CS-XIN002-BK-M</t>
  </si>
  <si>
    <t>X001V1FU3P</t>
  </si>
  <si>
    <t>B07GF9LBN7</t>
  </si>
  <si>
    <t>CS-XIN002-BK-S</t>
  </si>
  <si>
    <t>X001V1GHLJ</t>
  </si>
  <si>
    <t>B07GDX7CJT</t>
  </si>
  <si>
    <t>CS-XIN002-BL-S</t>
  </si>
  <si>
    <t>X001V1GHLT</t>
  </si>
  <si>
    <t>B07GFH9GJ6</t>
  </si>
  <si>
    <t>CS-XIN002-BLNGN-S</t>
  </si>
  <si>
    <t>X001V1EYNR</t>
  </si>
  <si>
    <t>B07GF5KQKX</t>
  </si>
  <si>
    <t>CS-XIN002-CF-M</t>
  </si>
  <si>
    <t>X001V1FRH9</t>
  </si>
  <si>
    <t>B07GF7TJ1Y</t>
  </si>
  <si>
    <t>CS-XIN002-CF-S</t>
  </si>
  <si>
    <t>X001V1EYO1</t>
  </si>
  <si>
    <t>B07GFFZS7G</t>
  </si>
  <si>
    <t>CS-XIN002-LB-S</t>
  </si>
  <si>
    <t>X001V1FU3F</t>
  </si>
  <si>
    <t>B07GF4NLY6</t>
  </si>
  <si>
    <t>CS-XIN002-RNBL-M</t>
  </si>
  <si>
    <t>X001V1I7HV</t>
  </si>
  <si>
    <t>B07GFBBG44</t>
  </si>
  <si>
    <t>CS-XIN002-RNBL-S</t>
  </si>
  <si>
    <t>X001V1I7I5</t>
  </si>
  <si>
    <t>B07GF3LZ43</t>
  </si>
  <si>
    <t>CS-XIN003-B0-L</t>
  </si>
  <si>
    <t>X001UVZM57</t>
  </si>
  <si>
    <t>B07GB2BJHC</t>
  </si>
  <si>
    <t>CS-XIN003-B0-M</t>
  </si>
  <si>
    <t>X001UVZZYP</t>
  </si>
  <si>
    <t>B07GB3W547</t>
  </si>
  <si>
    <t>CS-XIN003-B0-S</t>
  </si>
  <si>
    <t>X001UVYYUV</t>
  </si>
  <si>
    <t>B07GB685FX</t>
  </si>
  <si>
    <t>CS-XIN003-B0-XXL</t>
  </si>
  <si>
    <t>X001VA853D</t>
  </si>
  <si>
    <t>B07GPXGRDR</t>
  </si>
  <si>
    <t>CS-XIN003-BK-S</t>
  </si>
  <si>
    <t>X001UVZM4X</t>
  </si>
  <si>
    <t>B07GB35QZ5</t>
  </si>
  <si>
    <t>CS-XIN003-BK-XXL</t>
  </si>
  <si>
    <t>X001UVZOF5</t>
  </si>
  <si>
    <t>B07GB43BPW</t>
  </si>
  <si>
    <t>CS-XIN003-NB-L</t>
  </si>
  <si>
    <t>X001UVZZZ9</t>
  </si>
  <si>
    <t>B07G9ZT3WJ</t>
  </si>
  <si>
    <t>CS-XIN003-NB-S</t>
  </si>
  <si>
    <t>X001UVZZYZ</t>
  </si>
  <si>
    <t>B07GB44QBK</t>
  </si>
  <si>
    <t>CS-XIN003-NB-XL</t>
  </si>
  <si>
    <t>X001UVZN8D</t>
  </si>
  <si>
    <t>B07GB5GKBC</t>
  </si>
  <si>
    <t>CS-XIN003-NB-XXL</t>
  </si>
  <si>
    <t>X001UVZV53</t>
  </si>
  <si>
    <t>B07GB14HMF</t>
  </si>
  <si>
    <t>CS-XIN005-BK-S</t>
  </si>
  <si>
    <t>X001VBQJ0X</t>
  </si>
  <si>
    <t>B07GQ8YC9C</t>
  </si>
  <si>
    <t>CS-XIN005-BL2-S</t>
  </si>
  <si>
    <t>X001VBTGGR</t>
  </si>
  <si>
    <t>B07GQ8VM72</t>
  </si>
  <si>
    <t>CS-XIN005-RD-S</t>
  </si>
  <si>
    <t>X001V8UONJ</t>
  </si>
  <si>
    <t>B07GDYV3FG</t>
  </si>
  <si>
    <t>CS-XIN005-RD1-L</t>
  </si>
  <si>
    <t>X001V91TSR</t>
  </si>
  <si>
    <t>B07GF4H1QM</t>
  </si>
  <si>
    <t>CS-XIN005-RD1-S</t>
  </si>
  <si>
    <t>X001V8ZS2V</t>
  </si>
  <si>
    <t>B07GF1YSC5</t>
  </si>
  <si>
    <t>CS-XIN006-BK-S</t>
  </si>
  <si>
    <t>X001V1FT4Z</t>
  </si>
  <si>
    <t>B07GF364MK</t>
  </si>
  <si>
    <t>MOCOTONO Men's Long Sleeve Standard Fit Plaid Checked Button up Casual Shirts Black Small</t>
  </si>
  <si>
    <t>CS-XIN006-BL-2XL</t>
  </si>
  <si>
    <t>X001V16OU3</t>
  </si>
  <si>
    <t>B07GF5CJ76</t>
  </si>
  <si>
    <t>MOCOTONO Men's Long Sleeve Standard Fit Plaid Checked Button up Casual Shirts Blue XX-Large</t>
  </si>
  <si>
    <t>CS-XIN006-BL-L</t>
  </si>
  <si>
    <t>X001V16OM1</t>
  </si>
  <si>
    <t>B07GF3H5M6</t>
  </si>
  <si>
    <t>MOCOTONO Men's Long Sleeve Standard Fit Plaid Checked Button up Casual Shirts Blue Large</t>
  </si>
  <si>
    <t>CS-XIN006-BL-M</t>
  </si>
  <si>
    <t>X001V1EP31</t>
  </si>
  <si>
    <t>B07GF2432H</t>
  </si>
  <si>
    <t>MOCOTONO Men's Long Sleeve Standard Fit Plaid Checked Button up Casual Shirts Blue Medium</t>
  </si>
  <si>
    <t>CS-XIN006-BL-S</t>
  </si>
  <si>
    <t>X001V16OMB</t>
  </si>
  <si>
    <t>B07GF27MS9</t>
  </si>
  <si>
    <t>MOCOTONO Men's Long Sleeve Standard Fit Plaid Checked Button up Casual Shirts Blue Small</t>
  </si>
  <si>
    <t>CS-XIN006-BL-XL</t>
  </si>
  <si>
    <t>X001V1FTTP</t>
  </si>
  <si>
    <t>B07GF3QW1W</t>
  </si>
  <si>
    <t>MOCOTONO Men's Long Sleeve Standard Fit Plaid Checked Button up Casual Shirts Blue X-Large</t>
  </si>
  <si>
    <t>CS-XIN006-CF-S</t>
  </si>
  <si>
    <t>X001VBQ6ND</t>
  </si>
  <si>
    <t>B07GQLW177</t>
  </si>
  <si>
    <t>CS-XIN006-GN-S</t>
  </si>
  <si>
    <t>X001VBYFLX</t>
  </si>
  <si>
    <t>B07GQHPDR3</t>
  </si>
  <si>
    <t>CS-XIN006-RD1-2XL</t>
  </si>
  <si>
    <t>X001V1E7YX</t>
  </si>
  <si>
    <t>B07GDZNPW7</t>
  </si>
  <si>
    <t>MOCOTONO Men's Long Sleeve Standard Fit Plaid Checked Button up Casual Shirts Red XX-Large</t>
  </si>
  <si>
    <t>CS-XIN006-RD1-L</t>
  </si>
  <si>
    <t>X001V1FT8V</t>
  </si>
  <si>
    <t>B07GDYHDHM</t>
  </si>
  <si>
    <t>MOCOTONO Men's Long Sleeve Standard Fit Plaid Checked Button up Casual Shirts Red Large</t>
  </si>
  <si>
    <t>CS-XIN006-RD1-M</t>
  </si>
  <si>
    <t>X001V1EP2R</t>
  </si>
  <si>
    <t>B07GF3SB4Q</t>
  </si>
  <si>
    <t>MOCOTONO Men's Long Sleeve Standard Fit Plaid Checked Button up Casual Shirts Red Medium</t>
  </si>
  <si>
    <t>CS-XIN006-RD1-S</t>
  </si>
  <si>
    <t>X001V16OLR</t>
  </si>
  <si>
    <t>B07GDZ9C1H</t>
  </si>
  <si>
    <t>MOCOTONO Men's Long Sleeve Standard Fit Plaid Checked Button up Casual Shirts Red Small</t>
  </si>
  <si>
    <t>CS-XIN006-RD1-XL</t>
  </si>
  <si>
    <t>X001V1HDP3</t>
  </si>
  <si>
    <t>B07GF5K64Y</t>
  </si>
  <si>
    <t>MOCOTONO Men's Long Sleeve Standard Fit Plaid Checked Button up Casual Shirts Red X-Large</t>
  </si>
  <si>
    <t>CS-XIN006-RD2-2XL</t>
  </si>
  <si>
    <t>X001V1FTOP</t>
  </si>
  <si>
    <t>B07GF63XY9</t>
  </si>
  <si>
    <t>MOCOTONO Men's Long Sleeve Standard Fit Plaid Checked Button up Casual Shirts Scarlet XX-Large</t>
  </si>
  <si>
    <t>CS-XIN006-RD2-L</t>
  </si>
  <si>
    <t>X001V1F3UF</t>
  </si>
  <si>
    <t>B07GDY3XVH</t>
  </si>
  <si>
    <t>MOCOTONO Men's Long Sleeve Standard Fit Plaid Checked Button up Casual Shirts Scarlet Large</t>
  </si>
  <si>
    <t>CS-XIN006-RD2-M</t>
  </si>
  <si>
    <t>X001V1GINL</t>
  </si>
  <si>
    <t>B07GF4H5TZ</t>
  </si>
  <si>
    <t>MOCOTONO Men's Long Sleeve Standard Fit Plaid Checked Button up Casual Shirts Scarlet Medium</t>
  </si>
  <si>
    <t>CS-XIN006-RD2-S</t>
  </si>
  <si>
    <t>X001V1FT8L</t>
  </si>
  <si>
    <t>B07GDZ126P</t>
  </si>
  <si>
    <t>MOCOTONO Men's Long Sleeve Standard Fit Plaid Checked Button up Casual Shirts Scarlet Small</t>
  </si>
  <si>
    <t>CS-XIN006-RD2-XL</t>
  </si>
  <si>
    <t>X001V1GIO5</t>
  </si>
  <si>
    <t>B07GDX7JDS</t>
  </si>
  <si>
    <t>MOCOTONO Men's Long Sleeve Standard Fit Plaid Checked Button up Casual Shirts Scarlet X-Large</t>
  </si>
  <si>
    <t>CS-XIN007-BL-L</t>
  </si>
  <si>
    <t>X001UW083R</t>
  </si>
  <si>
    <t>B07GB5517Q</t>
  </si>
  <si>
    <t>MOCOTONO Mens Oxford Long Sleeve Solid Standard Fit Button Down Casual Dress Shirts Blue Large</t>
  </si>
  <si>
    <t>CS-XIN007-BL-M</t>
  </si>
  <si>
    <t>X001UW082X</t>
  </si>
  <si>
    <t>B07GB6T8HT</t>
  </si>
  <si>
    <t>MOCOTONO Mens Oxford Long Sleeve Solid Standard Fit Button Down Casual Dress Shirts Blue Medium</t>
  </si>
  <si>
    <t>CS-XIN007-BL-S</t>
  </si>
  <si>
    <t>X001UW14IF</t>
  </si>
  <si>
    <t>B07GB6MVZQ</t>
  </si>
  <si>
    <t>MOCOTONO Mens Oxford Long Sleeve Solid Standard Fit Button Down Casual Dress Shirts Blue Small</t>
  </si>
  <si>
    <t>CS-XIN007-BL-XL</t>
  </si>
  <si>
    <t>X001UW0YL3</t>
  </si>
  <si>
    <t>B07GB5XNY2</t>
  </si>
  <si>
    <t>MOCOTONO Mens Oxford Long Sleeve Solid Standard Fit Button Down Casual Dress Shirts Blue X-Large</t>
  </si>
  <si>
    <t>CS-XIN007-BL-XXL</t>
  </si>
  <si>
    <t>X001UW20KL</t>
  </si>
  <si>
    <t>B07GB5SPZH</t>
  </si>
  <si>
    <t>MOCOTONO Mens Oxford Long Sleeve Solid Standard Fit Button Down Casual Dress Shirts Blue XX-Large</t>
  </si>
  <si>
    <t>CS-XIN007-GR-L</t>
  </si>
  <si>
    <t>X001UW14IP</t>
  </si>
  <si>
    <t>B07GB3CWQG</t>
  </si>
  <si>
    <t>MOCOTONO Mens Oxford Long Sleeve Solid Standard Fit Button Down Casual Dress Shirts Gray Large</t>
  </si>
  <si>
    <t>CS-XIN007-GR-M</t>
  </si>
  <si>
    <t>X001UW0873</t>
  </si>
  <si>
    <t>B07GB5LK3L</t>
  </si>
  <si>
    <t>MOCOTONO Mens Oxford Long Sleeve Solid Standard Fit Button Down Casual Dress Shirts Gray Medium</t>
  </si>
  <si>
    <t>CS-XIN007-GR-S</t>
  </si>
  <si>
    <t>X001UW0AHV</t>
  </si>
  <si>
    <t>B07GB5HC96</t>
  </si>
  <si>
    <t>MOCOTONO Mens Oxford Long Sleeve Solid Standard Fit Button Down Casual Dress Shirts Gray Small</t>
  </si>
  <si>
    <t>CS-XIN007-GR-XL</t>
  </si>
  <si>
    <t>X001UW1SHR</t>
  </si>
  <si>
    <t>B07GB5VX9Q</t>
  </si>
  <si>
    <t>MOCOTONO Mens Oxford Long Sleeve Solid Standard Fit Button Down Casual Dress Shirts Gray X-Large</t>
  </si>
  <si>
    <t>CS-XIN007-GR-XXL</t>
  </si>
  <si>
    <t>X001UW0YKT</t>
  </si>
  <si>
    <t>B07GB5K5KW</t>
  </si>
  <si>
    <t>MOCOTONO Mens Oxford Long Sleeve Solid Standard Fit Button Down Casual Dress Shirts Gray XX-Large</t>
  </si>
  <si>
    <t>CS-XIN007-LB-L</t>
  </si>
  <si>
    <t>X001UW25K1</t>
  </si>
  <si>
    <t>B07GB7YY7Y</t>
  </si>
  <si>
    <t>MOCOTONO Mens Oxford Long Sleeve Solid Standard Fit Button Down Casual Dress Shirts Light Blue Large</t>
  </si>
  <si>
    <t>CS-XIN007-LB-M</t>
  </si>
  <si>
    <t>X001UW1A9D</t>
  </si>
  <si>
    <t>B07GB5XB5Y</t>
  </si>
  <si>
    <t>MOCOTONO Mens Oxford Long Sleeve Solid Standard Fit Button Down Casual Dress Shirts Light Blue Medium</t>
  </si>
  <si>
    <t>CS-XIN007-LB-S</t>
  </si>
  <si>
    <t>X001UW1A9N</t>
  </si>
  <si>
    <t>B07GB7S39R</t>
  </si>
  <si>
    <t>MOCOTONO Mens Oxford Long Sleeve Solid Standard Fit Button Down Casual Dress Shirts Light Blue Small</t>
  </si>
  <si>
    <t>CS-XIN007-LB-XL</t>
  </si>
  <si>
    <t>X001UW1HHN</t>
  </si>
  <si>
    <t>B07GB5JJ91</t>
  </si>
  <si>
    <t>MOCOTONO Mens Oxford Long Sleeve Solid Standard Fit Button Down Casual Dress Shirts Light Blue X-Large</t>
  </si>
  <si>
    <t>CS-XIN007-LB-XXL</t>
  </si>
  <si>
    <t>X001UW0AIP</t>
  </si>
  <si>
    <t>B07GB69VCM</t>
  </si>
  <si>
    <t>MOCOTONO Mens Oxford Long Sleeve Solid Standard Fit Button Down Casual Dress Shirts Light Blue XX-Large</t>
  </si>
  <si>
    <t>CS-XIN007-LG-L</t>
  </si>
  <si>
    <t>X001UW14IZ</t>
  </si>
  <si>
    <t>B07GB5TL3G</t>
  </si>
  <si>
    <t>MOCOTONO Mens Oxford Long Sleeve Solid Standard Fit Button Down Casual Dress Shirts Light Green Large</t>
  </si>
  <si>
    <t>CS-XIN007-LG-M</t>
  </si>
  <si>
    <t>X001UW1SH7</t>
  </si>
  <si>
    <t>B07GB77L7G</t>
  </si>
  <si>
    <t>MOCOTONO Mens Oxford Long Sleeve Solid Standard Fit Button Down Casual Dress Shirts Light Green Medium</t>
  </si>
  <si>
    <t>CS-XIN007-LG-S</t>
  </si>
  <si>
    <t>X001UW0837</t>
  </si>
  <si>
    <t>B07GB6TRV9</t>
  </si>
  <si>
    <t>MOCOTONO Mens Oxford Long Sleeve Solid Standard Fit Button Down Casual Dress Shirts Light Green Small</t>
  </si>
  <si>
    <t>CS-XIN007-LG-XL</t>
  </si>
  <si>
    <t>X001UW1HI7</t>
  </si>
  <si>
    <t>B07GB5XRM2</t>
  </si>
  <si>
    <t>MOCOTONO Mens Oxford Long Sleeve Solid Standard Fit Button Down Casual Dress Shirts Light Green X-Large</t>
  </si>
  <si>
    <t>CS-XIN007-LG-XXL</t>
  </si>
  <si>
    <t>X001UW14I5</t>
  </si>
  <si>
    <t>B07GB5KKGM</t>
  </si>
  <si>
    <t>MOCOTONO Mens Oxford Long Sleeve Solid Standard Fit Button Down Casual Dress Shirts Light Green XX-Large</t>
  </si>
  <si>
    <t>CS-XIN007-LP-L</t>
  </si>
  <si>
    <t>X001UW083H</t>
  </si>
  <si>
    <t>B07GB6KGJL</t>
  </si>
  <si>
    <t>MOCOTONO Mens Oxford Long Sleeve Solid Standard Fit Button Down Casual Dress Shirts Light Pink Large</t>
  </si>
  <si>
    <t>CS-XIN007-LP-M</t>
  </si>
  <si>
    <t>X001UW087N</t>
  </si>
  <si>
    <t>B07GB59385</t>
  </si>
  <si>
    <t>MOCOTONO Mens Oxford Long Sleeve Solid Standard Fit Button Down Casual Dress Shirts Light Pink Medium</t>
  </si>
  <si>
    <t>CS-XIN007-LP-S</t>
  </si>
  <si>
    <t>X001UW1SHH</t>
  </si>
  <si>
    <t>B07GB8952S</t>
  </si>
  <si>
    <t>CS-XIN007-LP-XL</t>
  </si>
  <si>
    <t>X001UW1A93</t>
  </si>
  <si>
    <t>B07GB65NXL</t>
  </si>
  <si>
    <t>MOCOTONO Mens Oxford Long Sleeve Solid Standard Fit Button Down Casual Dress Shirts Light Pink X-Large</t>
  </si>
  <si>
    <t>CS-XIN007-LP-XXL</t>
  </si>
  <si>
    <t>X001UW1J7L</t>
  </si>
  <si>
    <t>B07GB5TL3Q</t>
  </si>
  <si>
    <t>MOCOTONO Mens Oxford Long Sleeve Solid Standard Fit Button Down Casual Dress Shirts Light Pink XX-Large</t>
  </si>
  <si>
    <t>CS-XIN007-PP-L</t>
  </si>
  <si>
    <t>X001UW25KB</t>
  </si>
  <si>
    <t>B07GB68XGQ</t>
  </si>
  <si>
    <t>MOCOTONO Mens Oxford Long Sleeve Solid Standard Fit Button Down Casual Dress Shirts Purple Large</t>
  </si>
  <si>
    <t>CS-XIN007-PP-M</t>
  </si>
  <si>
    <t>X001UW0AI5</t>
  </si>
  <si>
    <t>B07GB5RHFY</t>
  </si>
  <si>
    <t>MOCOTONO Mens Oxford Long Sleeve Solid Standard Fit Button Down Casual Dress Shirts Purple Medium</t>
  </si>
  <si>
    <t>CS-XIN007-PP-S</t>
  </si>
  <si>
    <t>X001UW1HHX</t>
  </si>
  <si>
    <t>B07GB9KJXB</t>
  </si>
  <si>
    <t>MOCOTONO Mens Oxford Long Sleeve Solid Standard Fit Button Down Casual Dress Shirts Purple Small</t>
  </si>
  <si>
    <t>CS-XIN007-PP-XL</t>
  </si>
  <si>
    <t>X001UW0AIF</t>
  </si>
  <si>
    <t>B07GB5GTX8</t>
  </si>
  <si>
    <t>MOCOTONO Mens Oxford Long Sleeve Solid Standard Fit Button Down Casual Dress Shirts Purple X-Large</t>
  </si>
  <si>
    <t>CS-XIN007-PP-XXL</t>
  </si>
  <si>
    <t>X001UW087D</t>
  </si>
  <si>
    <t>B07GB5S5N3</t>
  </si>
  <si>
    <t>MOCOTONO Mens Oxford Long Sleeve Solid Standard Fit Button Down Casual Dress Shirts Purple XX-Large</t>
  </si>
  <si>
    <t>CS-XIN009-BK-S</t>
  </si>
  <si>
    <t>X001V1HVTV</t>
  </si>
  <si>
    <t>B07GF7GX78</t>
  </si>
  <si>
    <t>CS-XIN009-BL-M</t>
  </si>
  <si>
    <t>X001VI2Y1J</t>
  </si>
  <si>
    <t>B07GSVHFN6</t>
  </si>
  <si>
    <t>CS-XIN009-CF-S</t>
  </si>
  <si>
    <t>X001V1FF3Z</t>
  </si>
  <si>
    <t>B07GF8MVD7</t>
  </si>
  <si>
    <t>CS-XIN009-GN-M</t>
  </si>
  <si>
    <t>X001V1FEYF</t>
  </si>
  <si>
    <t>B07GDYZHY2</t>
  </si>
  <si>
    <t>CS-XIN009-GN-S</t>
  </si>
  <si>
    <t>X001V1HU6P</t>
  </si>
  <si>
    <t>B07GF9LMCB</t>
  </si>
  <si>
    <t>CS-XIN009-LB-S</t>
  </si>
  <si>
    <t>X001V1HLTL</t>
  </si>
  <si>
    <t>B07GF63HM8</t>
  </si>
  <si>
    <t>CS-XIN009-LB1-S</t>
  </si>
  <si>
    <t>X001V1BSWH</t>
  </si>
  <si>
    <t>B07GF7GX79</t>
  </si>
  <si>
    <t>MOCOTONO Men's Short Sleeve Plaid Checkered Button Down Casual Shirts Blue &amp; Navy Small</t>
  </si>
  <si>
    <t>CS-XIN009-RDNY-S</t>
  </si>
  <si>
    <t>X001V1HLQT</t>
  </si>
  <si>
    <t>B07GF3JTK4</t>
  </si>
  <si>
    <t>CS-XIN009-YL-S</t>
  </si>
  <si>
    <t>X001V1BSWR</t>
  </si>
  <si>
    <t>B07GF5WVNW</t>
  </si>
  <si>
    <t>CS-XIN010-WT-1</t>
  </si>
  <si>
    <t>X001V0FUDV</t>
  </si>
  <si>
    <t>B07GDK6R4M</t>
  </si>
  <si>
    <t>CS-XIN010-WT-2</t>
  </si>
  <si>
    <t>X001V0GFQH</t>
  </si>
  <si>
    <t>B07GDL4YMK</t>
  </si>
  <si>
    <t>MOCOTONO Men's Non Iron Formal Business Tuxedo Dress Shirt White S 14" Neck, 31.75" Sleeve</t>
  </si>
  <si>
    <t>CS-XIN010-WT-3</t>
  </si>
  <si>
    <t>X001V0DHCR</t>
  </si>
  <si>
    <t>B07GDJSBGV</t>
  </si>
  <si>
    <t>CS-XIN010-WT-4</t>
  </si>
  <si>
    <t>X001V0H2RX</t>
  </si>
  <si>
    <t>B07GDLD377</t>
  </si>
  <si>
    <t>CS-XIN010-WT-5</t>
  </si>
  <si>
    <t>X001V07DCR</t>
  </si>
  <si>
    <t>B07GDKW1ZT</t>
  </si>
  <si>
    <t>CS-XIN010-WT-6</t>
  </si>
  <si>
    <t>X001V0DH8V</t>
  </si>
  <si>
    <t>B07GDL6Z4G</t>
  </si>
  <si>
    <t>MOCOTONO Men's Non Iron Formal Business Tuxedo Dress Shirt White L 16.5" Neck, 34.5" Sleeve</t>
  </si>
  <si>
    <t>CS-XIN010-WT-7</t>
  </si>
  <si>
    <t>X001V0G3GT</t>
  </si>
  <si>
    <t>B07GDKDG63</t>
  </si>
  <si>
    <t>CS-XIN010-WT-8</t>
  </si>
  <si>
    <t>X001V0HGB5</t>
  </si>
  <si>
    <t>B07GDKMDVX</t>
  </si>
  <si>
    <t>CS-XIN010-WT-9</t>
  </si>
  <si>
    <t>X001V0FQ3F</t>
  </si>
  <si>
    <t>B07GDL5N4L</t>
  </si>
  <si>
    <t>CS-XIN016-B0-L</t>
  </si>
  <si>
    <t>X001UYCABX</t>
  </si>
  <si>
    <t>B07GCD666X</t>
  </si>
  <si>
    <t>CS-XIN016-B0-M</t>
  </si>
  <si>
    <t>X001UYBVH7</t>
  </si>
  <si>
    <t>B07GCCQXRS</t>
  </si>
  <si>
    <t>CS-XIN016-B0-S</t>
  </si>
  <si>
    <t>X001UYC8G5</t>
  </si>
  <si>
    <t>B07GCDJWRC</t>
  </si>
  <si>
    <t>CS-XIN016-B0-XL</t>
  </si>
  <si>
    <t>X001UYAJB1</t>
  </si>
  <si>
    <t>B07GCC1BGH</t>
  </si>
  <si>
    <t>CS-XIN016-B0-XXL</t>
  </si>
  <si>
    <t>X001UYC8GF</t>
  </si>
  <si>
    <t>B07GCC698G</t>
  </si>
  <si>
    <t>CS-XIN016-BK-L</t>
  </si>
  <si>
    <t>X001UYBAX7</t>
  </si>
  <si>
    <t>B07GCCJLTD</t>
  </si>
  <si>
    <t>CS-XIN016-BK-M</t>
  </si>
  <si>
    <t>X001UYC0Q3</t>
  </si>
  <si>
    <t>B07GCD43VD</t>
  </si>
  <si>
    <t>CS-XIN016-BK-S</t>
  </si>
  <si>
    <t>X001UYBAWX</t>
  </si>
  <si>
    <t>B07GCBT51Z</t>
  </si>
  <si>
    <t>CS-XIN016-BK-XL</t>
  </si>
  <si>
    <t>X001UYBAWN</t>
  </si>
  <si>
    <t>B07GCCMTS6</t>
  </si>
  <si>
    <t>CS-XIN016-BK-XXL</t>
  </si>
  <si>
    <t>X001UYE14R</t>
  </si>
  <si>
    <t>B07GCD2GTB</t>
  </si>
  <si>
    <t>CS-XIN016-LB-L</t>
  </si>
  <si>
    <t>X001UYBATV</t>
  </si>
  <si>
    <t>B07GCCL9B2</t>
  </si>
  <si>
    <t>CS-XIN016-LB-M</t>
  </si>
  <si>
    <t>X001UYBSRZ</t>
  </si>
  <si>
    <t>B07GCCQLTZ</t>
  </si>
  <si>
    <t>CS-XIN016-LB-S</t>
  </si>
  <si>
    <t>X001UYBAU5</t>
  </si>
  <si>
    <t>B07GCBQH2D</t>
  </si>
  <si>
    <t>CS-XIN016-LB-XL</t>
  </si>
  <si>
    <t>X001UYE151</t>
  </si>
  <si>
    <t>B07GCCTJR1</t>
  </si>
  <si>
    <t>CS-XIN016-LB-XXL</t>
  </si>
  <si>
    <t>X001UYBQB3</t>
  </si>
  <si>
    <t>B07GCCCJ8L</t>
  </si>
  <si>
    <t>CS-XIN016-NB-L</t>
  </si>
  <si>
    <t>X001UYC2XT</t>
  </si>
  <si>
    <t>B07GCFG1T2</t>
  </si>
  <si>
    <t>CS-XIN016-NB-M</t>
  </si>
  <si>
    <t>X001UYC8GP</t>
  </si>
  <si>
    <t>B07GCDKPGK</t>
  </si>
  <si>
    <t>CS-XIN016-NB-S</t>
  </si>
  <si>
    <t>X001UYBQAT</t>
  </si>
  <si>
    <t>B07GCF2G64</t>
  </si>
  <si>
    <t>CS-XIN016-NB-XL</t>
  </si>
  <si>
    <t>X001UYBVHH</t>
  </si>
  <si>
    <t>B07GCFJ545</t>
  </si>
  <si>
    <t>CS-XIN016-NB-XXL</t>
  </si>
  <si>
    <t>X001UYC0QD</t>
  </si>
  <si>
    <t>B07GCCS7T8</t>
  </si>
  <si>
    <t>CS-XIN031-GN1-L</t>
  </si>
  <si>
    <t>X001V1713R</t>
  </si>
  <si>
    <t>B07GF4J6V6</t>
  </si>
  <si>
    <t>CS-XIN031-GN1-M</t>
  </si>
  <si>
    <t>X001V174O3</t>
  </si>
  <si>
    <t>B07GDYRL85</t>
  </si>
  <si>
    <t>CS-XIN031-GN1-S</t>
  </si>
  <si>
    <t>X001V1E8T7</t>
  </si>
  <si>
    <t>B07GFFCS53</t>
  </si>
  <si>
    <t>CS-XIN031-GN1-XL</t>
  </si>
  <si>
    <t>X001V1EHH5</t>
  </si>
  <si>
    <t>B07GDYM44K</t>
  </si>
  <si>
    <t>CS-XIN031-GN1-XXL</t>
  </si>
  <si>
    <t>X001V1G6VF</t>
  </si>
  <si>
    <t>B07GF5K5BS</t>
  </si>
  <si>
    <t>CS-XIN031-GN3-L</t>
  </si>
  <si>
    <t>X001V1ADK5</t>
  </si>
  <si>
    <t>B07GDXYVJC</t>
  </si>
  <si>
    <t>CS-XIN031-GN3-M</t>
  </si>
  <si>
    <t>X001V1FGO3</t>
  </si>
  <si>
    <t>B07GDZT593</t>
  </si>
  <si>
    <t>CS-XIN031-GN3-S</t>
  </si>
  <si>
    <t>X001V1EHGV</t>
  </si>
  <si>
    <t>B07GF4CBSZ</t>
  </si>
  <si>
    <t>CS-XIN031-GN3-XL</t>
  </si>
  <si>
    <t>X001V1FYH7</t>
  </si>
  <si>
    <t>B07GF2XG94</t>
  </si>
  <si>
    <t>CS-XIN031-GN3-XXL</t>
  </si>
  <si>
    <t>X001V1EPDB</t>
  </si>
  <si>
    <t>B07GF1T2X7</t>
  </si>
  <si>
    <t>CS-XIN031-RD1-L</t>
  </si>
  <si>
    <t>X001V1EPCR</t>
  </si>
  <si>
    <t>B07GF44VP9</t>
  </si>
  <si>
    <t>CS-XIN031-RD1-M</t>
  </si>
  <si>
    <t>X001V1EGKD</t>
  </si>
  <si>
    <t>B07GF5D6HV</t>
  </si>
  <si>
    <t>CS-XIN031-RD1-S</t>
  </si>
  <si>
    <t>X001V1G6V5</t>
  </si>
  <si>
    <t>B07GDYRGF4</t>
  </si>
  <si>
    <t>CS-XIN031-RD1-XL</t>
  </si>
  <si>
    <t>X001V174OD</t>
  </si>
  <si>
    <t>B07GDYBKVZ</t>
  </si>
  <si>
    <t>CS-XIN031-RD1-XXL</t>
  </si>
  <si>
    <t>X001V1FQM5</t>
  </si>
  <si>
    <t>B07GF459H8</t>
  </si>
  <si>
    <t>CS-XIN031-YL2-L</t>
  </si>
  <si>
    <t>X001V1GDWH</t>
  </si>
  <si>
    <t>B07GFCGVX7</t>
  </si>
  <si>
    <t>CS-XIN031-YL2-M</t>
  </si>
  <si>
    <t>X001V1EPD1</t>
  </si>
  <si>
    <t>B07GFB1XMX</t>
  </si>
  <si>
    <t>CS-XIN031-YL2-S</t>
  </si>
  <si>
    <t>X001V1FGNT</t>
  </si>
  <si>
    <t>B07GF4R548</t>
  </si>
  <si>
    <t>CS-XIN031-YL2-XL</t>
  </si>
  <si>
    <t>X001V1GDWR</t>
  </si>
  <si>
    <t>B07GF3T979</t>
  </si>
  <si>
    <t>CS-XIN031-YL2-XXL</t>
  </si>
  <si>
    <t>X001V1FGOD</t>
  </si>
  <si>
    <t>B07GDZ916J</t>
  </si>
  <si>
    <t>CS-XIN084-H1-L</t>
  </si>
  <si>
    <t>X001UUIH7X</t>
  </si>
  <si>
    <t>B07G96VTZ8</t>
  </si>
  <si>
    <t>CS-XIN084-H1-M</t>
  </si>
  <si>
    <t>X001UUIOKN</t>
  </si>
  <si>
    <t>B07G95FRKV</t>
  </si>
  <si>
    <t>CS-XIN084-H1-S</t>
  </si>
  <si>
    <t>X001UU11HV</t>
  </si>
  <si>
    <t>B07G96RF57</t>
  </si>
  <si>
    <t>CS-XIN084-H1-XL</t>
  </si>
  <si>
    <t>X001UUIATX</t>
  </si>
  <si>
    <t>B07G943P42</t>
  </si>
  <si>
    <t>CS-XIN084-H1-XXL</t>
  </si>
  <si>
    <t>X001UUI3GN</t>
  </si>
  <si>
    <t>B07G95XL8T</t>
  </si>
  <si>
    <t>CS-XIN084-H10-L</t>
  </si>
  <si>
    <t>X001UUIKBV</t>
  </si>
  <si>
    <t>B07G975X53</t>
  </si>
  <si>
    <t>CS-XIN084-H10-XL</t>
  </si>
  <si>
    <t>X001UUI46R</t>
  </si>
  <si>
    <t>B07G955V29</t>
  </si>
  <si>
    <t>CS-XIN084-H10-XXL</t>
  </si>
  <si>
    <t>X001UUIOKX</t>
  </si>
  <si>
    <t>B07G94F2R3</t>
  </si>
  <si>
    <t>CS-XIN084-H15-S</t>
  </si>
  <si>
    <t>X001UU11H1</t>
  </si>
  <si>
    <t>B07G974YTW</t>
  </si>
  <si>
    <t>CS-XIN084-H15-XL</t>
  </si>
  <si>
    <t>X001UU11HL</t>
  </si>
  <si>
    <t>B07G943NB5</t>
  </si>
  <si>
    <t>CS-XIN084-H15-XXL</t>
  </si>
  <si>
    <t>X001UU11QH</t>
  </si>
  <si>
    <t>B07G95RJ1C</t>
  </si>
  <si>
    <t>CS-XIN084-H16-S</t>
  </si>
  <si>
    <t>X001UUI46H</t>
  </si>
  <si>
    <t>B07G959VTV</t>
  </si>
  <si>
    <t>CS-XIN084-H2-M</t>
  </si>
  <si>
    <t>X001UUIATN</t>
  </si>
  <si>
    <t>B07G97CQC5</t>
  </si>
  <si>
    <t>CS-XIN084-H2-S</t>
  </si>
  <si>
    <t>X001UUICVJ</t>
  </si>
  <si>
    <t>B07G961GDC</t>
  </si>
  <si>
    <t>CS-XIN084-H2-XL</t>
  </si>
  <si>
    <t>X001VA04TL</t>
  </si>
  <si>
    <t>B07GPCMJYG</t>
  </si>
  <si>
    <t>CS-XIN084-H3-M</t>
  </si>
  <si>
    <t>X001UUIH7N</t>
  </si>
  <si>
    <t>B07G94RMCV</t>
  </si>
  <si>
    <t>CS-XIN084-H3-S</t>
  </si>
  <si>
    <t>X001UUIMNH</t>
  </si>
  <si>
    <t>B07G96TWR1</t>
  </si>
  <si>
    <t>CS-XIN084-H4-L</t>
  </si>
  <si>
    <t>X001UUIAAR</t>
  </si>
  <si>
    <t>B07G941RGQ</t>
  </si>
  <si>
    <t>CS-XIN084-H4-M</t>
  </si>
  <si>
    <t>X001UUHYSB</t>
  </si>
  <si>
    <t>B07G9735ZF</t>
  </si>
  <si>
    <t>CS-XIN084-H4-XL</t>
  </si>
  <si>
    <t>X001UUI3WR</t>
  </si>
  <si>
    <t>B07G96QHMF</t>
  </si>
  <si>
    <t>CS-XIN084-H4-XXL</t>
  </si>
  <si>
    <t>X001UUI3GD</t>
  </si>
  <si>
    <t>B07G98P34H</t>
  </si>
  <si>
    <t>CS-XIN084-H6-M</t>
  </si>
  <si>
    <t>X001UU11Q7</t>
  </si>
  <si>
    <t>B07G962T6L</t>
  </si>
  <si>
    <t>CS-XIN084-H6-S</t>
  </si>
  <si>
    <t>X001UUIQ83</t>
  </si>
  <si>
    <t>B07G92T9MS</t>
  </si>
  <si>
    <t>CS-XIN084-H6-XXL</t>
  </si>
  <si>
    <t>X001UUIKC5</t>
  </si>
  <si>
    <t>B07G955V27</t>
  </si>
  <si>
    <t>CS-XIN085-LB916-L</t>
  </si>
  <si>
    <t>X001USNEAP</t>
  </si>
  <si>
    <t>B07G7SLNY3</t>
  </si>
  <si>
    <t>CS-XIN085-LB916-M</t>
  </si>
  <si>
    <t>X001UT4XAJ</t>
  </si>
  <si>
    <t>B07G7L2V6R</t>
  </si>
  <si>
    <t>CS-XIN085-LB916-XL</t>
  </si>
  <si>
    <t>X001UT4JGH</t>
  </si>
  <si>
    <t>B07G7WVXC4</t>
  </si>
  <si>
    <t>CS-XIN085-LB916-XXL</t>
  </si>
  <si>
    <t>X001UT4VJR</t>
  </si>
  <si>
    <t>B07G7Z8ZP6</t>
  </si>
  <si>
    <t>CS-XIN085-LG907-S</t>
  </si>
  <si>
    <t>X001UT52LX</t>
  </si>
  <si>
    <t>B07G7TMRDK</t>
  </si>
  <si>
    <t>CS-XIN085-PI908-L</t>
  </si>
  <si>
    <t>X001UT4YWL</t>
  </si>
  <si>
    <t>B07G7ZFG75</t>
  </si>
  <si>
    <t>CS-XIN085-PI908-M</t>
  </si>
  <si>
    <t>X001UT4VJH</t>
  </si>
  <si>
    <t>B07G7SDXND</t>
  </si>
  <si>
    <t>CS-XIN085-PI908-S</t>
  </si>
  <si>
    <t>X001USNEAF</t>
  </si>
  <si>
    <t>B07G7XRG7G</t>
  </si>
  <si>
    <t>CS-XIN085-PI908-XL</t>
  </si>
  <si>
    <t>X001UT5213</t>
  </si>
  <si>
    <t>B07G7SKV1Z</t>
  </si>
  <si>
    <t>CS-XIN085-PI908-XXL</t>
  </si>
  <si>
    <t>X001UT2WGV</t>
  </si>
  <si>
    <t>B07G7QLJSJ</t>
  </si>
  <si>
    <t>CS-XIN085-R901-XL</t>
  </si>
  <si>
    <t>X001UT4YUX</t>
  </si>
  <si>
    <t>B07G817S2H</t>
  </si>
  <si>
    <t>CS-XIN085-R901-XXL</t>
  </si>
  <si>
    <t>X001UT5821</t>
  </si>
  <si>
    <t>B07G7RW6GN</t>
  </si>
  <si>
    <t>CS-XIN085-Sa911-L</t>
  </si>
  <si>
    <t>X001UT581H</t>
  </si>
  <si>
    <t>B07G86YKJ7</t>
  </si>
  <si>
    <t>CS-XIN085-Sa911-M</t>
  </si>
  <si>
    <t>X001UT4YV7</t>
  </si>
  <si>
    <t>B07G7N3GY2</t>
  </si>
  <si>
    <t>CS-XIN085-Sa911-XL</t>
  </si>
  <si>
    <t>X001UT4ZP7</t>
  </si>
  <si>
    <t>B07G7RTJJW</t>
  </si>
  <si>
    <t>CS-XIN085-Sa911-XXL</t>
  </si>
  <si>
    <t>X001UT4YVR</t>
  </si>
  <si>
    <t>B07G7VSHZR</t>
  </si>
  <si>
    <t>Men's Solid Color Oxford Long Sleeve Button Down Casual Shirt Sapphire XX-Large</t>
  </si>
  <si>
    <t>CS-XIN085-W902-M</t>
  </si>
  <si>
    <t>X001UT55OR</t>
  </si>
  <si>
    <t>B07G7WP1RV</t>
  </si>
  <si>
    <t>Men's Solid Color Oxford Long Sleeve Button Down Casual Shirt White Medium</t>
  </si>
  <si>
    <t>CS-XIN085-W902-XL</t>
  </si>
  <si>
    <t>X001UT2W9X</t>
  </si>
  <si>
    <t>B07G7T73JM</t>
  </si>
  <si>
    <t>CS-XIN085-WR917-S</t>
  </si>
  <si>
    <t>X001UT52M7</t>
  </si>
  <si>
    <t>B07G7LMG9L</t>
  </si>
  <si>
    <t>CS-XIN085-WR917-XXL</t>
  </si>
  <si>
    <t>X001USNDPL</t>
  </si>
  <si>
    <t>B07G7TGKDG</t>
  </si>
  <si>
    <t>CS-XIN085-ZL918-M</t>
  </si>
  <si>
    <t>X001UT520T</t>
  </si>
  <si>
    <t>B07G7MCRZ4</t>
  </si>
  <si>
    <t>CS-XIN085-ZL918-S</t>
  </si>
  <si>
    <t>X001UT4MRN</t>
  </si>
  <si>
    <t>B07G811RG2</t>
  </si>
  <si>
    <t>CS-XIN086-B0-L</t>
  </si>
  <si>
    <t>X001UU20KN</t>
  </si>
  <si>
    <t>B07G97JDPF</t>
  </si>
  <si>
    <t>CS-XIN086-B0-M</t>
  </si>
  <si>
    <t>X001UUJ2WR</t>
  </si>
  <si>
    <t>B07G99JLR6</t>
  </si>
  <si>
    <t>MOCOTONO Men's Denim Long Sleeve Pocket Casual Dress Shirt Denim Blue Tag Asian M/US S</t>
  </si>
  <si>
    <t>CS-XIN086-B0-S</t>
  </si>
  <si>
    <t>X001UU21DJ</t>
  </si>
  <si>
    <t>B07G98HSF1</t>
  </si>
  <si>
    <t>MOCOTONO Men's Denim Long Sleeve Pocket Casual Dress Shirt Denim Blue Tag Asian S/US XS</t>
  </si>
  <si>
    <t>CS-XIN086-B0-XL</t>
  </si>
  <si>
    <t>X001UUJ9LB</t>
  </si>
  <si>
    <t>B07G973FFP</t>
  </si>
  <si>
    <t>MOCOTONO Men's Denim Long Sleeve Pocket Casual Dress Shirt Denim Blue Tag Asian XL/US L</t>
  </si>
  <si>
    <t>CS-XIN086-LB-M</t>
  </si>
  <si>
    <t>X001UU21DT</t>
  </si>
  <si>
    <t>B07G95DQTH</t>
  </si>
  <si>
    <t>CS-XIN086-N0-M</t>
  </si>
  <si>
    <t>X001UUJE9N</t>
  </si>
  <si>
    <t>B07G95Y1SH</t>
  </si>
  <si>
    <t>MOCOTONO Men's Denim Long Sleeve Pocket Casual Dress Shirt Navy Blue Tag Asian M/US S</t>
  </si>
  <si>
    <t>CS-XIN086-N0-XL</t>
  </si>
  <si>
    <t>X001UU21O3</t>
  </si>
  <si>
    <t>B07G96DM3R</t>
  </si>
  <si>
    <t>MOCOTONO Men's Denim Long Sleeve Pocket Casual Dress Shirt Navy Blue Tag Asian XL/US L</t>
  </si>
  <si>
    <t>CS-XIN086-N0-XXL</t>
  </si>
  <si>
    <t>X001UUJOZR</t>
  </si>
  <si>
    <t>B07G95YB75</t>
  </si>
  <si>
    <t>MOCOTONO Men's Denim Long Sleeve Pocket Casual Dress Shirt Navy Blue Tag Asian XXL/US XL</t>
  </si>
  <si>
    <t>CS-XIN166-B28-1-L</t>
  </si>
  <si>
    <t>X001UVO6VD</t>
  </si>
  <si>
    <t>B07G9RBX69</t>
  </si>
  <si>
    <t>CS-XIN166-B28-1-M</t>
  </si>
  <si>
    <t>X001UVCD5J</t>
  </si>
  <si>
    <t>B07G9VCGQ8</t>
  </si>
  <si>
    <t>CS-XIN166-B28-1-S</t>
  </si>
  <si>
    <t>X001UVCD5T</t>
  </si>
  <si>
    <t>B07G9SW5J1</t>
  </si>
  <si>
    <t>CS-XIN166-B28-1-XL</t>
  </si>
  <si>
    <t>X001UVPR11</t>
  </si>
  <si>
    <t>B07G9WBLCW</t>
  </si>
  <si>
    <t>CS-XIN166-B28-1-XXL</t>
  </si>
  <si>
    <t>X001UVPMV1</t>
  </si>
  <si>
    <t>B07G9T3HBY</t>
  </si>
  <si>
    <t>CS-XIN166-B28-3-L</t>
  </si>
  <si>
    <t>X001UVQ319</t>
  </si>
  <si>
    <t>B07G9V8KX2</t>
  </si>
  <si>
    <t>CS-XIN166-B28-3-M</t>
  </si>
  <si>
    <t>X001UVOK3H</t>
  </si>
  <si>
    <t>B07G9VV398</t>
  </si>
  <si>
    <t>CS-XIN166-B28-3-S</t>
  </si>
  <si>
    <t>X001UVPGET</t>
  </si>
  <si>
    <t>B07G9VRR1Y</t>
  </si>
  <si>
    <t>CS-XIN166-B28-3-XL</t>
  </si>
  <si>
    <t>X001UVQ31J</t>
  </si>
  <si>
    <t>B07G9VHP3N</t>
  </si>
  <si>
    <t>CS-XIN166-B28-3-XXL</t>
  </si>
  <si>
    <t>X001UVPWGL</t>
  </si>
  <si>
    <t>B07G9T8HH6</t>
  </si>
  <si>
    <t>CS-XIN166-B28-4-M</t>
  </si>
  <si>
    <t>X001UVQ31T</t>
  </si>
  <si>
    <t>B07G9XXC83</t>
  </si>
  <si>
    <t>CS-XIN166-B28-4-XXL</t>
  </si>
  <si>
    <t>X001UVPO1J</t>
  </si>
  <si>
    <t>B07G9T8K21</t>
  </si>
  <si>
    <t>CS-XIN166-B28-5-L</t>
  </si>
  <si>
    <t>X001UVQ30Z</t>
  </si>
  <si>
    <t>B07G9R67PG</t>
  </si>
  <si>
    <t>CS-XIN166-B28-5-M</t>
  </si>
  <si>
    <t>X001UVPXAV</t>
  </si>
  <si>
    <t>B07G9WTD75</t>
  </si>
  <si>
    <t>CS-XIN166-B28-5-S</t>
  </si>
  <si>
    <t>X001UVO3T3</t>
  </si>
  <si>
    <t>B07G9X9YSL</t>
  </si>
  <si>
    <t>CS-XIN166-B28-5-XL</t>
  </si>
  <si>
    <t>X001UVPO23</t>
  </si>
  <si>
    <t>B07G9VCH3F</t>
  </si>
  <si>
    <t>CS-XIN166-B28-5-XXL</t>
  </si>
  <si>
    <t>X001UVPO1T</t>
  </si>
  <si>
    <t>B07G9T5R7M</t>
  </si>
  <si>
    <t>CS-XIN166-K33-1-S</t>
  </si>
  <si>
    <t>X001UVC9E9</t>
  </si>
  <si>
    <t>B07G9T7WG4</t>
  </si>
  <si>
    <t>MOCOTONO Men's Long Sleeve Flannel Plaid Dress Shirt Western Button Down Shirts Red Navy Small</t>
  </si>
  <si>
    <t>CS-XIN166-K33-4-L</t>
  </si>
  <si>
    <t>X001UVPGDZ</t>
  </si>
  <si>
    <t>B07G9V7PGF</t>
  </si>
  <si>
    <t>MOCOTONO Men's Long Sleeve Flannel Plaid Dress Shirt Western Button Down Shirts White Navy Large</t>
  </si>
  <si>
    <t>CS-XIN166-K33-4-M</t>
  </si>
  <si>
    <t>X001UVOK3R</t>
  </si>
  <si>
    <t>B07G9X5ZB7</t>
  </si>
  <si>
    <t>MOCOTONO Men's Long Sleeve Flannel Plaid Dress Shirt Western Button Down Shirts White Navy Medium</t>
  </si>
  <si>
    <t>CS-XIN166-K33-4-S</t>
  </si>
  <si>
    <t>X001UVO3ST</t>
  </si>
  <si>
    <t>B07G9VYFK5</t>
  </si>
  <si>
    <t>MOCOTONO Men's Long Sleeve Flannel Plaid Dress Shirt Western Button Down Shirts White Navy Small</t>
  </si>
  <si>
    <t>CS-XIN166-K33-4-XL</t>
  </si>
  <si>
    <t>X001UVO3SJ</t>
  </si>
  <si>
    <t>B07G9X45GW</t>
  </si>
  <si>
    <t>MOCOTONO Men's Long Sleeve Flannel Plaid Dress Shirt Western Button Down Shirts White Navy X-Large</t>
  </si>
  <si>
    <t>CS-XIN166-K33-4-XXL</t>
  </si>
  <si>
    <t>X001UVQCFL</t>
  </si>
  <si>
    <t>B07G9SW9DX</t>
  </si>
  <si>
    <t>MOCOTONO Men's Long Sleeve Flannel Plaid Dress Shirt Western Button Down Shirts White Navy XX-Large</t>
  </si>
  <si>
    <t>CS-XIN166-K73-1-L</t>
  </si>
  <si>
    <t>X001UVP9JV</t>
  </si>
  <si>
    <t>B07G9YF7CH</t>
  </si>
  <si>
    <t>CS-XIN166-K73-1-M</t>
  </si>
  <si>
    <t>X001UVPGEJ</t>
  </si>
  <si>
    <t>B07G9WSM6B</t>
  </si>
  <si>
    <t>CS-XIN166-K73-1-XL</t>
  </si>
  <si>
    <t>X001UVPXAL</t>
  </si>
  <si>
    <t>B07G9YDPVB</t>
  </si>
  <si>
    <t>CS-XIN166-K73-1-XXL</t>
  </si>
  <si>
    <t>X001UVPR1B</t>
  </si>
  <si>
    <t>B07G9WFSGK</t>
  </si>
  <si>
    <t>CS-XIN166-K73-2-L</t>
  </si>
  <si>
    <t>X001UVPGE9</t>
  </si>
  <si>
    <t>B07G9XFQF9</t>
  </si>
  <si>
    <t>CS-XIN166-K73-2-M</t>
  </si>
  <si>
    <t>X001UVPO0Z</t>
  </si>
  <si>
    <t>B07G9SHQFK</t>
  </si>
  <si>
    <t>CS-XIN166-K73-2-XL</t>
  </si>
  <si>
    <t>X001UVR8YZ</t>
  </si>
  <si>
    <t>B07G9YTZD1</t>
  </si>
  <si>
    <t>CS-XIN166-K73-2-XXL</t>
  </si>
  <si>
    <t>X001UVOK41</t>
  </si>
  <si>
    <t>B07G9S4R5G</t>
  </si>
  <si>
    <t>CS-XIN171-G912-L</t>
  </si>
  <si>
    <t>X001UT582B</t>
  </si>
  <si>
    <t>B07G7QY2N8</t>
  </si>
  <si>
    <t>Men's Oxford Long Sleeve Button Down Dress Shirt with Pocket,Green,Large</t>
  </si>
  <si>
    <t>CS-XIN171-G912-M</t>
  </si>
  <si>
    <t>X001UT2WG1</t>
  </si>
  <si>
    <t>B07G7Y85VR</t>
  </si>
  <si>
    <t>Men's Oxford Long Sleeve Button Down Dress Shirt with Pocket,Green,Medium</t>
  </si>
  <si>
    <t>CS-XIN171-G912-S</t>
  </si>
  <si>
    <t>X001UT55OH</t>
  </si>
  <si>
    <t>B07G7YSYJT</t>
  </si>
  <si>
    <t>CS-XIN171-G912-XL</t>
  </si>
  <si>
    <t>X001UT2WGL</t>
  </si>
  <si>
    <t>B07G7RFG76</t>
  </si>
  <si>
    <t>Men's Oxford Long Sleeve Button Down Dress Shirt with Pocket,Green,X-Large</t>
  </si>
  <si>
    <t>CS-XIN171-G912-XXL</t>
  </si>
  <si>
    <t>X001V90E47</t>
  </si>
  <si>
    <t>B07GNCWG82</t>
  </si>
  <si>
    <t>Men's Oxford Long Sleeve Button Down Dress Shirt with Pocket,Green,XX-Large</t>
  </si>
  <si>
    <t>CS-XIN171-LB916-L</t>
  </si>
  <si>
    <t>X001USNDP1</t>
  </si>
  <si>
    <t>B07G817NZ1</t>
  </si>
  <si>
    <t>CS-XIN171-LB916-M</t>
  </si>
  <si>
    <t>X001UT52MH</t>
  </si>
  <si>
    <t>B07G82NR16</t>
  </si>
  <si>
    <t>CS-XIN171-LB916-S</t>
  </si>
  <si>
    <t>X001USNEAZ</t>
  </si>
  <si>
    <t>B07G7NXHQG</t>
  </si>
  <si>
    <t>CS-XIN171-LB916-XL</t>
  </si>
  <si>
    <t>X001UT4X9P</t>
  </si>
  <si>
    <t>B07G81YTTD</t>
  </si>
  <si>
    <t>CS-XIN171-LB916-XXL</t>
  </si>
  <si>
    <t>X001UT4YW1</t>
  </si>
  <si>
    <t>B07G7RQJNZ</t>
  </si>
  <si>
    <t>CS-XIN171-LG907-L</t>
  </si>
  <si>
    <t>X001UT5817</t>
  </si>
  <si>
    <t>B07G7SBSFS</t>
  </si>
  <si>
    <t>CS-XIN171-LG907-XL</t>
  </si>
  <si>
    <t>X001UT4MRX</t>
  </si>
  <si>
    <t>B07G7XNJPB</t>
  </si>
  <si>
    <t>CS-XIN171-PI908-L</t>
  </si>
  <si>
    <t>X001UT4JG7</t>
  </si>
  <si>
    <t>B07G7W5JG2</t>
  </si>
  <si>
    <t>CS-XIN171-PI908-M</t>
  </si>
  <si>
    <t>X001USNDOR</t>
  </si>
  <si>
    <t>B07G7VSWYG</t>
  </si>
  <si>
    <t>Men's Oxford Long Sleeve Button Down Dress Shirt with Pocket,Pink,Medium</t>
  </si>
  <si>
    <t>CS-XIN171-PI908-S</t>
  </si>
  <si>
    <t>X001UT4JGR</t>
  </si>
  <si>
    <t>B07G83BZB7</t>
  </si>
  <si>
    <t>Men's Oxford Long Sleeve Button Down Dress Shirt with Pocket,Pink,Small</t>
  </si>
  <si>
    <t>CS-XIN171-PI908-XL</t>
  </si>
  <si>
    <t>X001UT4XA9</t>
  </si>
  <si>
    <t>B07G7PDDFD</t>
  </si>
  <si>
    <t>CS-XIN171-PI908-XXL</t>
  </si>
  <si>
    <t>X001UT2WGB</t>
  </si>
  <si>
    <t>B07G7LMB37</t>
  </si>
  <si>
    <t>CS-XIN171-Sa911-L</t>
  </si>
  <si>
    <t>X001UT52LN</t>
  </si>
  <si>
    <t>B07G7WP1RZ</t>
  </si>
  <si>
    <t>CS-XIN171-Sa911-M</t>
  </si>
  <si>
    <t>X001USNEBJ</t>
  </si>
  <si>
    <t>B07G7Z8WNP</t>
  </si>
  <si>
    <t>CS-XIN171-Sa911-S</t>
  </si>
  <si>
    <t>X001VBWHK9</t>
  </si>
  <si>
    <t>B07GQ4VDG3</t>
  </si>
  <si>
    <t>MOCOTONO Men's Oxford Long Sleeve Button Down Dress Shirt with Pocket,Sapphire,Small</t>
  </si>
  <si>
    <t>CS-XIN171-Sa911-XL</t>
  </si>
  <si>
    <t>X001UT4YUN</t>
  </si>
  <si>
    <t>B07G872KGK</t>
  </si>
  <si>
    <t>CS-XIN171-Sa911-XXL</t>
  </si>
  <si>
    <t>X001UT4MS7</t>
  </si>
  <si>
    <t>B07G83BZBG</t>
  </si>
  <si>
    <t>CS-XIN171-W902-L</t>
  </si>
  <si>
    <t>X001UT4YWB</t>
  </si>
  <si>
    <t>B07G7R9D29</t>
  </si>
  <si>
    <t>CS-XIN171-W902-XL</t>
  </si>
  <si>
    <t>X001UT4YVH</t>
  </si>
  <si>
    <t>B07G7RF7FP</t>
  </si>
  <si>
    <t>CS-XIN171-WR917-S</t>
  </si>
  <si>
    <t>X001UT4XAT</t>
  </si>
  <si>
    <t>B07G7N3J8R</t>
  </si>
  <si>
    <t>CS-XIN171-WR917-XL</t>
  </si>
  <si>
    <t>X001UT4X9Z</t>
  </si>
  <si>
    <t>B07G7NXHQM</t>
  </si>
  <si>
    <t>CS-XIN171-ZL918-L</t>
  </si>
  <si>
    <t>X001UT4MSH</t>
  </si>
  <si>
    <t>B07G7T2KJL</t>
  </si>
  <si>
    <t>CS-XIN171-ZL918-M</t>
  </si>
  <si>
    <t>X001UT52ZT</t>
  </si>
  <si>
    <t>B07G835FRR</t>
  </si>
  <si>
    <t>CS-XIN171-ZL918-S</t>
  </si>
  <si>
    <t>X001UT4X9F</t>
  </si>
  <si>
    <t>B07G8CVZQQ</t>
  </si>
  <si>
    <t>CS-XIN172-BK-L</t>
  </si>
  <si>
    <t>X001UWBGSX</t>
  </si>
  <si>
    <t>B07GB6Q4F4</t>
  </si>
  <si>
    <t>MOCOTONO Men's Long Sleeve Formal Business Dress Shirts Black Large</t>
  </si>
  <si>
    <t>CS-XIN172-BK-M</t>
  </si>
  <si>
    <t>X001UWB769</t>
  </si>
  <si>
    <t>B07GB5ZR3P</t>
  </si>
  <si>
    <t>MOCOTONO Men's Long Sleeve Formal Business Dress Shirts Black Medium</t>
  </si>
  <si>
    <t>CS-XIN172-BK-S</t>
  </si>
  <si>
    <t>X001UWBTK3</t>
  </si>
  <si>
    <t>B07GB74PT9</t>
  </si>
  <si>
    <t>MOCOTONO Men's Long Sleeve Formal Business Dress Shirts Black Small</t>
  </si>
  <si>
    <t>CS-XIN172-BK-XL</t>
  </si>
  <si>
    <t>X001UWASSR</t>
  </si>
  <si>
    <t>B07GB8FSC3</t>
  </si>
  <si>
    <t>MOCOTONO Men's Long Sleeve Formal Business Dress Shirts Black X-Large</t>
  </si>
  <si>
    <t>CS-XIN172-BK-XXL</t>
  </si>
  <si>
    <t>X001UVPKL3</t>
  </si>
  <si>
    <t>B07GB6LJQW</t>
  </si>
  <si>
    <t>MOCOTONO Men's Long Sleeve Formal Business Dress Shirts Black XX-Large</t>
  </si>
  <si>
    <t>CS-XIN172-BL-L</t>
  </si>
  <si>
    <t>X001UW377L</t>
  </si>
  <si>
    <t>B07GB7BJH4</t>
  </si>
  <si>
    <t>MOCOTONO Men's Long Sleeve Formal Business Dress Shirts Blue Large</t>
  </si>
  <si>
    <t>CS-XIN172-BL-M</t>
  </si>
  <si>
    <t>X001UW9VZD</t>
  </si>
  <si>
    <t>B07GB5YC7S</t>
  </si>
  <si>
    <t>MOCOTONO Men's Long Sleeve Formal Business Dress Shirts Blue Medium</t>
  </si>
  <si>
    <t>CS-XIN172-BL-S</t>
  </si>
  <si>
    <t>X001UW2XRB</t>
  </si>
  <si>
    <t>B07GB6LSYJ</t>
  </si>
  <si>
    <t>MOCOTONO Men's Long Sleeve Formal Business Dress Shirts Blue Small</t>
  </si>
  <si>
    <t>CS-XIN172-BL-XL</t>
  </si>
  <si>
    <t>X001UW377B</t>
  </si>
  <si>
    <t>B07GB5JPFW</t>
  </si>
  <si>
    <t>MOCOTONO Men's Long Sleeve Formal Business Dress Shirts Blue X-Large</t>
  </si>
  <si>
    <t>CS-XIN172-BL-XXL</t>
  </si>
  <si>
    <t>X001UW2XR1</t>
  </si>
  <si>
    <t>B07GB6JFSY</t>
  </si>
  <si>
    <t>MOCOTONO Men's Long Sleeve Formal Business Dress Shirts Blue XX-Large</t>
  </si>
  <si>
    <t>CS-XIN172-GR-L</t>
  </si>
  <si>
    <t>X001UW9VZX</t>
  </si>
  <si>
    <t>B07GB5VLTY</t>
  </si>
  <si>
    <t>MOCOTONO Men's Long Sleeve Formal Business Dress Shirts Gray Large</t>
  </si>
  <si>
    <t>CS-XIN172-GR-M</t>
  </si>
  <si>
    <t>X001UWC047</t>
  </si>
  <si>
    <t>B07GB772LB</t>
  </si>
  <si>
    <t>MOCOTONO Men's Long Sleeve Formal Business Dress Shirts Gray Medium</t>
  </si>
  <si>
    <t>CS-XIN172-GR-S</t>
  </si>
  <si>
    <t>X001UW3CML</t>
  </si>
  <si>
    <t>B07GB8PBDZ</t>
  </si>
  <si>
    <t>MOCOTONO Men's Long Sleeve Formal Business Dress Shirts Gray Small</t>
  </si>
  <si>
    <t>CS-XIN172-GR-XL</t>
  </si>
  <si>
    <t>X001UWBGTH</t>
  </si>
  <si>
    <t>B07GB7LPMX</t>
  </si>
  <si>
    <t>MOCOTONO Men's Long Sleeve Formal Business Dress Shirts Gray X-Large</t>
  </si>
  <si>
    <t>CS-XIN172-GR-XXL</t>
  </si>
  <si>
    <t>X001UWASU5</t>
  </si>
  <si>
    <t>B07GB9MVM3</t>
  </si>
  <si>
    <t>MOCOTONO Men's Long Sleeve Formal Business Dress Shirts Gray XX-Large</t>
  </si>
  <si>
    <t>CS-XIN172-NY-L</t>
  </si>
  <si>
    <t>X001UW3C6H</t>
  </si>
  <si>
    <t>B07GB7SQNH</t>
  </si>
  <si>
    <t>MOCOTONO Men's Long Sleeve Formal Business Dress Shirts Navy Large</t>
  </si>
  <si>
    <t>CS-XIN172-NY-M</t>
  </si>
  <si>
    <t>X001UWABF7</t>
  </si>
  <si>
    <t>B07GB8L3XX</t>
  </si>
  <si>
    <t>MOCOTONO Men's Long Sleeve Formal Business Dress Shirts Navy Medium</t>
  </si>
  <si>
    <t>CS-XIN172-NY-S</t>
  </si>
  <si>
    <t>X001UWBGT7</t>
  </si>
  <si>
    <t>B07GB6TL87</t>
  </si>
  <si>
    <t>MOCOTONO Men's Long Sleeve Formal Business Dress Shirts Navy Small</t>
  </si>
  <si>
    <t>CS-XIN172-NY-XL</t>
  </si>
  <si>
    <t>X001UWBTKD</t>
  </si>
  <si>
    <t>B07GB4SGM1</t>
  </si>
  <si>
    <t>MOCOTONO Men's Long Sleeve Formal Business Dress Shirts Navy X-Large</t>
  </si>
  <si>
    <t>CS-XIN172-NY-XXL</t>
  </si>
  <si>
    <t>X001UWC03N</t>
  </si>
  <si>
    <t>B07GB7JQ6B</t>
  </si>
  <si>
    <t>MOCOTONO Men's Long Sleeve Formal Business Dress Shirts Navy XX-Large</t>
  </si>
  <si>
    <t>CS-XIN172-PK-L</t>
  </si>
  <si>
    <t>X001UWAST1</t>
  </si>
  <si>
    <t>B07GB7621F</t>
  </si>
  <si>
    <t>MOCOTONO Men's Long Sleeve Formal Business Dress Shirts Pink Large</t>
  </si>
  <si>
    <t>CS-XIN172-PK-M</t>
  </si>
  <si>
    <t>X001UW9VZN</t>
  </si>
  <si>
    <t>B07GB712G4</t>
  </si>
  <si>
    <t>MOCOTONO Men's Long Sleeve Formal Business Dress Shirts Pink Medium</t>
  </si>
  <si>
    <t>CS-XIN172-PK-S</t>
  </si>
  <si>
    <t>X001UVPKKT</t>
  </si>
  <si>
    <t>B07GB75J1W</t>
  </si>
  <si>
    <t>MOCOTONO Men's Long Sleeve Formal Business Dress Shirts Pink Small</t>
  </si>
  <si>
    <t>CS-XIN172-PK-XL</t>
  </si>
  <si>
    <t>X001UWC6NR</t>
  </si>
  <si>
    <t>B07GB7GGB8</t>
  </si>
  <si>
    <t>MOCOTONO Men's Long Sleeve Formal Business Dress Shirts Pink X-Large</t>
  </si>
  <si>
    <t>CS-XIN172-PK-XXL</t>
  </si>
  <si>
    <t>X001UW95JP</t>
  </si>
  <si>
    <t>B07GB7J5SL</t>
  </si>
  <si>
    <t>MOCOTONO Men's Long Sleeve Formal Business Dress Shirts Pink XX-Large</t>
  </si>
  <si>
    <t>CS-XIN172-PP-L</t>
  </si>
  <si>
    <t>X001UWASTB</t>
  </si>
  <si>
    <t>B07GB79NDL</t>
  </si>
  <si>
    <t>MOCOTONO Men's Long Sleeve Formal Business Dress Shirts Purple Large</t>
  </si>
  <si>
    <t>CS-XIN172-PP-M</t>
  </si>
  <si>
    <t>X001UWBGU1</t>
  </si>
  <si>
    <t>B07GBB2BH9</t>
  </si>
  <si>
    <t>MOCOTONO Men's Long Sleeve Formal Business Dress Shirts Purple Medium</t>
  </si>
  <si>
    <t>CS-XIN172-PP-S</t>
  </si>
  <si>
    <t>X001UWC6NH</t>
  </si>
  <si>
    <t>B07GB7G5LL</t>
  </si>
  <si>
    <t>MOCOTONO Men's Long Sleeve Formal Business Dress Shirts Purple Small</t>
  </si>
  <si>
    <t>CS-XIN172-PP-XL</t>
  </si>
  <si>
    <t>X001UWBTKN</t>
  </si>
  <si>
    <t>B07GB9CSQZ</t>
  </si>
  <si>
    <t>MOCOTONO Men's Long Sleeve Formal Business Dress Shirts Purple X-Large</t>
  </si>
  <si>
    <t>CS-XIN172-PP-XXL</t>
  </si>
  <si>
    <t>X001UW9VZ3</t>
  </si>
  <si>
    <t>B07GB6Q6K4</t>
  </si>
  <si>
    <t>MOCOTONO Men's Long Sleeve Formal Business Dress Shirts Purple XX-Large</t>
  </si>
  <si>
    <t>CS-XIN172-WR-L</t>
  </si>
  <si>
    <t>X001UWB76J</t>
  </si>
  <si>
    <t>B07GB63DN2</t>
  </si>
  <si>
    <t>MOCOTONO Men's Long Sleeve Formal Business Dress Shirts Wine Red Large</t>
  </si>
  <si>
    <t>CS-XIN172-WR-M</t>
  </si>
  <si>
    <t>X001UVPKKJ</t>
  </si>
  <si>
    <t>B07GB5BL9V</t>
  </si>
  <si>
    <t>MOCOTONO Men's Long Sleeve Formal Business Dress Shirts Wine Red Medium</t>
  </si>
  <si>
    <t>CS-XIN172-WR-S</t>
  </si>
  <si>
    <t>X001UWB75Z</t>
  </si>
  <si>
    <t>B07GB7LHM8</t>
  </si>
  <si>
    <t>MOCOTONO Men's Long Sleeve Formal Business Dress Shirts Wine Red Small</t>
  </si>
  <si>
    <t>CS-XIN172-WR-XL</t>
  </si>
  <si>
    <t>X001UWC03X</t>
  </si>
  <si>
    <t>B07GB6B545</t>
  </si>
  <si>
    <t>MOCOTONO Men's Long Sleeve Formal Business Dress Shirts Wine Red X-Large</t>
  </si>
  <si>
    <t>CS-XIN172-WR-XXL</t>
  </si>
  <si>
    <t>X001UW3C6R</t>
  </si>
  <si>
    <t>B07GB6YNYY</t>
  </si>
  <si>
    <t>MOCOTONO Men's Long Sleeve Formal Business Dress Shirts Wine Red XX-Large</t>
  </si>
  <si>
    <t>CS-XIN172-WT1-L</t>
  </si>
  <si>
    <t>X001UWC03D</t>
  </si>
  <si>
    <t>B07GB6MQLX</t>
  </si>
  <si>
    <t>MOCOTONO Men's Long Sleeve Formal Business Dress Shirts Water White Large</t>
  </si>
  <si>
    <t>CS-XIN172-WT1-M</t>
  </si>
  <si>
    <t>X001UW9W07</t>
  </si>
  <si>
    <t>B07GB6R6XM</t>
  </si>
  <si>
    <t>MOCOTONO Men's Long Sleeve Formal Business Dress Shirts Water White Medium</t>
  </si>
  <si>
    <t>CS-XIN172-WT1-S</t>
  </si>
  <si>
    <t>X001UWBGSN</t>
  </si>
  <si>
    <t>B07GB65GZY</t>
  </si>
  <si>
    <t>MOCOTONO Men's Long Sleeve Formal Business Dress Shirts Water White Small</t>
  </si>
  <si>
    <t>CS-XIN172-WT1-XL</t>
  </si>
  <si>
    <t>X001UWASTL</t>
  </si>
  <si>
    <t>B07GB6NPG7</t>
  </si>
  <si>
    <t>MOCOTONO Men's Long Sleeve Formal Business Dress Shirts Water White X-Large</t>
  </si>
  <si>
    <t>CS-XIN172-WT1-XXL</t>
  </si>
  <si>
    <t>X001UWASSH</t>
  </si>
  <si>
    <t>B07GB6HGXH</t>
  </si>
  <si>
    <t>MOCOTONO Men's Long Sleeve Formal Business Dress Shirts Water White XX-Large</t>
  </si>
  <si>
    <t>CS-XIN172-WT2-L</t>
  </si>
  <si>
    <t>X001UWB76T</t>
  </si>
  <si>
    <t>B07GB7GYQM</t>
  </si>
  <si>
    <t>MOCOTONO Men's Long Sleeve Formal Business Dress Shirts White Large</t>
  </si>
  <si>
    <t>CS-XIN172-WT2-M</t>
  </si>
  <si>
    <t>X001UWBGTR</t>
  </si>
  <si>
    <t>B07GB8PV7N</t>
  </si>
  <si>
    <t>MOCOTONO Men's Long Sleeve Formal Business Dress Shirts White Medium</t>
  </si>
  <si>
    <t>CS-XIN172-WT2-S</t>
  </si>
  <si>
    <t>X001UWASTV</t>
  </si>
  <si>
    <t>B07GB6C5QY</t>
  </si>
  <si>
    <t>MOCOTONO Men's Long Sleeve Formal Business Dress Shirts White Small</t>
  </si>
  <si>
    <t>CS-XIN172-WT2-XL</t>
  </si>
  <si>
    <t>X001UW9W0H</t>
  </si>
  <si>
    <t>B07GB9NLZF</t>
  </si>
  <si>
    <t>MOCOTONO Men's Long Sleeve Formal Business Dress Shirts White X-Large</t>
  </si>
  <si>
    <t>CS-XIN172-WT2-XXL</t>
  </si>
  <si>
    <t>X001UVPKK9</t>
  </si>
  <si>
    <t>B07GB7WL8M</t>
  </si>
  <si>
    <t>MOCOTONO Men's Long Sleeve Formal Business Dress Shirts White XX-Large</t>
  </si>
  <si>
    <t>CS-XIN181-LB916-M</t>
  </si>
  <si>
    <t>X001UUJXW1</t>
  </si>
  <si>
    <t>B07G94LM3L</t>
  </si>
  <si>
    <t>CS-XIN181-LB916-S</t>
  </si>
  <si>
    <t>X001UUJNW1</t>
  </si>
  <si>
    <t>B07G97TG2K</t>
  </si>
  <si>
    <t>CS-XIN181-PI908-L</t>
  </si>
  <si>
    <t>X001UU30EN</t>
  </si>
  <si>
    <t>B07G96517K</t>
  </si>
  <si>
    <t>CS-XIN181-PI908-M</t>
  </si>
  <si>
    <t>X001UUJNVR</t>
  </si>
  <si>
    <t>B07G98SS9L</t>
  </si>
  <si>
    <t>CS-XIN181-PI908-XL</t>
  </si>
  <si>
    <t>X001VC1KI3</t>
  </si>
  <si>
    <t>B07GR7C2T4</t>
  </si>
  <si>
    <t>Men's Oxford Long Sleeve Button Down Casual Dress Shirt X-Large</t>
  </si>
  <si>
    <t>CS-XIN181-PI908-XXL</t>
  </si>
  <si>
    <t>X001UUJOVV</t>
  </si>
  <si>
    <t>B07G95X8PC</t>
  </si>
  <si>
    <t>CS-XIN181-Sa911-L</t>
  </si>
  <si>
    <t>X001UUJNVH</t>
  </si>
  <si>
    <t>B07G96WPDN</t>
  </si>
  <si>
    <t>CS-XIN181-Sa911-M</t>
  </si>
  <si>
    <t>X001UUJM81</t>
  </si>
  <si>
    <t>B07G96RT4J</t>
  </si>
  <si>
    <t>Men's Oxford Long Sleeve Button Down Casual Dress Shirt Sapphire Medium</t>
  </si>
  <si>
    <t>CS-XIN181-Sa911-XXL</t>
  </si>
  <si>
    <t>X001UU2SZP</t>
  </si>
  <si>
    <t>B07G98CKR7</t>
  </si>
  <si>
    <t>CS-XXIN181-LB916-XL</t>
  </si>
  <si>
    <t>X001VBXC3P</t>
  </si>
  <si>
    <t>B07GQXM5YB</t>
  </si>
  <si>
    <t>DK-LY-K157-B0-32</t>
  </si>
  <si>
    <t>B073Q1437J</t>
  </si>
  <si>
    <t>MOCOTONO Men's Casual Slim Fit Cotton Multi-Pocket Twill Cargo Shorts Sapphire Blue Tag 32/US 30</t>
  </si>
  <si>
    <t>DK-LY-K157-B0-40</t>
  </si>
  <si>
    <t>B073PZKLGR</t>
  </si>
  <si>
    <t>MOCOTONO Men's Casual Slim Fit Cotton Multi-Pocket Twill Cargo Shorts Sapphire Blue Tag 40/US 38</t>
  </si>
  <si>
    <t>DK-LY-K157-B0-44</t>
  </si>
  <si>
    <t>B073PZ9VFP</t>
  </si>
  <si>
    <t>MOCOTONO Men's Casual Slim Fit Cotton Multi-Pocket Twill Cargo Shorts Sapphire Blue Tag 44/US 42</t>
  </si>
  <si>
    <t>DK-LY-K157-KQ-32</t>
  </si>
  <si>
    <t>B073PZDYM9</t>
  </si>
  <si>
    <t>MOCOTONO Men's Casual Slim Fit Cotton Multi-Pocket Twill Cargo Shorts Khaki 1 Tag 32/US 30</t>
  </si>
  <si>
    <t>DK-LY-K157-KQ-36</t>
  </si>
  <si>
    <t>B073Q13NMP</t>
  </si>
  <si>
    <t>MOCOTONO Men's Casual Slim Fit Cotton Multi-Pocket Twill Cargo Shorts Khaki 1 Tag 36/US 34</t>
  </si>
  <si>
    <t>DK-LY-K157-KQ-42</t>
  </si>
  <si>
    <t>B073PYR86R</t>
  </si>
  <si>
    <t>MOCOTONO Men's Casual Slim Fit Cotton Multi-Pocket Twill Cargo Shorts Khaki 1 Tag 42/US 40</t>
  </si>
  <si>
    <t>DK-LY-K157-KQ-44</t>
  </si>
  <si>
    <t>B073PZ4B1D</t>
  </si>
  <si>
    <t>MOCOTONO Men's Casual Slim Fit Cotton Multi-Pocket Twill Cargo Shorts Khaki 1 Tag 44/US 42</t>
  </si>
  <si>
    <t>DK-LY-K157-OR-34</t>
  </si>
  <si>
    <t>B073PZ9XDB</t>
  </si>
  <si>
    <t>MOCOTONO Men's Casual Slim Fit Cotton Multi-Pocket Twill Cargo Shorts Orange 1 Tag 34/US 32</t>
  </si>
  <si>
    <t>DK-LY-K518-B0-42</t>
  </si>
  <si>
    <t>B073PZQ835</t>
  </si>
  <si>
    <t>MOCOTONO Slim Fit Cotton Multi-Pocket Twill Cargo Shorts for Men Navy Tag 42/US 40</t>
  </si>
  <si>
    <t>DK-LY-K518-B0-44</t>
  </si>
  <si>
    <t>B073PZV417</t>
  </si>
  <si>
    <t>MOCOTONO Slim Fit Cotton Multi-Pocket Twill Cargo Shorts for Men Navy Tag 44/US 42</t>
  </si>
  <si>
    <t>DK-LY-K518-K0-38</t>
  </si>
  <si>
    <t>B073PZM1XY</t>
  </si>
  <si>
    <t>MOCOTONO Slim Fit Cotton Multi-Pocket Twill Cargo Shorts for Men Black 3 Tag 38/US 36</t>
  </si>
  <si>
    <t>DK-LY-K518-K0-40</t>
  </si>
  <si>
    <t>B073PZH77B</t>
  </si>
  <si>
    <t>MOCOTONO Slim Fit Cotton Multi-Pocket Twill Cargo Shorts for Men Black 3 Tag 40/US 38</t>
  </si>
  <si>
    <t>DK-LY-K518-K0-42</t>
  </si>
  <si>
    <t>B073Q1C827</t>
  </si>
  <si>
    <t>MOCOTONO Slim Fit Cotton Multi-Pocket Twill Cargo Shorts for Men Black 3 Tag 42/US 40</t>
  </si>
  <si>
    <t>DK-LY-K518-KQ-34</t>
  </si>
  <si>
    <t>B073PZH7FR</t>
  </si>
  <si>
    <t>MOCOTONO Slim Fit Cotton Multi-Pocket Twill Cargo Shorts for Men Khaki 3 Tag 34/US 32</t>
  </si>
  <si>
    <t>DK-LY-K518-KQ-38</t>
  </si>
  <si>
    <t>B073PZL9KW</t>
  </si>
  <si>
    <t>MOCOTONO Slim Fit Cotton Multi-Pocket Twill Cargo Shorts for Men Khaki 3 Tag 38/US 36</t>
  </si>
  <si>
    <t>DK-LY-K518-KQ-40</t>
  </si>
  <si>
    <t>B073PZSYNS</t>
  </si>
  <si>
    <t>MOCOTONO Slim Fit Cotton Multi-Pocket Twill Cargo Shorts for Men Khaki 3 Tag 40/US 38</t>
  </si>
  <si>
    <t>DK-LY-K518-KQ-42</t>
  </si>
  <si>
    <t>B073PZGGY8</t>
  </si>
  <si>
    <t>MOCOTONO Slim Fit Cotton Multi-Pocket Twill Cargo Shorts for Men Khaki 3 Tag 42/US 40</t>
  </si>
  <si>
    <t>DK-LY-K518-KQ-44</t>
  </si>
  <si>
    <t>B073PZ594R</t>
  </si>
  <si>
    <t>MOCOTONO Slim Fit Cotton Multi-Pocket Twill Cargo Shorts for Men Khaki 3 Tag 44/US 42</t>
  </si>
  <si>
    <t>DK-LY-K518-OR-44</t>
  </si>
  <si>
    <t>B073PZGGP2</t>
  </si>
  <si>
    <t>Slim Fit Cotton Multi-Pocket Twill Cargo Shorts for Men Orange 3 Tag 44/US 42</t>
  </si>
  <si>
    <t>DK-LY-K559-KQ-44</t>
  </si>
  <si>
    <t>B073QH2KWY</t>
  </si>
  <si>
    <t>Mens Twill Cargo Shorts Slim Fit Short Pants Khaki 2 Tag 44/US 42</t>
  </si>
  <si>
    <t>DK-LY-K559-OR-42</t>
  </si>
  <si>
    <t>B073QHDKZ5</t>
  </si>
  <si>
    <t>Mens Twill Cargo Shorts Slim Fit Short Pants Orange 2 Tag 42/US 40</t>
  </si>
  <si>
    <t>JK-SB015-DG-L</t>
  </si>
  <si>
    <t>B075T84P3R</t>
  </si>
  <si>
    <t>JK-SB016-BK-L</t>
  </si>
  <si>
    <t>KZ-LHY002-BLKTREE-L</t>
  </si>
  <si>
    <t>X001TNEDHT</t>
  </si>
  <si>
    <t>B0777M87ZJ</t>
  </si>
  <si>
    <t>SiYang YoGa Women's Tree Of Life Leggings (L)</t>
  </si>
  <si>
    <t>KZ-LHY002-BLKTREE-M</t>
  </si>
  <si>
    <t>X001TNEAJP</t>
  </si>
  <si>
    <t>B01MU5D6DJ</t>
  </si>
  <si>
    <t>SiYang YoGa Women's Tree Of Life Leggings(L)</t>
  </si>
  <si>
    <t>KZ-LHY002-BLKTREE-S</t>
  </si>
  <si>
    <t>X001TNFPV7</t>
  </si>
  <si>
    <t>B01N6LLAEF</t>
  </si>
  <si>
    <t>SiYang YoGa Women's Tree of Life Leggings (S)</t>
  </si>
  <si>
    <t>KZ-LHY002-BUTTERFLY-L</t>
  </si>
  <si>
    <t>X001TNFDYV</t>
  </si>
  <si>
    <t>B01MY2YM1G</t>
  </si>
  <si>
    <t>SiYang YoGa Butterfly 3D Printing Yoga Pants Women Running Fitness Sportswear Dance Pants(Pants,L)</t>
  </si>
  <si>
    <t>KZ-LHY002-BUTTERFLY-M</t>
  </si>
  <si>
    <t>X001TNFDZ5</t>
  </si>
  <si>
    <t>B01MU5D7SA</t>
  </si>
  <si>
    <t>Butterfly 3D Printing Yoga Pants Women Running Fitness Sportswear Dance Pants(Pants,M)</t>
  </si>
  <si>
    <t>KZ-LHY002-BUTTERFLY-S</t>
  </si>
  <si>
    <t>X001TNED83</t>
  </si>
  <si>
    <t>B01NH0QNOS</t>
  </si>
  <si>
    <t>SiYang YoGa Butterfly 3D Printing Yoga Pants Women Running Fitness Sportswear Dance Pants(Pants,S)</t>
  </si>
  <si>
    <t>KZ-LHY002-CAT-2XL</t>
  </si>
  <si>
    <t>X001TNED7T</t>
  </si>
  <si>
    <t>B0776QVRRT</t>
  </si>
  <si>
    <t>SiYang YoGa Space Cat 3D Printing Fashion Fitness Pants Yoga Sports Trousers High Stretch Fast Dry Pants For Women(Pants,2XL)</t>
  </si>
  <si>
    <t>KZ-LHY002-CAT-3XL</t>
  </si>
  <si>
    <t>X001TN3POL</t>
  </si>
  <si>
    <t>B0776Q3PVM</t>
  </si>
  <si>
    <t>SiYang YoGa Space Cat 3D Printing Fashion Fitness Pants Yoga Sports Trousers High Stretch Fast Dry Pants For Women(Pants,3XL)</t>
  </si>
  <si>
    <t>KZ-LHY002-CAT-L</t>
  </si>
  <si>
    <t>X001TN78HV</t>
  </si>
  <si>
    <t>B01N6LLBPH</t>
  </si>
  <si>
    <t>SiYang YoGa Space Cat 3D Printing Fashion Fitness Pants Yoga Sports Trousers High Stretch Fast Dry Pants For Women(Pants,L)</t>
  </si>
  <si>
    <t>KZ-LHY002-CAT-M</t>
  </si>
  <si>
    <t>X001TNFPVH</t>
  </si>
  <si>
    <t>B01MT3TAJ5</t>
  </si>
  <si>
    <t>SiYang YoGa Space Cat 3D Printing Fashion Fitness Pants Yoga Sports Trousers High Stretch Fast Dry Pants For Women(Pants,M)</t>
  </si>
  <si>
    <t>KZ-LHY002-CAT-S</t>
  </si>
  <si>
    <t>X001TN3NIJ</t>
  </si>
  <si>
    <t>B01N5K685I</t>
  </si>
  <si>
    <t>SiYang YoGa Space Cat 3D Printing Fashion Fitness Pants Yoga Sports Trousers High Stretch Fast Dry Pants For Women(Pants,S)</t>
  </si>
  <si>
    <t>KZ-LHY002-CAT-XL</t>
  </si>
  <si>
    <t>X001TNEDHJ</t>
  </si>
  <si>
    <t>B0776SM4GN</t>
  </si>
  <si>
    <t>Space Cat 3D Printing Fashion Fitness Pants Yoga Sports Trousers High Stretch Fast Dry Pants For Women(Pants,XL)</t>
  </si>
  <si>
    <t>KZ-LHY002-FISH-L</t>
  </si>
  <si>
    <t>X001TNF8Z5</t>
  </si>
  <si>
    <t>B01N11KD8V</t>
  </si>
  <si>
    <t>Color Gradient Fish Scale Printed Yoga Pants Female Hip Tights (Pants,L)</t>
  </si>
  <si>
    <t>MTX-IULHY-MA8019-CF-41</t>
  </si>
  <si>
    <t>X001VKJUHD</t>
  </si>
  <si>
    <t>B07GV9FXN8</t>
  </si>
  <si>
    <t>Men's Memory Foam House Slipper Fleece Plush Lining Slip-on Clog Shoes Indoor &amp; Outdoor Dark Brown Medium</t>
  </si>
  <si>
    <t>MTX-IULHY-MA8019-CF-43</t>
  </si>
  <si>
    <t>X001VF6DVJ</t>
  </si>
  <si>
    <t>B07GV9PGGY</t>
  </si>
  <si>
    <t>Men's Memory Foam House Slipper Fleece Plush Lining Slip-on Clog Shoes Indoor &amp; Outdoor Dark Brown Large</t>
  </si>
  <si>
    <t>MTX-IULHY-MA8019-DG-41</t>
  </si>
  <si>
    <t>X001VKJ3MF</t>
  </si>
  <si>
    <t>B07GV8CZSZ</t>
  </si>
  <si>
    <t>Men's Memory Foam House Slipper Fleece Plush Lining Slip-on Clog Shoes Indoor &amp; Outdoor Dark Gray Medium</t>
  </si>
  <si>
    <t>MTX-IULHY-MA8019-DG-43</t>
  </si>
  <si>
    <t>X001VF6DVT</t>
  </si>
  <si>
    <t>B07GVBQNYL</t>
  </si>
  <si>
    <t>Men's Memory Foam House Slipper Fleece Plush Lining Slip-on Clog Shoes Indoor &amp; Outdoor Dark Gray Large</t>
  </si>
  <si>
    <t>MY-BBS011-BK-L</t>
  </si>
  <si>
    <t>X001T34BCL</t>
  </si>
  <si>
    <t>B0758YWG89</t>
  </si>
  <si>
    <t>MOCOTONO Men's V Neck Pullover Sweater Long Sleeve Cotton Casual Sweat Dress,Black,Medium</t>
  </si>
  <si>
    <t>MY-BBS011-BL-L</t>
  </si>
  <si>
    <t>X001T331HH</t>
  </si>
  <si>
    <t>B0759BR6JX</t>
  </si>
  <si>
    <t>MOCOTONO Men's V Neck Pullover Sweater Long Sleeve Cotton Casual Sweat Dress,Blue,Medium</t>
  </si>
  <si>
    <t>MY-BBS011-BL-M</t>
  </si>
  <si>
    <t>X001T2RMRD</t>
  </si>
  <si>
    <t>MY-BBS011-BL-S</t>
  </si>
  <si>
    <t>X001T2RMRN</t>
  </si>
  <si>
    <t>MY-BBS011-BL-XL</t>
  </si>
  <si>
    <t>X001T33ABJ</t>
  </si>
  <si>
    <t>MY-BBS011-CF-L</t>
  </si>
  <si>
    <t>X001T2RUUR</t>
  </si>
  <si>
    <t>MY-BBS011-CF-M</t>
  </si>
  <si>
    <t>X001T2RMS7</t>
  </si>
  <si>
    <t>B0759695WR</t>
  </si>
  <si>
    <t>MOCOTONO Men's V Neck Pullover Sweater Long Sleeve Cotton Casual Sweat Dress,Coffee,Small</t>
  </si>
  <si>
    <t>MY-BBS011-CF-S</t>
  </si>
  <si>
    <t>X001T2RXWR</t>
  </si>
  <si>
    <t>MY-BBS011-CF-XL</t>
  </si>
  <si>
    <t>X001T2RMSH</t>
  </si>
  <si>
    <t>MY-BBS011-DG-M</t>
  </si>
  <si>
    <t>X001T334Z1</t>
  </si>
  <si>
    <t>B0759142J9</t>
  </si>
  <si>
    <t>MOCOTONO Men's V Neck Pullover Sweater Long Sleeve Cotton Casual Sweat Dress,Dark Gray,Small</t>
  </si>
  <si>
    <t>MY-BBS011-DG-XL</t>
  </si>
  <si>
    <t>X001T2RXVX</t>
  </si>
  <si>
    <t>MY-BBS011-LG-L</t>
  </si>
  <si>
    <t>X001T32CDB</t>
  </si>
  <si>
    <t>MY-BBS011-LG-M</t>
  </si>
  <si>
    <t>X001T338JX</t>
  </si>
  <si>
    <t>B07597GLMK</t>
  </si>
  <si>
    <t>MOCOTONO Men's V Neck Pullover Sweater Long Sleeve Cotton Casual Sweat Dress,Light Gray,Small</t>
  </si>
  <si>
    <t>MY-BBS011-NY-S</t>
  </si>
  <si>
    <t>X001T34ME3</t>
  </si>
  <si>
    <t>MY-BBS011-RD-L</t>
  </si>
  <si>
    <t>X001T33AAZ</t>
  </si>
  <si>
    <t>MY-BBS011-RD-M</t>
  </si>
  <si>
    <t>X001T2RMR3</t>
  </si>
  <si>
    <t>MY-BBS011-RD-S</t>
  </si>
  <si>
    <t>X001T32FND</t>
  </si>
  <si>
    <t>MY-BBS011-WT-XL</t>
  </si>
  <si>
    <t>X001T332FX</t>
  </si>
  <si>
    <t>MY-BBS011JR-BK-XL</t>
  </si>
  <si>
    <t>X001T331HR</t>
  </si>
  <si>
    <t>MY-BBS011JR-BL-L</t>
  </si>
  <si>
    <t>X001T33AB9</t>
  </si>
  <si>
    <t>B0786WNCWS</t>
  </si>
  <si>
    <t>MOCOTONO Men's V Neck Pullover Fleece Lined Cotton Sweater Blue Medium</t>
  </si>
  <si>
    <t>MY-BBS011JR-BL-M</t>
  </si>
  <si>
    <t>X001T338K7</t>
  </si>
  <si>
    <t>B0786WYJML</t>
  </si>
  <si>
    <t>MOCOTONO Men's V Neck Pullover Fleece Lined Cotton Sweater Blue Small</t>
  </si>
  <si>
    <t>MY-BBS011JR-BL-S</t>
  </si>
  <si>
    <t>X001T334XX</t>
  </si>
  <si>
    <t>B0786XSHXR</t>
  </si>
  <si>
    <t>MOCOTONO Men's V Neck Pullover Fleece Lined Cotton Sweater Purple X-Large</t>
  </si>
  <si>
    <t>MY-BBS011JR-BL-XL</t>
  </si>
  <si>
    <t>X001T2RXWH</t>
  </si>
  <si>
    <t>B078737482</t>
  </si>
  <si>
    <t>MOCOTONO Men's V Neck Pullover Fleece Lined Cotton Sweater Blue Large</t>
  </si>
  <si>
    <t>MY-BBS011JR-CF-L</t>
  </si>
  <si>
    <t>X001T338KR</t>
  </si>
  <si>
    <t>B0786XYSJ2</t>
  </si>
  <si>
    <t>MOCOTONO Men's V Neck Pullover Fleece Lined Cotton Sweater Coffee Medium</t>
  </si>
  <si>
    <t>MY-BBS011JR-CF-M</t>
  </si>
  <si>
    <t>X001T32FLZ</t>
  </si>
  <si>
    <t>MY-BBS011JR-CF-S</t>
  </si>
  <si>
    <t>X001T331I1</t>
  </si>
  <si>
    <t>B078734Z2Q</t>
  </si>
  <si>
    <t>MOCOTONO Men's V Neck Pullover Fleece Lined Cotton Sweater Red X-Large</t>
  </si>
  <si>
    <t>MY-BBS011JR-CF-XL</t>
  </si>
  <si>
    <t>X001T34MCP</t>
  </si>
  <si>
    <t>B0786WHKTF</t>
  </si>
  <si>
    <t>MOCOTONO Men's V Neck Pullover Fleece Lined Cotton Sweater Coffee Large</t>
  </si>
  <si>
    <t>MY-BBS011JR-DG-M</t>
  </si>
  <si>
    <t>X001T2RWZ5</t>
  </si>
  <si>
    <t>B0786W99GH</t>
  </si>
  <si>
    <t>MOCOTONO Men's V Neck Pullover Fleece Lined Cotton Sweater Dark Gray Small</t>
  </si>
  <si>
    <t>MY-BBS011JR-LG-L</t>
  </si>
  <si>
    <t>X001T33BAT</t>
  </si>
  <si>
    <t>B07871RT3F</t>
  </si>
  <si>
    <t>MOCOTONO Men's V Neck Pullover Fleece Lined Cotton Sweater Light Gray Medium</t>
  </si>
  <si>
    <t>MY-BBS011JR-LG-M</t>
  </si>
  <si>
    <t>X001T2RXX1</t>
  </si>
  <si>
    <t>MY-BBS011JR-LG-XL</t>
  </si>
  <si>
    <t>X001T34BD5</t>
  </si>
  <si>
    <t>B0786YGKHV</t>
  </si>
  <si>
    <t>MOCOTONO Men's V Neck Pullover Fleece Lined Cotton Sweater Light Gray Large</t>
  </si>
  <si>
    <t>MY-BBS011JR-NY-L</t>
  </si>
  <si>
    <t>X001T2RXXL</t>
  </si>
  <si>
    <t>B0786WPCG7</t>
  </si>
  <si>
    <t>MOCOTONO Men's V Neck Pullover Fleece Lined Cotton Sweater Navy Blue Medium</t>
  </si>
  <si>
    <t>MY-BBS011JR-NY-XL</t>
  </si>
  <si>
    <t>X001T2RUV1</t>
  </si>
  <si>
    <t>B0786XSD8T</t>
  </si>
  <si>
    <t>MOCOTONO Men's V Neck Pullover Fleece Lined Cotton Sweater Navy Blue Large</t>
  </si>
  <si>
    <t>MY-BBS011JR-PP-L</t>
  </si>
  <si>
    <t>X001T32FM9</t>
  </si>
  <si>
    <t>MY-BBS011JR-PP-XL</t>
  </si>
  <si>
    <t>X001T34MCF</t>
  </si>
  <si>
    <t>MY-BBS011JR-RD-L</t>
  </si>
  <si>
    <t>X001T338JN</t>
  </si>
  <si>
    <t>B07871BT6P</t>
  </si>
  <si>
    <t>MOCOTONO Men's V Neck Pullover Fleece Lined Cotton Sweater Red Medium</t>
  </si>
  <si>
    <t>MY-BBS011JR-RD-M</t>
  </si>
  <si>
    <t>X001T34BCB</t>
  </si>
  <si>
    <t>MY-BBS011JR-RD-S</t>
  </si>
  <si>
    <t>X001T2RUVL</t>
  </si>
  <si>
    <t>B0786WNZGF</t>
  </si>
  <si>
    <t>MOCOTONO Men's V Neck Pullover Fleece Lined Cotton Sweater Blue X-Large</t>
  </si>
  <si>
    <t>MY-BBS011JR-RD-XL</t>
  </si>
  <si>
    <t>X001T33AA5</t>
  </si>
  <si>
    <t>B0786WCNBD</t>
  </si>
  <si>
    <t>MOCOTONO Men's V Neck Pullover Fleece Lined Cotton Sweater Red Large</t>
  </si>
  <si>
    <t>MY-BBS011JR-WT-L</t>
  </si>
  <si>
    <t>X001T338JD</t>
  </si>
  <si>
    <t>B0787NFF9M</t>
  </si>
  <si>
    <t>MOCOTONO Men's V Neck Pullover Fleece Lined Cotton Sweater White Medium</t>
  </si>
  <si>
    <t>MY-BBS011JR-WT-M</t>
  </si>
  <si>
    <t>X001T34MDJ</t>
  </si>
  <si>
    <t>B078F196VW</t>
  </si>
  <si>
    <t>MOCOTONO Men's V Neck Pullover Fleece Lined Cotton Sweater White Small</t>
  </si>
  <si>
    <t>MY-BBS011JR-WT-S</t>
  </si>
  <si>
    <t>X001T334XN</t>
  </si>
  <si>
    <t>B0786YNHFQ</t>
  </si>
  <si>
    <t>MOCOTONO Men's V Neck Pullover Fleece Lined Cotton Sweater Black X-Large</t>
  </si>
  <si>
    <t>MY-BBS011JR-WT-XL</t>
  </si>
  <si>
    <t>X001T32CDV</t>
  </si>
  <si>
    <t>B0786Y94VY</t>
  </si>
  <si>
    <t>MOCOTONO Men's V Neck Pullover Fleece Lined Cotton Sweater White Large</t>
  </si>
  <si>
    <t>MY-BS011-WT-M</t>
  </si>
  <si>
    <t>MY-BS018-BK-L</t>
  </si>
  <si>
    <t>X001T3B0L1</t>
  </si>
  <si>
    <t>B077XD99NR</t>
  </si>
  <si>
    <t>MOCOTONO Men's Button up Pullover Regular Fit Casual Sweater Black L</t>
  </si>
  <si>
    <t>MY-BS018-BK-M</t>
  </si>
  <si>
    <t>X001T3CLQJ</t>
  </si>
  <si>
    <t>MY-BS018-BK-S</t>
  </si>
  <si>
    <t>X001T1WLED</t>
  </si>
  <si>
    <t>B077XG578S</t>
  </si>
  <si>
    <t>MOCOTONO Men's Button up Pullover Regular Fit Casual Sweater Black S</t>
  </si>
  <si>
    <t>MY-BS018-BK-XL</t>
  </si>
  <si>
    <t>X001T2YYSN</t>
  </si>
  <si>
    <t>MY-BS018-CF-L</t>
  </si>
  <si>
    <t>X001T3CLQT</t>
  </si>
  <si>
    <t>B077XCRFMJ</t>
  </si>
  <si>
    <t>MOCOTONO Men's Button up Pullover Regular Fit Casual Sweater Brown L</t>
  </si>
  <si>
    <t>MY-BS018-CF-M</t>
  </si>
  <si>
    <t>X001T2F85B</t>
  </si>
  <si>
    <t>B0785FH15T</t>
  </si>
  <si>
    <t>MOCOTONO Men's Button up Pullover Regular Fit Casual Sweater Brown M</t>
  </si>
  <si>
    <t>MY-BS018-CF-S</t>
  </si>
  <si>
    <t>X001T2F88X</t>
  </si>
  <si>
    <t>B0785F2ZGB</t>
  </si>
  <si>
    <t>MOCOTONO Men's Button up Pullover Regular Fit Casual Sweater Brown S</t>
  </si>
  <si>
    <t>MY-BS018-CF-XL</t>
  </si>
  <si>
    <t>X001T2EX9D</t>
  </si>
  <si>
    <t>B0785FSWDB</t>
  </si>
  <si>
    <t>MOCOTONO Men's Button up Pullover Regular Fit Casual Sweater Brown XL</t>
  </si>
  <si>
    <t>MY-BS018-DG-L</t>
  </si>
  <si>
    <t>X001T2F7QL</t>
  </si>
  <si>
    <t>B077XD97NQ</t>
  </si>
  <si>
    <t>MOCOTONO Men's Button up Pullover Regular Fit Casual Sweater Dark Gray L</t>
  </si>
  <si>
    <t>MY-BS018-DG-M</t>
  </si>
  <si>
    <t>X001T2F85L</t>
  </si>
  <si>
    <t>MY-BS018-DG-S</t>
  </si>
  <si>
    <t>X001T1WLE3</t>
  </si>
  <si>
    <t>B077XCRF7X</t>
  </si>
  <si>
    <t>MOCOTONO Men's Button up Pullover Regular Fit Casual Sweater Dark Gray S</t>
  </si>
  <si>
    <t>MY-BS018-DG-XL</t>
  </si>
  <si>
    <t>X001T2YYSX</t>
  </si>
  <si>
    <t>MY-BS018-LG-L</t>
  </si>
  <si>
    <t>X001T1WLEN</t>
  </si>
  <si>
    <t>MY-BS018-LG-M</t>
  </si>
  <si>
    <t>X001T2YXN9</t>
  </si>
  <si>
    <t>MY-BS018-LG-S</t>
  </si>
  <si>
    <t>X001T2EX9N</t>
  </si>
  <si>
    <t>B077XJ56LQ</t>
  </si>
  <si>
    <t>MOCOTONO Men's Button up Pullover Regular Fit Casual Sweater Light Gray S</t>
  </si>
  <si>
    <t>MY-BS018-LG-XL</t>
  </si>
  <si>
    <t>X001T1WARV</t>
  </si>
  <si>
    <t>MY-BS018-NY-L</t>
  </si>
  <si>
    <t>X001T25NIX</t>
  </si>
  <si>
    <t>B077XBMPTG</t>
  </si>
  <si>
    <t>MOCOTONO Men's Button up Pullover Regular Fit Casual Sweater Dark Blue L</t>
  </si>
  <si>
    <t>MY-BS018-NY-M</t>
  </si>
  <si>
    <t>X001T2YWCB</t>
  </si>
  <si>
    <t>B077XFN2JM</t>
  </si>
  <si>
    <t>MOCOTONO Men's Button up Pullover Regular Fit Casual Sweater Dark Blue M</t>
  </si>
  <si>
    <t>MY-BS018-NY-S</t>
  </si>
  <si>
    <t>X001T3B3BN</t>
  </si>
  <si>
    <t>B0785F63VK</t>
  </si>
  <si>
    <t>MOCOTONO Men's Button up Pullover Regular Fit Casual Sweater Dark Blue S</t>
  </si>
  <si>
    <t>MY-BS018-NY-XL</t>
  </si>
  <si>
    <t>X001T3B0KR</t>
  </si>
  <si>
    <t>B077XH2XK2</t>
  </si>
  <si>
    <t>MY-BS018-RD-L</t>
  </si>
  <si>
    <t>X001T3C6HD</t>
  </si>
  <si>
    <t>MY-BS018-RD-M</t>
  </si>
  <si>
    <t>X001T2F85V</t>
  </si>
  <si>
    <t>MY-BS018-RD-S</t>
  </si>
  <si>
    <t>X001T3B3BX</t>
  </si>
  <si>
    <t>MY-BS018-RD-XL</t>
  </si>
  <si>
    <t>X001T3C6H3</t>
  </si>
  <si>
    <t>MY-BS019-BK-L</t>
  </si>
  <si>
    <t>X001T3AUF3</t>
  </si>
  <si>
    <t>MY-BS019-BK-M</t>
  </si>
  <si>
    <t>X001T3AUET</t>
  </si>
  <si>
    <t>MY-BS019-BK-S</t>
  </si>
  <si>
    <t>X001T3ARPB</t>
  </si>
  <si>
    <t>MY-BS019-BK-XL</t>
  </si>
  <si>
    <t>X001T3AYBX</t>
  </si>
  <si>
    <t>B077XF2RP9</t>
  </si>
  <si>
    <t>MOCOTONO Men's Cotton V Neck Sweater Regular Fit Pullover Knitwear Black XL</t>
  </si>
  <si>
    <t>MY-BS019-BL-L</t>
  </si>
  <si>
    <t>X001T3AYMR</t>
  </si>
  <si>
    <t>MY-BS019-BL-M</t>
  </si>
  <si>
    <t>X001T2E99H</t>
  </si>
  <si>
    <t>MY-BS019-BL-S</t>
  </si>
  <si>
    <t>X001T2YSMP</t>
  </si>
  <si>
    <t>B077XGL33J</t>
  </si>
  <si>
    <t>MOCOTONO Men's Cotton V Neck Sweater Regular Fit Pullover Knitwear Blue S</t>
  </si>
  <si>
    <t>MY-BS019-BL-XL</t>
  </si>
  <si>
    <t>X001T2YSLV</t>
  </si>
  <si>
    <t>MY-BS019-DG-L</t>
  </si>
  <si>
    <t>X001T2YSWP</t>
  </si>
  <si>
    <t>MY-BS019-DG-M</t>
  </si>
  <si>
    <t>X001T3B061</t>
  </si>
  <si>
    <t>MY-BS019-DG-S</t>
  </si>
  <si>
    <t>X001T1V90P</t>
  </si>
  <si>
    <t>MY-BS019-DG-XL</t>
  </si>
  <si>
    <t>X001T3AYC7</t>
  </si>
  <si>
    <t>MY-BS019-LG-L</t>
  </si>
  <si>
    <t>X001T3AI9B</t>
  </si>
  <si>
    <t>MY-BS019-LG-M</t>
  </si>
  <si>
    <t>X001T3AP5N</t>
  </si>
  <si>
    <t>MY-BS019-LG-S</t>
  </si>
  <si>
    <t>X001T3ALE3</t>
  </si>
  <si>
    <t>MY-BS019-LG-XL</t>
  </si>
  <si>
    <t>X001T3AUEJ</t>
  </si>
  <si>
    <t>MY-BS019-RD-L</t>
  </si>
  <si>
    <t>X001T3AYMH</t>
  </si>
  <si>
    <t>MY-BS019-RD-M</t>
  </si>
  <si>
    <t>X001T1VHMF</t>
  </si>
  <si>
    <t>MY-BS019-RD-S</t>
  </si>
  <si>
    <t>X001T3ARPV</t>
  </si>
  <si>
    <t>MY-BS019-RD-XL</t>
  </si>
  <si>
    <t>X001T2YSX9</t>
  </si>
  <si>
    <t>MY-BS020-BK-L</t>
  </si>
  <si>
    <t>X001T3B06B</t>
  </si>
  <si>
    <t>B077XFWLF4</t>
  </si>
  <si>
    <t>MOCOTONO Men's V Neck Stripe Pullover Cotton Sweater Black L</t>
  </si>
  <si>
    <t>MY-BS020-BK-M</t>
  </si>
  <si>
    <t>X001T3B1GP</t>
  </si>
  <si>
    <t>B0785DTBTL</t>
  </si>
  <si>
    <t>MOCOTONO Men's V Neck Stripe Pullover Cotton Sweater Black M</t>
  </si>
  <si>
    <t>MY-BS020-BK-S</t>
  </si>
  <si>
    <t>X001T2E997</t>
  </si>
  <si>
    <t>B077XG17CP</t>
  </si>
  <si>
    <t>MOCOTONO Men's V Neck Stripe Pullover Cotton Sweater Black S</t>
  </si>
  <si>
    <t>MY-BS020-BK-XL</t>
  </si>
  <si>
    <t>X001T2YOV5</t>
  </si>
  <si>
    <t>B077XGFT5B</t>
  </si>
  <si>
    <t>MOCOTONO Men's V Neck Stripe Pullover Cotton Sweater Black XL</t>
  </si>
  <si>
    <t>MY-BS020-BL-L</t>
  </si>
  <si>
    <t>X001T3AYCH</t>
  </si>
  <si>
    <t>B077XD9DHW</t>
  </si>
  <si>
    <t>MOCOTONO Men's V Neck Stripe Pullover Cotton Sweater Blue L</t>
  </si>
  <si>
    <t>MY-BS020-BL-M</t>
  </si>
  <si>
    <t>X001T3ALED</t>
  </si>
  <si>
    <t>B077XG2KV7</t>
  </si>
  <si>
    <t>MOCOTONO Men's V Neck Stripe Pullover Cotton Sweater Blue M</t>
  </si>
  <si>
    <t>MY-BS020-BL-S</t>
  </si>
  <si>
    <t>X001T1V90Z</t>
  </si>
  <si>
    <t>B077XD9CYP</t>
  </si>
  <si>
    <t>MOCOTONO Men's V Neck Stripe Pullover Cotton Sweater Blue S</t>
  </si>
  <si>
    <t>MY-BS020-BL-XL</t>
  </si>
  <si>
    <t>X001T3AZQH</t>
  </si>
  <si>
    <t>MY-BS020-DG-L</t>
  </si>
  <si>
    <t>X001T2YSMF</t>
  </si>
  <si>
    <t>B077XG4ZL6</t>
  </si>
  <si>
    <t>MOCOTONO Men's V Neck Stripe Pullover Cotton Sweater Dark Gray L</t>
  </si>
  <si>
    <t>MY-BS020-DG-M</t>
  </si>
  <si>
    <t>X001T2YOUV</t>
  </si>
  <si>
    <t>MY-BS020-DG-S</t>
  </si>
  <si>
    <t>X001T2YSM5</t>
  </si>
  <si>
    <t>B077XD94WC</t>
  </si>
  <si>
    <t>MOCOTONO Men's V Neck Stripe Pullover Cotton Sweater Dark Gray S</t>
  </si>
  <si>
    <t>MY-BS020-DG-XL</t>
  </si>
  <si>
    <t>X001T3ARPL</t>
  </si>
  <si>
    <t>MY-BS020-LG-L</t>
  </si>
  <si>
    <t>X001T2YTER</t>
  </si>
  <si>
    <t>B077XH3599</t>
  </si>
  <si>
    <t>MOCOTONO Men's V Neck Stripe Pullover Cotton Sweater Light Gray L</t>
  </si>
  <si>
    <t>MY-BS020-LG-M</t>
  </si>
  <si>
    <t>X001T3B06V</t>
  </si>
  <si>
    <t>B0785F4TC5</t>
  </si>
  <si>
    <t>MOCOTONO Men's V Neck Stripe Pullover Cotton Sweater Light Gray M</t>
  </si>
  <si>
    <t>MY-BS020-LG-S</t>
  </si>
  <si>
    <t>X001T2YSXJ</t>
  </si>
  <si>
    <t>B077XCWPHC</t>
  </si>
  <si>
    <t>MOCOTONO Men's V Neck Stripe Pullover Cotton Sweater Light Gray S</t>
  </si>
  <si>
    <t>MY-BS020-LG-XL</t>
  </si>
  <si>
    <t>X001T3AYN1</t>
  </si>
  <si>
    <t>B077XDL1TK</t>
  </si>
  <si>
    <t>MOCOTONO Men's V Neck Stripe Pullover Cotton Sweater Light Gray XL</t>
  </si>
  <si>
    <t>MY-BS020-RD-L</t>
  </si>
  <si>
    <t>X001T1VHM5</t>
  </si>
  <si>
    <t>B0785HWNTV</t>
  </si>
  <si>
    <t>MOCOTONO Men's V Neck Stripe Pullover Cotton Sweater Red L</t>
  </si>
  <si>
    <t>MY-BS020-RD-M</t>
  </si>
  <si>
    <t>X001T3AYM7</t>
  </si>
  <si>
    <t>B0785FSNYS</t>
  </si>
  <si>
    <t>MOCOTONO Men's V Neck Stripe Pullover Cotton Sweater Red M</t>
  </si>
  <si>
    <t>MY-BS020-RD-S</t>
  </si>
  <si>
    <t>X001T2YSWZ</t>
  </si>
  <si>
    <t>B077XHPZHR</t>
  </si>
  <si>
    <t>MOCOTONO Men's V Neck Stripe Pullover Cotton Sweater Red S</t>
  </si>
  <si>
    <t>MY-BS020-RD-XL</t>
  </si>
  <si>
    <t>X001T3AI91</t>
  </si>
  <si>
    <t>B077XG58HN</t>
  </si>
  <si>
    <t>MOCOTONO Men's V Neck Stripe Pullover Cotton Sweater Red XL</t>
  </si>
  <si>
    <t>MY-BS026-BK-L</t>
  </si>
  <si>
    <t>X001SV2JLT</t>
  </si>
  <si>
    <t>B078SLKRM3</t>
  </si>
  <si>
    <t>MOCOTONO Mens Long Sleeve Turtle Neck Zip Pullover Sweater Black Large</t>
  </si>
  <si>
    <t>MY-BS026-BK-M</t>
  </si>
  <si>
    <t>X001SVVG3B</t>
  </si>
  <si>
    <t>MY-BS026-BK-XL</t>
  </si>
  <si>
    <t>X001SVZCFT</t>
  </si>
  <si>
    <t>MY-BS026-DG-L</t>
  </si>
  <si>
    <t>X001SVSK0X</t>
  </si>
  <si>
    <t>B078SLKRLZ</t>
  </si>
  <si>
    <t>MOCOTONO Mens Long Sleeve Turtle Neck Zip Pullover Sweater Dark Gray Large</t>
  </si>
  <si>
    <t>MY-BS026-DG-M</t>
  </si>
  <si>
    <t>X001SV2JM3</t>
  </si>
  <si>
    <t>B078SGNKN8</t>
  </si>
  <si>
    <t>MOCOTONO Mens Long Sleeve Turtle Neck Zip Pullover Sweater Dark Gray Medium</t>
  </si>
  <si>
    <t>MY-BS026-DG-S</t>
  </si>
  <si>
    <t>X001SVXW97</t>
  </si>
  <si>
    <t>MY-BS026-DG-XL</t>
  </si>
  <si>
    <t>X001SVYOJJ</t>
  </si>
  <si>
    <t>MY-BS026-GN-S</t>
  </si>
  <si>
    <t>X001SVSK0N</t>
  </si>
  <si>
    <t>MY-BS026-KK-S</t>
  </si>
  <si>
    <t>X001SV2JL9</t>
  </si>
  <si>
    <t>MY-BS026-KK-XL</t>
  </si>
  <si>
    <t>X001SVZCGD</t>
  </si>
  <si>
    <t>MY-BS026-LG-S</t>
  </si>
  <si>
    <t>X001SVXWZ1</t>
  </si>
  <si>
    <t>MY-BS026-NY-L</t>
  </si>
  <si>
    <t>X001SVXW8N</t>
  </si>
  <si>
    <t>B078SGRTXK</t>
  </si>
  <si>
    <t>MOCOTONO Mens Long Sleeve Turtle Neck Zip Pullover Sweater Navy Blue Large</t>
  </si>
  <si>
    <t>MY-BS026-NY-M</t>
  </si>
  <si>
    <t>X001SVZCGN</t>
  </si>
  <si>
    <t>B078SL2X34</t>
  </si>
  <si>
    <t>MOCOTONO Mens Long Sleeve Turtle Neck Zip Pullover Sweater Navy Blue Medium</t>
  </si>
  <si>
    <t>MY-BS026-NY-S</t>
  </si>
  <si>
    <t>X001SVYOJ9</t>
  </si>
  <si>
    <t>MY-BS026-NY-XL</t>
  </si>
  <si>
    <t>X001SVY5Z7</t>
  </si>
  <si>
    <t>MY-BS026-RD-L</t>
  </si>
  <si>
    <t>X001SV7OEB</t>
  </si>
  <si>
    <t>MY-BS026-RD-M</t>
  </si>
  <si>
    <t>X001SV7OEL</t>
  </si>
  <si>
    <t>B078SLZD7B</t>
  </si>
  <si>
    <t>MOCOTONO Mens Long Sleeve Turtle Neck Zip Pullover Sweater Red Medium</t>
  </si>
  <si>
    <t>MY-BS026-RD-S</t>
  </si>
  <si>
    <t>X001SVSK67</t>
  </si>
  <si>
    <t>MY-BS026-RD-XL</t>
  </si>
  <si>
    <t>X001SVY5VL</t>
  </si>
  <si>
    <t>MY-BS027-BK-M</t>
  </si>
  <si>
    <t>X001SV7OF5</t>
  </si>
  <si>
    <t>MY-BS027-BK-S</t>
  </si>
  <si>
    <t>X001SVSK0D</t>
  </si>
  <si>
    <t>MY-BS027-BK-XL</t>
  </si>
  <si>
    <t>X001SVSKC1</t>
  </si>
  <si>
    <t>MY-BS027-BL-L</t>
  </si>
  <si>
    <t>X001SV9A3T</t>
  </si>
  <si>
    <t>MY-BS027-BL-S</t>
  </si>
  <si>
    <t>X001SVSKBR</t>
  </si>
  <si>
    <t>MY-BS027-BL-XL</t>
  </si>
  <si>
    <t>X001SVSKCB</t>
  </si>
  <si>
    <t>MY-BS027-DG-L</t>
  </si>
  <si>
    <t>X001SVZCG3</t>
  </si>
  <si>
    <t>MY-BS027-DG-S</t>
  </si>
  <si>
    <t>X001SV9A3J</t>
  </si>
  <si>
    <t>MY-BS027-GN-L</t>
  </si>
  <si>
    <t>X001SVY5ZH</t>
  </si>
  <si>
    <t>MY-BS027-GN-S</t>
  </si>
  <si>
    <t>X001SVXXHX</t>
  </si>
  <si>
    <t>MY-BS027-KK-L</t>
  </si>
  <si>
    <t>X001SVVG2H</t>
  </si>
  <si>
    <t>MY-BS027-KK-M</t>
  </si>
  <si>
    <t>X001SV94O9</t>
  </si>
  <si>
    <t>MY-BS027-KK-S</t>
  </si>
  <si>
    <t>X001SVYOIP</t>
  </si>
  <si>
    <t>MY-BS027-KK-XL</t>
  </si>
  <si>
    <t>X001SV94NZ</t>
  </si>
  <si>
    <t>MY-BS027-LG-S</t>
  </si>
  <si>
    <t>X001SVSK6H</t>
  </si>
  <si>
    <t>MY-BS027-LG-XL</t>
  </si>
  <si>
    <t>X001SV94OJ</t>
  </si>
  <si>
    <t>MY-BS027-NY-M</t>
  </si>
  <si>
    <t>X001SVYOJT</t>
  </si>
  <si>
    <t>MY-BS027-NY-S</t>
  </si>
  <si>
    <t>X001SVSSC3</t>
  </si>
  <si>
    <t>MY-BS027-WR-L</t>
  </si>
  <si>
    <t>X001UXGHVN</t>
  </si>
  <si>
    <t>B07GBTB9WZ</t>
  </si>
  <si>
    <t>MOCOTONO Men's V-Neck Cotton Sleeveless Sweater Casual Vest Wine Red Large</t>
  </si>
  <si>
    <t>MY-BS027-WR-M</t>
  </si>
  <si>
    <t>X001UXDNFV</t>
  </si>
  <si>
    <t>B07GBT2MCG</t>
  </si>
  <si>
    <t>MOCOTONO Men's V-Neck Cotton Sleeveless Sweater Casual Vest Wine Red Medium</t>
  </si>
  <si>
    <t>MY-BS027-WR-S</t>
  </si>
  <si>
    <t>X001UXDNLZ</t>
  </si>
  <si>
    <t>B07GBSM527</t>
  </si>
  <si>
    <t>MOCOTONO Men's V-Neck Cotton Sleeveless Sweater Casual Vest Wine Red Small</t>
  </si>
  <si>
    <t>MY-BS027-WR-XL</t>
  </si>
  <si>
    <t>X001UXGWA9</t>
  </si>
  <si>
    <t>B07GBTC2YX</t>
  </si>
  <si>
    <t>MOCOTONO Men's V-Neck Cotton Sleeveless Sweater Casual Vest Wine Red X-Large</t>
  </si>
  <si>
    <t>MY-CA-Point021-DG-L</t>
  </si>
  <si>
    <t>X001UL13RX</t>
  </si>
  <si>
    <t>B07G274ZQT</t>
  </si>
  <si>
    <t>MY-CA-Point021-DG-M</t>
  </si>
  <si>
    <t>X001UL3J61</t>
  </si>
  <si>
    <t>B07G2MZGZY</t>
  </si>
  <si>
    <t>MY-CA-Point021-DG-S</t>
  </si>
  <si>
    <t>X001UL8XXP</t>
  </si>
  <si>
    <t>B07G1Y5JQ8</t>
  </si>
  <si>
    <t>MY-CA-Point021-DG-XL</t>
  </si>
  <si>
    <t>X001UL2KM5</t>
  </si>
  <si>
    <t>B07G25JZVK</t>
  </si>
  <si>
    <t>MY-CA-Point021-GR-L</t>
  </si>
  <si>
    <t>X001UL22LT</t>
  </si>
  <si>
    <t>B07G2249GW</t>
  </si>
  <si>
    <t>MY-CA-Point021-GR-M</t>
  </si>
  <si>
    <t>X001UL18AZ</t>
  </si>
  <si>
    <t>B07G2GMBVZ</t>
  </si>
  <si>
    <t>MY-CA-Point021-GR-S</t>
  </si>
  <si>
    <t>X001UL49PB</t>
  </si>
  <si>
    <t>B07G1S1978</t>
  </si>
  <si>
    <t>MY-CA-Point021-GR-XL</t>
  </si>
  <si>
    <t>X001UL3M45</t>
  </si>
  <si>
    <t>B07G25G2Y5</t>
  </si>
  <si>
    <t>MY-CA-Point021-K0-L</t>
  </si>
  <si>
    <t>X001UL17HT</t>
  </si>
  <si>
    <t>B07G245KTP</t>
  </si>
  <si>
    <t>MY-CA-Point021-K0-M</t>
  </si>
  <si>
    <t>X001UL1GTN</t>
  </si>
  <si>
    <t>B07G21WFNG</t>
  </si>
  <si>
    <t>MY-CA-Point021-K0-S</t>
  </si>
  <si>
    <t>X001UL2KMP</t>
  </si>
  <si>
    <t>B07G2CGQTJ</t>
  </si>
  <si>
    <t>MY-CA-Point021-K0-XL</t>
  </si>
  <si>
    <t>X001UL22M3</t>
  </si>
  <si>
    <t>B07G26D5WB</t>
  </si>
  <si>
    <t>MY-CA-Point021-KQ-L</t>
  </si>
  <si>
    <t>X001UL3C6X</t>
  </si>
  <si>
    <t>B07G28ZP3B</t>
  </si>
  <si>
    <t>MY-CA-Point021-KQ-M</t>
  </si>
  <si>
    <t>X001UL13S7</t>
  </si>
  <si>
    <t>B07G24JSWH</t>
  </si>
  <si>
    <t>MY-CA-Point021-KQ-S</t>
  </si>
  <si>
    <t>X001UL8XXF</t>
  </si>
  <si>
    <t>B07G26N65L</t>
  </si>
  <si>
    <t>MY-CA-Point021-KQ-XL</t>
  </si>
  <si>
    <t>X001UL18B9</t>
  </si>
  <si>
    <t>B07G1Z1BC6</t>
  </si>
  <si>
    <t>MY-CA-Point021-LB-L</t>
  </si>
  <si>
    <t>X001UL18AP</t>
  </si>
  <si>
    <t>B07G2QHLF8</t>
  </si>
  <si>
    <t>MY-CA-Point021-LB-M</t>
  </si>
  <si>
    <t>X001UL2KLV</t>
  </si>
  <si>
    <t>B07G29K83C</t>
  </si>
  <si>
    <t>MY-CA-Point021-LB-S</t>
  </si>
  <si>
    <t>X001UL3C63</t>
  </si>
  <si>
    <t>B07G2BTLXH</t>
  </si>
  <si>
    <t>MY-CA-Point021-LB-XL</t>
  </si>
  <si>
    <t>X001UKH0HV</t>
  </si>
  <si>
    <t>B07G2QYX9K</t>
  </si>
  <si>
    <t>MY-CA-Point021-NY-L</t>
  </si>
  <si>
    <t>X001UKH0I5</t>
  </si>
  <si>
    <t>B07G1X7F2M</t>
  </si>
  <si>
    <t>MY-CA-Point021-NY-M</t>
  </si>
  <si>
    <t>X001UL22LJ</t>
  </si>
  <si>
    <t>B07G231RTP</t>
  </si>
  <si>
    <t>MY-CA-Point021-NY-S</t>
  </si>
  <si>
    <t>X001UL49NX</t>
  </si>
  <si>
    <t>B07G21V19P</t>
  </si>
  <si>
    <t>MY-CA-Point021-NY-XL</t>
  </si>
  <si>
    <t>X001UL49NN</t>
  </si>
  <si>
    <t>B07G2L42PD</t>
  </si>
  <si>
    <t>MY-CA-Point021-W0-L</t>
  </si>
  <si>
    <t>X001UL1GTD</t>
  </si>
  <si>
    <t>B07G1Y4YF8</t>
  </si>
  <si>
    <t>MY-CA-Point021-W0-M</t>
  </si>
  <si>
    <t>X001UL38UN</t>
  </si>
  <si>
    <t>B07G24P7HJ</t>
  </si>
  <si>
    <t>MY-CA-Point021-W0-S</t>
  </si>
  <si>
    <t>X001UL17HJ</t>
  </si>
  <si>
    <t>B07G24WXJJ</t>
  </si>
  <si>
    <t>MY-CA-Point021-W0-XL</t>
  </si>
  <si>
    <t>X001UL13RN</t>
  </si>
  <si>
    <t>B07G2B2FHW</t>
  </si>
  <si>
    <t>MY-CA-Point021-WR-L</t>
  </si>
  <si>
    <t>X001UL38UX</t>
  </si>
  <si>
    <t>B07G25V44C</t>
  </si>
  <si>
    <t>MY-CA-Point021-WR-M</t>
  </si>
  <si>
    <t>X001UL3J6L</t>
  </si>
  <si>
    <t>B07G2KXB1J</t>
  </si>
  <si>
    <t>MY-CA-Point021-WR-S</t>
  </si>
  <si>
    <t>X001UL2KMF</t>
  </si>
  <si>
    <t>B07G249846</t>
  </si>
  <si>
    <t>MY-CA-Point021-WR-XL</t>
  </si>
  <si>
    <t>X001UL3LIR</t>
  </si>
  <si>
    <t>B07G2DDT22</t>
  </si>
  <si>
    <t>MY-CA-Round020-DG-L</t>
  </si>
  <si>
    <t>X001UL2PEX</t>
  </si>
  <si>
    <t>B07G21PZ5X</t>
  </si>
  <si>
    <t>MY-CA-Round020-DG-M</t>
  </si>
  <si>
    <t>X001UKZXRP</t>
  </si>
  <si>
    <t>B07G1W9FFX</t>
  </si>
  <si>
    <t>MY-CA-Round020-DG-S</t>
  </si>
  <si>
    <t>X001UL0YTL</t>
  </si>
  <si>
    <t>B07G2QY1KR</t>
  </si>
  <si>
    <t>MY-CA-Round020-DG-XL</t>
  </si>
  <si>
    <t>X001UL18QT</t>
  </si>
  <si>
    <t>B07G23F71C</t>
  </si>
  <si>
    <t>MY-CA-Round020-GR-L</t>
  </si>
  <si>
    <t>X001UL18QJ</t>
  </si>
  <si>
    <t>B07G22XWH9</t>
  </si>
  <si>
    <t>MY-CA-Round020-GR-M</t>
  </si>
  <si>
    <t>X001UL0XSX</t>
  </si>
  <si>
    <t>B07G21F69D</t>
  </si>
  <si>
    <t>MY-CA-Round020-GR-S</t>
  </si>
  <si>
    <t>X001UL0JPP</t>
  </si>
  <si>
    <t>B07G1X7MQD</t>
  </si>
  <si>
    <t>MY-CA-Round020-GR-XL</t>
  </si>
  <si>
    <t>X001UL28NV</t>
  </si>
  <si>
    <t>B07G27Z6ND</t>
  </si>
  <si>
    <t>MY-CA-Round020-K0-L</t>
  </si>
  <si>
    <t>X001UL0JPZ</t>
  </si>
  <si>
    <t>B07G27YTW1</t>
  </si>
  <si>
    <t>MY-CA-Round020-K0-M</t>
  </si>
  <si>
    <t>X001UL2GJR</t>
  </si>
  <si>
    <t>B07G22CDBR</t>
  </si>
  <si>
    <t>MY-CA-Round020-K0-S</t>
  </si>
  <si>
    <t>X001UKZXS9</t>
  </si>
  <si>
    <t>B07G1Z35Q6</t>
  </si>
  <si>
    <t>MY-CA-Round020-K0-XL</t>
  </si>
  <si>
    <t>X001UL2GIX</t>
  </si>
  <si>
    <t>B07G1VGYP8</t>
  </si>
  <si>
    <t>MY-CA-Round020-KQ-L</t>
  </si>
  <si>
    <t>X001UL1F6R</t>
  </si>
  <si>
    <t>B07G2PNG6Z</t>
  </si>
  <si>
    <t>MY-CA-Round020-KQ-M</t>
  </si>
  <si>
    <t>X001UL0I5V</t>
  </si>
  <si>
    <t>B07G1YQ7JC</t>
  </si>
  <si>
    <t>MY-CA-Round020-KQ-S</t>
  </si>
  <si>
    <t>X001UL28NB</t>
  </si>
  <si>
    <t>B07G1YQ7J7</t>
  </si>
  <si>
    <t>MY-CA-Round020-KQ-XL</t>
  </si>
  <si>
    <t>X001UL06YJ</t>
  </si>
  <si>
    <t>B07G263QQ2</t>
  </si>
  <si>
    <t>MY-CA-Round020-LB-L</t>
  </si>
  <si>
    <t>X001UKFOP1</t>
  </si>
  <si>
    <t>B07G2QDF7D</t>
  </si>
  <si>
    <t>MY-CA-Round020-LB-M</t>
  </si>
  <si>
    <t>X001UL2RPF</t>
  </si>
  <si>
    <t>B07G28XZB7</t>
  </si>
  <si>
    <t>MY-CA-Round020-LB-S</t>
  </si>
  <si>
    <t>X001UL2RPZ</t>
  </si>
  <si>
    <t>B07G2B9XQN</t>
  </si>
  <si>
    <t>MY-CA-Round020-LB-XL</t>
  </si>
  <si>
    <t>X001UL2GJ7</t>
  </si>
  <si>
    <t>B07G26GWZQ</t>
  </si>
  <si>
    <t>MY-CA-Round020-NY-L</t>
  </si>
  <si>
    <t>X001UL28NL</t>
  </si>
  <si>
    <t>B07G1Z3KG6</t>
  </si>
  <si>
    <t>MY-CA-Round020-NY-M</t>
  </si>
  <si>
    <t>X001UL0PBX</t>
  </si>
  <si>
    <t>B07G28SB74</t>
  </si>
  <si>
    <t>MY-CA-Round020-NY-S</t>
  </si>
  <si>
    <t>X001UL0JP5</t>
  </si>
  <si>
    <t>B07G25L2WF</t>
  </si>
  <si>
    <t>MY-CA-Round020-NY-XL</t>
  </si>
  <si>
    <t>X001UL0ZI1</t>
  </si>
  <si>
    <t>B07G1TV3ZC</t>
  </si>
  <si>
    <t>MY-CA-Round020-W0-L</t>
  </si>
  <si>
    <t>X001UL2RPP</t>
  </si>
  <si>
    <t>B07G2RC6Y6</t>
  </si>
  <si>
    <t>MY-CA-Round020-W0-M</t>
  </si>
  <si>
    <t>X001UL0XT7</t>
  </si>
  <si>
    <t>B07G2FC921</t>
  </si>
  <si>
    <t>MY-CA-Round020-W0-S</t>
  </si>
  <si>
    <t>X001UL0I65</t>
  </si>
  <si>
    <t>B07G22WQFR</t>
  </si>
  <si>
    <t>MY-CA-Round020-W0-XL</t>
  </si>
  <si>
    <t>X001UL2GJH</t>
  </si>
  <si>
    <t>B07G264V17</t>
  </si>
  <si>
    <t>MY-CA-Round020-WR-L</t>
  </si>
  <si>
    <t>X001UL0YTB</t>
  </si>
  <si>
    <t>B07G22HBVR</t>
  </si>
  <si>
    <t>MY-CA-Round020-WR-M</t>
  </si>
  <si>
    <t>X001UKZXRZ</t>
  </si>
  <si>
    <t>B07G236HGH</t>
  </si>
  <si>
    <t>MY-CA-Round020-WR-S</t>
  </si>
  <si>
    <t>X001UL1YK9</t>
  </si>
  <si>
    <t>B07G1RXRWP</t>
  </si>
  <si>
    <t>MY-CA-Round020-WR-XL</t>
  </si>
  <si>
    <t>X001UL0JPF</t>
  </si>
  <si>
    <t>B07G285HZ1</t>
  </si>
  <si>
    <t>MY-CA026-BK-L</t>
  </si>
  <si>
    <t>X001UL6SE1</t>
  </si>
  <si>
    <t>B07G24MWFQ</t>
  </si>
  <si>
    <t>MY-CA026-BK-M</t>
  </si>
  <si>
    <t>X001UL5AG3</t>
  </si>
  <si>
    <t>B07G25HPQS</t>
  </si>
  <si>
    <t>MY-CA026-BK-S</t>
  </si>
  <si>
    <t>X001UL77P5</t>
  </si>
  <si>
    <t>B07G264327</t>
  </si>
  <si>
    <t>MY-CA026-BK-XL</t>
  </si>
  <si>
    <t>X001UL5B03</t>
  </si>
  <si>
    <t>B07G2DSHHZ</t>
  </si>
  <si>
    <t>MY-CA026-DG-L</t>
  </si>
  <si>
    <t>X001UL6QBL</t>
  </si>
  <si>
    <t>B07G23KG7L</t>
  </si>
  <si>
    <t>MY-CA026-DG-M</t>
  </si>
  <si>
    <t>X001UL6QC5</t>
  </si>
  <si>
    <t>B07G2SQJNX</t>
  </si>
  <si>
    <t>MY-CA026-DG-S</t>
  </si>
  <si>
    <t>X001UL8R77</t>
  </si>
  <si>
    <t>B07G26GLNJ</t>
  </si>
  <si>
    <t>MY-CA026-DG-XL</t>
  </si>
  <si>
    <t>X001UL641D</t>
  </si>
  <si>
    <t>B07G21Q3YV</t>
  </si>
  <si>
    <t>MY-CA026-GN-L</t>
  </si>
  <si>
    <t>X001UL77PF</t>
  </si>
  <si>
    <t>B07G22M3CM</t>
  </si>
  <si>
    <t>MY-CA026-GN-M</t>
  </si>
  <si>
    <t>X001UL6ZRL</t>
  </si>
  <si>
    <t>B07G22XY7G</t>
  </si>
  <si>
    <t>MY-CA026-GN-S</t>
  </si>
  <si>
    <t>X001UL7SAT</t>
  </si>
  <si>
    <t>B07G2F9K6M</t>
  </si>
  <si>
    <t>MY-CA026-GN-XL</t>
  </si>
  <si>
    <t>X001UL8R6X</t>
  </si>
  <si>
    <t>B07G25ZTG8</t>
  </si>
  <si>
    <t>MY-CA026-KK-L</t>
  </si>
  <si>
    <t>X001UL6SEB</t>
  </si>
  <si>
    <t>B07G2G25HK</t>
  </si>
  <si>
    <t>MY-CA026-KK-M</t>
  </si>
  <si>
    <t>X001UKMZV7</t>
  </si>
  <si>
    <t>B07G27H7BS</t>
  </si>
  <si>
    <t>MY-CA026-KK-S</t>
  </si>
  <si>
    <t>X001UKMZVH</t>
  </si>
  <si>
    <t>B07G2RDYWY</t>
  </si>
  <si>
    <t>MY-CA026-KK-XL</t>
  </si>
  <si>
    <t>X001ULAX6F</t>
  </si>
  <si>
    <t>B07G2KXDJW</t>
  </si>
  <si>
    <t>MY-CA026-LG-L</t>
  </si>
  <si>
    <t>X001UL74PX</t>
  </si>
  <si>
    <t>B07G22YVQ2</t>
  </si>
  <si>
    <t>MY-CA026-LG-M</t>
  </si>
  <si>
    <t>X001UL641N</t>
  </si>
  <si>
    <t>B07G29TRG8</t>
  </si>
  <si>
    <t>MY-CA026-LG-S</t>
  </si>
  <si>
    <t>X001UL6QBV</t>
  </si>
  <si>
    <t>B07G2DJGPT</t>
  </si>
  <si>
    <t>MY-CA026-LG-XL</t>
  </si>
  <si>
    <t>X001UL531P</t>
  </si>
  <si>
    <t>B07G1Y7ZVT</t>
  </si>
  <si>
    <t>MY-CA026-NY-L</t>
  </si>
  <si>
    <t>X001ULAX5B</t>
  </si>
  <si>
    <t>B07G2865X3</t>
  </si>
  <si>
    <t>MY-CA026-NY-M</t>
  </si>
  <si>
    <t>X001UL77OV</t>
  </si>
  <si>
    <t>B07G26Y6FL</t>
  </si>
  <si>
    <t>MY-CA026-NY-S</t>
  </si>
  <si>
    <t>X001ULAX5L</t>
  </si>
  <si>
    <t>B07G242LT1</t>
  </si>
  <si>
    <t>MY-CA026-NY-XL</t>
  </si>
  <si>
    <t>X001UL6SDR</t>
  </si>
  <si>
    <t>B07G2CYNKS</t>
  </si>
  <si>
    <t>MY-CA026-RD-L</t>
  </si>
  <si>
    <t>X001UL74XP</t>
  </si>
  <si>
    <t>B07G2NTWNJ</t>
  </si>
  <si>
    <t>MY-CA026-RD-M</t>
  </si>
  <si>
    <t>X001UL6QCF</t>
  </si>
  <si>
    <t>B07G263LC3</t>
  </si>
  <si>
    <t>MY-CA026-RD-S</t>
  </si>
  <si>
    <t>X001UL74Q7</t>
  </si>
  <si>
    <t>B07G2N1HRL</t>
  </si>
  <si>
    <t>MY-CA026-RD-XL</t>
  </si>
  <si>
    <t>X001ULAX5V</t>
  </si>
  <si>
    <t>B07G1V8KPH</t>
  </si>
  <si>
    <t>MY-LHY1217-GR-L</t>
  </si>
  <si>
    <t>X001V05UX1</t>
  </si>
  <si>
    <t>B078MRF99V</t>
  </si>
  <si>
    <t>MOCOTONO Women's Long Sleeve Crewneck Pullover Sweater Blouses Elegant Tops Grey Large</t>
  </si>
  <si>
    <t>MY-LHY1217-GR-M</t>
  </si>
  <si>
    <t>X001V0BOEZ</t>
  </si>
  <si>
    <t>B078MG4VLQ</t>
  </si>
  <si>
    <t>MOCOTONO Women's Long Sleeve Crewneck Pullover Sweater Blouses Elegant Tops Grey Medium</t>
  </si>
  <si>
    <t>MY-LHY1217-GR-S</t>
  </si>
  <si>
    <t>X001V0AR0H</t>
  </si>
  <si>
    <t>B078MMFTHW</t>
  </si>
  <si>
    <t>MOCOTONO Women's Long Sleeve Crewneck Pullover Sweater Blouses Elegant Tops Grey Small</t>
  </si>
  <si>
    <t>MY-LHY1217-GR-XL</t>
  </si>
  <si>
    <t>X001V0CIJ5</t>
  </si>
  <si>
    <t>B078MLVDZV</t>
  </si>
  <si>
    <t>MOCOTONO Women's Long Sleeve Crewneck Pullover Sweater Blouses Elegant Tops Grey X-Large</t>
  </si>
  <si>
    <t>MY-LHY1217-KO-L</t>
  </si>
  <si>
    <t>X001V0AR4X</t>
  </si>
  <si>
    <t>B078MJZZZN</t>
  </si>
  <si>
    <t>MOCOTONO Women's Long Sleeve Crewneck Pullover Sweater Blouses Elegant Tops Black Large</t>
  </si>
  <si>
    <t>MY-LHY1217-KO-M</t>
  </si>
  <si>
    <t>X001V0BTGD</t>
  </si>
  <si>
    <t>B078MP2N3B</t>
  </si>
  <si>
    <t>MOCOTONO Women's Long Sleeve Crewneck Pullover Sweater Blouses Elegant Tops Black Medium</t>
  </si>
  <si>
    <t>MY-LHY1217-KO-S</t>
  </si>
  <si>
    <t>X001V09SDT</t>
  </si>
  <si>
    <t>B078MKNJN1</t>
  </si>
  <si>
    <t>MOCOTONO Women's Long Sleeve Crewneck Pullover Sweater Blouses Elegant Tops Black Small</t>
  </si>
  <si>
    <t>MY-LHY1217-KO-XL</t>
  </si>
  <si>
    <t>X001V09SDJ</t>
  </si>
  <si>
    <t>B07GDFNN9B</t>
  </si>
  <si>
    <t>MOCOTONO Women's Long Sleeve Crewneck Pullover Sweater Blouses Elegant Tops Black X-Large</t>
  </si>
  <si>
    <t>MY-LHY1217-RO-L</t>
  </si>
  <si>
    <t>X001V06U17</t>
  </si>
  <si>
    <t>B078MK4N19</t>
  </si>
  <si>
    <t>MOCOTONO Women's Long Sleeve Crewneck Pullover Sweater Blouses Elegant Tops Red Large</t>
  </si>
  <si>
    <t>MY-LHY1217-RO-M</t>
  </si>
  <si>
    <t>X001V0BOEP</t>
  </si>
  <si>
    <t>B078MLCPHX</t>
  </si>
  <si>
    <t>MOCOTONO Women's Long Sleeve Crewneck Pullover Sweater Blouses Elegant Tops Red Medium</t>
  </si>
  <si>
    <t>MY-LHY1217-RO-S</t>
  </si>
  <si>
    <t>X001V0AQOT</t>
  </si>
  <si>
    <t>B078MPPY1Z</t>
  </si>
  <si>
    <t>MOCOTONO Women's Long Sleeve Crewneck Pullover Sweater Blouses Elegant Tops Red Small</t>
  </si>
  <si>
    <t>MY-LHY1217-RO-XL</t>
  </si>
  <si>
    <t>X001V0ARC5</t>
  </si>
  <si>
    <t>B078MLS36P</t>
  </si>
  <si>
    <t>MOCOTONO Women's Long Sleeve Crewneck Pullover Sweater Blouses Elegant Tops Red X-Large</t>
  </si>
  <si>
    <t>MY-LHY1217-YO-L</t>
  </si>
  <si>
    <t>X001V06U0X</t>
  </si>
  <si>
    <t>B078MLPP7Z</t>
  </si>
  <si>
    <t>MOCOTONO Women's Long Sleeve Crewneck Pullover Sweater Blouses Elegant Tops Yellow Large</t>
  </si>
  <si>
    <t>MY-LHY1217-YO-M</t>
  </si>
  <si>
    <t>X001V09SD9</t>
  </si>
  <si>
    <t>B078MQZ7XF</t>
  </si>
  <si>
    <t>MOCOTONO Women's Long Sleeve Crewneck Pullover Sweater Blouses Elegant Tops Yellow Medium</t>
  </si>
  <si>
    <t>MY-LHY1217-YO-S</t>
  </si>
  <si>
    <t>X001V0CIIV</t>
  </si>
  <si>
    <t>B078MLVF8D</t>
  </si>
  <si>
    <t>MOCOTONO Women's Long Sleeve Crewneck Pullover Sweater Blouses Elegant Tops Yellow Small</t>
  </si>
  <si>
    <t>MY-LHY1217-YO-XL</t>
  </si>
  <si>
    <t>X001V0AL7B</t>
  </si>
  <si>
    <t>B078MLVFZH</t>
  </si>
  <si>
    <t>MOCOTONO Women's Long Sleeve Crewneck Pullover Sweater Blouses Elegant Tops Yellow X-Large</t>
  </si>
  <si>
    <t>MY-LYHigh303-GR-M</t>
  </si>
  <si>
    <t>B073XJKBF6</t>
  </si>
  <si>
    <t>MiCotton Men's Casual Regular Fit Pullover High-Neck Sweater Cotton Knitwear Gray Medium</t>
  </si>
  <si>
    <t>MY-LYHigh303-GR-XL</t>
  </si>
  <si>
    <t>B073XKDN4J</t>
  </si>
  <si>
    <t>MiCotton Men's Casual Regular Fit Pullover High-Neck Sweater Cotton Knitwear Gray X-Large</t>
  </si>
  <si>
    <t>MY-LYHigh303-K0-S1</t>
  </si>
  <si>
    <t>B073ZCP21C</t>
  </si>
  <si>
    <t>MY-LYHigh303-W0-L</t>
  </si>
  <si>
    <t>B073XJVWGY</t>
  </si>
  <si>
    <t>MY-LYHigh303-W0-S</t>
  </si>
  <si>
    <t>B073XK88LW</t>
  </si>
  <si>
    <t>MiCotton Men's Casual Regular Fit Pullover High-Neck Sweater Cotton Knitwear White Small</t>
  </si>
  <si>
    <t>MY-LYPoint021-DG-L</t>
  </si>
  <si>
    <t>B073XL4P5D</t>
  </si>
  <si>
    <t>MOCOTONO Men's V-Neck Long Sleeve Pullover Casual Sweater Dark Green Large</t>
  </si>
  <si>
    <t>MY-LYPoint021-GR-L</t>
  </si>
  <si>
    <t>B073XL4P7Q</t>
  </si>
  <si>
    <t>MOCOTONO Men's V-Neck Long Sleeve Pullover Casual Sweater Light Gray Large</t>
  </si>
  <si>
    <t>MY-LYPoint021-GR-M</t>
  </si>
  <si>
    <t>MY-LYPoint021-GR-S</t>
  </si>
  <si>
    <t>B073XK5LBM</t>
  </si>
  <si>
    <t>MOCOTONO Men's V-Neck Long Sleeve Pullover Casual Sweater Light Gray Small</t>
  </si>
  <si>
    <t>MY-LYPoint021-K0-M</t>
  </si>
  <si>
    <t>MY-LYPoint021-LB-L</t>
  </si>
  <si>
    <t>B073XK5M3Y</t>
  </si>
  <si>
    <t>Mocotono Men's V-Neck Long Sleeve Regular Fit Pullover Cotton Casual Sweater Light Blue Large</t>
  </si>
  <si>
    <t>MY-LYPoint021-LB-S</t>
  </si>
  <si>
    <t>B073XJK1SP</t>
  </si>
  <si>
    <t>MOCOTONO Men's V-Neck Long Sleeve Pullover Casual Sweater Light Blue Small</t>
  </si>
  <si>
    <t>MY-LYPoint021-NY-L</t>
  </si>
  <si>
    <t>MY-LYPoint021-NY-M</t>
  </si>
  <si>
    <t>MY-LYPoint021-NY-S</t>
  </si>
  <si>
    <t>MY-LYPoint021-OR-L</t>
  </si>
  <si>
    <t>B073XK88MS</t>
  </si>
  <si>
    <t>MY-LYPoint021-OR-M</t>
  </si>
  <si>
    <t>B073XK9KDM</t>
  </si>
  <si>
    <t>MY-LYPoint021-OR-S</t>
  </si>
  <si>
    <t>B073XKHM55</t>
  </si>
  <si>
    <t>MOCOTONO Men's V-Neck Long Sleeve Pullover Casual Sweater Orange Small</t>
  </si>
  <si>
    <t>MY-LYPoint021-W0-M</t>
  </si>
  <si>
    <t>B073XJLB1W</t>
  </si>
  <si>
    <t>MOCOTONO Men's V-Neck Long Sleeve Pullover Casual Sweater White Medium</t>
  </si>
  <si>
    <t>MY-LYPoint021-W0-S</t>
  </si>
  <si>
    <t>B073XK7Y6B</t>
  </si>
  <si>
    <t>MOCOTONO Men's V-Neck Long Sleeve Pullover Casual Sweater White Small</t>
  </si>
  <si>
    <t>MY-LYPoint021-WR-S</t>
  </si>
  <si>
    <t>B073XKV78C</t>
  </si>
  <si>
    <t>MOCOTONO Men's V-Neck Long Sleeve Pullover Casual Sweater Wine Red Small</t>
  </si>
  <si>
    <t>MY-LYRound020-GR-M</t>
  </si>
  <si>
    <t>MY-LYRound020-GR-S</t>
  </si>
  <si>
    <t>MY-LYRound020-K0-S</t>
  </si>
  <si>
    <t>MY-LYRound020-NY-M</t>
  </si>
  <si>
    <t>MY-LYRound020-OR-S</t>
  </si>
  <si>
    <t>B073XKLNR1</t>
  </si>
  <si>
    <t>MOCOTONO Men's Long Sleeve Crew Neck Pullover Knit Sweater Orange Small</t>
  </si>
  <si>
    <t>MY-NEWRound020-OR-L</t>
  </si>
  <si>
    <t>X001UU5ISJ</t>
  </si>
  <si>
    <t>B07G9BQWBM</t>
  </si>
  <si>
    <t>MY-NEWRound020-OR-M</t>
  </si>
  <si>
    <t>X001UULVZX</t>
  </si>
  <si>
    <t>B07G9B3QRB</t>
  </si>
  <si>
    <t>MY-NEWRound020-OR-S</t>
  </si>
  <si>
    <t>X001UULP45</t>
  </si>
  <si>
    <t>B07G9BPKJG</t>
  </si>
  <si>
    <t>MY-NEWRound020-OR-XL</t>
  </si>
  <si>
    <t>X001UU5PLT</t>
  </si>
  <si>
    <t>B07G9B6BZ6</t>
  </si>
  <si>
    <t>MY-SB-DG-M</t>
  </si>
  <si>
    <t>MY-SB011-BK-L</t>
  </si>
  <si>
    <t>MY-SB011-BK-M</t>
  </si>
  <si>
    <t>MY-SB011-BK-S</t>
  </si>
  <si>
    <t>MY-SB011-BK-XL</t>
  </si>
  <si>
    <t>MY-SB011-BL-L</t>
  </si>
  <si>
    <t>MY-SB011-CF-M</t>
  </si>
  <si>
    <t>MY-SB011-DG-M</t>
  </si>
  <si>
    <t>MY-SB011-DG-S</t>
  </si>
  <si>
    <t>MY-SB011-LG-M</t>
  </si>
  <si>
    <t>MY-SB011-LG-XL</t>
  </si>
  <si>
    <t>MY-SB011-NY-L</t>
  </si>
  <si>
    <t>MY-SB011-NY-M</t>
  </si>
  <si>
    <t>MY-SB011-PP-XL</t>
  </si>
  <si>
    <t>MY-SB011-RD-XL</t>
  </si>
  <si>
    <t>MY-SB011-WT-L</t>
  </si>
  <si>
    <t>MY-SB011-WT-S</t>
  </si>
  <si>
    <t>MY-SB011JR-BL-L</t>
  </si>
  <si>
    <t>MY-SB011JR-BL-M</t>
  </si>
  <si>
    <t>MY-SB011JR-BL-S</t>
  </si>
  <si>
    <t>MY-SB011JR-BL-XL</t>
  </si>
  <si>
    <t>MY-SB011JR-CF-L</t>
  </si>
  <si>
    <t>MY-SB011JR-CF-S</t>
  </si>
  <si>
    <t>MY-SB011JR-CF-XL</t>
  </si>
  <si>
    <t>MY-SB011JR-DG-L</t>
  </si>
  <si>
    <t>MY-SB011JR-DG-M</t>
  </si>
  <si>
    <t>MY-SB011JR-DG-S</t>
  </si>
  <si>
    <t>MY-SB011JR-LG-L</t>
  </si>
  <si>
    <t>MY-SB011JR-LG-S</t>
  </si>
  <si>
    <t>MY-SB011JR-LG-XL</t>
  </si>
  <si>
    <t>MY-SB011JR-NY-L</t>
  </si>
  <si>
    <t>MY-SB011JR-NY-M</t>
  </si>
  <si>
    <t>MY-SB011JR-NY-XL</t>
  </si>
  <si>
    <t>MY-SB011JR-RD-L</t>
  </si>
  <si>
    <t>MY-SB011JR-RD-S</t>
  </si>
  <si>
    <t>MY-SB011JR-RD-XL</t>
  </si>
  <si>
    <t>MY-SB013-AG-XS</t>
  </si>
  <si>
    <t>B0761KJDW7</t>
  </si>
  <si>
    <t>MY-SB013-KK-S</t>
  </si>
  <si>
    <t>B0761K51HR</t>
  </si>
  <si>
    <t>MY-SB015-LG-M</t>
  </si>
  <si>
    <t>B076J7PRNW</t>
  </si>
  <si>
    <t>MOCOTONO Men's Crew Neck Long Sleeve Pullover Knit Sweater Light Green Medium</t>
  </si>
  <si>
    <t>MY-SB015-LG-S</t>
  </si>
  <si>
    <t>B076J4WVXC</t>
  </si>
  <si>
    <t>MOCOTONO Men's Crew Neck Long Sleeve Pullover Knit Sweater Light Green Small</t>
  </si>
  <si>
    <t>MY-SB015-PP-M</t>
  </si>
  <si>
    <t>B076J8LC7Q</t>
  </si>
  <si>
    <t>Men's Crew Neck Long Sleeve Pullover Knit Sweater Purple Medium</t>
  </si>
  <si>
    <t>MY-SB015-PP-S</t>
  </si>
  <si>
    <t>B076J7HXXN</t>
  </si>
  <si>
    <t>Men's Crew Neck Long Sleeve Pullover Knit Sweater Purple Small</t>
  </si>
  <si>
    <t>MY-SB015-WR-L</t>
  </si>
  <si>
    <t>B076J68QZT</t>
  </si>
  <si>
    <t>MOCOTONO Men's Crew Neck Long Sleeve Pullover Knit Sweater Maroon (Wine Red) Large</t>
  </si>
  <si>
    <t>MY-SB015-WR-S</t>
  </si>
  <si>
    <t>B076J6991H</t>
  </si>
  <si>
    <t>Men's Crew Neck Long Sleeve Pullover Knit Sweater Maroon (Wine Red) Small</t>
  </si>
  <si>
    <t>MY-SB015-WR-XL</t>
  </si>
  <si>
    <t>B076J8YS3F</t>
  </si>
  <si>
    <t>MOCOTONO Men's Crew Neck Long Sleeve Pullover Knit Sweater Maroon (Wine Red) X-Large</t>
  </si>
  <si>
    <t>MY-SB018-NY-M</t>
  </si>
  <si>
    <t>MY-SB019-BK-XL</t>
  </si>
  <si>
    <t>MY-SB020-BK-L</t>
  </si>
  <si>
    <t>MY-SB020-BK-M</t>
  </si>
  <si>
    <t>MY-SB020-BK-S</t>
  </si>
  <si>
    <t>MY-SB020-DG-L</t>
  </si>
  <si>
    <t>MY-SB021-BK-S</t>
  </si>
  <si>
    <t>B07C4Y6YRQ</t>
  </si>
  <si>
    <t>MOCOTONO Men's V-Neck Long Sleeve Pullover Casual Sweater Black Small</t>
  </si>
  <si>
    <t>MY-SB026-BK-L</t>
  </si>
  <si>
    <t>MY-SB026-DG-L</t>
  </si>
  <si>
    <t>MY-SB026-DG-M</t>
  </si>
  <si>
    <t>MY-SB026-GN-L</t>
  </si>
  <si>
    <t>MY-SB026-NY-L</t>
  </si>
  <si>
    <t>MY-SB026-NY-M</t>
  </si>
  <si>
    <t>MY-SB026-RD-M</t>
  </si>
  <si>
    <t>MY-SB027-DG-M</t>
  </si>
  <si>
    <t>MY-SB027-NY-L</t>
  </si>
  <si>
    <t>MY-SBPoint021-BK-L</t>
  </si>
  <si>
    <t>X001SW0627</t>
  </si>
  <si>
    <t>MY-SBPoint021-BK-S</t>
  </si>
  <si>
    <t>X001SV49PX</t>
  </si>
  <si>
    <t>MY-SBPoint021-BK-XL</t>
  </si>
  <si>
    <t>X001SW2MF1</t>
  </si>
  <si>
    <t>MY-SBPoint021-BL-L</t>
  </si>
  <si>
    <t>X001SW2ME7</t>
  </si>
  <si>
    <t>MY-SBPoint021-BL-S</t>
  </si>
  <si>
    <t>X001SVULX7</t>
  </si>
  <si>
    <t>MY-SBPoint021-BL-XL</t>
  </si>
  <si>
    <t>X001SW06QX</t>
  </si>
  <si>
    <t>MY-SBPoint021-DG-L</t>
  </si>
  <si>
    <t>X001SVULWX</t>
  </si>
  <si>
    <t>MY-SBPoint021-DG-S</t>
  </si>
  <si>
    <t>X001SV49PD</t>
  </si>
  <si>
    <t>MY-SBPoint021-DG-XL</t>
  </si>
  <si>
    <t>X001SV95I9</t>
  </si>
  <si>
    <t>MY-SBPoint021-GN-L</t>
  </si>
  <si>
    <t>X001SW06H7</t>
  </si>
  <si>
    <t>MY-SBPoint021-GN-M</t>
  </si>
  <si>
    <t>X001SW2MFL</t>
  </si>
  <si>
    <t>MY-SBPoint021-GN-S</t>
  </si>
  <si>
    <t>X001SVZQ73</t>
  </si>
  <si>
    <t>MY-SBPoint021-GR-L</t>
  </si>
  <si>
    <t>X001SVULPF</t>
  </si>
  <si>
    <t>MY-SBPoint021-GR-S</t>
  </si>
  <si>
    <t>X001SW2MEH</t>
  </si>
  <si>
    <t>MY-SBPoint021-GR-XL</t>
  </si>
  <si>
    <t>X001SV3WFV</t>
  </si>
  <si>
    <t>MY-SBPoint021-KK-L</t>
  </si>
  <si>
    <t>X001SVUG5Z</t>
  </si>
  <si>
    <t>MY-SBPoint021-KK-S</t>
  </si>
  <si>
    <t>X001SW06GX</t>
  </si>
  <si>
    <t>MY-SBPoint021-KK-XL</t>
  </si>
  <si>
    <t>X001SVULEL</t>
  </si>
  <si>
    <t>MY-SBPoint021-LB-S</t>
  </si>
  <si>
    <t>X001SVBFDH</t>
  </si>
  <si>
    <t>MY-SBPoint021-LB-XL</t>
  </si>
  <si>
    <t>X001SVULXR</t>
  </si>
  <si>
    <t>MY-SBPoint021-NY-XL</t>
  </si>
  <si>
    <t>X001SW2MFV</t>
  </si>
  <si>
    <t>MY-SBPoint021-OR-L</t>
  </si>
  <si>
    <t>X001SV93P9</t>
  </si>
  <si>
    <t>MOCOTONO Men's V-Neck Long Sleeve Pullover Casual Sweater Orange Large</t>
  </si>
  <si>
    <t>MY-SBPoint021-OR-M</t>
  </si>
  <si>
    <t>X001SV9VPB</t>
  </si>
  <si>
    <t>MOCOTONO Men's V-Neck Long Sleeve Pullover Casual Sweater Orange Medium</t>
  </si>
  <si>
    <t>MY-SBPoint021-OR-S</t>
  </si>
  <si>
    <t>X001SW06QN</t>
  </si>
  <si>
    <t>MY-SBPoint021-OR-XL</t>
  </si>
  <si>
    <t>X001SW2MFB</t>
  </si>
  <si>
    <t>B073XKSK6M</t>
  </si>
  <si>
    <t>MOCOTONO Men's V-Neck Long Sleeve Pullover Casual Sweater Orange X-Large</t>
  </si>
  <si>
    <t>MY-SBPoint021-WR-L</t>
  </si>
  <si>
    <t>X001SVULPP</t>
  </si>
  <si>
    <t>MY-SBPoint021-WR-M</t>
  </si>
  <si>
    <t>X001SW2MER</t>
  </si>
  <si>
    <t>MY-SBPoint021-WR-S</t>
  </si>
  <si>
    <t>X001SVULQT</t>
  </si>
  <si>
    <t>MY-SBPoint021-WR-XL</t>
  </si>
  <si>
    <t>X001SVULQ9</t>
  </si>
  <si>
    <t>MY-SBPoint021-WT-L</t>
  </si>
  <si>
    <t>X001SW2MDX</t>
  </si>
  <si>
    <t>MY-SBPoint021-WT-M</t>
  </si>
  <si>
    <t>X001SVULF5</t>
  </si>
  <si>
    <t>MY-SBPoint021-WT-S</t>
  </si>
  <si>
    <t>X001SVBBLX</t>
  </si>
  <si>
    <t>MY-SBPoint021-WT-XL</t>
  </si>
  <si>
    <t>X001SVULFP</t>
  </si>
  <si>
    <t>MY-SBRound020-BK-XL</t>
  </si>
  <si>
    <t>X001SV9VO7</t>
  </si>
  <si>
    <t>MY-SBRound020-BL-L</t>
  </si>
  <si>
    <t>X001SVULSR</t>
  </si>
  <si>
    <t>MY-SBRound020-BL-M</t>
  </si>
  <si>
    <t>X001SV3WFB</t>
  </si>
  <si>
    <t>MY-SBRound020-BL-XL</t>
  </si>
  <si>
    <t>X001SVZQ7D</t>
  </si>
  <si>
    <t>MY-SBRound020-DG-L</t>
  </si>
  <si>
    <t>X001SVUG73</t>
  </si>
  <si>
    <t>MY-SBRound020-DG-M</t>
  </si>
  <si>
    <t>X001SVUG6J</t>
  </si>
  <si>
    <t>MY-SBRound020-DG-S</t>
  </si>
  <si>
    <t>X001SW062H</t>
  </si>
  <si>
    <t>MY-SBRound020-DG-XL</t>
  </si>
  <si>
    <t>X001SV45S9</t>
  </si>
  <si>
    <t>MY-SBRound020-GN-L</t>
  </si>
  <si>
    <t>X001SVBBM7</t>
  </si>
  <si>
    <t>MY-SBRound020-GN-M</t>
  </si>
  <si>
    <t>X001SV3WFL</t>
  </si>
  <si>
    <t>MY-SBRound020-GN-S</t>
  </si>
  <si>
    <t>X001SV3WG5</t>
  </si>
  <si>
    <t>MY-SBRound020-GN-XL</t>
  </si>
  <si>
    <t>X001SW061X</t>
  </si>
  <si>
    <t>MY-SBRound020-GR-L</t>
  </si>
  <si>
    <t>X001SVULY1</t>
  </si>
  <si>
    <t>MY-SBRound020-GR-XL</t>
  </si>
  <si>
    <t>X001SV3MWJ</t>
  </si>
  <si>
    <t>MY-SBRound020-KK-L</t>
  </si>
  <si>
    <t>X001SVUGLJ</t>
  </si>
  <si>
    <t>MY-SBRound020-KK-XL</t>
  </si>
  <si>
    <t>X001SV93OP</t>
  </si>
  <si>
    <t>MY-SBRound020-LB-L</t>
  </si>
  <si>
    <t>X001SVBBLN</t>
  </si>
  <si>
    <t>MY-SBRound020-LB-M</t>
  </si>
  <si>
    <t>X001SV9VNX</t>
  </si>
  <si>
    <t>MY-SBRound020-LB-S</t>
  </si>
  <si>
    <t>X001SVULYB</t>
  </si>
  <si>
    <t>MY-SBRound020-LB-XL</t>
  </si>
  <si>
    <t>X001SVZQ6T</t>
  </si>
  <si>
    <t>MY-SBRound020-NY-L</t>
  </si>
  <si>
    <t>X001SV3MWT</t>
  </si>
  <si>
    <t>MY-SBRound020-NY-S</t>
  </si>
  <si>
    <t>X001SVULQJ</t>
  </si>
  <si>
    <t>MY-SBRound020-OR-L</t>
  </si>
  <si>
    <t>X001SV49PN</t>
  </si>
  <si>
    <t>MY-SBRound020-OR-M</t>
  </si>
  <si>
    <t>X001SV3MX3</t>
  </si>
  <si>
    <t>MY-SBRound020-OR-S</t>
  </si>
  <si>
    <t>X001SW06IB</t>
  </si>
  <si>
    <t>MY-SBRound020-OR-XL</t>
  </si>
  <si>
    <t>X001SVZPMJ</t>
  </si>
  <si>
    <t>MY-SBRound020-WR-L</t>
  </si>
  <si>
    <t>X001SW06HR</t>
  </si>
  <si>
    <t>MY-SBRound020-WR-M</t>
  </si>
  <si>
    <t>X001SW06GN</t>
  </si>
  <si>
    <t>MY-SBRound020-WR-XL</t>
  </si>
  <si>
    <t>X001SV9VOH</t>
  </si>
  <si>
    <t>MY-SBRound020-WT-L</t>
  </si>
  <si>
    <t>X001SV93OZ</t>
  </si>
  <si>
    <t>MY-SBRound020-WT-M</t>
  </si>
  <si>
    <t>X001SW06I1</t>
  </si>
  <si>
    <t>MY-SBRound020-WT-S</t>
  </si>
  <si>
    <t>X001SV95IJ</t>
  </si>
  <si>
    <t>MY-SBRound020-WT-XL</t>
  </si>
  <si>
    <t>X001SV49IF</t>
  </si>
  <si>
    <t>MY-WF1217-GR-L</t>
  </si>
  <si>
    <t>X001V0BTFT</t>
  </si>
  <si>
    <t>MY-WF1217-GR-M</t>
  </si>
  <si>
    <t>X001V06TEF</t>
  </si>
  <si>
    <t>MY-WF1217-GR-S</t>
  </si>
  <si>
    <t>X001V0CINV</t>
  </si>
  <si>
    <t>MY-WF1217-GR-XL</t>
  </si>
  <si>
    <t>X001V0AKCR</t>
  </si>
  <si>
    <t>MY-WF1217-KO-L</t>
  </si>
  <si>
    <t>X001V05U8L</t>
  </si>
  <si>
    <t>MY-WF1217-KO-M</t>
  </si>
  <si>
    <t>X001V0BTFJ</t>
  </si>
  <si>
    <t>MY-WF1217-KO-S</t>
  </si>
  <si>
    <t>X001V0BTG3</t>
  </si>
  <si>
    <t>MY-WF1217-KO-XL</t>
  </si>
  <si>
    <t>X001V0AKCH</t>
  </si>
  <si>
    <t>MY-WF1217-RO-L</t>
  </si>
  <si>
    <t>X001V05ULN</t>
  </si>
  <si>
    <t>MY-WF1217-RO-M</t>
  </si>
  <si>
    <t>X001V0CKCF</t>
  </si>
  <si>
    <t>MY-WF1217-RO-S</t>
  </si>
  <si>
    <t>X001V09S2F</t>
  </si>
  <si>
    <t>MY-WF1217-RO-XL</t>
  </si>
  <si>
    <t>X001V0AKHR</t>
  </si>
  <si>
    <t>MY-WF1217-YO-L</t>
  </si>
  <si>
    <t>X001V0CS9P</t>
  </si>
  <si>
    <t>MY-WF1217-YO-M</t>
  </si>
  <si>
    <t>X001V0AKJF</t>
  </si>
  <si>
    <t>MY-WF1217-YO-S</t>
  </si>
  <si>
    <t>X001V09ROJ</t>
  </si>
  <si>
    <t>MY-WF1217-YO-XL</t>
  </si>
  <si>
    <t>X001V0BSNR</t>
  </si>
  <si>
    <t>MY-XIN011-BL-L</t>
  </si>
  <si>
    <t>X001V18UC3</t>
  </si>
  <si>
    <t>B07GDXF97W</t>
  </si>
  <si>
    <t>MY-XIN011-BL-M</t>
  </si>
  <si>
    <t>X001V15QEX</t>
  </si>
  <si>
    <t>B07GDZQJ2R</t>
  </si>
  <si>
    <t>MY-XIN011-BL-S</t>
  </si>
  <si>
    <t>X001V15L8T</t>
  </si>
  <si>
    <t>B07GF2FKLG</t>
  </si>
  <si>
    <t>MY-XIN011-BL-XL</t>
  </si>
  <si>
    <t>X001V1EWAH</t>
  </si>
  <si>
    <t>B07GDY81QB</t>
  </si>
  <si>
    <t>MY-XIN011-CF-L</t>
  </si>
  <si>
    <t>X001V1G79L</t>
  </si>
  <si>
    <t>B07GF31YMR</t>
  </si>
  <si>
    <t>MY-XIN011-CF-M</t>
  </si>
  <si>
    <t>X001V1E5JP</t>
  </si>
  <si>
    <t>B07GF4PHN6</t>
  </si>
  <si>
    <t>MY-XIN011-CF-S</t>
  </si>
  <si>
    <t>X001V18UHX</t>
  </si>
  <si>
    <t>B07GF144B4</t>
  </si>
  <si>
    <t>MY-XIN011-CF-XL</t>
  </si>
  <si>
    <t>X001V18UHD</t>
  </si>
  <si>
    <t>B07GF6YTK2</t>
  </si>
  <si>
    <t>MY-XIN011-LG-L</t>
  </si>
  <si>
    <t>X001V18R0N</t>
  </si>
  <si>
    <t>B07GF2Q1BH</t>
  </si>
  <si>
    <t>MY-XIN011-LG-M</t>
  </si>
  <si>
    <t>X001V1E5L3</t>
  </si>
  <si>
    <t>B07GF4JJQL</t>
  </si>
  <si>
    <t>MY-XIN011-LG-S</t>
  </si>
  <si>
    <t>X001V18UCX</t>
  </si>
  <si>
    <t>B07GDYBNH9</t>
  </si>
  <si>
    <t>MY-XIN011-LG-XL</t>
  </si>
  <si>
    <t>X001V15L89</t>
  </si>
  <si>
    <t>B07GF5J423</t>
  </si>
  <si>
    <t>MY-XIN011-NY-L</t>
  </si>
  <si>
    <t>X001V1E5K9</t>
  </si>
  <si>
    <t>B07GDX7W63</t>
  </si>
  <si>
    <t>MY-XIN011-NY-M</t>
  </si>
  <si>
    <t>X001V18UH3</t>
  </si>
  <si>
    <t>B07GDXDYWZ</t>
  </si>
  <si>
    <t>MY-XIN011-NY-S</t>
  </si>
  <si>
    <t>X001V15L7Z</t>
  </si>
  <si>
    <t>B07GF3LL51</t>
  </si>
  <si>
    <t>MY-XIN011-NY-XL</t>
  </si>
  <si>
    <t>X001V1G79V</t>
  </si>
  <si>
    <t>B07GF7KPKH</t>
  </si>
  <si>
    <t>MY-XIN011-RD-L</t>
  </si>
  <si>
    <t>X001V1E5KT</t>
  </si>
  <si>
    <t>B07GDZQ41C</t>
  </si>
  <si>
    <t>MY-XIN011-RD-M</t>
  </si>
  <si>
    <t>X001V18ON3</t>
  </si>
  <si>
    <t>B07GF5LRQX</t>
  </si>
  <si>
    <t>MY-XIN011-RD-S</t>
  </si>
  <si>
    <t>X001V1D85R</t>
  </si>
  <si>
    <t>B07GDZG49C</t>
  </si>
  <si>
    <t>MY-XIN011-RD-XL</t>
  </si>
  <si>
    <t>X001V15QEN</t>
  </si>
  <si>
    <t>B07GF8H539</t>
  </si>
  <si>
    <t>MY-XIN011JR-BK-L</t>
  </si>
  <si>
    <t>X001V15QG1</t>
  </si>
  <si>
    <t>B07GFBP74W</t>
  </si>
  <si>
    <t>MY-XIN011JR-BK-M</t>
  </si>
  <si>
    <t>X001V1EWA7</t>
  </si>
  <si>
    <t>B07GDY81QQ</t>
  </si>
  <si>
    <t>MY-XIN011JR-BK-S</t>
  </si>
  <si>
    <t>X001V18RN5</t>
  </si>
  <si>
    <t>B07GDVSCDC</t>
  </si>
  <si>
    <t>MY-XIN011JR-BK-XL</t>
  </si>
  <si>
    <t>X001V15QFH</t>
  </si>
  <si>
    <t>B07GF8WZSB</t>
  </si>
  <si>
    <t>MY-XIN011JR-BL-L</t>
  </si>
  <si>
    <t>X001V1E5KJ</t>
  </si>
  <si>
    <t>B07GDZXCF6</t>
  </si>
  <si>
    <t>MY-XIN011JR-BL-M</t>
  </si>
  <si>
    <t>X001V18UCN</t>
  </si>
  <si>
    <t>B07GF11RP5</t>
  </si>
  <si>
    <t>MY-XIN011JR-BL-S</t>
  </si>
  <si>
    <t>X001V1E5JZ</t>
  </si>
  <si>
    <t>B07GF11MMG</t>
  </si>
  <si>
    <t>MY-XIN011JR-BL-XL</t>
  </si>
  <si>
    <t>X001V1DYM9</t>
  </si>
  <si>
    <t>B07GF33KRR</t>
  </si>
  <si>
    <t>MY-XIN011JR-CF-L</t>
  </si>
  <si>
    <t>X001V1DM17</t>
  </si>
  <si>
    <t>B07GF4CKSY</t>
  </si>
  <si>
    <t>MY-XIN011JR-CF-M</t>
  </si>
  <si>
    <t>X001V18R17</t>
  </si>
  <si>
    <t>B07GF4CXNL</t>
  </si>
  <si>
    <t>MY-XIN011JR-CF-S</t>
  </si>
  <si>
    <t>X001V1G7AF</t>
  </si>
  <si>
    <t>B07GF3KHHR</t>
  </si>
  <si>
    <t>MY-XIN011JR-CF-XL</t>
  </si>
  <si>
    <t>X001V15LCZ</t>
  </si>
  <si>
    <t>B07GF11PQN</t>
  </si>
  <si>
    <t>MOCOTONO Men's V Neck Pullover Fleece Lined Cotton Sweater Coffee X-Large</t>
  </si>
  <si>
    <t>MY-XIN011JR-DG-L</t>
  </si>
  <si>
    <t>X001V18UHN</t>
  </si>
  <si>
    <t>B07GF8H535</t>
  </si>
  <si>
    <t>MY-XIN011JR-DG-M</t>
  </si>
  <si>
    <t>X001V1DM1H</t>
  </si>
  <si>
    <t>B07GF1G14F</t>
  </si>
  <si>
    <t>MY-XIN011JR-DG-S</t>
  </si>
  <si>
    <t>X001V15L93</t>
  </si>
  <si>
    <t>B07GF3K6J2</t>
  </si>
  <si>
    <t>MY-XIN011JR-DG-XL</t>
  </si>
  <si>
    <t>X001V1DFEB</t>
  </si>
  <si>
    <t>B07GF67K2N</t>
  </si>
  <si>
    <t>MY-XIN011JR-LG-L</t>
  </si>
  <si>
    <t>X001V1G7A5</t>
  </si>
  <si>
    <t>B07GF1JQYM</t>
  </si>
  <si>
    <t>MY-XIN011JR-LG-M</t>
  </si>
  <si>
    <t>X001V18RMV</t>
  </si>
  <si>
    <t>B07GDYC6VQ</t>
  </si>
  <si>
    <t>MY-XIN011JR-LG-S</t>
  </si>
  <si>
    <t>X001V18R0D</t>
  </si>
  <si>
    <t>B07GDYH6T1</t>
  </si>
  <si>
    <t>MY-XIN011JR-LG-XL</t>
  </si>
  <si>
    <t>X001V15LD9</t>
  </si>
  <si>
    <t>B07GF1MBYD</t>
  </si>
  <si>
    <t>MY-XIN011JR-NY-L</t>
  </si>
  <si>
    <t>X001V15L8J</t>
  </si>
  <si>
    <t>B07GF11D81</t>
  </si>
  <si>
    <t>MY-XIN011JR-NY-M</t>
  </si>
  <si>
    <t>X001V1EN97</t>
  </si>
  <si>
    <t>B07GF4ZSSM</t>
  </si>
  <si>
    <t>MY-XIN011JR-NY-S</t>
  </si>
  <si>
    <t>X001V15QFR</t>
  </si>
  <si>
    <t>B07GFFXR4J</t>
  </si>
  <si>
    <t>MY-XIN011JR-NY-XL</t>
  </si>
  <si>
    <t>X001V1G79B</t>
  </si>
  <si>
    <t>B07GF3YKSB</t>
  </si>
  <si>
    <t>MY-XIN011JR-PP-L</t>
  </si>
  <si>
    <t>X001V15QGB</t>
  </si>
  <si>
    <t>B07GF25G31</t>
  </si>
  <si>
    <t>MY-XIN011JR-PP-M</t>
  </si>
  <si>
    <t>X001V1DYLZ</t>
  </si>
  <si>
    <t>B07GF5RJ9T</t>
  </si>
  <si>
    <t>MY-XIN011JR-PP-S</t>
  </si>
  <si>
    <t>X001V1EN8X</t>
  </si>
  <si>
    <t>B07GF5LNL5</t>
  </si>
  <si>
    <t>MY-XIN011JR-PP-XL</t>
  </si>
  <si>
    <t>X001V18UCD</t>
  </si>
  <si>
    <t>B07GF732R6</t>
  </si>
  <si>
    <t>MY-XIN011JR-RD-L</t>
  </si>
  <si>
    <t>X001V18OND</t>
  </si>
  <si>
    <t>B07GF4VT7G</t>
  </si>
  <si>
    <t>MY-XIN011JR-RD-M</t>
  </si>
  <si>
    <t>X001V1G791</t>
  </si>
  <si>
    <t>B07GF5JF6P</t>
  </si>
  <si>
    <t>MY-XIN011JR-RD-S</t>
  </si>
  <si>
    <t>X001V1DFEL</t>
  </si>
  <si>
    <t>B07GF18PHL</t>
  </si>
  <si>
    <t>MY-XIN011JR-RD-XL</t>
  </si>
  <si>
    <t>X001V18R0X</t>
  </si>
  <si>
    <t>B07GF5Z8TZ</t>
  </si>
  <si>
    <t>MZ-LHY001-BR</t>
  </si>
  <si>
    <t>X001V1OS33</t>
  </si>
  <si>
    <t>B07GF4QGYJ</t>
  </si>
  <si>
    <t>MOCOTONO Men's Herringbone Tweed Newsboy Cabbie Flat Driving Hat Golf Cap Brown</t>
  </si>
  <si>
    <t>MZ-LHY001-GR</t>
  </si>
  <si>
    <t>X001V1MQ7X</t>
  </si>
  <si>
    <t>B07GFCZ4R3</t>
  </si>
  <si>
    <t>MOCOTONO Men's Herringbone Tweed Newsboy Cabbie Flat Driving Hat Golf Cap Gray</t>
  </si>
  <si>
    <t>MZ-LHY001-LG</t>
  </si>
  <si>
    <t>X001V1MQ87</t>
  </si>
  <si>
    <t>B07GFDRV3Y</t>
  </si>
  <si>
    <t>MOCOTONO Men's Herringbone Tweed Newsboy Cabbie Flat Driving Hat Golf Cap Light Gray</t>
  </si>
  <si>
    <t>POLO-1503-BK-2XL</t>
  </si>
  <si>
    <t>POLO-1503-BK-M</t>
  </si>
  <si>
    <t>POLO-1503-BK-S</t>
  </si>
  <si>
    <t>POLO-1503-GR-2XL</t>
  </si>
  <si>
    <t>POLO-1503-GR-S</t>
  </si>
  <si>
    <t>POLO-1503-GR-XL</t>
  </si>
  <si>
    <t>POLO-1503-NY-M</t>
  </si>
  <si>
    <t>B078HZDBW2</t>
  </si>
  <si>
    <t>POLO-1503-RD-2XL</t>
  </si>
  <si>
    <t>POLO-1503-RD-S</t>
  </si>
  <si>
    <t>POLO-1503-RD-XL</t>
  </si>
  <si>
    <t>POLO-1503-WT-2XL</t>
  </si>
  <si>
    <t>POLO-1503-WT-L</t>
  </si>
  <si>
    <t>POLO-1503-WT-M</t>
  </si>
  <si>
    <t>POLO-1503-WT-S</t>
  </si>
  <si>
    <t>POLO-1503-WT-XL</t>
  </si>
  <si>
    <t>POLO-SB014-BK-L</t>
  </si>
  <si>
    <t>B076DM4SWY</t>
  </si>
  <si>
    <t>MOCOTONO Men's Long Sleeve Casual Golf Polo Shirt Black Large</t>
  </si>
  <si>
    <t>POLO-SB014-BK-XL</t>
  </si>
  <si>
    <t>B076D3C3YM</t>
  </si>
  <si>
    <t>POLO-SB014-GR-S</t>
  </si>
  <si>
    <t>B076D2YGFS</t>
  </si>
  <si>
    <t>MOCOTONO Men's Long Sleeve Casual Golf Polo Shirt Grey Small</t>
  </si>
  <si>
    <t>POLO-SB014-GR-XL</t>
  </si>
  <si>
    <t>B076D158MN</t>
  </si>
  <si>
    <t>POLO-SB014-NY-M</t>
  </si>
  <si>
    <t>B076DMLG4Y</t>
  </si>
  <si>
    <t>MOCOTONO Men's Long Sleeve Casual Golf Polo Shirt Navy Blue Medium</t>
  </si>
  <si>
    <t>POLO-SB014-RD-S</t>
  </si>
  <si>
    <t>B076DGZV76</t>
  </si>
  <si>
    <t>POLO-SB014-RD-XL</t>
  </si>
  <si>
    <t>B076CYPXY8</t>
  </si>
  <si>
    <t>MOCOTONO Men's Long Sleeve Casual Golf Polo Shirt Red (Maroon) Large</t>
  </si>
  <si>
    <t>POLO-SB1503-BK-2XL</t>
  </si>
  <si>
    <t>X001T1TA7J</t>
  </si>
  <si>
    <t>POLO-SB1503-BK-XL</t>
  </si>
  <si>
    <t>X001T23MTP</t>
  </si>
  <si>
    <t>POLO-SB1503-GR-2XL</t>
  </si>
  <si>
    <t>X001T248RP</t>
  </si>
  <si>
    <t>POLO-SB1503-GR-L</t>
  </si>
  <si>
    <t>X001T1N9IF</t>
  </si>
  <si>
    <t>POLO-SB1503-GR-M</t>
  </si>
  <si>
    <t>X001T248RZ</t>
  </si>
  <si>
    <t>POLO-SB1503-GR-XL</t>
  </si>
  <si>
    <t>X001T23QVJ</t>
  </si>
  <si>
    <t>POLO-SB1503-NY-2XL</t>
  </si>
  <si>
    <t>X001T248S9</t>
  </si>
  <si>
    <t>POLO-SB1503-NY-XL</t>
  </si>
  <si>
    <t>X001T1N9IP</t>
  </si>
  <si>
    <t>POLO-SB1503-RD-2XL</t>
  </si>
  <si>
    <t>X001T1N9I5</t>
  </si>
  <si>
    <t>POLO-SB1503-RD-M</t>
  </si>
  <si>
    <t>X001T328JJ</t>
  </si>
  <si>
    <t>POLO-SB1503-RD-XL</t>
  </si>
  <si>
    <t>X001T23MTZ</t>
  </si>
  <si>
    <t>POLO-SB1503-WT-2XL</t>
  </si>
  <si>
    <t>X001T1TA79</t>
  </si>
  <si>
    <t>POLO-SB1503-WT-L</t>
  </si>
  <si>
    <t>X001T23QWD</t>
  </si>
  <si>
    <t>POLO-SB1503-WT-S</t>
  </si>
  <si>
    <t>X001T23QW3</t>
  </si>
  <si>
    <t>POLO-SB1503-WT-XL</t>
  </si>
  <si>
    <t>X001T1NA3J</t>
  </si>
  <si>
    <t>SB-YL001-DWA40</t>
  </si>
  <si>
    <t>B0776SLHLT</t>
  </si>
  <si>
    <t>All Metal Spinning Fish Reel Double Bearing Structure 13+1 for Freshwater Saltwater Silver 4000</t>
  </si>
  <si>
    <t>SB-YL001-DWA50</t>
  </si>
  <si>
    <t>B0776VP9PY</t>
  </si>
  <si>
    <t>TiaNara All Metal Spinning Fish Reel Double Bearing Structure 13+1 for Freshwater Saltwater Silver 5000</t>
  </si>
  <si>
    <t>SB-YL002-KCN100BNR</t>
  </si>
  <si>
    <t>B0776WJLXL</t>
  </si>
  <si>
    <t>TiaNara Large Trolling Fishing Reel 12+1 BB Metal Spool Light Weight for Freshwater Saltwater Black KCN10000</t>
  </si>
  <si>
    <t>SB-YL002-KCN100S</t>
  </si>
  <si>
    <t>B0776W7JGT</t>
  </si>
  <si>
    <t>TiaNara Large Trolling Fishing Reel 12+1 BB Metal Spool Light Weight for Freshwater Saltwater Silver KCN10000</t>
  </si>
  <si>
    <t>SB-YL002-KCN80BNR</t>
  </si>
  <si>
    <t>B0776WJDHZ</t>
  </si>
  <si>
    <t>TiaNara Large Trolling Fishing Reel 12+1 BB Metal Spool Light Weight for Freshwater Saltwater Black KCN8000</t>
  </si>
  <si>
    <t>SB-YL003-GH80</t>
  </si>
  <si>
    <t>B0776P5RMV</t>
  </si>
  <si>
    <t>TiaNara Trolling Fishing Reel with Metal Spool 13+1 BB Light Weight Ultra Smooth Black GH8000</t>
  </si>
  <si>
    <t>SB-YL004-FD60</t>
  </si>
  <si>
    <t>B0776L7Y4R</t>
  </si>
  <si>
    <t>TiaNara Spinning Fishing Reel 12+1 BB Light Weight for Freshwater Saltwater Silver FD6000</t>
  </si>
  <si>
    <t>SHIRT-SB002-BK-M</t>
  </si>
  <si>
    <t>SHIRT-SB002-BK-S</t>
  </si>
  <si>
    <t>SHIRT-SB002-BK-XL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</si>
  <si>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</si>
  <si>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</si>
  <si>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</si>
  <si>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</si>
  <si>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</si>
  <si>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</si>
  <si>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</si>
  <si>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</si>
  <si>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</si>
  <si>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</si>
  <si>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</si>
  <si>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</si>
  <si>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SHIRT-SB002-RD-2XL</t>
  </si>
  <si>
    <t>SHIRT-SB002-RD-L</t>
  </si>
  <si>
    <t>SHIRT-SB002-RD-M</t>
  </si>
  <si>
    <t>SHIRT-SB002-RD-S</t>
  </si>
  <si>
    <t>SHIRT-SB002-RD-XL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</si>
  <si>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</si>
  <si>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</si>
  <si>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</si>
  <si>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</si>
  <si>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</si>
  <si>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</si>
  <si>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SHIRTS-SB002-BL-XXL</t>
  </si>
  <si>
    <t>SK-LY168-311-76D-L</t>
  </si>
  <si>
    <t>B071213ZRS</t>
  </si>
  <si>
    <t>SK-LY168-K77-1-XL</t>
  </si>
  <si>
    <t>SK-LY168-K77-2-L</t>
  </si>
  <si>
    <t>B072JBD987</t>
  </si>
  <si>
    <t>SK-LY168-K77-2-M</t>
  </si>
  <si>
    <t>B072JBD985</t>
  </si>
  <si>
    <t>Men's Long Sleeve Oxford Button Down Casual Shirt, Dark Green, Medium</t>
  </si>
  <si>
    <t>WQS-BN-1503-KO-M</t>
  </si>
  <si>
    <t>WQS-BN-1503-KO-S</t>
  </si>
  <si>
    <t>WY-LHY1225-BO-L</t>
  </si>
  <si>
    <t>X001V0A6WV</t>
  </si>
  <si>
    <t>B078MFHH1V</t>
  </si>
  <si>
    <t>MOCOTONO Women's Striped Hooded Pullover Drawstring Hoodies Sweatshirts Dark Blue Large</t>
  </si>
  <si>
    <t>WY-LHY1225-BO-M</t>
  </si>
  <si>
    <t>X001V0DMC7</t>
  </si>
  <si>
    <t>B078MFWG5N</t>
  </si>
  <si>
    <t>MOCOTONO Women's Striped Hooded Pullover Drawstring Hoodies Sweatshirts Dark Blue Medium</t>
  </si>
  <si>
    <t>WY-LHY1225-BO-S</t>
  </si>
  <si>
    <t>X001V06MAL</t>
  </si>
  <si>
    <t>B078MNG1TG</t>
  </si>
  <si>
    <t>MOCOTONO Women's Striped Hooded Pullover Drawstring Hoodies Sweatshirts Dark Blue Small</t>
  </si>
  <si>
    <t>WY-LHY1225-BO-XL</t>
  </si>
  <si>
    <t>X001V0A6X5</t>
  </si>
  <si>
    <t>B078MPBBKH</t>
  </si>
  <si>
    <t>MOCOTONO Women's Striped Hooded Pullover Drawstring Hoodies Sweatshirts Dark Blue X-Large</t>
  </si>
  <si>
    <t>WY-LHY1225-GR-L</t>
  </si>
  <si>
    <t>X001V06MB5</t>
  </si>
  <si>
    <t>B078MMXYGL</t>
  </si>
  <si>
    <t>MOCOTONO Women's Striped Hooded Pullover Drawstring Hoodies Sweatshirts Grey Large</t>
  </si>
  <si>
    <t>WY-LHY1225-GR-M</t>
  </si>
  <si>
    <t>X001V0CRXR</t>
  </si>
  <si>
    <t>B078MFPDLS</t>
  </si>
  <si>
    <t>MOCOTONO Women's Striped Hooded Pullover Drawstring Hoodies Sweatshirts Grey Medium</t>
  </si>
  <si>
    <t>WY-LHY1225-GR-S</t>
  </si>
  <si>
    <t>X001V06MAV</t>
  </si>
  <si>
    <t>B078MNGZXT</t>
  </si>
  <si>
    <t>MOCOTONO Women's Striped Hooded Pullover Drawstring Hoodies Sweatshirts Grey Small</t>
  </si>
  <si>
    <t>WY-LHY1225-GR-XL</t>
  </si>
  <si>
    <t>X001V06MHT</t>
  </si>
  <si>
    <t>B078ML71RF</t>
  </si>
  <si>
    <t>MOCOTONO Women's Striped Hooded Pullover Drawstring Hoodies Sweatshirts Grey X-Large</t>
  </si>
  <si>
    <t>WY-SB017-BK-M</t>
  </si>
  <si>
    <t>B078NNDRK2</t>
  </si>
  <si>
    <t>MOCOTONO Men's Pullover Hoodies Fleece Hooded Sweatshirt Black Medium</t>
  </si>
  <si>
    <t>WY-SB017-BK-S</t>
  </si>
  <si>
    <t>B078NMB32N</t>
  </si>
  <si>
    <t>MOCOTONO Men's Pullover Hoodies Fleece Hooded Sweatshirt Black Small</t>
  </si>
  <si>
    <t>WY-SB017-BK-XL</t>
  </si>
  <si>
    <t>B078NLT26Q</t>
  </si>
  <si>
    <t>MOCOTONO Men's Pullover Hoodies Fleece Hooded Sweatshirt Black X-Large</t>
  </si>
  <si>
    <t>WY-SB017-BK-XXL</t>
  </si>
  <si>
    <t>B078NC65SZ</t>
  </si>
  <si>
    <t>MOCOTONO Men's Pullover Hoodies Fleece Hooded Sweatshirt Black XX-Large</t>
  </si>
  <si>
    <t>WY-SB017-DG-M</t>
  </si>
  <si>
    <t>B078NMJKLD</t>
  </si>
  <si>
    <t>MOCOTONO Men's Pullover Hoodies Fleece Hooded Sweatshirt Dark Grey Medium</t>
  </si>
  <si>
    <t>WY-SB017-DG-S</t>
  </si>
  <si>
    <t>B078NNHC7V</t>
  </si>
  <si>
    <t>MOCOTONO Men's Pullover Hoodies Fleece Hooded Sweatshirt Dark Grey Small</t>
  </si>
  <si>
    <t>WY-SB017-DG-XL</t>
  </si>
  <si>
    <t>B078NMTQCQ</t>
  </si>
  <si>
    <t>MOCOTONO Men's Pullover Hoodies Fleece Hooded Sweatshirt Dark Grey X-Large</t>
  </si>
  <si>
    <t>WY-SB017-DG-XXL</t>
  </si>
  <si>
    <t>B078NK4T2F</t>
  </si>
  <si>
    <t>MOCOTONO Men's Pullover Hoodies Fleece Hooded Sweatshirt Dark Grey XX-Large</t>
  </si>
  <si>
    <t>WY-SB017-LG-L</t>
  </si>
  <si>
    <t>B078NPFZQ8</t>
  </si>
  <si>
    <t>MOCOTONO Men's Pullover Hoodies Fleece Hooded Sweatshirt Light Grey Large</t>
  </si>
  <si>
    <t>WY-SB017-LG-M</t>
  </si>
  <si>
    <t>B078NMZ3FJ</t>
  </si>
  <si>
    <t>MOCOTONO Men's Pullover Hoodies Fleece Hooded Sweatshirt Light Grey Medium</t>
  </si>
  <si>
    <t>WY-SB017-LG-S</t>
  </si>
  <si>
    <t>B078NL91J7</t>
  </si>
  <si>
    <t>MOCOTONO Men's Pullover Hoodies Fleece Hooded Sweatshirt Light Grey Small</t>
  </si>
  <si>
    <t>WY-SB017-LG-XL</t>
  </si>
  <si>
    <t>B078NLT7K4</t>
  </si>
  <si>
    <t>MOCOTONO Men's Pullover Hoodies Fleece Hooded Sweatshirt Light Grey X-Large</t>
  </si>
  <si>
    <t>WY-SB017-NY-S</t>
  </si>
  <si>
    <t>B078NK4W3P</t>
  </si>
  <si>
    <t>MOCOTONO Men's Pullover Hoodies Fleece Hooded Sweatshirt Dark Blue Small</t>
  </si>
  <si>
    <t>WY-SB017-NY-XXL</t>
  </si>
  <si>
    <t>B078NC5YWP</t>
  </si>
  <si>
    <t>MOCOTONO Men's Pullover Hoodies Fleece Hooded Sweatshirt Dark Blue XX-Large</t>
  </si>
  <si>
    <t>WY-SB017-PK-XL</t>
  </si>
  <si>
    <t>B078NL9L3B</t>
  </si>
  <si>
    <t>MOCOTONO Men's Pullover Hoodies Fleece Hooded Sweatshirt Pink X-Large</t>
  </si>
  <si>
    <t>WY-SB017-RD-L</t>
  </si>
  <si>
    <t>B078NL9CDP</t>
  </si>
  <si>
    <t>MOCOTONO Men's Pullover Hoodies Fleece Hooded Sweatshirt Red Large</t>
  </si>
  <si>
    <t>WY-SB017-RD-M</t>
  </si>
  <si>
    <t>B078NJJ4H7</t>
  </si>
  <si>
    <t>MOCOTONO Men's Pullover Hoodies Fleece Hooded Sweatshirt Red Medium</t>
  </si>
  <si>
    <t>WY-SB017-RD-XL</t>
  </si>
  <si>
    <t>B078NC5RZM</t>
  </si>
  <si>
    <t>MOCOTONO Men's Pullover Hoodies Fleece Hooded Sweatshirt Red X-Large</t>
  </si>
  <si>
    <t>WY-SB017-RD-XXL</t>
  </si>
  <si>
    <t>B078NK51Q6</t>
  </si>
  <si>
    <t>MOCOTONO Men's Pullover Hoodies Fleece Hooded Sweatshirt Red XX-Large</t>
  </si>
  <si>
    <t>WY-WF1217-GR-L</t>
  </si>
  <si>
    <t>X001V0BFZN</t>
  </si>
  <si>
    <t>WY-WF1217-GR-M</t>
  </si>
  <si>
    <t>X001V06LX9</t>
  </si>
  <si>
    <t>WY-WF1217-GR-S</t>
  </si>
  <si>
    <t>X001V0BZRL</t>
  </si>
  <si>
    <t>WY-WF1217-GR-XL</t>
  </si>
  <si>
    <t>X001V0BRVP</t>
  </si>
  <si>
    <t>WY-WF1217-KO-L</t>
  </si>
  <si>
    <t>X001V0DBLT</t>
  </si>
  <si>
    <t>WY-WF1217-KO-M</t>
  </si>
  <si>
    <t>X001V0BSPP</t>
  </si>
  <si>
    <t>WY-WF1217-KO-S</t>
  </si>
  <si>
    <t>X001V05TVT</t>
  </si>
  <si>
    <t>WY-WF1217-KO-XL</t>
  </si>
  <si>
    <t>X001V05TW3</t>
  </si>
  <si>
    <t>WY-WF1217-RO-L</t>
  </si>
  <si>
    <t>X001V0BZRV</t>
  </si>
  <si>
    <t>WY-WF1217-RO-M</t>
  </si>
  <si>
    <t>X001V06LU7</t>
  </si>
  <si>
    <t>WY-WF1217-RO-S</t>
  </si>
  <si>
    <t>X001V0B5DF</t>
  </si>
  <si>
    <t>WY-WF1217-RO-XL</t>
  </si>
  <si>
    <t>X001V0DBM3</t>
  </si>
  <si>
    <t>WY-WF1217-YO-L</t>
  </si>
  <si>
    <t>X001V0DBMD</t>
  </si>
  <si>
    <t>WY-WF1217-YO-M</t>
  </si>
  <si>
    <t>X001V0CJ1R</t>
  </si>
  <si>
    <t>WY-WF1217-YO-S</t>
  </si>
  <si>
    <t>X001V0BRVZ</t>
  </si>
  <si>
    <t>WY-WF1217-YO-XL</t>
  </si>
  <si>
    <t>X001V0B6NJ</t>
  </si>
  <si>
    <t>WY-XIN017-BK-L</t>
  </si>
  <si>
    <t>X001UXI4M3</t>
  </si>
  <si>
    <t>B07GBWS8TT</t>
  </si>
  <si>
    <t>WY-XIN017-BK-M</t>
  </si>
  <si>
    <t>X001UXETAJ</t>
  </si>
  <si>
    <t>B07GBWS1LV</t>
  </si>
  <si>
    <t>WY-XIN017-BK-S</t>
  </si>
  <si>
    <t>X001UXETA9</t>
  </si>
  <si>
    <t>B07GBWF4KH</t>
  </si>
  <si>
    <t>WY-XIN017-BK-XL</t>
  </si>
  <si>
    <t>X001UXETE5</t>
  </si>
  <si>
    <t>B07GBWZ2DY</t>
  </si>
  <si>
    <t>WY-XIN017-BK-XXL</t>
  </si>
  <si>
    <t>X001UXETEF</t>
  </si>
  <si>
    <t>B07GBW8R7K</t>
  </si>
  <si>
    <t>WY-XIN017-DG-L</t>
  </si>
  <si>
    <t>X001UXHZ8H</t>
  </si>
  <si>
    <t>B07GBYJNFV</t>
  </si>
  <si>
    <t>WY-XIN017-DG-M</t>
  </si>
  <si>
    <t>X001UXHHXZ</t>
  </si>
  <si>
    <t>B07GBXF7GD</t>
  </si>
  <si>
    <t>WY-XIN017-DG-S</t>
  </si>
  <si>
    <t>X001UXFS8L</t>
  </si>
  <si>
    <t>B07GBWF1LR</t>
  </si>
  <si>
    <t>WY-XIN017-DG-XL</t>
  </si>
  <si>
    <t>X001UXHHXP</t>
  </si>
  <si>
    <t>B07GBXXF9B</t>
  </si>
  <si>
    <t>WY-XIN017-DG-XXL</t>
  </si>
  <si>
    <t>X001UXGF4R</t>
  </si>
  <si>
    <t>B07GBXYFXD</t>
  </si>
  <si>
    <t>WY-XIN017-LG-L</t>
  </si>
  <si>
    <t>X001UXETDV</t>
  </si>
  <si>
    <t>B07GBXT67X</t>
  </si>
  <si>
    <t>WY-XIN017-LG-M</t>
  </si>
  <si>
    <t>X001UXI4NR</t>
  </si>
  <si>
    <t>B07GBY84TG</t>
  </si>
  <si>
    <t>WY-XIN017-LG-S</t>
  </si>
  <si>
    <t>X001UXI4FP</t>
  </si>
  <si>
    <t>B07GBW23LG</t>
  </si>
  <si>
    <t>WY-XIN017-LG-XL</t>
  </si>
  <si>
    <t>X001UXGF47</t>
  </si>
  <si>
    <t>B07GBX8PVJ</t>
  </si>
  <si>
    <t>WY-XIN017-LG-XXL</t>
  </si>
  <si>
    <t>X001UXET9Z</t>
  </si>
  <si>
    <t>B07GBWY1WJ</t>
  </si>
  <si>
    <t>WY-XIN017-NY-L</t>
  </si>
  <si>
    <t>X001UXETBX</t>
  </si>
  <si>
    <t>B07GBX69K9</t>
  </si>
  <si>
    <t>WY-XIN017-NY-M</t>
  </si>
  <si>
    <t>X001UXHHPN</t>
  </si>
  <si>
    <t>B07GBXL2RV</t>
  </si>
  <si>
    <t>WY-XIN017-NY-S</t>
  </si>
  <si>
    <t>X001UXETEZ</t>
  </si>
  <si>
    <t>B07GBY2PLX</t>
  </si>
  <si>
    <t>WY-XIN017-NY-XL</t>
  </si>
  <si>
    <t>X001UXETF9</t>
  </si>
  <si>
    <t>B07GBXR5QD</t>
  </si>
  <si>
    <t>WY-XIN017-NY-XXL</t>
  </si>
  <si>
    <t>X001UXI4U5</t>
  </si>
  <si>
    <t>B07GBWSDWM</t>
  </si>
  <si>
    <t>WY-XIN017-PK-L</t>
  </si>
  <si>
    <t>X001UXGF4H</t>
  </si>
  <si>
    <t>B07GBXPZWX</t>
  </si>
  <si>
    <t>MOCOTONO Men's Pullover Hoodies Fleece Hooded Sweatshirt Pink Large</t>
  </si>
  <si>
    <t>WY-XIN017-PK-M</t>
  </si>
  <si>
    <t>X001UXHZ8R</t>
  </si>
  <si>
    <t>B07GBXVSQ7</t>
  </si>
  <si>
    <t>MOCOTONO Men's Pullover Hoodies Fleece Hooded Sweatshirt Pink Medium</t>
  </si>
  <si>
    <t>WY-XIN017-PK-S</t>
  </si>
  <si>
    <t>X001UXG05B</t>
  </si>
  <si>
    <t>B07GBXLW2K</t>
  </si>
  <si>
    <t>MOCOTONO Men's Pullover Hoodies Fleece Hooded Sweatshirt Pink Small</t>
  </si>
  <si>
    <t>WY-XIN017-PK-XL</t>
  </si>
  <si>
    <t>X001UXG4QL</t>
  </si>
  <si>
    <t>B07GBY1GC2</t>
  </si>
  <si>
    <t>WY-XIN017-PK-XXL</t>
  </si>
  <si>
    <t>X001UXETC7</t>
  </si>
  <si>
    <t>B07GBXC23X</t>
  </si>
  <si>
    <t>MOCOTONO Men's Pullover Hoodies Fleece Hooded Sweatshirt Pink XX-Large</t>
  </si>
  <si>
    <t>WY-XIN017-RD-L</t>
  </si>
  <si>
    <t>X001UXFS8B</t>
  </si>
  <si>
    <t>B07GBX2R9C</t>
  </si>
  <si>
    <t>WY-XIN017-RD-M</t>
  </si>
  <si>
    <t>X001UXHZ91</t>
  </si>
  <si>
    <t>B07GBWLNC6</t>
  </si>
  <si>
    <t>WY-XIN017-RD-S</t>
  </si>
  <si>
    <t>X001UXG4QV</t>
  </si>
  <si>
    <t>B07GBWZXFD</t>
  </si>
  <si>
    <t>WY-XIN017-RD-XL</t>
  </si>
  <si>
    <t>X001UXETFJ</t>
  </si>
  <si>
    <t>B07GBY4SF1</t>
  </si>
  <si>
    <t>WY-XIN017-RD-XXL</t>
  </si>
  <si>
    <t>X001UXI4FZ</t>
  </si>
  <si>
    <t>B07GBXYFX6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</si>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</sst>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9" fillId="1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1" borderId="2" applyNumberFormat="0" applyFon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4" fillId="28" borderId="5" applyNumberFormat="0" applyAlignment="0" applyProtection="0">
      <alignment vertical="center"/>
    </xf>
    <xf numFmtId="0" fontId="15" fillId="28" borderId="3" applyNumberFormat="0" applyAlignment="0" applyProtection="0">
      <alignment vertical="center"/>
    </xf>
    <xf numFmtId="0" fontId="16" fillId="29" borderId="6" applyNumberFormat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0</xdr:row>
          <xdr:rowOff>28575</xdr:rowOff>
        </xdr:from>
        <xdr:to>
          <xdr:col>9</xdr:col>
          <xdr:colOff>138430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259820" y="28575"/>
              <a:ext cx="152781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2</xdr:row>
          <xdr:rowOff>0</xdr:rowOff>
        </xdr:from>
        <xdr:to>
          <xdr:col>16</xdr:col>
          <xdr:colOff>9525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361950"/>
              <a:ext cx="7048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2053"/>
  <sheetViews>
    <sheetView workbookViewId="0">
      <selection activeCell="A1" sqref="A1:H254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/>
      <c r="J1" s="4"/>
      <c r="K1" s="4"/>
      <c r="L1" s="4"/>
      <c r="M1" s="4"/>
      <c r="N1" s="4"/>
      <c r="O1" s="4"/>
      <c r="P1" s="4"/>
      <c r="Q1" s="4"/>
      <c r="R1" s="4"/>
    </row>
    <row r="2" spans="1:18">
      <c r="A2" s="3" t="s">
        <v>8</v>
      </c>
      <c r="B2" s="3" t="s">
        <v>9</v>
      </c>
      <c r="C2" s="3" t="s">
        <v>9</v>
      </c>
      <c r="D2" s="3" t="s">
        <v>10</v>
      </c>
      <c r="E2" s="3">
        <v>1</v>
      </c>
      <c r="F2" s="3">
        <v>0</v>
      </c>
      <c r="G2" s="3">
        <v>0</v>
      </c>
      <c r="H2" s="3">
        <v>1</v>
      </c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>
      <c r="A3" s="3" t="s">
        <v>11</v>
      </c>
      <c r="B3" s="3" t="s">
        <v>12</v>
      </c>
      <c r="C3" s="3" t="s">
        <v>12</v>
      </c>
      <c r="D3" s="3" t="s">
        <v>13</v>
      </c>
      <c r="E3" s="3">
        <v>2</v>
      </c>
      <c r="F3" s="3">
        <v>1</v>
      </c>
      <c r="G3" s="3">
        <v>1</v>
      </c>
      <c r="H3" s="3">
        <v>0</v>
      </c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>
      <c r="A4" s="3" t="s">
        <v>14</v>
      </c>
      <c r="B4" s="3" t="s">
        <v>15</v>
      </c>
      <c r="C4" s="3" t="s">
        <v>15</v>
      </c>
      <c r="D4" s="3" t="s">
        <v>16</v>
      </c>
      <c r="E4" s="3">
        <v>1</v>
      </c>
      <c r="F4" s="3">
        <v>0</v>
      </c>
      <c r="G4" s="3">
        <v>0</v>
      </c>
      <c r="H4" s="3">
        <v>1</v>
      </c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>
      <c r="A5" s="3" t="s">
        <v>17</v>
      </c>
      <c r="B5" s="3" t="s">
        <v>18</v>
      </c>
      <c r="C5" s="3" t="s">
        <v>18</v>
      </c>
      <c r="D5" s="3" t="s">
        <v>19</v>
      </c>
      <c r="E5" s="3">
        <v>1</v>
      </c>
      <c r="F5" s="3">
        <v>0</v>
      </c>
      <c r="G5" s="3">
        <v>0</v>
      </c>
      <c r="H5" s="3">
        <v>1</v>
      </c>
      <c r="I5" s="4"/>
      <c r="J5" s="4"/>
      <c r="K5" s="4"/>
      <c r="L5" s="4"/>
      <c r="M5" s="4"/>
      <c r="N5" s="4"/>
      <c r="O5" s="4"/>
      <c r="P5" s="4"/>
      <c r="Q5" s="4"/>
      <c r="R5" s="4"/>
    </row>
    <row r="6" spans="1:18">
      <c r="A6" s="3" t="s">
        <v>20</v>
      </c>
      <c r="B6" s="3" t="s">
        <v>21</v>
      </c>
      <c r="C6" s="3" t="s">
        <v>21</v>
      </c>
      <c r="D6" s="3" t="s">
        <v>22</v>
      </c>
      <c r="E6" s="3">
        <v>1</v>
      </c>
      <c r="F6" s="3">
        <v>1</v>
      </c>
      <c r="G6" s="3">
        <v>0</v>
      </c>
      <c r="H6" s="3">
        <v>0</v>
      </c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>
      <c r="A7" s="3" t="s">
        <v>23</v>
      </c>
      <c r="B7" s="3" t="s">
        <v>24</v>
      </c>
      <c r="C7" s="3" t="s">
        <v>24</v>
      </c>
      <c r="D7" s="3" t="s">
        <v>25</v>
      </c>
      <c r="E7" s="3">
        <v>1</v>
      </c>
      <c r="F7" s="3">
        <v>1</v>
      </c>
      <c r="G7" s="3">
        <v>0</v>
      </c>
      <c r="H7" s="3">
        <v>0</v>
      </c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>
      <c r="A8" s="3" t="s">
        <v>26</v>
      </c>
      <c r="B8" s="3" t="s">
        <v>27</v>
      </c>
      <c r="C8" s="3" t="s">
        <v>27</v>
      </c>
      <c r="D8" s="3" t="s">
        <v>28</v>
      </c>
      <c r="E8" s="3">
        <v>1</v>
      </c>
      <c r="F8" s="3">
        <v>0</v>
      </c>
      <c r="G8" s="3">
        <v>0</v>
      </c>
      <c r="H8" s="3">
        <v>1</v>
      </c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>
      <c r="A9" s="3" t="s">
        <v>29</v>
      </c>
      <c r="B9" s="3" t="s">
        <v>30</v>
      </c>
      <c r="C9" s="3" t="s">
        <v>30</v>
      </c>
      <c r="D9" s="3" t="s">
        <v>31</v>
      </c>
      <c r="E9" s="3">
        <v>1</v>
      </c>
      <c r="F9" s="3">
        <v>0</v>
      </c>
      <c r="G9" s="3">
        <v>0</v>
      </c>
      <c r="H9" s="3">
        <v>1</v>
      </c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>
      <c r="A10" s="3" t="s">
        <v>32</v>
      </c>
      <c r="B10" s="3" t="s">
        <v>33</v>
      </c>
      <c r="C10" s="3" t="s">
        <v>33</v>
      </c>
      <c r="D10" s="3" t="s">
        <v>34</v>
      </c>
      <c r="E10" s="3">
        <v>1</v>
      </c>
      <c r="F10" s="3">
        <v>1</v>
      </c>
      <c r="G10" s="3">
        <v>0</v>
      </c>
      <c r="H10" s="3"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>
      <c r="A11" s="3" t="s">
        <v>35</v>
      </c>
      <c r="B11" s="3" t="s">
        <v>36</v>
      </c>
      <c r="C11" s="3" t="s">
        <v>37</v>
      </c>
      <c r="D11" s="3" t="s">
        <v>38</v>
      </c>
      <c r="E11" s="3">
        <v>1</v>
      </c>
      <c r="F11" s="3">
        <v>1</v>
      </c>
      <c r="G11" s="3">
        <v>0</v>
      </c>
      <c r="H11" s="3">
        <v>0</v>
      </c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>
      <c r="A12" s="3" t="s">
        <v>39</v>
      </c>
      <c r="B12" s="3" t="s">
        <v>40</v>
      </c>
      <c r="C12" s="3" t="s">
        <v>41</v>
      </c>
      <c r="D12" s="3" t="s">
        <v>42</v>
      </c>
      <c r="E12" s="3">
        <v>2</v>
      </c>
      <c r="F12" s="3">
        <v>1</v>
      </c>
      <c r="G12" s="3">
        <v>1</v>
      </c>
      <c r="H12" s="3">
        <v>0</v>
      </c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>
      <c r="A13" s="3" t="s">
        <v>43</v>
      </c>
      <c r="B13" s="3" t="s">
        <v>44</v>
      </c>
      <c r="C13" s="3" t="s">
        <v>45</v>
      </c>
      <c r="D13" s="3" t="s">
        <v>46</v>
      </c>
      <c r="E13" s="3">
        <v>3</v>
      </c>
      <c r="F13" s="3">
        <v>1</v>
      </c>
      <c r="G13" s="3">
        <v>0</v>
      </c>
      <c r="H13" s="3">
        <v>2</v>
      </c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>
      <c r="A14" s="3" t="s">
        <v>47</v>
      </c>
      <c r="B14" s="3" t="s">
        <v>30</v>
      </c>
      <c r="C14" s="3" t="s">
        <v>30</v>
      </c>
      <c r="D14" s="3" t="s">
        <v>31</v>
      </c>
      <c r="E14" s="3">
        <v>1</v>
      </c>
      <c r="F14" s="3">
        <v>0</v>
      </c>
      <c r="G14" s="3">
        <v>0</v>
      </c>
      <c r="H14" s="3">
        <v>1</v>
      </c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>
      <c r="A15" s="3" t="s">
        <v>48</v>
      </c>
      <c r="B15" s="3" t="s">
        <v>49</v>
      </c>
      <c r="C15" s="3" t="s">
        <v>50</v>
      </c>
      <c r="D15" s="3" t="s">
        <v>51</v>
      </c>
      <c r="E15" s="3">
        <v>5</v>
      </c>
      <c r="F15" s="3">
        <v>1</v>
      </c>
      <c r="G15" s="3">
        <v>1</v>
      </c>
      <c r="H15" s="3">
        <v>3</v>
      </c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18">
      <c r="A16" s="3" t="s">
        <v>52</v>
      </c>
      <c r="B16" s="3" t="s">
        <v>53</v>
      </c>
      <c r="C16" s="3" t="s">
        <v>54</v>
      </c>
      <c r="D16" s="3" t="s">
        <v>55</v>
      </c>
      <c r="E16" s="3">
        <v>1</v>
      </c>
      <c r="F16" s="3">
        <v>0</v>
      </c>
      <c r="G16" s="3">
        <v>1</v>
      </c>
      <c r="H16" s="3"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18">
      <c r="A17" s="3" t="s">
        <v>56</v>
      </c>
      <c r="B17" s="3" t="s">
        <v>57</v>
      </c>
      <c r="C17" s="3" t="s">
        <v>58</v>
      </c>
      <c r="D17" s="3" t="s">
        <v>59</v>
      </c>
      <c r="E17" s="3">
        <v>2</v>
      </c>
      <c r="F17" s="3">
        <v>1</v>
      </c>
      <c r="G17" s="3">
        <v>1</v>
      </c>
      <c r="H17" s="3">
        <v>0</v>
      </c>
      <c r="I17" s="4"/>
      <c r="J17" s="4"/>
      <c r="K17" s="4"/>
      <c r="L17" s="4"/>
      <c r="M17" s="4"/>
      <c r="N17" s="4"/>
      <c r="O17" s="4"/>
      <c r="P17" s="4"/>
      <c r="Q17" s="4"/>
      <c r="R17" s="4"/>
    </row>
    <row r="18" spans="1:18">
      <c r="A18" s="3" t="s">
        <v>60</v>
      </c>
      <c r="B18" s="3" t="s">
        <v>61</v>
      </c>
      <c r="C18" s="3" t="s">
        <v>62</v>
      </c>
      <c r="D18" s="3" t="s">
        <v>63</v>
      </c>
      <c r="E18" s="3">
        <v>2</v>
      </c>
      <c r="F18" s="3">
        <v>1</v>
      </c>
      <c r="G18" s="3">
        <v>0</v>
      </c>
      <c r="H18" s="3">
        <v>1</v>
      </c>
      <c r="I18" s="4"/>
      <c r="J18" s="4"/>
      <c r="K18" s="4"/>
      <c r="L18" s="4"/>
      <c r="M18" s="4"/>
      <c r="N18" s="4"/>
      <c r="O18" s="4"/>
      <c r="P18" s="4"/>
      <c r="Q18" s="4"/>
      <c r="R18" s="4"/>
    </row>
    <row r="19" spans="1:18">
      <c r="A19" s="3" t="s">
        <v>64</v>
      </c>
      <c r="B19" s="3" t="s">
        <v>27</v>
      </c>
      <c r="C19" s="3" t="s">
        <v>27</v>
      </c>
      <c r="D19" s="3" t="s">
        <v>28</v>
      </c>
      <c r="E19" s="3">
        <v>1</v>
      </c>
      <c r="F19" s="3">
        <v>0</v>
      </c>
      <c r="G19" s="3">
        <v>0</v>
      </c>
      <c r="H19" s="3">
        <v>1</v>
      </c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8">
      <c r="A20" s="3" t="s">
        <v>65</v>
      </c>
      <c r="B20" s="3" t="s">
        <v>66</v>
      </c>
      <c r="C20" s="3" t="s">
        <v>67</v>
      </c>
      <c r="D20" s="3" t="s">
        <v>68</v>
      </c>
      <c r="E20" s="3">
        <v>1</v>
      </c>
      <c r="F20" s="3">
        <v>1</v>
      </c>
      <c r="G20" s="3">
        <v>0</v>
      </c>
      <c r="H20" s="3"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</row>
    <row r="21" spans="1:18">
      <c r="A21" s="3" t="s">
        <v>69</v>
      </c>
      <c r="B21" s="3" t="s">
        <v>70</v>
      </c>
      <c r="C21" s="3" t="s">
        <v>70</v>
      </c>
      <c r="D21" s="3" t="s">
        <v>71</v>
      </c>
      <c r="E21" s="3">
        <v>1</v>
      </c>
      <c r="F21" s="3">
        <v>0</v>
      </c>
      <c r="G21" s="3">
        <v>0</v>
      </c>
      <c r="H21" s="3">
        <v>1</v>
      </c>
      <c r="I21" s="4"/>
      <c r="J21" s="4"/>
      <c r="K21" s="4"/>
      <c r="L21" s="4"/>
      <c r="M21" s="4"/>
      <c r="N21" s="4"/>
      <c r="O21" s="4"/>
      <c r="P21" s="4"/>
      <c r="Q21" s="4"/>
      <c r="R21" s="4"/>
    </row>
    <row r="22" spans="1:18">
      <c r="A22" s="3" t="s">
        <v>72</v>
      </c>
      <c r="B22" s="3" t="s">
        <v>73</v>
      </c>
      <c r="C22" s="3" t="s">
        <v>74</v>
      </c>
      <c r="D22" s="3" t="s">
        <v>75</v>
      </c>
      <c r="E22" s="3">
        <v>1</v>
      </c>
      <c r="F22" s="3">
        <v>1</v>
      </c>
      <c r="G22" s="3">
        <v>0</v>
      </c>
      <c r="H22" s="3"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</row>
    <row r="23" spans="1:18">
      <c r="A23" s="3" t="s">
        <v>76</v>
      </c>
      <c r="B23" s="3" t="s">
        <v>77</v>
      </c>
      <c r="C23" s="3" t="s">
        <v>78</v>
      </c>
      <c r="D23" s="3" t="s">
        <v>79</v>
      </c>
      <c r="E23" s="3">
        <v>3</v>
      </c>
      <c r="F23" s="3">
        <v>0</v>
      </c>
      <c r="G23" s="3">
        <v>3</v>
      </c>
      <c r="H23" s="3">
        <v>0</v>
      </c>
      <c r="I23" s="4"/>
      <c r="J23" s="4"/>
      <c r="K23" s="4"/>
      <c r="L23" s="4"/>
      <c r="M23" s="4"/>
      <c r="N23" s="4"/>
      <c r="O23" s="4"/>
      <c r="P23" s="4"/>
      <c r="Q23" s="4"/>
      <c r="R23" s="4"/>
    </row>
    <row r="24" spans="1:18">
      <c r="A24" s="3" t="s">
        <v>80</v>
      </c>
      <c r="B24" s="3" t="s">
        <v>81</v>
      </c>
      <c r="C24" s="3" t="s">
        <v>82</v>
      </c>
      <c r="D24" s="3" t="s">
        <v>83</v>
      </c>
      <c r="E24" s="3">
        <v>6</v>
      </c>
      <c r="F24" s="3">
        <v>0</v>
      </c>
      <c r="G24" s="3">
        <v>5</v>
      </c>
      <c r="H24" s="3">
        <v>1</v>
      </c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1:18">
      <c r="A25" s="3" t="s">
        <v>84</v>
      </c>
      <c r="B25" s="3" t="s">
        <v>85</v>
      </c>
      <c r="C25" s="3" t="s">
        <v>86</v>
      </c>
      <c r="D25" s="3" t="s">
        <v>87</v>
      </c>
      <c r="E25" s="3">
        <v>8</v>
      </c>
      <c r="F25" s="3">
        <v>0</v>
      </c>
      <c r="G25" s="3">
        <v>8</v>
      </c>
      <c r="H25" s="3">
        <v>0</v>
      </c>
      <c r="I25" s="4"/>
      <c r="J25" s="4"/>
      <c r="K25" s="4"/>
      <c r="L25" s="4"/>
      <c r="M25" s="4"/>
      <c r="N25" s="4"/>
      <c r="O25" s="4"/>
      <c r="P25" s="4"/>
      <c r="Q25" s="4"/>
      <c r="R25" s="4"/>
    </row>
    <row r="26" spans="1:18">
      <c r="A26" s="3" t="s">
        <v>88</v>
      </c>
      <c r="B26" s="3" t="s">
        <v>89</v>
      </c>
      <c r="C26" s="3" t="s">
        <v>90</v>
      </c>
      <c r="D26" s="3" t="s">
        <v>91</v>
      </c>
      <c r="E26" s="3">
        <v>6</v>
      </c>
      <c r="F26" s="3">
        <v>0</v>
      </c>
      <c r="G26" s="3">
        <v>5</v>
      </c>
      <c r="H26" s="3">
        <v>1</v>
      </c>
      <c r="I26" s="4"/>
      <c r="J26" s="4"/>
      <c r="K26" s="4"/>
      <c r="L26" s="4"/>
      <c r="M26" s="4"/>
      <c r="N26" s="4"/>
      <c r="O26" s="4"/>
      <c r="P26" s="4"/>
      <c r="Q26" s="4"/>
      <c r="R26" s="4"/>
    </row>
    <row r="27" spans="1:18">
      <c r="A27" s="3" t="s">
        <v>92</v>
      </c>
      <c r="B27" s="3" t="s">
        <v>93</v>
      </c>
      <c r="C27" s="3" t="s">
        <v>94</v>
      </c>
      <c r="D27" s="3" t="s">
        <v>95</v>
      </c>
      <c r="E27" s="3">
        <v>6</v>
      </c>
      <c r="F27" s="3">
        <v>0</v>
      </c>
      <c r="G27" s="3">
        <v>5</v>
      </c>
      <c r="H27" s="3">
        <v>1</v>
      </c>
      <c r="I27" s="4"/>
      <c r="J27" s="4"/>
      <c r="K27" s="4"/>
      <c r="L27" s="4"/>
      <c r="M27" s="4"/>
      <c r="N27" s="4"/>
      <c r="O27" s="4"/>
      <c r="P27" s="4"/>
      <c r="Q27" s="4"/>
      <c r="R27" s="4"/>
    </row>
    <row r="28" spans="1:18">
      <c r="A28" s="3" t="s">
        <v>96</v>
      </c>
      <c r="B28" s="3" t="s">
        <v>97</v>
      </c>
      <c r="C28" s="3" t="s">
        <v>98</v>
      </c>
      <c r="D28" s="3" t="s">
        <v>99</v>
      </c>
      <c r="E28" s="3">
        <v>8</v>
      </c>
      <c r="F28" s="3">
        <v>0</v>
      </c>
      <c r="G28" s="3">
        <v>8</v>
      </c>
      <c r="H28" s="3"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</row>
    <row r="29" spans="1:18">
      <c r="A29" s="3" t="s">
        <v>100</v>
      </c>
      <c r="B29" s="3" t="s">
        <v>101</v>
      </c>
      <c r="C29" s="3" t="s">
        <v>102</v>
      </c>
      <c r="D29" s="3" t="s">
        <v>103</v>
      </c>
      <c r="E29" s="3">
        <v>5</v>
      </c>
      <c r="F29" s="3">
        <v>0</v>
      </c>
      <c r="G29" s="3">
        <v>5</v>
      </c>
      <c r="H29" s="3">
        <v>0</v>
      </c>
      <c r="I29" s="4"/>
      <c r="J29" s="4"/>
      <c r="K29" s="4"/>
      <c r="L29" s="4"/>
      <c r="M29" s="4"/>
      <c r="N29" s="4"/>
      <c r="O29" s="4"/>
      <c r="P29" s="4"/>
      <c r="Q29" s="4"/>
      <c r="R29" s="4"/>
    </row>
    <row r="30" spans="1:18">
      <c r="A30" s="3" t="s">
        <v>104</v>
      </c>
      <c r="B30" s="3" t="s">
        <v>105</v>
      </c>
      <c r="C30" s="3" t="s">
        <v>106</v>
      </c>
      <c r="D30" s="3" t="s">
        <v>107</v>
      </c>
      <c r="E30" s="3">
        <v>8</v>
      </c>
      <c r="F30" s="3">
        <v>0</v>
      </c>
      <c r="G30" s="3">
        <v>7</v>
      </c>
      <c r="H30" s="3">
        <v>1</v>
      </c>
      <c r="I30" s="4"/>
      <c r="J30" s="4"/>
      <c r="K30" s="4"/>
      <c r="L30" s="4"/>
      <c r="M30" s="4"/>
      <c r="N30" s="4"/>
      <c r="O30" s="4"/>
      <c r="P30" s="4"/>
      <c r="Q30" s="4"/>
      <c r="R30" s="4"/>
    </row>
    <row r="31" spans="1:18">
      <c r="A31" s="3" t="s">
        <v>108</v>
      </c>
      <c r="B31" s="3" t="s">
        <v>109</v>
      </c>
      <c r="C31" s="3" t="s">
        <v>110</v>
      </c>
      <c r="D31" s="3" t="s">
        <v>111</v>
      </c>
      <c r="E31" s="3">
        <v>2</v>
      </c>
      <c r="F31" s="3">
        <v>1</v>
      </c>
      <c r="G31" s="3">
        <v>0</v>
      </c>
      <c r="H31" s="3">
        <v>1</v>
      </c>
      <c r="I31" s="4"/>
      <c r="J31" s="4"/>
      <c r="K31" s="4"/>
      <c r="L31" s="4"/>
      <c r="M31" s="4"/>
      <c r="N31" s="4"/>
      <c r="O31" s="4"/>
      <c r="P31" s="4"/>
      <c r="Q31" s="4"/>
      <c r="R31" s="4"/>
    </row>
    <row r="32" spans="1:18">
      <c r="A32" s="3" t="s">
        <v>112</v>
      </c>
      <c r="B32" s="3" t="s">
        <v>113</v>
      </c>
      <c r="C32" s="3" t="s">
        <v>114</v>
      </c>
      <c r="D32" s="3" t="s">
        <v>115</v>
      </c>
      <c r="E32" s="3">
        <v>5</v>
      </c>
      <c r="F32" s="3">
        <v>0</v>
      </c>
      <c r="G32" s="3">
        <v>5</v>
      </c>
      <c r="H32" s="3"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</row>
    <row r="33" spans="1:18">
      <c r="A33" s="3" t="s">
        <v>116</v>
      </c>
      <c r="B33" s="3" t="s">
        <v>117</v>
      </c>
      <c r="C33" s="3" t="s">
        <v>118</v>
      </c>
      <c r="D33" s="3" t="s">
        <v>119</v>
      </c>
      <c r="E33" s="3">
        <v>5</v>
      </c>
      <c r="F33" s="3">
        <v>0</v>
      </c>
      <c r="G33" s="3">
        <v>5</v>
      </c>
      <c r="H33" s="3">
        <v>0</v>
      </c>
      <c r="I33" s="4"/>
      <c r="J33" s="4"/>
      <c r="K33" s="4"/>
      <c r="L33" s="4"/>
      <c r="M33" s="4"/>
      <c r="N33" s="4"/>
      <c r="O33" s="4"/>
      <c r="P33" s="4"/>
      <c r="Q33" s="4"/>
      <c r="R33" s="4"/>
    </row>
    <row r="34" spans="1:18">
      <c r="A34" s="3" t="s">
        <v>120</v>
      </c>
      <c r="B34" s="3" t="s">
        <v>121</v>
      </c>
      <c r="C34" s="3" t="s">
        <v>122</v>
      </c>
      <c r="D34" s="3" t="s">
        <v>123</v>
      </c>
      <c r="E34" s="3">
        <v>1</v>
      </c>
      <c r="F34" s="3">
        <v>1</v>
      </c>
      <c r="G34" s="3">
        <v>0</v>
      </c>
      <c r="H34" s="3"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</row>
    <row r="35" spans="1:18">
      <c r="A35" s="3" t="s">
        <v>124</v>
      </c>
      <c r="B35" s="3" t="s">
        <v>125</v>
      </c>
      <c r="C35" s="3" t="s">
        <v>126</v>
      </c>
      <c r="D35" s="3" t="s">
        <v>127</v>
      </c>
      <c r="E35" s="3">
        <v>4</v>
      </c>
      <c r="F35" s="3">
        <v>1</v>
      </c>
      <c r="G35" s="3">
        <v>3</v>
      </c>
      <c r="H35" s="3">
        <v>0</v>
      </c>
      <c r="I35" s="4"/>
      <c r="J35" s="4"/>
      <c r="K35" s="4"/>
      <c r="L35" s="4"/>
      <c r="M35" s="4"/>
      <c r="N35" s="4"/>
      <c r="O35" s="4"/>
      <c r="P35" s="4"/>
      <c r="Q35" s="4"/>
      <c r="R35" s="4"/>
    </row>
    <row r="36" spans="1:18">
      <c r="A36" s="3" t="s">
        <v>128</v>
      </c>
      <c r="B36" s="3" t="s">
        <v>129</v>
      </c>
      <c r="C36" s="3" t="s">
        <v>130</v>
      </c>
      <c r="D36" s="3" t="s">
        <v>131</v>
      </c>
      <c r="E36" s="3">
        <v>4</v>
      </c>
      <c r="F36" s="3">
        <v>0</v>
      </c>
      <c r="G36" s="3">
        <v>4</v>
      </c>
      <c r="H36" s="3">
        <v>0</v>
      </c>
      <c r="I36" s="4"/>
      <c r="J36" s="4"/>
      <c r="K36" s="4"/>
      <c r="L36" s="4"/>
      <c r="M36" s="4"/>
      <c r="N36" s="4"/>
      <c r="O36" s="4"/>
      <c r="P36" s="4"/>
      <c r="Q36" s="4"/>
      <c r="R36" s="4"/>
    </row>
    <row r="37" spans="1:18">
      <c r="A37" s="3" t="s">
        <v>132</v>
      </c>
      <c r="B37" s="3" t="s">
        <v>133</v>
      </c>
      <c r="C37" s="3" t="s">
        <v>134</v>
      </c>
      <c r="D37" s="3" t="s">
        <v>135</v>
      </c>
      <c r="E37" s="3">
        <v>3</v>
      </c>
      <c r="F37" s="3">
        <v>0</v>
      </c>
      <c r="G37" s="3">
        <v>3</v>
      </c>
      <c r="H37" s="3">
        <v>0</v>
      </c>
      <c r="I37" s="4"/>
      <c r="J37" s="4"/>
      <c r="K37" s="4"/>
      <c r="L37" s="4"/>
      <c r="M37" s="4"/>
      <c r="N37" s="4"/>
      <c r="O37" s="4"/>
      <c r="P37" s="4"/>
      <c r="Q37" s="4"/>
      <c r="R37" s="4"/>
    </row>
    <row r="38" spans="1:18">
      <c r="A38" s="3" t="s">
        <v>136</v>
      </c>
      <c r="B38" s="3" t="s">
        <v>137</v>
      </c>
      <c r="C38" s="3" t="s">
        <v>138</v>
      </c>
      <c r="D38" s="3" t="s">
        <v>131</v>
      </c>
      <c r="E38" s="3">
        <v>5</v>
      </c>
      <c r="F38" s="3">
        <v>0</v>
      </c>
      <c r="G38" s="3">
        <v>5</v>
      </c>
      <c r="H38" s="3"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</row>
    <row r="39" spans="1:18">
      <c r="A39" s="3" t="s">
        <v>139</v>
      </c>
      <c r="B39" s="3" t="s">
        <v>140</v>
      </c>
      <c r="C39" s="3" t="s">
        <v>141</v>
      </c>
      <c r="D39" s="3" t="s">
        <v>131</v>
      </c>
      <c r="E39" s="3">
        <v>8</v>
      </c>
      <c r="F39" s="3">
        <v>0</v>
      </c>
      <c r="G39" s="3">
        <v>8</v>
      </c>
      <c r="H39" s="3">
        <v>0</v>
      </c>
      <c r="I39" s="4"/>
      <c r="J39" s="4"/>
      <c r="K39" s="4"/>
      <c r="L39" s="4"/>
      <c r="M39" s="4"/>
      <c r="N39" s="4"/>
      <c r="O39" s="4"/>
      <c r="P39" s="4"/>
      <c r="Q39" s="4"/>
      <c r="R39" s="4"/>
    </row>
    <row r="40" spans="1:18">
      <c r="A40" s="3" t="s">
        <v>142</v>
      </c>
      <c r="B40" s="3" t="s">
        <v>143</v>
      </c>
      <c r="C40" s="3" t="s">
        <v>144</v>
      </c>
      <c r="D40" s="3" t="s">
        <v>131</v>
      </c>
      <c r="E40" s="3">
        <v>1</v>
      </c>
      <c r="F40" s="3">
        <v>0</v>
      </c>
      <c r="G40" s="3">
        <v>1</v>
      </c>
      <c r="H40" s="3"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</row>
    <row r="41" spans="1:18">
      <c r="A41" s="3" t="s">
        <v>145</v>
      </c>
      <c r="B41" s="3" t="s">
        <v>146</v>
      </c>
      <c r="C41" s="3" t="s">
        <v>147</v>
      </c>
      <c r="D41" s="3" t="s">
        <v>131</v>
      </c>
      <c r="E41" s="3">
        <v>1</v>
      </c>
      <c r="F41" s="3">
        <v>0</v>
      </c>
      <c r="G41" s="3">
        <v>0</v>
      </c>
      <c r="H41" s="3">
        <v>1</v>
      </c>
      <c r="I41" s="4"/>
      <c r="J41" s="4"/>
      <c r="K41" s="4"/>
      <c r="L41" s="4"/>
      <c r="M41" s="4"/>
      <c r="N41" s="4"/>
      <c r="O41" s="4"/>
      <c r="P41" s="4"/>
      <c r="Q41" s="4"/>
      <c r="R41" s="4"/>
    </row>
    <row r="42" spans="1:18">
      <c r="A42" s="3" t="s">
        <v>148</v>
      </c>
      <c r="B42" s="3" t="s">
        <v>149</v>
      </c>
      <c r="C42" s="3" t="s">
        <v>150</v>
      </c>
      <c r="D42" s="3" t="s">
        <v>151</v>
      </c>
      <c r="E42" s="3">
        <v>1</v>
      </c>
      <c r="F42" s="3">
        <v>1</v>
      </c>
      <c r="G42" s="3">
        <v>0</v>
      </c>
      <c r="H42" s="3">
        <v>0</v>
      </c>
      <c r="I42" s="4"/>
      <c r="J42" s="4"/>
      <c r="K42" s="4"/>
      <c r="L42" s="4"/>
      <c r="M42" s="4"/>
      <c r="N42" s="4"/>
      <c r="O42" s="4"/>
      <c r="P42" s="4"/>
      <c r="Q42" s="4"/>
      <c r="R42" s="4"/>
    </row>
    <row r="43" spans="1:18">
      <c r="A43" s="3" t="s">
        <v>152</v>
      </c>
      <c r="B43" s="3" t="s">
        <v>153</v>
      </c>
      <c r="C43" s="3" t="s">
        <v>154</v>
      </c>
      <c r="D43" s="3" t="s">
        <v>155</v>
      </c>
      <c r="E43" s="3">
        <v>2</v>
      </c>
      <c r="F43" s="3">
        <v>1</v>
      </c>
      <c r="G43" s="3">
        <v>1</v>
      </c>
      <c r="H43" s="3">
        <v>0</v>
      </c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>
      <c r="A44" s="3" t="s">
        <v>156</v>
      </c>
      <c r="B44" s="3" t="s">
        <v>157</v>
      </c>
      <c r="C44" s="3" t="s">
        <v>158</v>
      </c>
      <c r="D44" s="3" t="s">
        <v>159</v>
      </c>
      <c r="E44" s="3">
        <v>1</v>
      </c>
      <c r="F44" s="3">
        <v>0</v>
      </c>
      <c r="G44" s="3">
        <v>0</v>
      </c>
      <c r="H44" s="3">
        <v>1</v>
      </c>
      <c r="I44" s="4"/>
      <c r="J44" s="4"/>
      <c r="K44" s="4"/>
      <c r="L44" s="4"/>
      <c r="M44" s="4"/>
      <c r="N44" s="4"/>
      <c r="O44" s="4"/>
      <c r="P44" s="4"/>
      <c r="Q44" s="4"/>
      <c r="R44" s="4"/>
    </row>
    <row r="45" spans="1:18">
      <c r="A45" s="3" t="s">
        <v>160</v>
      </c>
      <c r="B45" s="3" t="s">
        <v>161</v>
      </c>
      <c r="C45" s="3" t="s">
        <v>162</v>
      </c>
      <c r="D45" s="3" t="s">
        <v>163</v>
      </c>
      <c r="E45" s="3">
        <v>10</v>
      </c>
      <c r="F45" s="3">
        <v>0</v>
      </c>
      <c r="G45" s="3">
        <v>10</v>
      </c>
      <c r="H45" s="3">
        <v>0</v>
      </c>
      <c r="I45" s="4"/>
      <c r="J45" s="4"/>
      <c r="K45" s="4"/>
      <c r="L45" s="4"/>
      <c r="M45" s="4"/>
      <c r="N45" s="4"/>
      <c r="O45" s="4"/>
      <c r="P45" s="4"/>
      <c r="Q45" s="4"/>
      <c r="R45" s="4"/>
    </row>
    <row r="46" spans="1:18">
      <c r="A46" s="3" t="s">
        <v>164</v>
      </c>
      <c r="B46" s="3" t="s">
        <v>165</v>
      </c>
      <c r="C46" s="3" t="s">
        <v>166</v>
      </c>
      <c r="D46" s="3" t="s">
        <v>28</v>
      </c>
      <c r="E46" s="3">
        <v>10</v>
      </c>
      <c r="F46" s="3">
        <v>0</v>
      </c>
      <c r="G46" s="3">
        <v>10</v>
      </c>
      <c r="H46" s="3"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>
      <c r="A47" s="3" t="s">
        <v>167</v>
      </c>
      <c r="B47" s="3" t="s">
        <v>168</v>
      </c>
      <c r="C47" s="3" t="s">
        <v>169</v>
      </c>
      <c r="D47" s="3" t="s">
        <v>170</v>
      </c>
      <c r="E47" s="3">
        <v>1</v>
      </c>
      <c r="F47" s="3">
        <v>0</v>
      </c>
      <c r="G47" s="3">
        <v>0</v>
      </c>
      <c r="H47" s="3">
        <v>1</v>
      </c>
      <c r="I47" s="4"/>
      <c r="J47" s="4"/>
      <c r="K47" s="4"/>
      <c r="L47" s="4"/>
      <c r="M47" s="4"/>
      <c r="N47" s="4"/>
      <c r="O47" s="4"/>
      <c r="P47" s="4"/>
      <c r="Q47" s="4"/>
      <c r="R47" s="4"/>
    </row>
    <row r="48" spans="1:18">
      <c r="A48" s="3" t="s">
        <v>171</v>
      </c>
      <c r="B48" s="3" t="s">
        <v>172</v>
      </c>
      <c r="C48" s="3" t="s">
        <v>173</v>
      </c>
      <c r="D48" s="3" t="s">
        <v>174</v>
      </c>
      <c r="E48" s="3">
        <v>5</v>
      </c>
      <c r="F48" s="3">
        <v>0</v>
      </c>
      <c r="G48" s="3">
        <v>5</v>
      </c>
      <c r="H48" s="3">
        <v>0</v>
      </c>
      <c r="I48" s="4"/>
      <c r="J48" s="4"/>
      <c r="K48" s="4"/>
      <c r="L48" s="4"/>
      <c r="M48" s="4"/>
      <c r="N48" s="4"/>
      <c r="O48" s="4"/>
      <c r="P48" s="4"/>
      <c r="Q48" s="4"/>
      <c r="R48" s="4"/>
    </row>
    <row r="49" spans="1:18">
      <c r="A49" s="3" t="s">
        <v>175</v>
      </c>
      <c r="B49" s="3" t="s">
        <v>176</v>
      </c>
      <c r="C49" s="3" t="s">
        <v>177</v>
      </c>
      <c r="D49" s="3" t="s">
        <v>178</v>
      </c>
      <c r="E49" s="3">
        <v>1</v>
      </c>
      <c r="F49" s="3">
        <v>0</v>
      </c>
      <c r="G49" s="3">
        <v>0</v>
      </c>
      <c r="H49" s="3">
        <v>1</v>
      </c>
      <c r="I49" s="4"/>
      <c r="J49" s="4"/>
      <c r="K49" s="4"/>
      <c r="L49" s="4"/>
      <c r="M49" s="4"/>
      <c r="N49" s="4"/>
      <c r="O49" s="4"/>
      <c r="P49" s="4"/>
      <c r="Q49" s="4"/>
      <c r="R49" s="4"/>
    </row>
    <row r="50" spans="1:18">
      <c r="A50" s="3" t="s">
        <v>179</v>
      </c>
      <c r="B50" s="3" t="s">
        <v>180</v>
      </c>
      <c r="C50" s="3" t="s">
        <v>181</v>
      </c>
      <c r="D50" s="3" t="s">
        <v>182</v>
      </c>
      <c r="E50" s="3">
        <v>3</v>
      </c>
      <c r="F50" s="3">
        <v>0</v>
      </c>
      <c r="G50" s="3">
        <v>3</v>
      </c>
      <c r="H50" s="3"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1:18">
      <c r="A51" s="3" t="s">
        <v>183</v>
      </c>
      <c r="B51" s="3" t="s">
        <v>184</v>
      </c>
      <c r="C51" s="3" t="s">
        <v>185</v>
      </c>
      <c r="D51" s="3" t="s">
        <v>186</v>
      </c>
      <c r="E51" s="3">
        <v>5</v>
      </c>
      <c r="F51" s="3">
        <v>0</v>
      </c>
      <c r="G51" s="3">
        <v>5</v>
      </c>
      <c r="H51" s="3">
        <v>0</v>
      </c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1:18">
      <c r="A52" s="3" t="s">
        <v>187</v>
      </c>
      <c r="B52" s="3" t="s">
        <v>188</v>
      </c>
      <c r="C52" s="3" t="s">
        <v>189</v>
      </c>
      <c r="D52" s="3" t="s">
        <v>190</v>
      </c>
      <c r="E52" s="3">
        <v>2</v>
      </c>
      <c r="F52" s="3">
        <v>0</v>
      </c>
      <c r="G52" s="3">
        <v>2</v>
      </c>
      <c r="H52" s="3"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</row>
    <row r="53" spans="1:18">
      <c r="A53" s="3" t="s">
        <v>191</v>
      </c>
      <c r="B53" s="3" t="s">
        <v>192</v>
      </c>
      <c r="C53" s="3" t="s">
        <v>193</v>
      </c>
      <c r="D53" s="3" t="s">
        <v>194</v>
      </c>
      <c r="E53" s="3">
        <v>2</v>
      </c>
      <c r="F53" s="3">
        <v>0</v>
      </c>
      <c r="G53" s="3">
        <v>2</v>
      </c>
      <c r="H53" s="3">
        <v>0</v>
      </c>
      <c r="I53" s="4"/>
      <c r="J53" s="4"/>
      <c r="K53" s="4"/>
      <c r="L53" s="4"/>
      <c r="M53" s="4"/>
      <c r="N53" s="4"/>
      <c r="O53" s="4"/>
      <c r="P53" s="4"/>
      <c r="Q53" s="4"/>
      <c r="R53" s="4"/>
    </row>
    <row r="54" spans="1:18">
      <c r="A54" s="3" t="s">
        <v>195</v>
      </c>
      <c r="B54" s="3" t="s">
        <v>196</v>
      </c>
      <c r="C54" s="3" t="s">
        <v>197</v>
      </c>
      <c r="D54" s="3" t="s">
        <v>198</v>
      </c>
      <c r="E54" s="3">
        <v>4</v>
      </c>
      <c r="F54" s="3">
        <v>0</v>
      </c>
      <c r="G54" s="3">
        <v>2</v>
      </c>
      <c r="H54" s="3">
        <v>2</v>
      </c>
      <c r="I54" s="4"/>
      <c r="J54" s="4"/>
      <c r="K54" s="4"/>
      <c r="L54" s="4"/>
      <c r="M54" s="4"/>
      <c r="N54" s="4"/>
      <c r="O54" s="4"/>
      <c r="P54" s="4"/>
      <c r="Q54" s="4"/>
      <c r="R54" s="4"/>
    </row>
    <row r="55" spans="1:18">
      <c r="A55" s="3" t="s">
        <v>199</v>
      </c>
      <c r="B55" s="3" t="s">
        <v>200</v>
      </c>
      <c r="C55" s="3" t="s">
        <v>201</v>
      </c>
      <c r="D55" s="3" t="s">
        <v>202</v>
      </c>
      <c r="E55" s="3">
        <v>5</v>
      </c>
      <c r="F55" s="3">
        <v>0</v>
      </c>
      <c r="G55" s="3">
        <v>5</v>
      </c>
      <c r="H55" s="3">
        <v>0</v>
      </c>
      <c r="I55" s="4"/>
      <c r="J55" s="4"/>
      <c r="K55" s="4"/>
      <c r="L55" s="4"/>
      <c r="M55" s="4"/>
      <c r="N55" s="4"/>
      <c r="O55" s="4"/>
      <c r="P55" s="4"/>
      <c r="Q55" s="4"/>
      <c r="R55" s="4"/>
    </row>
    <row r="56" spans="1:18">
      <c r="A56" s="3" t="s">
        <v>203</v>
      </c>
      <c r="B56" s="3" t="s">
        <v>204</v>
      </c>
      <c r="C56" s="3" t="s">
        <v>205</v>
      </c>
      <c r="D56" s="3" t="s">
        <v>206</v>
      </c>
      <c r="E56" s="3">
        <v>5</v>
      </c>
      <c r="F56" s="3">
        <v>0</v>
      </c>
      <c r="G56" s="3">
        <v>5</v>
      </c>
      <c r="H56" s="3"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18">
      <c r="A57" s="3" t="s">
        <v>207</v>
      </c>
      <c r="B57" s="3" t="s">
        <v>208</v>
      </c>
      <c r="C57" s="3" t="s">
        <v>209</v>
      </c>
      <c r="D57" s="3" t="s">
        <v>210</v>
      </c>
      <c r="E57" s="3">
        <v>1</v>
      </c>
      <c r="F57" s="3">
        <v>0</v>
      </c>
      <c r="G57" s="3">
        <v>0</v>
      </c>
      <c r="H57" s="3">
        <v>1</v>
      </c>
      <c r="I57" s="4"/>
      <c r="J57" s="4"/>
      <c r="K57" s="4"/>
      <c r="L57" s="4"/>
      <c r="M57" s="4"/>
      <c r="N57" s="4"/>
      <c r="O57" s="4"/>
      <c r="P57" s="4"/>
      <c r="Q57" s="4"/>
      <c r="R57" s="4"/>
    </row>
    <row r="58" spans="1:18">
      <c r="A58" s="3" t="s">
        <v>211</v>
      </c>
      <c r="B58" s="3" t="s">
        <v>212</v>
      </c>
      <c r="C58" s="3" t="s">
        <v>213</v>
      </c>
      <c r="D58" s="3" t="s">
        <v>107</v>
      </c>
      <c r="E58" s="3">
        <v>5</v>
      </c>
      <c r="F58" s="3">
        <v>0</v>
      </c>
      <c r="G58" s="3">
        <v>5</v>
      </c>
      <c r="H58" s="3"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</row>
    <row r="59" spans="1:18">
      <c r="A59" s="3" t="s">
        <v>214</v>
      </c>
      <c r="B59" s="3" t="s">
        <v>215</v>
      </c>
      <c r="C59" s="3" t="s">
        <v>216</v>
      </c>
      <c r="D59" s="3" t="s">
        <v>217</v>
      </c>
      <c r="E59" s="3">
        <v>5</v>
      </c>
      <c r="F59" s="3">
        <v>0</v>
      </c>
      <c r="G59" s="3">
        <v>5</v>
      </c>
      <c r="H59" s="3">
        <v>0</v>
      </c>
      <c r="I59" s="4"/>
      <c r="J59" s="4"/>
      <c r="K59" s="4"/>
      <c r="L59" s="4"/>
      <c r="M59" s="4"/>
      <c r="N59" s="4"/>
      <c r="O59" s="4"/>
      <c r="P59" s="4"/>
      <c r="Q59" s="4"/>
      <c r="R59" s="4"/>
    </row>
    <row r="60" spans="1:18">
      <c r="A60" s="3" t="s">
        <v>218</v>
      </c>
      <c r="B60" s="3" t="s">
        <v>219</v>
      </c>
      <c r="C60" s="3" t="s">
        <v>220</v>
      </c>
      <c r="D60" s="3" t="s">
        <v>221</v>
      </c>
      <c r="E60" s="3">
        <v>1</v>
      </c>
      <c r="F60" s="3">
        <v>0</v>
      </c>
      <c r="G60" s="3">
        <v>0</v>
      </c>
      <c r="H60" s="3">
        <v>1</v>
      </c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8">
      <c r="A61" s="3" t="s">
        <v>222</v>
      </c>
      <c r="B61" s="3" t="s">
        <v>223</v>
      </c>
      <c r="C61" s="3" t="s">
        <v>224</v>
      </c>
      <c r="D61" s="3" t="s">
        <v>225</v>
      </c>
      <c r="E61" s="3">
        <v>2</v>
      </c>
      <c r="F61" s="3">
        <v>0</v>
      </c>
      <c r="G61" s="3">
        <v>1</v>
      </c>
      <c r="H61" s="3">
        <v>1</v>
      </c>
      <c r="I61" s="4"/>
      <c r="J61" s="4"/>
      <c r="K61" s="4"/>
      <c r="L61" s="4"/>
      <c r="M61" s="4"/>
      <c r="N61" s="4"/>
      <c r="O61" s="4"/>
      <c r="P61" s="4"/>
      <c r="Q61" s="4"/>
      <c r="R61" s="4"/>
    </row>
    <row r="62" spans="1:18">
      <c r="A62" s="3" t="s">
        <v>226</v>
      </c>
      <c r="B62" s="3" t="s">
        <v>227</v>
      </c>
      <c r="C62" s="3" t="s">
        <v>228</v>
      </c>
      <c r="D62" s="3" t="s">
        <v>229</v>
      </c>
      <c r="E62" s="3">
        <v>5</v>
      </c>
      <c r="F62" s="3">
        <v>0</v>
      </c>
      <c r="G62" s="3">
        <v>5</v>
      </c>
      <c r="H62" s="3"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</row>
    <row r="63" spans="1:18">
      <c r="A63" s="3" t="s">
        <v>230</v>
      </c>
      <c r="B63" s="3" t="s">
        <v>231</v>
      </c>
      <c r="C63" s="3" t="s">
        <v>232</v>
      </c>
      <c r="D63" s="3" t="s">
        <v>233</v>
      </c>
      <c r="E63" s="3">
        <v>4</v>
      </c>
      <c r="F63" s="3">
        <v>2</v>
      </c>
      <c r="G63" s="3">
        <v>1</v>
      </c>
      <c r="H63" s="3">
        <v>1</v>
      </c>
      <c r="I63" s="4"/>
      <c r="J63" s="4"/>
      <c r="K63" s="4"/>
      <c r="L63" s="4"/>
      <c r="M63" s="4"/>
      <c r="N63" s="4"/>
      <c r="O63" s="4"/>
      <c r="P63" s="4"/>
      <c r="Q63" s="4"/>
      <c r="R63" s="4"/>
    </row>
    <row r="64" spans="1:18">
      <c r="A64" s="3" t="s">
        <v>234</v>
      </c>
      <c r="B64" s="3" t="s">
        <v>235</v>
      </c>
      <c r="C64" s="3" t="s">
        <v>236</v>
      </c>
      <c r="D64" s="3" t="s">
        <v>237</v>
      </c>
      <c r="E64" s="3">
        <v>1</v>
      </c>
      <c r="F64" s="3">
        <v>0</v>
      </c>
      <c r="G64" s="3">
        <v>0</v>
      </c>
      <c r="H64" s="3">
        <v>1</v>
      </c>
      <c r="I64" s="4"/>
      <c r="J64" s="4"/>
      <c r="K64" s="4"/>
      <c r="L64" s="4"/>
      <c r="M64" s="4"/>
      <c r="N64" s="4"/>
      <c r="O64" s="4"/>
      <c r="P64" s="4"/>
      <c r="Q64" s="4"/>
      <c r="R64" s="4"/>
    </row>
    <row r="65" spans="1:18">
      <c r="A65" s="3" t="s">
        <v>238</v>
      </c>
      <c r="B65" s="3" t="s">
        <v>239</v>
      </c>
      <c r="C65" s="3" t="s">
        <v>240</v>
      </c>
      <c r="D65" s="3" t="s">
        <v>241</v>
      </c>
      <c r="E65" s="3">
        <v>3</v>
      </c>
      <c r="F65" s="3">
        <v>0</v>
      </c>
      <c r="G65" s="3">
        <v>0</v>
      </c>
      <c r="H65" s="3">
        <v>3</v>
      </c>
      <c r="I65" s="4"/>
      <c r="J65" s="4"/>
      <c r="K65" s="4"/>
      <c r="L65" s="4"/>
      <c r="M65" s="4"/>
      <c r="N65" s="4"/>
      <c r="O65" s="4"/>
      <c r="P65" s="4"/>
      <c r="Q65" s="4"/>
      <c r="R65" s="4"/>
    </row>
    <row r="66" spans="1:18">
      <c r="A66" s="3" t="s">
        <v>242</v>
      </c>
      <c r="B66" s="3" t="s">
        <v>243</v>
      </c>
      <c r="C66" s="3" t="s">
        <v>244</v>
      </c>
      <c r="D66" s="3" t="s">
        <v>245</v>
      </c>
      <c r="E66" s="3">
        <v>5</v>
      </c>
      <c r="F66" s="3">
        <v>0</v>
      </c>
      <c r="G66" s="3">
        <v>5</v>
      </c>
      <c r="H66" s="3">
        <v>0</v>
      </c>
      <c r="I66" s="4"/>
      <c r="J66" s="4"/>
      <c r="K66" s="4"/>
      <c r="L66" s="4"/>
      <c r="M66" s="4"/>
      <c r="N66" s="4"/>
      <c r="O66" s="4"/>
      <c r="P66" s="4"/>
      <c r="Q66" s="4"/>
      <c r="R66" s="4"/>
    </row>
    <row r="67" spans="1:18">
      <c r="A67" s="3" t="s">
        <v>246</v>
      </c>
      <c r="B67" s="3" t="s">
        <v>247</v>
      </c>
      <c r="C67" s="3" t="s">
        <v>248</v>
      </c>
      <c r="D67" s="3" t="s">
        <v>249</v>
      </c>
      <c r="E67" s="3">
        <v>6</v>
      </c>
      <c r="F67" s="3">
        <v>2</v>
      </c>
      <c r="G67" s="3">
        <v>0</v>
      </c>
      <c r="H67" s="3">
        <v>4</v>
      </c>
      <c r="I67" s="4"/>
      <c r="J67" s="4"/>
      <c r="K67" s="4"/>
      <c r="L67" s="4"/>
      <c r="M67" s="4"/>
      <c r="N67" s="4"/>
      <c r="O67" s="4"/>
      <c r="P67" s="4"/>
      <c r="Q67" s="4"/>
      <c r="R67" s="4"/>
    </row>
    <row r="68" spans="1:18">
      <c r="A68" s="3" t="s">
        <v>250</v>
      </c>
      <c r="B68" s="3" t="s">
        <v>251</v>
      </c>
      <c r="C68" s="3" t="s">
        <v>252</v>
      </c>
      <c r="D68" s="3" t="s">
        <v>253</v>
      </c>
      <c r="E68" s="3">
        <v>5</v>
      </c>
      <c r="F68" s="3">
        <v>0</v>
      </c>
      <c r="G68" s="3">
        <v>5</v>
      </c>
      <c r="H68" s="3"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</row>
    <row r="69" spans="1:18">
      <c r="A69" s="3" t="s">
        <v>254</v>
      </c>
      <c r="B69" s="3" t="s">
        <v>255</v>
      </c>
      <c r="C69" s="3" t="s">
        <v>256</v>
      </c>
      <c r="D69" s="3" t="s">
        <v>257</v>
      </c>
      <c r="E69" s="3">
        <v>3</v>
      </c>
      <c r="F69" s="3">
        <v>1</v>
      </c>
      <c r="G69" s="3">
        <v>1</v>
      </c>
      <c r="H69" s="3">
        <v>1</v>
      </c>
      <c r="I69" s="4"/>
      <c r="J69" s="4"/>
      <c r="K69" s="4"/>
      <c r="L69" s="4"/>
      <c r="M69" s="4"/>
      <c r="N69" s="4"/>
      <c r="O69" s="4"/>
      <c r="P69" s="4"/>
      <c r="Q69" s="4"/>
      <c r="R69" s="4"/>
    </row>
    <row r="70" spans="1:18">
      <c r="A70" s="3" t="s">
        <v>258</v>
      </c>
      <c r="B70" s="3" t="s">
        <v>259</v>
      </c>
      <c r="C70" s="3" t="s">
        <v>260</v>
      </c>
      <c r="D70" s="3" t="s">
        <v>261</v>
      </c>
      <c r="E70" s="3">
        <v>3</v>
      </c>
      <c r="F70" s="3">
        <v>0</v>
      </c>
      <c r="G70" s="3">
        <v>3</v>
      </c>
      <c r="H70" s="3"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</row>
    <row r="71" spans="1:18">
      <c r="A71" s="3" t="s">
        <v>262</v>
      </c>
      <c r="B71" s="3" t="s">
        <v>263</v>
      </c>
      <c r="C71" s="3" t="s">
        <v>264</v>
      </c>
      <c r="D71" s="3" t="s">
        <v>265</v>
      </c>
      <c r="E71" s="3">
        <v>2</v>
      </c>
      <c r="F71" s="3">
        <v>1</v>
      </c>
      <c r="G71" s="3">
        <v>0</v>
      </c>
      <c r="H71" s="3">
        <v>1</v>
      </c>
      <c r="I71" s="4"/>
      <c r="J71" s="4"/>
      <c r="K71" s="4"/>
      <c r="L71" s="4"/>
      <c r="M71" s="4"/>
      <c r="N71" s="4"/>
      <c r="O71" s="4"/>
      <c r="P71" s="4"/>
      <c r="Q71" s="4"/>
      <c r="R71" s="4"/>
    </row>
    <row r="72" spans="1:18">
      <c r="A72" s="3" t="s">
        <v>266</v>
      </c>
      <c r="B72" s="3" t="s">
        <v>267</v>
      </c>
      <c r="C72" s="3" t="s">
        <v>268</v>
      </c>
      <c r="D72" s="3" t="s">
        <v>269</v>
      </c>
      <c r="E72" s="3">
        <v>1</v>
      </c>
      <c r="F72" s="3">
        <v>0</v>
      </c>
      <c r="G72" s="3">
        <v>0</v>
      </c>
      <c r="H72" s="3">
        <v>1</v>
      </c>
      <c r="I72" s="4"/>
      <c r="J72" s="4"/>
      <c r="K72" s="4"/>
      <c r="L72" s="4"/>
      <c r="M72" s="4"/>
      <c r="N72" s="4"/>
      <c r="O72" s="4"/>
      <c r="P72" s="4"/>
      <c r="Q72" s="4"/>
      <c r="R72" s="4"/>
    </row>
    <row r="73" spans="1:18">
      <c r="A73" s="3" t="s">
        <v>270</v>
      </c>
      <c r="B73" s="3" t="s">
        <v>271</v>
      </c>
      <c r="C73" s="3" t="s">
        <v>272</v>
      </c>
      <c r="D73" s="3" t="s">
        <v>273</v>
      </c>
      <c r="E73" s="3">
        <v>3</v>
      </c>
      <c r="F73" s="3">
        <v>0</v>
      </c>
      <c r="G73" s="3">
        <v>3</v>
      </c>
      <c r="H73" s="3"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</row>
    <row r="74" spans="1:18">
      <c r="A74" s="3" t="s">
        <v>274</v>
      </c>
      <c r="B74" s="3" t="s">
        <v>275</v>
      </c>
      <c r="C74" s="3" t="s">
        <v>276</v>
      </c>
      <c r="D74" s="3" t="s">
        <v>277</v>
      </c>
      <c r="E74" s="3">
        <v>3</v>
      </c>
      <c r="F74" s="3">
        <v>2</v>
      </c>
      <c r="G74" s="3">
        <v>0</v>
      </c>
      <c r="H74" s="3">
        <v>1</v>
      </c>
      <c r="I74" s="4"/>
      <c r="J74" s="4"/>
      <c r="K74" s="4"/>
      <c r="L74" s="4"/>
      <c r="M74" s="4"/>
      <c r="N74" s="4"/>
      <c r="O74" s="4"/>
      <c r="P74" s="4"/>
      <c r="Q74" s="4"/>
      <c r="R74" s="4"/>
    </row>
    <row r="75" spans="1:18">
      <c r="A75" s="3" t="s">
        <v>278</v>
      </c>
      <c r="B75" s="3" t="s">
        <v>279</v>
      </c>
      <c r="C75" s="3" t="s">
        <v>280</v>
      </c>
      <c r="D75" s="3" t="s">
        <v>68</v>
      </c>
      <c r="E75" s="3">
        <v>4</v>
      </c>
      <c r="F75" s="3">
        <v>1</v>
      </c>
      <c r="G75" s="3">
        <v>0</v>
      </c>
      <c r="H75" s="3">
        <v>3</v>
      </c>
      <c r="I75" s="4"/>
      <c r="J75" s="4"/>
      <c r="K75" s="4"/>
      <c r="L75" s="4"/>
      <c r="M75" s="4"/>
      <c r="N75" s="4"/>
      <c r="O75" s="4"/>
      <c r="P75" s="4"/>
      <c r="Q75" s="4"/>
      <c r="R75" s="4"/>
    </row>
    <row r="76" spans="1:18">
      <c r="A76" s="3" t="s">
        <v>281</v>
      </c>
      <c r="B76" s="3" t="s">
        <v>282</v>
      </c>
      <c r="C76" s="3" t="s">
        <v>283</v>
      </c>
      <c r="D76" s="3" t="s">
        <v>284</v>
      </c>
      <c r="E76" s="3">
        <v>1</v>
      </c>
      <c r="F76" s="3">
        <v>0</v>
      </c>
      <c r="G76" s="3">
        <v>0</v>
      </c>
      <c r="H76" s="3">
        <v>1</v>
      </c>
      <c r="I76" s="4"/>
      <c r="J76" s="4"/>
      <c r="K76" s="4"/>
      <c r="L76" s="4"/>
      <c r="M76" s="4"/>
      <c r="N76" s="4"/>
      <c r="O76" s="4"/>
      <c r="P76" s="4"/>
      <c r="Q76" s="4"/>
      <c r="R76" s="4"/>
    </row>
    <row r="77" spans="1:18">
      <c r="A77" s="3" t="s">
        <v>285</v>
      </c>
      <c r="B77" s="3" t="s">
        <v>286</v>
      </c>
      <c r="C77" s="3" t="s">
        <v>287</v>
      </c>
      <c r="D77" s="3" t="s">
        <v>288</v>
      </c>
      <c r="E77" s="3">
        <v>2</v>
      </c>
      <c r="F77" s="3">
        <v>0</v>
      </c>
      <c r="G77" s="3">
        <v>1</v>
      </c>
      <c r="H77" s="3">
        <v>1</v>
      </c>
      <c r="I77" s="4"/>
      <c r="J77" s="4"/>
      <c r="K77" s="4"/>
      <c r="L77" s="4"/>
      <c r="M77" s="4"/>
      <c r="N77" s="4"/>
      <c r="O77" s="4"/>
      <c r="P77" s="4"/>
      <c r="Q77" s="4"/>
      <c r="R77" s="4"/>
    </row>
    <row r="78" spans="1:18">
      <c r="A78" s="3" t="s">
        <v>289</v>
      </c>
      <c r="B78" s="3" t="s">
        <v>290</v>
      </c>
      <c r="C78" s="3" t="s">
        <v>291</v>
      </c>
      <c r="D78" s="3" t="s">
        <v>292</v>
      </c>
      <c r="E78" s="3">
        <v>5</v>
      </c>
      <c r="F78" s="3">
        <v>0</v>
      </c>
      <c r="G78" s="3">
        <v>5</v>
      </c>
      <c r="H78" s="3">
        <v>0</v>
      </c>
      <c r="I78" s="4"/>
      <c r="J78" s="4"/>
      <c r="K78" s="4"/>
      <c r="L78" s="4"/>
      <c r="M78" s="4"/>
      <c r="N78" s="4"/>
      <c r="O78" s="4"/>
      <c r="P78" s="4"/>
      <c r="Q78" s="4"/>
      <c r="R78" s="4"/>
    </row>
    <row r="79" spans="1:18">
      <c r="A79" s="3" t="s">
        <v>293</v>
      </c>
      <c r="B79" s="3" t="s">
        <v>294</v>
      </c>
      <c r="C79" s="3" t="s">
        <v>295</v>
      </c>
      <c r="D79" s="3" t="s">
        <v>296</v>
      </c>
      <c r="E79" s="3">
        <v>1</v>
      </c>
      <c r="F79" s="3">
        <v>0</v>
      </c>
      <c r="G79" s="3">
        <v>1</v>
      </c>
      <c r="H79" s="3"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</row>
    <row r="80" spans="1:18">
      <c r="A80" s="3" t="s">
        <v>297</v>
      </c>
      <c r="B80" s="3" t="s">
        <v>298</v>
      </c>
      <c r="C80" s="3" t="s">
        <v>299</v>
      </c>
      <c r="D80" s="3" t="s">
        <v>300</v>
      </c>
      <c r="E80" s="3">
        <v>5</v>
      </c>
      <c r="F80" s="3">
        <v>0</v>
      </c>
      <c r="G80" s="3">
        <v>5</v>
      </c>
      <c r="H80" s="3">
        <v>0</v>
      </c>
      <c r="I80" s="4"/>
      <c r="J80" s="4"/>
      <c r="K80" s="4"/>
      <c r="L80" s="4"/>
      <c r="M80" s="4"/>
      <c r="N80" s="4"/>
      <c r="O80" s="4"/>
      <c r="P80" s="4"/>
      <c r="Q80" s="4"/>
      <c r="R80" s="4"/>
    </row>
    <row r="81" spans="1:18">
      <c r="A81" s="3" t="s">
        <v>301</v>
      </c>
      <c r="B81" s="3" t="s">
        <v>302</v>
      </c>
      <c r="C81" s="3" t="s">
        <v>303</v>
      </c>
      <c r="D81" s="3" t="s">
        <v>304</v>
      </c>
      <c r="E81" s="3">
        <v>5</v>
      </c>
      <c r="F81" s="3">
        <v>1</v>
      </c>
      <c r="G81" s="3">
        <v>0</v>
      </c>
      <c r="H81" s="3">
        <v>4</v>
      </c>
      <c r="I81" s="4"/>
      <c r="J81" s="4"/>
      <c r="K81" s="4"/>
      <c r="L81" s="4"/>
      <c r="M81" s="4"/>
      <c r="N81" s="4"/>
      <c r="O81" s="4"/>
      <c r="P81" s="4"/>
      <c r="Q81" s="4"/>
      <c r="R81" s="4"/>
    </row>
    <row r="82" spans="1:18">
      <c r="A82" s="3" t="s">
        <v>305</v>
      </c>
      <c r="B82" s="3" t="s">
        <v>306</v>
      </c>
      <c r="C82" s="3" t="s">
        <v>307</v>
      </c>
      <c r="D82" s="3" t="s">
        <v>308</v>
      </c>
      <c r="E82" s="3">
        <v>2</v>
      </c>
      <c r="F82" s="3">
        <v>0</v>
      </c>
      <c r="G82" s="3">
        <v>1</v>
      </c>
      <c r="H82" s="3">
        <v>1</v>
      </c>
      <c r="I82" s="4"/>
      <c r="J82" s="4"/>
      <c r="K82" s="4"/>
      <c r="L82" s="4"/>
      <c r="M82" s="4"/>
      <c r="N82" s="4"/>
      <c r="O82" s="4"/>
      <c r="P82" s="4"/>
      <c r="Q82" s="4"/>
      <c r="R82" s="4"/>
    </row>
    <row r="83" spans="1:18">
      <c r="A83" s="3" t="s">
        <v>309</v>
      </c>
      <c r="B83" s="3" t="s">
        <v>310</v>
      </c>
      <c r="C83" s="3" t="s">
        <v>311</v>
      </c>
      <c r="D83" s="3" t="s">
        <v>312</v>
      </c>
      <c r="E83" s="3">
        <v>12</v>
      </c>
      <c r="F83" s="3">
        <v>5</v>
      </c>
      <c r="G83" s="3">
        <v>1</v>
      </c>
      <c r="H83" s="3">
        <v>6</v>
      </c>
      <c r="I83" s="4"/>
      <c r="J83" s="4"/>
      <c r="K83" s="4"/>
      <c r="L83" s="4"/>
      <c r="M83" s="4"/>
      <c r="N83" s="4"/>
      <c r="O83" s="4"/>
      <c r="P83" s="4"/>
      <c r="Q83" s="4"/>
      <c r="R83" s="4"/>
    </row>
    <row r="84" spans="1:18">
      <c r="A84" s="3" t="s">
        <v>313</v>
      </c>
      <c r="B84" s="3" t="s">
        <v>314</v>
      </c>
      <c r="C84" s="3" t="s">
        <v>315</v>
      </c>
      <c r="D84" s="3" t="s">
        <v>316</v>
      </c>
      <c r="E84" s="3">
        <v>2</v>
      </c>
      <c r="F84" s="3">
        <v>1</v>
      </c>
      <c r="G84" s="3">
        <v>1</v>
      </c>
      <c r="H84" s="3">
        <v>0</v>
      </c>
      <c r="I84" s="4"/>
      <c r="J84" s="4"/>
      <c r="K84" s="4"/>
      <c r="L84" s="4"/>
      <c r="M84" s="4"/>
      <c r="N84" s="4"/>
      <c r="O84" s="4"/>
      <c r="P84" s="4"/>
      <c r="Q84" s="4"/>
      <c r="R84" s="4"/>
    </row>
    <row r="85" spans="1:18">
      <c r="A85" s="3" t="s">
        <v>317</v>
      </c>
      <c r="B85" s="3" t="s">
        <v>318</v>
      </c>
      <c r="C85" s="3" t="s">
        <v>319</v>
      </c>
      <c r="D85" s="3" t="s">
        <v>320</v>
      </c>
      <c r="E85" s="3">
        <v>1</v>
      </c>
      <c r="F85" s="3">
        <v>0</v>
      </c>
      <c r="G85" s="3">
        <v>1</v>
      </c>
      <c r="H85" s="3"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</row>
    <row r="86" spans="1:18">
      <c r="A86" s="3" t="s">
        <v>321</v>
      </c>
      <c r="B86" s="3" t="s">
        <v>322</v>
      </c>
      <c r="C86" s="3" t="s">
        <v>323</v>
      </c>
      <c r="D86" s="3" t="s">
        <v>324</v>
      </c>
      <c r="E86" s="3">
        <v>5</v>
      </c>
      <c r="F86" s="3">
        <v>0</v>
      </c>
      <c r="G86" s="3">
        <v>5</v>
      </c>
      <c r="H86" s="3">
        <v>0</v>
      </c>
      <c r="I86" s="4"/>
      <c r="J86" s="4"/>
      <c r="K86" s="4"/>
      <c r="L86" s="4"/>
      <c r="M86" s="4"/>
      <c r="N86" s="4"/>
      <c r="O86" s="4"/>
      <c r="P86" s="4"/>
      <c r="Q86" s="4"/>
      <c r="R86" s="4"/>
    </row>
    <row r="87" spans="1:18">
      <c r="A87" s="3" t="s">
        <v>325</v>
      </c>
      <c r="B87" s="3" t="s">
        <v>326</v>
      </c>
      <c r="C87" s="3" t="s">
        <v>327</v>
      </c>
      <c r="D87" s="3" t="s">
        <v>328</v>
      </c>
      <c r="E87" s="3">
        <v>1</v>
      </c>
      <c r="F87" s="3">
        <v>0</v>
      </c>
      <c r="G87" s="3">
        <v>1</v>
      </c>
      <c r="H87" s="3"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</row>
    <row r="88" spans="1:18">
      <c r="A88" s="3" t="s">
        <v>329</v>
      </c>
      <c r="B88" s="3" t="s">
        <v>330</v>
      </c>
      <c r="C88" s="3" t="s">
        <v>331</v>
      </c>
      <c r="D88" s="3" t="s">
        <v>332</v>
      </c>
      <c r="E88" s="3">
        <v>10</v>
      </c>
      <c r="F88" s="3">
        <v>0</v>
      </c>
      <c r="G88" s="3">
        <v>10</v>
      </c>
      <c r="H88" s="3">
        <v>0</v>
      </c>
      <c r="I88" s="4"/>
      <c r="J88" s="4"/>
      <c r="K88" s="4"/>
      <c r="L88" s="4"/>
      <c r="M88" s="4"/>
      <c r="N88" s="4"/>
      <c r="O88" s="4"/>
      <c r="P88" s="4"/>
      <c r="Q88" s="4"/>
      <c r="R88" s="4"/>
    </row>
    <row r="89" spans="1:18">
      <c r="A89" s="3" t="s">
        <v>333</v>
      </c>
      <c r="B89" s="3" t="s">
        <v>334</v>
      </c>
      <c r="C89" s="3" t="s">
        <v>335</v>
      </c>
      <c r="D89" s="3" t="s">
        <v>336</v>
      </c>
      <c r="E89" s="3">
        <v>3</v>
      </c>
      <c r="F89" s="3">
        <v>1</v>
      </c>
      <c r="G89" s="3">
        <v>0</v>
      </c>
      <c r="H89" s="3">
        <v>2</v>
      </c>
      <c r="I89" s="4"/>
      <c r="J89" s="4"/>
      <c r="K89" s="4"/>
      <c r="L89" s="4"/>
      <c r="M89" s="4"/>
      <c r="N89" s="4"/>
      <c r="O89" s="4"/>
      <c r="P89" s="4"/>
      <c r="Q89" s="4"/>
      <c r="R89" s="4"/>
    </row>
    <row r="90" spans="1:18">
      <c r="A90" s="3" t="s">
        <v>337</v>
      </c>
      <c r="B90" s="3" t="s">
        <v>338</v>
      </c>
      <c r="C90" s="3" t="s">
        <v>339</v>
      </c>
      <c r="D90" s="3" t="s">
        <v>340</v>
      </c>
      <c r="E90" s="3">
        <v>5</v>
      </c>
      <c r="F90" s="3">
        <v>0</v>
      </c>
      <c r="G90" s="3">
        <v>5</v>
      </c>
      <c r="H90" s="3">
        <v>0</v>
      </c>
      <c r="I90" s="4"/>
      <c r="J90" s="4"/>
      <c r="K90" s="4"/>
      <c r="L90" s="4"/>
      <c r="M90" s="4"/>
      <c r="N90" s="4"/>
      <c r="O90" s="4"/>
      <c r="P90" s="4"/>
      <c r="Q90" s="4"/>
      <c r="R90" s="4"/>
    </row>
    <row r="91" spans="1:18">
      <c r="A91" s="3" t="s">
        <v>341</v>
      </c>
      <c r="B91" s="3" t="s">
        <v>342</v>
      </c>
      <c r="C91" s="3" t="s">
        <v>343</v>
      </c>
      <c r="D91" s="3" t="s">
        <v>344</v>
      </c>
      <c r="E91" s="3">
        <v>2</v>
      </c>
      <c r="F91" s="3">
        <v>0</v>
      </c>
      <c r="G91" s="3">
        <v>0</v>
      </c>
      <c r="H91" s="3">
        <v>2</v>
      </c>
      <c r="I91" s="4"/>
      <c r="J91" s="4"/>
      <c r="K91" s="4"/>
      <c r="L91" s="4"/>
      <c r="M91" s="4"/>
      <c r="N91" s="4"/>
      <c r="O91" s="4"/>
      <c r="P91" s="4"/>
      <c r="Q91" s="4"/>
      <c r="R91" s="4"/>
    </row>
    <row r="92" spans="1:18">
      <c r="A92" s="3" t="s">
        <v>345</v>
      </c>
      <c r="B92" s="3" t="s">
        <v>346</v>
      </c>
      <c r="C92" s="3" t="s">
        <v>347</v>
      </c>
      <c r="D92" s="3" t="s">
        <v>348</v>
      </c>
      <c r="E92" s="3">
        <v>4</v>
      </c>
      <c r="F92" s="3">
        <v>2</v>
      </c>
      <c r="G92" s="3">
        <v>0</v>
      </c>
      <c r="H92" s="3">
        <v>2</v>
      </c>
      <c r="I92" s="4"/>
      <c r="J92" s="4"/>
      <c r="K92" s="4"/>
      <c r="L92" s="4"/>
      <c r="M92" s="4"/>
      <c r="N92" s="4"/>
      <c r="O92" s="4"/>
      <c r="P92" s="4"/>
      <c r="Q92" s="4"/>
      <c r="R92" s="4"/>
    </row>
    <row r="93" spans="1:18">
      <c r="A93" s="3" t="s">
        <v>349</v>
      </c>
      <c r="B93" s="3" t="s">
        <v>350</v>
      </c>
      <c r="C93" s="3" t="s">
        <v>351</v>
      </c>
      <c r="D93" s="3" t="s">
        <v>352</v>
      </c>
      <c r="E93" s="3">
        <v>6</v>
      </c>
      <c r="F93" s="3">
        <v>2</v>
      </c>
      <c r="G93" s="3">
        <v>1</v>
      </c>
      <c r="H93" s="3">
        <v>3</v>
      </c>
      <c r="I93" s="4"/>
      <c r="J93" s="4"/>
      <c r="K93" s="4"/>
      <c r="L93" s="4"/>
      <c r="M93" s="4"/>
      <c r="N93" s="4"/>
      <c r="O93" s="4"/>
      <c r="P93" s="4"/>
      <c r="Q93" s="4"/>
      <c r="R93" s="4"/>
    </row>
    <row r="94" spans="1:18">
      <c r="A94" s="3" t="s">
        <v>353</v>
      </c>
      <c r="B94" s="3" t="s">
        <v>354</v>
      </c>
      <c r="C94" s="3" t="s">
        <v>355</v>
      </c>
      <c r="D94" s="3" t="s">
        <v>356</v>
      </c>
      <c r="E94" s="3">
        <v>2</v>
      </c>
      <c r="F94" s="3">
        <v>1</v>
      </c>
      <c r="G94" s="3">
        <v>1</v>
      </c>
      <c r="H94" s="3">
        <v>0</v>
      </c>
      <c r="I94" s="4"/>
      <c r="J94" s="4"/>
      <c r="K94" s="4"/>
      <c r="L94" s="4"/>
      <c r="M94" s="4"/>
      <c r="N94" s="4"/>
      <c r="O94" s="4"/>
      <c r="P94" s="4"/>
      <c r="Q94" s="4"/>
      <c r="R94" s="4"/>
    </row>
    <row r="95" spans="1:18">
      <c r="A95" s="3" t="s">
        <v>357</v>
      </c>
      <c r="B95" s="3" t="s">
        <v>358</v>
      </c>
      <c r="C95" s="3" t="s">
        <v>359</v>
      </c>
      <c r="D95" s="3" t="s">
        <v>360</v>
      </c>
      <c r="E95" s="3">
        <v>6</v>
      </c>
      <c r="F95" s="3">
        <v>1</v>
      </c>
      <c r="G95" s="3">
        <v>1</v>
      </c>
      <c r="H95" s="3">
        <v>4</v>
      </c>
      <c r="I95" s="4"/>
      <c r="J95" s="4"/>
      <c r="K95" s="4"/>
      <c r="L95" s="4"/>
      <c r="M95" s="4"/>
      <c r="N95" s="4"/>
      <c r="O95" s="4"/>
      <c r="P95" s="4"/>
      <c r="Q95" s="4"/>
      <c r="R95" s="4"/>
    </row>
    <row r="96" spans="1:18">
      <c r="A96" s="3" t="s">
        <v>361</v>
      </c>
      <c r="B96" s="3" t="s">
        <v>362</v>
      </c>
      <c r="C96" s="3" t="s">
        <v>363</v>
      </c>
      <c r="D96" s="3" t="s">
        <v>364</v>
      </c>
      <c r="E96" s="3">
        <v>1</v>
      </c>
      <c r="F96" s="3">
        <v>1</v>
      </c>
      <c r="G96" s="3">
        <v>0</v>
      </c>
      <c r="H96" s="3">
        <v>0</v>
      </c>
      <c r="I96" s="4"/>
      <c r="J96" s="4"/>
      <c r="K96" s="4"/>
      <c r="L96" s="4"/>
      <c r="M96" s="4"/>
      <c r="N96" s="4"/>
      <c r="O96" s="4"/>
      <c r="P96" s="4"/>
      <c r="Q96" s="4"/>
      <c r="R96" s="4"/>
    </row>
    <row r="97" spans="1:18">
      <c r="A97" s="3" t="s">
        <v>365</v>
      </c>
      <c r="B97" s="3" t="s">
        <v>366</v>
      </c>
      <c r="C97" s="3" t="s">
        <v>367</v>
      </c>
      <c r="D97" s="3" t="s">
        <v>368</v>
      </c>
      <c r="E97" s="3">
        <v>9</v>
      </c>
      <c r="F97" s="3">
        <v>2</v>
      </c>
      <c r="G97" s="3">
        <v>2</v>
      </c>
      <c r="H97" s="3">
        <v>5</v>
      </c>
      <c r="I97" s="4"/>
      <c r="J97" s="4"/>
      <c r="K97" s="4"/>
      <c r="L97" s="4"/>
      <c r="M97" s="4"/>
      <c r="N97" s="4"/>
      <c r="O97" s="4"/>
      <c r="P97" s="4"/>
      <c r="Q97" s="4"/>
      <c r="R97" s="4"/>
    </row>
    <row r="98" spans="1:18">
      <c r="A98" s="3" t="s">
        <v>369</v>
      </c>
      <c r="B98" s="3" t="s">
        <v>370</v>
      </c>
      <c r="C98" s="3" t="s">
        <v>371</v>
      </c>
      <c r="D98" s="3" t="s">
        <v>372</v>
      </c>
      <c r="E98" s="3">
        <v>10</v>
      </c>
      <c r="F98" s="3">
        <v>4</v>
      </c>
      <c r="G98" s="3">
        <v>1</v>
      </c>
      <c r="H98" s="3">
        <v>5</v>
      </c>
      <c r="I98" s="4"/>
      <c r="J98" s="4"/>
      <c r="K98" s="4"/>
      <c r="L98" s="4"/>
      <c r="M98" s="4"/>
      <c r="N98" s="4"/>
      <c r="O98" s="4"/>
      <c r="P98" s="4"/>
      <c r="Q98" s="4"/>
      <c r="R98" s="4"/>
    </row>
    <row r="99" spans="1:18">
      <c r="A99" s="3" t="s">
        <v>373</v>
      </c>
      <c r="B99" s="3" t="s">
        <v>374</v>
      </c>
      <c r="C99" s="3" t="s">
        <v>375</v>
      </c>
      <c r="D99" s="3" t="s">
        <v>376</v>
      </c>
      <c r="E99" s="3">
        <v>3</v>
      </c>
      <c r="F99" s="3">
        <v>1</v>
      </c>
      <c r="G99" s="3">
        <v>0</v>
      </c>
      <c r="H99" s="3">
        <v>2</v>
      </c>
      <c r="I99" s="4"/>
      <c r="J99" s="4"/>
      <c r="K99" s="4"/>
      <c r="L99" s="4"/>
      <c r="M99" s="4"/>
      <c r="N99" s="4"/>
      <c r="O99" s="4"/>
      <c r="P99" s="4"/>
      <c r="Q99" s="4"/>
      <c r="R99" s="4"/>
    </row>
    <row r="100" spans="1:18">
      <c r="A100" s="3" t="s">
        <v>377</v>
      </c>
      <c r="B100" s="3" t="s">
        <v>378</v>
      </c>
      <c r="C100" s="3" t="s">
        <v>379</v>
      </c>
      <c r="D100" s="3" t="s">
        <v>380</v>
      </c>
      <c r="E100" s="3">
        <v>21</v>
      </c>
      <c r="F100" s="3">
        <v>6</v>
      </c>
      <c r="G100" s="3">
        <v>6</v>
      </c>
      <c r="H100" s="3">
        <v>9</v>
      </c>
      <c r="I100" s="4"/>
      <c r="J100" s="4"/>
      <c r="K100" s="4"/>
      <c r="L100" s="4"/>
      <c r="M100" s="4"/>
      <c r="N100" s="4"/>
      <c r="O100" s="4"/>
      <c r="P100" s="4"/>
      <c r="Q100" s="4"/>
      <c r="R100" s="4"/>
    </row>
    <row r="101" spans="1:18">
      <c r="A101" s="3" t="s">
        <v>381</v>
      </c>
      <c r="B101" s="3" t="s">
        <v>382</v>
      </c>
      <c r="C101" s="3" t="s">
        <v>383</v>
      </c>
      <c r="D101" s="3" t="s">
        <v>384</v>
      </c>
      <c r="E101" s="3">
        <v>6</v>
      </c>
      <c r="F101" s="3">
        <v>1</v>
      </c>
      <c r="G101" s="3">
        <v>2</v>
      </c>
      <c r="H101" s="3">
        <v>3</v>
      </c>
      <c r="I101" s="4"/>
      <c r="J101" s="4"/>
      <c r="K101" s="4"/>
      <c r="L101" s="4"/>
      <c r="M101" s="4"/>
      <c r="N101" s="4"/>
      <c r="O101" s="4"/>
      <c r="P101" s="4"/>
      <c r="Q101" s="4"/>
      <c r="R101" s="4"/>
    </row>
    <row r="102" spans="1:18">
      <c r="A102" s="3" t="s">
        <v>385</v>
      </c>
      <c r="B102" s="3" t="s">
        <v>386</v>
      </c>
      <c r="C102" s="3" t="s">
        <v>387</v>
      </c>
      <c r="D102" s="3" t="s">
        <v>388</v>
      </c>
      <c r="E102" s="3">
        <v>7</v>
      </c>
      <c r="F102" s="3">
        <v>0</v>
      </c>
      <c r="G102" s="3">
        <v>1</v>
      </c>
      <c r="H102" s="3">
        <v>6</v>
      </c>
      <c r="I102" s="4"/>
      <c r="J102" s="4"/>
      <c r="K102" s="4"/>
      <c r="L102" s="4"/>
      <c r="M102" s="4"/>
      <c r="N102" s="4"/>
      <c r="O102" s="4"/>
      <c r="P102" s="4"/>
      <c r="Q102" s="4"/>
      <c r="R102" s="4"/>
    </row>
    <row r="103" spans="1:18">
      <c r="A103" s="3" t="s">
        <v>389</v>
      </c>
      <c r="B103" s="3" t="s">
        <v>390</v>
      </c>
      <c r="C103" s="3" t="s">
        <v>391</v>
      </c>
      <c r="D103" s="3" t="s">
        <v>392</v>
      </c>
      <c r="E103" s="3">
        <v>1</v>
      </c>
      <c r="F103" s="3">
        <v>0</v>
      </c>
      <c r="G103" s="3">
        <v>0</v>
      </c>
      <c r="H103" s="3">
        <v>1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</row>
    <row r="104" spans="1:18">
      <c r="A104" s="3" t="s">
        <v>393</v>
      </c>
      <c r="B104" s="3" t="s">
        <v>394</v>
      </c>
      <c r="C104" s="3" t="s">
        <v>395</v>
      </c>
      <c r="D104" s="3" t="s">
        <v>396</v>
      </c>
      <c r="E104" s="3">
        <v>2</v>
      </c>
      <c r="F104" s="3">
        <v>2</v>
      </c>
      <c r="G104" s="3">
        <v>0</v>
      </c>
      <c r="H104" s="3">
        <v>0</v>
      </c>
      <c r="I104" s="4"/>
      <c r="J104" s="4"/>
      <c r="K104" s="4"/>
      <c r="L104" s="4"/>
      <c r="M104" s="4"/>
      <c r="N104" s="4"/>
      <c r="O104" s="4"/>
      <c r="P104" s="4"/>
      <c r="Q104" s="4"/>
      <c r="R104" s="4"/>
    </row>
    <row r="105" spans="1:18">
      <c r="A105" s="3" t="s">
        <v>397</v>
      </c>
      <c r="B105" s="3" t="s">
        <v>12</v>
      </c>
      <c r="C105" s="3" t="s">
        <v>12</v>
      </c>
      <c r="D105" s="3" t="s">
        <v>13</v>
      </c>
      <c r="E105" s="3">
        <v>2</v>
      </c>
      <c r="F105" s="3">
        <v>1</v>
      </c>
      <c r="G105" s="3">
        <v>1</v>
      </c>
      <c r="H105" s="3"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</row>
    <row r="106" spans="1:18">
      <c r="A106" s="3" t="s">
        <v>398</v>
      </c>
      <c r="B106" s="3" t="s">
        <v>15</v>
      </c>
      <c r="C106" s="3" t="s">
        <v>15</v>
      </c>
      <c r="D106" s="3" t="s">
        <v>16</v>
      </c>
      <c r="E106" s="3">
        <v>1</v>
      </c>
      <c r="F106" s="3">
        <v>0</v>
      </c>
      <c r="G106" s="3">
        <v>0</v>
      </c>
      <c r="H106" s="3">
        <v>1</v>
      </c>
      <c r="I106" s="4"/>
      <c r="J106" s="4"/>
      <c r="K106" s="4"/>
      <c r="L106" s="4"/>
      <c r="M106" s="4"/>
      <c r="N106" s="4"/>
      <c r="O106" s="4"/>
      <c r="P106" s="4"/>
      <c r="Q106" s="4"/>
      <c r="R106" s="4"/>
    </row>
    <row r="107" spans="1:18">
      <c r="A107" s="3" t="s">
        <v>399</v>
      </c>
      <c r="B107" s="3" t="s">
        <v>18</v>
      </c>
      <c r="C107" s="3" t="s">
        <v>18</v>
      </c>
      <c r="D107" s="3" t="s">
        <v>19</v>
      </c>
      <c r="E107" s="3">
        <v>1</v>
      </c>
      <c r="F107" s="3">
        <v>0</v>
      </c>
      <c r="G107" s="3">
        <v>0</v>
      </c>
      <c r="H107" s="3">
        <v>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</row>
    <row r="108" spans="1:18">
      <c r="A108" s="3" t="s">
        <v>400</v>
      </c>
      <c r="B108" s="3" t="s">
        <v>9</v>
      </c>
      <c r="C108" s="3" t="s">
        <v>9</v>
      </c>
      <c r="D108" s="3" t="s">
        <v>10</v>
      </c>
      <c r="E108" s="3">
        <v>1</v>
      </c>
      <c r="F108" s="3">
        <v>0</v>
      </c>
      <c r="G108" s="3">
        <v>0</v>
      </c>
      <c r="H108" s="3">
        <v>1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</row>
    <row r="109" spans="1:18">
      <c r="A109" s="3" t="s">
        <v>401</v>
      </c>
      <c r="B109" s="3" t="s">
        <v>24</v>
      </c>
      <c r="C109" s="3" t="s">
        <v>24</v>
      </c>
      <c r="D109" s="3" t="s">
        <v>25</v>
      </c>
      <c r="E109" s="3">
        <v>1</v>
      </c>
      <c r="F109" s="3">
        <v>1</v>
      </c>
      <c r="G109" s="3">
        <v>0</v>
      </c>
      <c r="H109" s="3"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</row>
    <row r="110" spans="1:18">
      <c r="A110" s="3" t="s">
        <v>402</v>
      </c>
      <c r="B110" s="3" t="s">
        <v>403</v>
      </c>
      <c r="C110" s="3" t="s">
        <v>403</v>
      </c>
      <c r="D110" s="3" t="s">
        <v>404</v>
      </c>
      <c r="E110" s="3">
        <v>2</v>
      </c>
      <c r="F110" s="3">
        <v>1</v>
      </c>
      <c r="G110" s="3">
        <v>1</v>
      </c>
      <c r="H110" s="3">
        <v>0</v>
      </c>
      <c r="I110" s="4"/>
      <c r="J110" s="4"/>
      <c r="K110" s="4"/>
      <c r="L110" s="4"/>
      <c r="M110" s="4"/>
      <c r="N110" s="4"/>
      <c r="O110" s="4"/>
      <c r="P110" s="4"/>
      <c r="Q110" s="4"/>
      <c r="R110" s="4"/>
    </row>
    <row r="111" spans="1:18">
      <c r="A111" s="3" t="s">
        <v>405</v>
      </c>
      <c r="B111" s="3" t="s">
        <v>406</v>
      </c>
      <c r="C111" s="3" t="s">
        <v>407</v>
      </c>
      <c r="D111" s="3" t="s">
        <v>408</v>
      </c>
      <c r="E111" s="3">
        <v>5</v>
      </c>
      <c r="F111" s="3">
        <v>0</v>
      </c>
      <c r="G111" s="3">
        <v>5</v>
      </c>
      <c r="H111" s="3"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</row>
    <row r="112" spans="1:18">
      <c r="A112" s="3" t="s">
        <v>409</v>
      </c>
      <c r="B112" s="3" t="s">
        <v>410</v>
      </c>
      <c r="C112" s="3" t="s">
        <v>410</v>
      </c>
      <c r="D112" s="3" t="s">
        <v>411</v>
      </c>
      <c r="E112" s="3">
        <v>1</v>
      </c>
      <c r="F112" s="3">
        <v>0</v>
      </c>
      <c r="G112" s="3">
        <v>0</v>
      </c>
      <c r="H112" s="3">
        <v>1</v>
      </c>
      <c r="I112" s="4"/>
      <c r="J112" s="4"/>
      <c r="K112" s="4"/>
      <c r="L112" s="4"/>
      <c r="M112" s="4"/>
      <c r="N112" s="4"/>
      <c r="O112" s="4"/>
      <c r="P112" s="4"/>
      <c r="Q112" s="4"/>
      <c r="R112" s="4"/>
    </row>
    <row r="113" spans="1:18">
      <c r="A113" s="3" t="s">
        <v>412</v>
      </c>
      <c r="B113" s="3" t="s">
        <v>413</v>
      </c>
      <c r="C113" s="3" t="s">
        <v>413</v>
      </c>
      <c r="D113" s="3" t="s">
        <v>414</v>
      </c>
      <c r="E113" s="3">
        <v>2</v>
      </c>
      <c r="F113" s="3">
        <v>1</v>
      </c>
      <c r="G113" s="3">
        <v>1</v>
      </c>
      <c r="H113" s="3">
        <v>0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</row>
    <row r="114" spans="1:18">
      <c r="A114" s="3" t="s">
        <v>415</v>
      </c>
      <c r="B114" s="3" t="s">
        <v>416</v>
      </c>
      <c r="C114" s="3" t="s">
        <v>416</v>
      </c>
      <c r="D114" s="3" t="s">
        <v>417</v>
      </c>
      <c r="E114" s="3">
        <v>1</v>
      </c>
      <c r="F114" s="3">
        <v>0</v>
      </c>
      <c r="G114" s="3">
        <v>0</v>
      </c>
      <c r="H114" s="3">
        <v>1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</row>
    <row r="115" spans="1:18">
      <c r="A115" s="3" t="s">
        <v>418</v>
      </c>
      <c r="B115" s="3" t="s">
        <v>419</v>
      </c>
      <c r="C115" s="3" t="s">
        <v>420</v>
      </c>
      <c r="D115" s="3" t="s">
        <v>421</v>
      </c>
      <c r="E115" s="3">
        <v>4</v>
      </c>
      <c r="F115" s="3">
        <v>0</v>
      </c>
      <c r="G115" s="3">
        <v>4</v>
      </c>
      <c r="H115" s="3"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</row>
    <row r="116" spans="1:18">
      <c r="A116" s="3" t="s">
        <v>422</v>
      </c>
      <c r="B116" s="3" t="s">
        <v>21</v>
      </c>
      <c r="C116" s="3" t="s">
        <v>21</v>
      </c>
      <c r="D116" s="3" t="s">
        <v>22</v>
      </c>
      <c r="E116" s="3">
        <v>1</v>
      </c>
      <c r="F116" s="3">
        <v>1</v>
      </c>
      <c r="G116" s="3">
        <v>0</v>
      </c>
      <c r="H116" s="3">
        <v>0</v>
      </c>
      <c r="I116" s="4"/>
      <c r="J116" s="4"/>
      <c r="K116" s="4"/>
      <c r="L116" s="4"/>
      <c r="M116" s="4"/>
      <c r="N116" s="4"/>
      <c r="O116" s="4"/>
      <c r="P116" s="4"/>
      <c r="Q116" s="4"/>
      <c r="R116" s="4"/>
    </row>
    <row r="117" spans="1:18">
      <c r="A117" s="3" t="s">
        <v>423</v>
      </c>
      <c r="B117" s="3" t="s">
        <v>424</v>
      </c>
      <c r="C117" s="3" t="s">
        <v>424</v>
      </c>
      <c r="D117" s="3" t="s">
        <v>425</v>
      </c>
      <c r="E117" s="3">
        <v>1</v>
      </c>
      <c r="F117" s="3">
        <v>1</v>
      </c>
      <c r="G117" s="3">
        <v>0</v>
      </c>
      <c r="H117" s="3"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</row>
    <row r="118" spans="1:18">
      <c r="A118" s="3" t="s">
        <v>426</v>
      </c>
      <c r="B118" s="3" t="s">
        <v>427</v>
      </c>
      <c r="C118" s="3" t="s">
        <v>427</v>
      </c>
      <c r="D118" s="3" t="s">
        <v>428</v>
      </c>
      <c r="E118" s="3">
        <v>4</v>
      </c>
      <c r="F118" s="3">
        <v>1</v>
      </c>
      <c r="G118" s="3">
        <v>3</v>
      </c>
      <c r="H118" s="3">
        <v>0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</row>
    <row r="119" spans="1:18">
      <c r="A119" s="3" t="s">
        <v>429</v>
      </c>
      <c r="B119" s="3" t="s">
        <v>430</v>
      </c>
      <c r="C119" s="3" t="s">
        <v>431</v>
      </c>
      <c r="D119" s="3" t="s">
        <v>432</v>
      </c>
      <c r="E119" s="3">
        <v>5</v>
      </c>
      <c r="F119" s="3">
        <v>0</v>
      </c>
      <c r="G119" s="3">
        <v>5</v>
      </c>
      <c r="H119" s="3">
        <v>0</v>
      </c>
      <c r="I119" s="4"/>
      <c r="J119" s="4"/>
      <c r="K119" s="4"/>
      <c r="L119" s="4"/>
      <c r="M119" s="4"/>
      <c r="N119" s="4"/>
      <c r="O119" s="4"/>
      <c r="P119" s="4"/>
      <c r="Q119" s="4"/>
      <c r="R119" s="4"/>
    </row>
    <row r="120" spans="1:18">
      <c r="A120" s="3" t="s">
        <v>433</v>
      </c>
      <c r="B120" s="3" t="s">
        <v>434</v>
      </c>
      <c r="C120" s="3" t="s">
        <v>434</v>
      </c>
      <c r="D120" s="3" t="s">
        <v>435</v>
      </c>
      <c r="E120" s="3">
        <v>3</v>
      </c>
      <c r="F120" s="3">
        <v>1</v>
      </c>
      <c r="G120" s="3">
        <v>2</v>
      </c>
      <c r="H120" s="3">
        <v>0</v>
      </c>
      <c r="I120" s="4"/>
      <c r="J120" s="4"/>
      <c r="K120" s="4"/>
      <c r="L120" s="4"/>
      <c r="M120" s="4"/>
      <c r="N120" s="4"/>
      <c r="O120" s="4"/>
      <c r="P120" s="4"/>
      <c r="Q120" s="4"/>
      <c r="R120" s="4"/>
    </row>
    <row r="121" spans="1:18">
      <c r="A121" s="3" t="s">
        <v>436</v>
      </c>
      <c r="B121" s="3" t="s">
        <v>437</v>
      </c>
      <c r="C121" s="3" t="s">
        <v>438</v>
      </c>
      <c r="D121" s="3" t="s">
        <v>439</v>
      </c>
      <c r="E121" s="3">
        <v>1</v>
      </c>
      <c r="F121" s="3">
        <v>0</v>
      </c>
      <c r="G121" s="3">
        <v>0</v>
      </c>
      <c r="H121" s="3">
        <v>1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</row>
    <row r="122" spans="1:18">
      <c r="A122" s="3" t="s">
        <v>440</v>
      </c>
      <c r="B122" s="3" t="s">
        <v>441</v>
      </c>
      <c r="C122" s="3" t="s">
        <v>442</v>
      </c>
      <c r="D122" s="3" t="s">
        <v>443</v>
      </c>
      <c r="E122" s="3">
        <v>4</v>
      </c>
      <c r="F122" s="3">
        <v>1</v>
      </c>
      <c r="G122" s="3">
        <v>1</v>
      </c>
      <c r="H122" s="3">
        <v>2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</row>
    <row r="123" spans="1:18">
      <c r="A123" s="3" t="s">
        <v>444</v>
      </c>
      <c r="B123" s="3" t="s">
        <v>445</v>
      </c>
      <c r="C123" s="3" t="s">
        <v>445</v>
      </c>
      <c r="D123" s="3" t="s">
        <v>446</v>
      </c>
      <c r="E123" s="3">
        <v>1</v>
      </c>
      <c r="F123" s="3">
        <v>0</v>
      </c>
      <c r="G123" s="3">
        <v>0</v>
      </c>
      <c r="H123" s="3">
        <v>1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</row>
    <row r="124" spans="1:18">
      <c r="A124" s="3" t="s">
        <v>447</v>
      </c>
      <c r="B124" s="3" t="s">
        <v>448</v>
      </c>
      <c r="C124" s="3" t="s">
        <v>449</v>
      </c>
      <c r="D124" s="3" t="s">
        <v>450</v>
      </c>
      <c r="E124" s="3">
        <v>11</v>
      </c>
      <c r="F124" s="3">
        <v>0</v>
      </c>
      <c r="G124" s="3">
        <v>11</v>
      </c>
      <c r="H124" s="3">
        <v>0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</row>
    <row r="125" spans="1:18">
      <c r="A125" s="3" t="s">
        <v>451</v>
      </c>
      <c r="B125" s="3" t="s">
        <v>452</v>
      </c>
      <c r="C125" s="3" t="s">
        <v>453</v>
      </c>
      <c r="D125" s="3" t="s">
        <v>454</v>
      </c>
      <c r="E125" s="3">
        <v>5</v>
      </c>
      <c r="F125" s="3">
        <v>0</v>
      </c>
      <c r="G125" s="3">
        <v>4</v>
      </c>
      <c r="H125" s="3">
        <v>1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</row>
    <row r="126" spans="1:18">
      <c r="A126" s="3" t="s">
        <v>455</v>
      </c>
      <c r="B126" s="3" t="s">
        <v>456</v>
      </c>
      <c r="C126" s="3" t="s">
        <v>457</v>
      </c>
      <c r="D126" s="3" t="s">
        <v>458</v>
      </c>
      <c r="E126" s="3">
        <v>5</v>
      </c>
      <c r="F126" s="3">
        <v>0</v>
      </c>
      <c r="G126" s="3">
        <v>5</v>
      </c>
      <c r="H126" s="3">
        <v>0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</row>
    <row r="127" spans="1:18">
      <c r="A127" s="3" t="s">
        <v>459</v>
      </c>
      <c r="B127" s="3" t="s">
        <v>460</v>
      </c>
      <c r="C127" s="3" t="s">
        <v>461</v>
      </c>
      <c r="D127" s="3" t="s">
        <v>462</v>
      </c>
      <c r="E127" s="3">
        <v>16</v>
      </c>
      <c r="F127" s="3">
        <v>1</v>
      </c>
      <c r="G127" s="3">
        <v>14</v>
      </c>
      <c r="H127" s="3">
        <v>1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</row>
    <row r="128" spans="1:18">
      <c r="A128" s="3" t="s">
        <v>463</v>
      </c>
      <c r="B128" s="3" t="s">
        <v>464</v>
      </c>
      <c r="C128" s="3" t="s">
        <v>465</v>
      </c>
      <c r="D128" s="3" t="s">
        <v>466</v>
      </c>
      <c r="E128" s="3">
        <v>11</v>
      </c>
      <c r="F128" s="3">
        <v>0</v>
      </c>
      <c r="G128" s="3">
        <v>10</v>
      </c>
      <c r="H128" s="3">
        <v>1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</row>
    <row r="129" spans="1:18">
      <c r="A129" s="3" t="s">
        <v>467</v>
      </c>
      <c r="B129" s="3" t="s">
        <v>468</v>
      </c>
      <c r="C129" s="3" t="s">
        <v>469</v>
      </c>
      <c r="D129" s="3" t="s">
        <v>470</v>
      </c>
      <c r="E129" s="3">
        <v>1</v>
      </c>
      <c r="F129" s="3">
        <v>1</v>
      </c>
      <c r="G129" s="3">
        <v>0</v>
      </c>
      <c r="H129" s="3"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</row>
    <row r="130" spans="1:18">
      <c r="A130" s="3" t="s">
        <v>471</v>
      </c>
      <c r="B130" s="3" t="s">
        <v>472</v>
      </c>
      <c r="C130" s="3" t="s">
        <v>473</v>
      </c>
      <c r="D130" s="3" t="s">
        <v>474</v>
      </c>
      <c r="E130" s="3">
        <v>8</v>
      </c>
      <c r="F130" s="3">
        <v>0</v>
      </c>
      <c r="G130" s="3">
        <v>8</v>
      </c>
      <c r="H130" s="3">
        <v>0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</row>
    <row r="131" spans="1:18">
      <c r="A131" s="3" t="s">
        <v>475</v>
      </c>
      <c r="B131" s="3" t="s">
        <v>476</v>
      </c>
      <c r="C131" s="3" t="s">
        <v>476</v>
      </c>
      <c r="D131" s="3" t="s">
        <v>477</v>
      </c>
      <c r="E131" s="3">
        <v>1</v>
      </c>
      <c r="F131" s="3">
        <v>1</v>
      </c>
      <c r="G131" s="3">
        <v>0</v>
      </c>
      <c r="H131" s="3">
        <v>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</row>
    <row r="132" spans="1:18">
      <c r="A132" s="3" t="s">
        <v>478</v>
      </c>
      <c r="B132" s="3" t="s">
        <v>479</v>
      </c>
      <c r="C132" s="3" t="s">
        <v>480</v>
      </c>
      <c r="D132" s="3" t="s">
        <v>481</v>
      </c>
      <c r="E132" s="3">
        <v>24</v>
      </c>
      <c r="F132" s="3">
        <v>2</v>
      </c>
      <c r="G132" s="3">
        <v>20</v>
      </c>
      <c r="H132" s="3">
        <v>2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</row>
    <row r="133" spans="1:18">
      <c r="A133" s="3" t="s">
        <v>482</v>
      </c>
      <c r="B133" s="3" t="s">
        <v>483</v>
      </c>
      <c r="C133" s="3" t="s">
        <v>483</v>
      </c>
      <c r="D133" s="3" t="s">
        <v>484</v>
      </c>
      <c r="E133" s="3">
        <v>1</v>
      </c>
      <c r="F133" s="3">
        <v>0</v>
      </c>
      <c r="G133" s="3">
        <v>0</v>
      </c>
      <c r="H133" s="3">
        <v>1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</row>
    <row r="134" spans="1:18">
      <c r="A134" s="3" t="s">
        <v>485</v>
      </c>
      <c r="B134" s="3" t="s">
        <v>486</v>
      </c>
      <c r="C134" s="3" t="s">
        <v>486</v>
      </c>
      <c r="D134" s="3" t="s">
        <v>487</v>
      </c>
      <c r="E134" s="3">
        <v>3</v>
      </c>
      <c r="F134" s="3">
        <v>1</v>
      </c>
      <c r="G134" s="3">
        <v>1</v>
      </c>
      <c r="H134" s="3">
        <v>1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</row>
    <row r="135" spans="1:18">
      <c r="A135" s="3" t="s">
        <v>488</v>
      </c>
      <c r="B135" s="3" t="s">
        <v>489</v>
      </c>
      <c r="C135" s="3" t="s">
        <v>489</v>
      </c>
      <c r="D135" s="3" t="s">
        <v>490</v>
      </c>
      <c r="E135" s="3">
        <v>1</v>
      </c>
      <c r="F135" s="3">
        <v>1</v>
      </c>
      <c r="G135" s="3">
        <v>0</v>
      </c>
      <c r="H135" s="3"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</row>
    <row r="136" spans="1:18">
      <c r="A136" s="3" t="s">
        <v>491</v>
      </c>
      <c r="B136" s="3" t="s">
        <v>492</v>
      </c>
      <c r="C136" s="3" t="s">
        <v>492</v>
      </c>
      <c r="D136" s="3" t="s">
        <v>493</v>
      </c>
      <c r="E136" s="3">
        <v>1</v>
      </c>
      <c r="F136" s="3">
        <v>0</v>
      </c>
      <c r="G136" s="3">
        <v>0</v>
      </c>
      <c r="H136" s="3">
        <v>1</v>
      </c>
      <c r="I136" s="4"/>
      <c r="J136" s="4"/>
      <c r="K136" s="4"/>
      <c r="L136" s="4"/>
      <c r="M136" s="4"/>
      <c r="N136" s="4"/>
      <c r="O136" s="4"/>
      <c r="P136" s="4"/>
      <c r="Q136" s="4"/>
      <c r="R136" s="4"/>
    </row>
    <row r="137" spans="1:18">
      <c r="A137" s="3" t="s">
        <v>494</v>
      </c>
      <c r="B137" s="3" t="s">
        <v>495</v>
      </c>
      <c r="C137" s="3" t="s">
        <v>495</v>
      </c>
      <c r="D137" s="3" t="s">
        <v>496</v>
      </c>
      <c r="E137" s="3">
        <v>1</v>
      </c>
      <c r="F137" s="3">
        <v>0</v>
      </c>
      <c r="G137" s="3">
        <v>0</v>
      </c>
      <c r="H137" s="3">
        <v>1</v>
      </c>
      <c r="I137" s="4"/>
      <c r="J137" s="4"/>
      <c r="K137" s="4"/>
      <c r="L137" s="4"/>
      <c r="M137" s="4"/>
      <c r="N137" s="4"/>
      <c r="O137" s="4"/>
      <c r="P137" s="4"/>
      <c r="Q137" s="4"/>
      <c r="R137" s="4"/>
    </row>
    <row r="138" spans="1:18">
      <c r="A138" s="3" t="s">
        <v>497</v>
      </c>
      <c r="B138" s="3" t="s">
        <v>498</v>
      </c>
      <c r="C138" s="3" t="s">
        <v>498</v>
      </c>
      <c r="D138" s="3" t="s">
        <v>499</v>
      </c>
      <c r="E138" s="3">
        <v>2</v>
      </c>
      <c r="F138" s="3">
        <v>1</v>
      </c>
      <c r="G138" s="3">
        <v>1</v>
      </c>
      <c r="H138" s="3"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</row>
    <row r="139" spans="1:18">
      <c r="A139" s="3" t="s">
        <v>500</v>
      </c>
      <c r="B139" s="3" t="s">
        <v>501</v>
      </c>
      <c r="C139" s="3" t="s">
        <v>501</v>
      </c>
      <c r="D139" s="3" t="s">
        <v>502</v>
      </c>
      <c r="E139" s="3">
        <v>1</v>
      </c>
      <c r="F139" s="3">
        <v>1</v>
      </c>
      <c r="G139" s="3">
        <v>0</v>
      </c>
      <c r="H139" s="3"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</row>
    <row r="140" spans="1:18">
      <c r="A140" s="3" t="s">
        <v>503</v>
      </c>
      <c r="B140" s="3" t="s">
        <v>504</v>
      </c>
      <c r="C140" s="3" t="s">
        <v>504</v>
      </c>
      <c r="D140" s="3" t="s">
        <v>505</v>
      </c>
      <c r="E140" s="3">
        <v>2</v>
      </c>
      <c r="F140" s="3">
        <v>1</v>
      </c>
      <c r="G140" s="3">
        <v>0</v>
      </c>
      <c r="H140" s="3">
        <v>1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</row>
    <row r="141" spans="1:18">
      <c r="A141" s="3" t="s">
        <v>506</v>
      </c>
      <c r="B141" s="3" t="s">
        <v>507</v>
      </c>
      <c r="C141" s="3" t="s">
        <v>507</v>
      </c>
      <c r="D141" s="3" t="s">
        <v>508</v>
      </c>
      <c r="E141" s="3">
        <v>2</v>
      </c>
      <c r="F141" s="3">
        <v>1</v>
      </c>
      <c r="G141" s="3">
        <v>1</v>
      </c>
      <c r="H141" s="3"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</row>
    <row r="142" spans="1:18">
      <c r="A142" s="3" t="s">
        <v>509</v>
      </c>
      <c r="B142" s="3" t="s">
        <v>510</v>
      </c>
      <c r="C142" s="3" t="s">
        <v>510</v>
      </c>
      <c r="D142" s="3" t="s">
        <v>511</v>
      </c>
      <c r="E142" s="3">
        <v>1</v>
      </c>
      <c r="F142" s="3">
        <v>0</v>
      </c>
      <c r="G142" s="3">
        <v>0</v>
      </c>
      <c r="H142" s="3">
        <v>1</v>
      </c>
      <c r="I142" s="4"/>
      <c r="J142" s="4"/>
      <c r="K142" s="4"/>
      <c r="L142" s="4"/>
      <c r="M142" s="4"/>
      <c r="N142" s="4"/>
      <c r="O142" s="4"/>
      <c r="P142" s="4"/>
      <c r="Q142" s="4"/>
      <c r="R142" s="4"/>
    </row>
    <row r="143" spans="1:18">
      <c r="A143" s="3" t="s">
        <v>512</v>
      </c>
      <c r="B143" s="3" t="s">
        <v>513</v>
      </c>
      <c r="C143" s="3" t="s">
        <v>513</v>
      </c>
      <c r="D143" s="3" t="s">
        <v>514</v>
      </c>
      <c r="E143" s="3">
        <v>1</v>
      </c>
      <c r="F143" s="3">
        <v>1</v>
      </c>
      <c r="G143" s="3">
        <v>0</v>
      </c>
      <c r="H143" s="3">
        <v>0</v>
      </c>
      <c r="I143" s="4"/>
      <c r="J143" s="4"/>
      <c r="K143" s="4"/>
      <c r="L143" s="4"/>
      <c r="M143" s="4"/>
      <c r="N143" s="4"/>
      <c r="O143" s="4"/>
      <c r="P143" s="4"/>
      <c r="Q143" s="4"/>
      <c r="R143" s="4"/>
    </row>
    <row r="144" spans="1:18">
      <c r="A144" s="3" t="s">
        <v>515</v>
      </c>
      <c r="B144" s="3" t="s">
        <v>516</v>
      </c>
      <c r="C144" s="3" t="s">
        <v>516</v>
      </c>
      <c r="D144" s="3" t="s">
        <v>131</v>
      </c>
      <c r="E144" s="3">
        <v>1</v>
      </c>
      <c r="F144" s="3">
        <v>0</v>
      </c>
      <c r="G144" s="3">
        <v>1</v>
      </c>
      <c r="H144" s="3"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</row>
    <row r="145" spans="1:18">
      <c r="A145" s="3" t="s">
        <v>517</v>
      </c>
      <c r="B145" s="3" t="s">
        <v>518</v>
      </c>
      <c r="C145" s="3" t="s">
        <v>518</v>
      </c>
      <c r="D145" s="3" t="s">
        <v>519</v>
      </c>
      <c r="E145" s="3">
        <v>1</v>
      </c>
      <c r="F145" s="3">
        <v>0</v>
      </c>
      <c r="G145" s="3">
        <v>0</v>
      </c>
      <c r="H145" s="3">
        <v>1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</row>
    <row r="146" spans="1:18">
      <c r="A146" s="3" t="s">
        <v>520</v>
      </c>
      <c r="B146" s="3" t="s">
        <v>521</v>
      </c>
      <c r="C146" s="3" t="s">
        <v>521</v>
      </c>
      <c r="D146" s="3" t="s">
        <v>522</v>
      </c>
      <c r="E146" s="3">
        <v>2</v>
      </c>
      <c r="F146" s="3">
        <v>1</v>
      </c>
      <c r="G146" s="3">
        <v>0</v>
      </c>
      <c r="H146" s="3">
        <v>1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</row>
    <row r="147" spans="1:18">
      <c r="A147" s="3" t="s">
        <v>523</v>
      </c>
      <c r="B147" s="3" t="s">
        <v>524</v>
      </c>
      <c r="C147" s="3" t="s">
        <v>524</v>
      </c>
      <c r="D147" s="3" t="s">
        <v>525</v>
      </c>
      <c r="E147" s="3">
        <v>1</v>
      </c>
      <c r="F147" s="3">
        <v>1</v>
      </c>
      <c r="G147" s="3">
        <v>0</v>
      </c>
      <c r="H147" s="3"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</row>
    <row r="148" spans="1:18">
      <c r="A148" s="3" t="s">
        <v>526</v>
      </c>
      <c r="B148" s="3" t="s">
        <v>527</v>
      </c>
      <c r="C148" s="3" t="s">
        <v>527</v>
      </c>
      <c r="D148" s="3" t="s">
        <v>528</v>
      </c>
      <c r="E148" s="3">
        <v>1</v>
      </c>
      <c r="F148" s="3">
        <v>0</v>
      </c>
      <c r="G148" s="3">
        <v>0</v>
      </c>
      <c r="H148" s="3">
        <v>1</v>
      </c>
      <c r="I148" s="4"/>
      <c r="J148" s="4"/>
      <c r="K148" s="4"/>
      <c r="L148" s="4"/>
      <c r="M148" s="4"/>
      <c r="N148" s="4"/>
      <c r="O148" s="4"/>
      <c r="P148" s="4"/>
      <c r="Q148" s="4"/>
      <c r="R148" s="4"/>
    </row>
    <row r="149" spans="1:18">
      <c r="A149" s="3" t="s">
        <v>529</v>
      </c>
      <c r="B149" s="3" t="s">
        <v>530</v>
      </c>
      <c r="C149" s="3" t="s">
        <v>530</v>
      </c>
      <c r="D149" s="3" t="s">
        <v>531</v>
      </c>
      <c r="E149" s="3">
        <v>1</v>
      </c>
      <c r="F149" s="3">
        <v>1</v>
      </c>
      <c r="G149" s="3">
        <v>0</v>
      </c>
      <c r="H149" s="3">
        <v>0</v>
      </c>
      <c r="I149" s="4"/>
      <c r="J149" s="4"/>
      <c r="K149" s="4"/>
      <c r="L149" s="4"/>
      <c r="M149" s="4"/>
      <c r="N149" s="4"/>
      <c r="O149" s="4"/>
      <c r="P149" s="4"/>
      <c r="Q149" s="4"/>
      <c r="R149" s="4"/>
    </row>
    <row r="150" spans="1:18">
      <c r="A150" s="3" t="s">
        <v>532</v>
      </c>
      <c r="B150" s="3" t="s">
        <v>533</v>
      </c>
      <c r="C150" s="3" t="s">
        <v>533</v>
      </c>
      <c r="D150" s="3" t="s">
        <v>131</v>
      </c>
      <c r="E150" s="3">
        <v>1</v>
      </c>
      <c r="F150" s="3">
        <v>0</v>
      </c>
      <c r="G150" s="3">
        <v>0</v>
      </c>
      <c r="H150" s="3">
        <v>1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</row>
    <row r="151" spans="1:18">
      <c r="A151" s="3" t="s">
        <v>534</v>
      </c>
      <c r="B151" s="3" t="s">
        <v>535</v>
      </c>
      <c r="C151" s="3" t="s">
        <v>535</v>
      </c>
      <c r="D151" s="3" t="s">
        <v>536</v>
      </c>
      <c r="E151" s="3">
        <v>1</v>
      </c>
      <c r="F151" s="3">
        <v>1</v>
      </c>
      <c r="G151" s="3">
        <v>0</v>
      </c>
      <c r="H151" s="3"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</row>
    <row r="152" spans="1:18">
      <c r="A152" s="3" t="s">
        <v>537</v>
      </c>
      <c r="B152" s="3" t="s">
        <v>538</v>
      </c>
      <c r="C152" s="3" t="s">
        <v>538</v>
      </c>
      <c r="D152" s="3" t="s">
        <v>539</v>
      </c>
      <c r="E152" s="3">
        <v>2</v>
      </c>
      <c r="F152" s="3">
        <v>1</v>
      </c>
      <c r="G152" s="3">
        <v>1</v>
      </c>
      <c r="H152" s="3"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</row>
    <row r="153" spans="1:18">
      <c r="A153" s="3" t="s">
        <v>540</v>
      </c>
      <c r="B153" s="3" t="s">
        <v>541</v>
      </c>
      <c r="C153" s="3" t="s">
        <v>541</v>
      </c>
      <c r="D153" s="3" t="s">
        <v>542</v>
      </c>
      <c r="E153" s="3">
        <v>1</v>
      </c>
      <c r="F153" s="3">
        <v>0</v>
      </c>
      <c r="G153" s="3">
        <v>0</v>
      </c>
      <c r="H153" s="3">
        <v>1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</row>
    <row r="154" spans="1:18">
      <c r="A154" s="3" t="s">
        <v>543</v>
      </c>
      <c r="B154" s="3" t="s">
        <v>544</v>
      </c>
      <c r="C154" s="3" t="s">
        <v>545</v>
      </c>
      <c r="D154" s="3" t="s">
        <v>546</v>
      </c>
      <c r="E154" s="3">
        <v>3</v>
      </c>
      <c r="F154" s="3">
        <v>0</v>
      </c>
      <c r="G154" s="3">
        <v>2</v>
      </c>
      <c r="H154" s="3">
        <v>1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</row>
    <row r="155" spans="1:18">
      <c r="A155" s="3" t="s">
        <v>547</v>
      </c>
      <c r="B155" s="3" t="s">
        <v>548</v>
      </c>
      <c r="C155" s="3" t="s">
        <v>548</v>
      </c>
      <c r="D155" s="3" t="s">
        <v>549</v>
      </c>
      <c r="E155" s="3">
        <v>1</v>
      </c>
      <c r="F155" s="3">
        <v>0</v>
      </c>
      <c r="G155" s="3">
        <v>0</v>
      </c>
      <c r="H155" s="3">
        <v>1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</row>
    <row r="156" spans="1:18">
      <c r="A156" s="3" t="s">
        <v>550</v>
      </c>
      <c r="B156" s="3" t="s">
        <v>551</v>
      </c>
      <c r="C156" s="3" t="s">
        <v>551</v>
      </c>
      <c r="D156" s="3" t="s">
        <v>552</v>
      </c>
      <c r="E156" s="3">
        <v>1</v>
      </c>
      <c r="F156" s="3">
        <v>1</v>
      </c>
      <c r="G156" s="3">
        <v>0</v>
      </c>
      <c r="H156" s="3"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</row>
    <row r="157" spans="1:18">
      <c r="A157" s="3" t="s">
        <v>553</v>
      </c>
      <c r="B157" s="3" t="s">
        <v>554</v>
      </c>
      <c r="C157" s="3" t="s">
        <v>555</v>
      </c>
      <c r="D157" s="3" t="s">
        <v>546</v>
      </c>
      <c r="E157" s="3">
        <v>2</v>
      </c>
      <c r="F157" s="3">
        <v>0</v>
      </c>
      <c r="G157" s="3">
        <v>1</v>
      </c>
      <c r="H157" s="3">
        <v>1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</row>
    <row r="158" spans="1:18">
      <c r="A158" s="3" t="s">
        <v>556</v>
      </c>
      <c r="B158" s="3" t="s">
        <v>557</v>
      </c>
      <c r="C158" s="3" t="s">
        <v>558</v>
      </c>
      <c r="D158" s="3" t="s">
        <v>546</v>
      </c>
      <c r="E158" s="3">
        <v>1</v>
      </c>
      <c r="F158" s="3">
        <v>0</v>
      </c>
      <c r="G158" s="3">
        <v>0</v>
      </c>
      <c r="H158" s="3">
        <v>1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</row>
    <row r="159" spans="1:18">
      <c r="A159" s="3" t="s">
        <v>559</v>
      </c>
      <c r="B159" s="3" t="s">
        <v>560</v>
      </c>
      <c r="C159" s="3" t="s">
        <v>560</v>
      </c>
      <c r="D159" s="3" t="s">
        <v>561</v>
      </c>
      <c r="E159" s="3">
        <v>1</v>
      </c>
      <c r="F159" s="3">
        <v>0</v>
      </c>
      <c r="G159" s="3">
        <v>0</v>
      </c>
      <c r="H159" s="3">
        <v>1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</row>
    <row r="160" spans="1:18">
      <c r="A160" s="3" t="s">
        <v>562</v>
      </c>
      <c r="B160" s="3" t="s">
        <v>563</v>
      </c>
      <c r="C160" s="3" t="s">
        <v>563</v>
      </c>
      <c r="D160" s="3" t="s">
        <v>564</v>
      </c>
      <c r="E160" s="3">
        <v>1</v>
      </c>
      <c r="F160" s="3">
        <v>0</v>
      </c>
      <c r="G160" s="3">
        <v>0</v>
      </c>
      <c r="H160" s="3">
        <v>1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1:18">
      <c r="A161" s="3" t="s">
        <v>565</v>
      </c>
      <c r="B161" s="3" t="s">
        <v>566</v>
      </c>
      <c r="C161" s="3" t="s">
        <v>566</v>
      </c>
      <c r="D161" s="3" t="s">
        <v>567</v>
      </c>
      <c r="E161" s="3">
        <v>1</v>
      </c>
      <c r="F161" s="3">
        <v>0</v>
      </c>
      <c r="G161" s="3">
        <v>0</v>
      </c>
      <c r="H161" s="3">
        <v>1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3" t="s">
        <v>568</v>
      </c>
      <c r="B162" s="3" t="s">
        <v>569</v>
      </c>
      <c r="C162" s="3" t="s">
        <v>569</v>
      </c>
      <c r="D162" s="3" t="s">
        <v>561</v>
      </c>
      <c r="E162" s="3">
        <v>13</v>
      </c>
      <c r="F162" s="3">
        <v>0</v>
      </c>
      <c r="G162" s="3">
        <v>0</v>
      </c>
      <c r="H162" s="3">
        <v>13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3" t="s">
        <v>570</v>
      </c>
      <c r="B163" s="3" t="s">
        <v>571</v>
      </c>
      <c r="C163" s="3" t="s">
        <v>571</v>
      </c>
      <c r="D163" s="3" t="s">
        <v>572</v>
      </c>
      <c r="E163" s="3">
        <v>1</v>
      </c>
      <c r="F163" s="3">
        <v>1</v>
      </c>
      <c r="G163" s="3">
        <v>0</v>
      </c>
      <c r="H163" s="3">
        <v>0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3" t="s">
        <v>573</v>
      </c>
      <c r="B164" s="3" t="s">
        <v>383</v>
      </c>
      <c r="C164" s="3" t="s">
        <v>383</v>
      </c>
      <c r="D164" s="3" t="s">
        <v>384</v>
      </c>
      <c r="E164" s="3">
        <v>1</v>
      </c>
      <c r="F164" s="3">
        <v>0</v>
      </c>
      <c r="G164" s="3">
        <v>1</v>
      </c>
      <c r="H164" s="3"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3" t="s">
        <v>574</v>
      </c>
      <c r="B165" s="3" t="s">
        <v>363</v>
      </c>
      <c r="C165" s="3" t="s">
        <v>363</v>
      </c>
      <c r="D165" s="3" t="s">
        <v>364</v>
      </c>
      <c r="E165" s="3">
        <v>1</v>
      </c>
      <c r="F165" s="3">
        <v>1</v>
      </c>
      <c r="G165" s="3">
        <v>0</v>
      </c>
      <c r="H165" s="3">
        <v>0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3" t="s">
        <v>575</v>
      </c>
      <c r="B166" s="3" t="s">
        <v>576</v>
      </c>
      <c r="C166" s="3" t="s">
        <v>576</v>
      </c>
      <c r="D166" s="3" t="s">
        <v>577</v>
      </c>
      <c r="E166" s="3">
        <v>1</v>
      </c>
      <c r="F166" s="3">
        <v>0</v>
      </c>
      <c r="G166" s="3">
        <v>1</v>
      </c>
      <c r="H166" s="3">
        <v>0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3" t="s">
        <v>578</v>
      </c>
      <c r="B167" s="3" t="s">
        <v>367</v>
      </c>
      <c r="C167" s="3" t="s">
        <v>367</v>
      </c>
      <c r="D167" s="3" t="s">
        <v>368</v>
      </c>
      <c r="E167" s="3">
        <v>1</v>
      </c>
      <c r="F167" s="3">
        <v>0</v>
      </c>
      <c r="G167" s="3">
        <v>0</v>
      </c>
      <c r="H167" s="3">
        <v>1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3" t="s">
        <v>579</v>
      </c>
      <c r="B168" s="3" t="s">
        <v>580</v>
      </c>
      <c r="C168" s="3" t="s">
        <v>580</v>
      </c>
      <c r="D168" s="3" t="s">
        <v>581</v>
      </c>
      <c r="E168" s="3">
        <v>1</v>
      </c>
      <c r="F168" s="3">
        <v>1</v>
      </c>
      <c r="G168" s="3">
        <v>0</v>
      </c>
      <c r="H168" s="3"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3" t="s">
        <v>582</v>
      </c>
      <c r="B169" s="3" t="s">
        <v>583</v>
      </c>
      <c r="C169" s="3" t="s">
        <v>583</v>
      </c>
      <c r="D169" s="3" t="s">
        <v>584</v>
      </c>
      <c r="E169" s="3">
        <v>1</v>
      </c>
      <c r="F169" s="3">
        <v>1</v>
      </c>
      <c r="G169" s="3">
        <v>0</v>
      </c>
      <c r="H169" s="3">
        <v>0</v>
      </c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3" t="s">
        <v>585</v>
      </c>
      <c r="B170" s="3" t="s">
        <v>224</v>
      </c>
      <c r="C170" s="3" t="s">
        <v>224</v>
      </c>
      <c r="D170" s="3" t="s">
        <v>225</v>
      </c>
      <c r="E170" s="3">
        <v>2</v>
      </c>
      <c r="F170" s="3">
        <v>1</v>
      </c>
      <c r="G170" s="3">
        <v>1</v>
      </c>
      <c r="H170" s="3"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3" t="s">
        <v>586</v>
      </c>
      <c r="B171" s="3" t="s">
        <v>587</v>
      </c>
      <c r="C171" s="3" t="s">
        <v>387</v>
      </c>
      <c r="D171" s="3" t="s">
        <v>388</v>
      </c>
      <c r="E171" s="3">
        <v>1</v>
      </c>
      <c r="F171" s="3">
        <v>0</v>
      </c>
      <c r="G171" s="3">
        <v>1</v>
      </c>
      <c r="H171" s="3">
        <v>0</v>
      </c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3" t="s">
        <v>588</v>
      </c>
      <c r="B172" s="3" t="s">
        <v>589</v>
      </c>
      <c r="C172" s="3" t="s">
        <v>589</v>
      </c>
      <c r="D172" s="3" t="s">
        <v>590</v>
      </c>
      <c r="E172" s="3">
        <v>3</v>
      </c>
      <c r="F172" s="3">
        <v>1</v>
      </c>
      <c r="G172" s="3">
        <v>1</v>
      </c>
      <c r="H172" s="3">
        <v>1</v>
      </c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3" t="s">
        <v>591</v>
      </c>
      <c r="B173" s="3" t="s">
        <v>355</v>
      </c>
      <c r="C173" s="3" t="s">
        <v>355</v>
      </c>
      <c r="D173" s="3" t="s">
        <v>356</v>
      </c>
      <c r="E173" s="3">
        <v>4</v>
      </c>
      <c r="F173" s="3">
        <v>1</v>
      </c>
      <c r="G173" s="3">
        <v>3</v>
      </c>
      <c r="H173" s="3">
        <v>0</v>
      </c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3" t="s">
        <v>592</v>
      </c>
      <c r="B174" s="3" t="s">
        <v>295</v>
      </c>
      <c r="C174" s="3" t="s">
        <v>295</v>
      </c>
      <c r="D174" s="3" t="s">
        <v>296</v>
      </c>
      <c r="E174" s="3">
        <v>1</v>
      </c>
      <c r="F174" s="3">
        <v>0</v>
      </c>
      <c r="G174" s="3">
        <v>1</v>
      </c>
      <c r="H174" s="3"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3" t="s">
        <v>593</v>
      </c>
      <c r="B175" s="3" t="s">
        <v>594</v>
      </c>
      <c r="C175" s="3" t="s">
        <v>594</v>
      </c>
      <c r="D175" s="3" t="s">
        <v>595</v>
      </c>
      <c r="E175" s="3">
        <v>2</v>
      </c>
      <c r="F175" s="3">
        <v>1</v>
      </c>
      <c r="G175" s="3">
        <v>1</v>
      </c>
      <c r="H175" s="3">
        <v>0</v>
      </c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3" t="s">
        <v>596</v>
      </c>
      <c r="B176" s="3" t="s">
        <v>597</v>
      </c>
      <c r="C176" s="3" t="s">
        <v>597</v>
      </c>
      <c r="D176" s="3" t="s">
        <v>598</v>
      </c>
      <c r="E176" s="3">
        <v>14</v>
      </c>
      <c r="F176" s="3">
        <v>1</v>
      </c>
      <c r="G176" s="3">
        <v>0</v>
      </c>
      <c r="H176" s="3">
        <v>13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3" t="s">
        <v>599</v>
      </c>
      <c r="B177" s="3" t="s">
        <v>395</v>
      </c>
      <c r="C177" s="3" t="s">
        <v>395</v>
      </c>
      <c r="D177" s="3" t="s">
        <v>396</v>
      </c>
      <c r="E177" s="3">
        <v>2</v>
      </c>
      <c r="F177" s="3">
        <v>0</v>
      </c>
      <c r="G177" s="3">
        <v>1</v>
      </c>
      <c r="H177" s="3">
        <v>1</v>
      </c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3" t="s">
        <v>600</v>
      </c>
      <c r="B178" s="3" t="s">
        <v>601</v>
      </c>
      <c r="C178" s="3" t="s">
        <v>601</v>
      </c>
      <c r="D178" s="3" t="s">
        <v>602</v>
      </c>
      <c r="E178" s="3">
        <v>1</v>
      </c>
      <c r="F178" s="3">
        <v>0</v>
      </c>
      <c r="G178" s="3">
        <v>0</v>
      </c>
      <c r="H178" s="3">
        <v>1</v>
      </c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3" t="s">
        <v>603</v>
      </c>
      <c r="B179" s="3" t="s">
        <v>604</v>
      </c>
      <c r="C179" s="3" t="s">
        <v>604</v>
      </c>
      <c r="D179" s="3" t="s">
        <v>605</v>
      </c>
      <c r="E179" s="3">
        <v>1</v>
      </c>
      <c r="F179" s="3">
        <v>1</v>
      </c>
      <c r="G179" s="3">
        <v>0</v>
      </c>
      <c r="H179" s="3">
        <v>0</v>
      </c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3" t="s">
        <v>606</v>
      </c>
      <c r="B180" s="3" t="s">
        <v>607</v>
      </c>
      <c r="C180" s="3" t="s">
        <v>607</v>
      </c>
      <c r="D180" s="3" t="s">
        <v>608</v>
      </c>
      <c r="E180" s="3">
        <v>2</v>
      </c>
      <c r="F180" s="3">
        <v>0</v>
      </c>
      <c r="G180" s="3">
        <v>0</v>
      </c>
      <c r="H180" s="3">
        <v>2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3" t="s">
        <v>609</v>
      </c>
      <c r="B181" s="3" t="s">
        <v>610</v>
      </c>
      <c r="C181" s="3" t="s">
        <v>610</v>
      </c>
      <c r="D181" s="3" t="s">
        <v>611</v>
      </c>
      <c r="E181" s="3">
        <v>16</v>
      </c>
      <c r="F181" s="3">
        <v>0</v>
      </c>
      <c r="G181" s="3">
        <v>0</v>
      </c>
      <c r="H181" s="3">
        <v>16</v>
      </c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3" t="s">
        <v>612</v>
      </c>
      <c r="B182" s="3" t="s">
        <v>613</v>
      </c>
      <c r="C182" s="3" t="s">
        <v>613</v>
      </c>
      <c r="D182" s="3" t="s">
        <v>614</v>
      </c>
      <c r="E182" s="3">
        <v>1</v>
      </c>
      <c r="F182" s="3">
        <v>0</v>
      </c>
      <c r="G182" s="3">
        <v>0</v>
      </c>
      <c r="H182" s="3">
        <v>1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3" t="s">
        <v>615</v>
      </c>
      <c r="B183" s="3" t="s">
        <v>616</v>
      </c>
      <c r="C183" s="3" t="s">
        <v>616</v>
      </c>
      <c r="D183" s="3" t="s">
        <v>617</v>
      </c>
      <c r="E183" s="3">
        <v>2</v>
      </c>
      <c r="F183" s="3">
        <v>1</v>
      </c>
      <c r="G183" s="3">
        <v>1</v>
      </c>
      <c r="H183" s="3">
        <v>0</v>
      </c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3" t="s">
        <v>618</v>
      </c>
      <c r="B184" s="3" t="s">
        <v>619</v>
      </c>
      <c r="C184" s="3" t="s">
        <v>619</v>
      </c>
      <c r="D184" s="3" t="s">
        <v>620</v>
      </c>
      <c r="E184" s="3">
        <v>2</v>
      </c>
      <c r="F184" s="3">
        <v>0</v>
      </c>
      <c r="G184" s="3">
        <v>0</v>
      </c>
      <c r="H184" s="3">
        <v>2</v>
      </c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3" t="s">
        <v>621</v>
      </c>
      <c r="B185" s="3" t="s">
        <v>622</v>
      </c>
      <c r="C185" s="3" t="s">
        <v>622</v>
      </c>
      <c r="D185" s="3" t="s">
        <v>623</v>
      </c>
      <c r="E185" s="3">
        <v>3</v>
      </c>
      <c r="F185" s="3">
        <v>1</v>
      </c>
      <c r="G185" s="3">
        <v>0</v>
      </c>
      <c r="H185" s="3">
        <v>2</v>
      </c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3" t="s">
        <v>624</v>
      </c>
      <c r="B186" s="3" t="s">
        <v>473</v>
      </c>
      <c r="C186" s="3" t="s">
        <v>473</v>
      </c>
      <c r="D186" s="3" t="s">
        <v>474</v>
      </c>
      <c r="E186" s="3">
        <v>1</v>
      </c>
      <c r="F186" s="3">
        <v>0</v>
      </c>
      <c r="G186" s="3">
        <v>0</v>
      </c>
      <c r="H186" s="3">
        <v>1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3" t="s">
        <v>625</v>
      </c>
      <c r="B187" s="3" t="s">
        <v>626</v>
      </c>
      <c r="C187" s="3" t="s">
        <v>626</v>
      </c>
      <c r="D187" s="3" t="s">
        <v>627</v>
      </c>
      <c r="E187" s="3">
        <v>1</v>
      </c>
      <c r="F187" s="3">
        <v>1</v>
      </c>
      <c r="G187" s="3">
        <v>0</v>
      </c>
      <c r="H187" s="3">
        <v>0</v>
      </c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3" t="s">
        <v>628</v>
      </c>
      <c r="B188" s="3" t="s">
        <v>629</v>
      </c>
      <c r="C188" s="3" t="s">
        <v>629</v>
      </c>
      <c r="D188" s="3" t="s">
        <v>630</v>
      </c>
      <c r="E188" s="3">
        <v>1</v>
      </c>
      <c r="F188" s="3">
        <v>0</v>
      </c>
      <c r="G188" s="3">
        <v>0</v>
      </c>
      <c r="H188" s="3">
        <v>1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3" t="s">
        <v>631</v>
      </c>
      <c r="B189" s="3" t="s">
        <v>632</v>
      </c>
      <c r="C189" s="3" t="s">
        <v>632</v>
      </c>
      <c r="D189" s="3" t="s">
        <v>633</v>
      </c>
      <c r="E189" s="3">
        <v>1</v>
      </c>
      <c r="F189" s="3">
        <v>0</v>
      </c>
      <c r="G189" s="3">
        <v>0</v>
      </c>
      <c r="H189" s="3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3" t="s">
        <v>634</v>
      </c>
      <c r="B190" s="3" t="s">
        <v>635</v>
      </c>
      <c r="C190" s="3" t="s">
        <v>635</v>
      </c>
      <c r="D190" s="3" t="s">
        <v>636</v>
      </c>
      <c r="E190" s="3">
        <v>1</v>
      </c>
      <c r="F190" s="3">
        <v>0</v>
      </c>
      <c r="G190" s="3">
        <v>0</v>
      </c>
      <c r="H190" s="3">
        <v>1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3" t="s">
        <v>637</v>
      </c>
      <c r="B191" s="3" t="s">
        <v>638</v>
      </c>
      <c r="C191" s="3" t="s">
        <v>639</v>
      </c>
      <c r="D191" s="3" t="s">
        <v>640</v>
      </c>
      <c r="E191" s="3">
        <v>7</v>
      </c>
      <c r="F191" s="3">
        <v>0</v>
      </c>
      <c r="G191" s="3">
        <v>7</v>
      </c>
      <c r="H191" s="3">
        <v>0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3" t="s">
        <v>641</v>
      </c>
      <c r="B192" s="3" t="s">
        <v>642</v>
      </c>
      <c r="C192" s="3" t="s">
        <v>643</v>
      </c>
      <c r="D192" s="3" t="s">
        <v>644</v>
      </c>
      <c r="E192" s="3">
        <v>1</v>
      </c>
      <c r="F192" s="3">
        <v>1</v>
      </c>
      <c r="G192" s="3">
        <v>0</v>
      </c>
      <c r="H192" s="3"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3" t="s">
        <v>645</v>
      </c>
      <c r="B193" s="3" t="s">
        <v>646</v>
      </c>
      <c r="C193" s="3" t="s">
        <v>647</v>
      </c>
      <c r="D193" s="3" t="s">
        <v>648</v>
      </c>
      <c r="E193" s="3">
        <v>1</v>
      </c>
      <c r="F193" s="3">
        <v>0</v>
      </c>
      <c r="G193" s="3">
        <v>0</v>
      </c>
      <c r="H193" s="3">
        <v>1</v>
      </c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3" t="s">
        <v>649</v>
      </c>
      <c r="B194" s="3" t="s">
        <v>650</v>
      </c>
      <c r="C194" s="3" t="s">
        <v>651</v>
      </c>
      <c r="D194" s="3" t="s">
        <v>652</v>
      </c>
      <c r="E194" s="3">
        <v>17</v>
      </c>
      <c r="F194" s="3">
        <v>0</v>
      </c>
      <c r="G194" s="3">
        <v>16</v>
      </c>
      <c r="H194" s="3">
        <v>1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3" t="s">
        <v>653</v>
      </c>
      <c r="B195" s="3" t="s">
        <v>654</v>
      </c>
      <c r="C195" s="3" t="s">
        <v>655</v>
      </c>
      <c r="D195" s="3" t="s">
        <v>656</v>
      </c>
      <c r="E195" s="3">
        <v>2</v>
      </c>
      <c r="F195" s="3">
        <v>1</v>
      </c>
      <c r="G195" s="3">
        <v>1</v>
      </c>
      <c r="H195" s="3">
        <v>0</v>
      </c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3" t="s">
        <v>657</v>
      </c>
      <c r="B196" s="3" t="s">
        <v>658</v>
      </c>
      <c r="C196" s="3" t="s">
        <v>659</v>
      </c>
      <c r="D196" s="3" t="s">
        <v>660</v>
      </c>
      <c r="E196" s="3">
        <v>2</v>
      </c>
      <c r="F196" s="3">
        <v>1</v>
      </c>
      <c r="G196" s="3">
        <v>0</v>
      </c>
      <c r="H196" s="3">
        <v>1</v>
      </c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3" t="s">
        <v>661</v>
      </c>
      <c r="B197" s="3" t="s">
        <v>662</v>
      </c>
      <c r="C197" s="3" t="s">
        <v>663</v>
      </c>
      <c r="D197" s="3" t="s">
        <v>664</v>
      </c>
      <c r="E197" s="3">
        <v>3</v>
      </c>
      <c r="F197" s="3">
        <v>3</v>
      </c>
      <c r="G197" s="3">
        <v>0</v>
      </c>
      <c r="H197" s="3">
        <v>0</v>
      </c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3" t="s">
        <v>665</v>
      </c>
      <c r="B198" s="3" t="s">
        <v>666</v>
      </c>
      <c r="C198" s="3" t="s">
        <v>667</v>
      </c>
      <c r="D198" s="3" t="s">
        <v>668</v>
      </c>
      <c r="E198" s="3">
        <v>2</v>
      </c>
      <c r="F198" s="3">
        <v>0</v>
      </c>
      <c r="G198" s="3">
        <v>2</v>
      </c>
      <c r="H198" s="3">
        <v>0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3" t="s">
        <v>669</v>
      </c>
      <c r="B199" s="3" t="s">
        <v>670</v>
      </c>
      <c r="C199" s="3" t="s">
        <v>671</v>
      </c>
      <c r="D199" s="3" t="s">
        <v>672</v>
      </c>
      <c r="E199" s="3">
        <v>1</v>
      </c>
      <c r="F199" s="3">
        <v>0</v>
      </c>
      <c r="G199" s="3">
        <v>0</v>
      </c>
      <c r="H199" s="3">
        <v>1</v>
      </c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3" t="s">
        <v>673</v>
      </c>
      <c r="B200" s="3" t="s">
        <v>674</v>
      </c>
      <c r="C200" s="3" t="s">
        <v>674</v>
      </c>
      <c r="D200" s="3" t="s">
        <v>675</v>
      </c>
      <c r="E200" s="3">
        <v>1</v>
      </c>
      <c r="F200" s="3">
        <v>0</v>
      </c>
      <c r="G200" s="3">
        <v>0</v>
      </c>
      <c r="H200" s="3">
        <v>1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3" t="s">
        <v>676</v>
      </c>
      <c r="B201" s="3" t="s">
        <v>677</v>
      </c>
      <c r="C201" s="3" t="s">
        <v>677</v>
      </c>
      <c r="D201" s="3" t="s">
        <v>678</v>
      </c>
      <c r="E201" s="3">
        <v>1</v>
      </c>
      <c r="F201" s="3">
        <v>1</v>
      </c>
      <c r="G201" s="3">
        <v>0</v>
      </c>
      <c r="H201" s="3">
        <v>0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3" t="s">
        <v>679</v>
      </c>
      <c r="B202" s="3" t="s">
        <v>680</v>
      </c>
      <c r="C202" s="3" t="s">
        <v>680</v>
      </c>
      <c r="D202" s="3" t="s">
        <v>681</v>
      </c>
      <c r="E202" s="3">
        <v>1</v>
      </c>
      <c r="F202" s="3">
        <v>0</v>
      </c>
      <c r="G202" s="3">
        <v>1</v>
      </c>
      <c r="H202" s="3">
        <v>0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3" t="s">
        <v>682</v>
      </c>
      <c r="B203" s="3" t="s">
        <v>683</v>
      </c>
      <c r="C203" s="3" t="s">
        <v>683</v>
      </c>
      <c r="D203" s="3" t="s">
        <v>684</v>
      </c>
      <c r="E203" s="3">
        <v>1</v>
      </c>
      <c r="F203" s="3">
        <v>1</v>
      </c>
      <c r="G203" s="3">
        <v>0</v>
      </c>
      <c r="H203" s="3"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3" t="s">
        <v>685</v>
      </c>
      <c r="B204" s="3" t="s">
        <v>686</v>
      </c>
      <c r="C204" s="3" t="s">
        <v>686</v>
      </c>
      <c r="D204" s="3" t="s">
        <v>687</v>
      </c>
      <c r="E204" s="3">
        <v>1</v>
      </c>
      <c r="F204" s="3">
        <v>1</v>
      </c>
      <c r="G204" s="3">
        <v>0</v>
      </c>
      <c r="H204" s="3"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3" t="s">
        <v>688</v>
      </c>
      <c r="B205" s="3" t="s">
        <v>689</v>
      </c>
      <c r="C205" s="3" t="s">
        <v>689</v>
      </c>
      <c r="D205" s="3" t="s">
        <v>690</v>
      </c>
      <c r="E205" s="3">
        <v>1</v>
      </c>
      <c r="F205" s="3">
        <v>0</v>
      </c>
      <c r="G205" s="3">
        <v>0</v>
      </c>
      <c r="H205" s="3">
        <v>1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3" t="s">
        <v>691</v>
      </c>
      <c r="B206" s="3" t="s">
        <v>692</v>
      </c>
      <c r="C206" s="3" t="s">
        <v>692</v>
      </c>
      <c r="D206" s="3" t="s">
        <v>693</v>
      </c>
      <c r="E206" s="3">
        <v>1</v>
      </c>
      <c r="F206" s="3">
        <v>1</v>
      </c>
      <c r="G206" s="3">
        <v>0</v>
      </c>
      <c r="H206" s="3"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3" t="s">
        <v>694</v>
      </c>
      <c r="B207" s="3" t="s">
        <v>695</v>
      </c>
      <c r="C207" s="3" t="s">
        <v>695</v>
      </c>
      <c r="D207" s="3" t="s">
        <v>696</v>
      </c>
      <c r="E207" s="3">
        <v>2</v>
      </c>
      <c r="F207" s="3">
        <v>1</v>
      </c>
      <c r="G207" s="3">
        <v>0</v>
      </c>
      <c r="H207" s="3">
        <v>1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3" t="s">
        <v>697</v>
      </c>
      <c r="B208" s="3" t="s">
        <v>698</v>
      </c>
      <c r="C208" s="3" t="s">
        <v>698</v>
      </c>
      <c r="D208" s="3" t="s">
        <v>699</v>
      </c>
      <c r="E208" s="3">
        <v>3</v>
      </c>
      <c r="F208" s="3">
        <v>1</v>
      </c>
      <c r="G208" s="3">
        <v>1</v>
      </c>
      <c r="H208" s="3">
        <v>1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3" t="s">
        <v>700</v>
      </c>
      <c r="B209" s="3" t="s">
        <v>701</v>
      </c>
      <c r="C209" s="3" t="s">
        <v>701</v>
      </c>
      <c r="D209" s="3" t="s">
        <v>702</v>
      </c>
      <c r="E209" s="3">
        <v>1</v>
      </c>
      <c r="F209" s="3">
        <v>0</v>
      </c>
      <c r="G209" s="3">
        <v>1</v>
      </c>
      <c r="H209" s="3"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3" t="s">
        <v>703</v>
      </c>
      <c r="B210" s="3" t="s">
        <v>704</v>
      </c>
      <c r="C210" s="3" t="s">
        <v>704</v>
      </c>
      <c r="D210" s="3" t="s">
        <v>705</v>
      </c>
      <c r="E210" s="3">
        <v>4</v>
      </c>
      <c r="F210" s="3">
        <v>2</v>
      </c>
      <c r="G210" s="3">
        <v>2</v>
      </c>
      <c r="H210" s="3"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3" t="s">
        <v>706</v>
      </c>
      <c r="B211" s="3" t="s">
        <v>707</v>
      </c>
      <c r="C211" s="3" t="s">
        <v>707</v>
      </c>
      <c r="D211" s="3" t="s">
        <v>708</v>
      </c>
      <c r="E211" s="3">
        <v>2</v>
      </c>
      <c r="F211" s="3">
        <v>0</v>
      </c>
      <c r="G211" s="3">
        <v>0</v>
      </c>
      <c r="H211" s="3">
        <v>2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3" t="s">
        <v>709</v>
      </c>
      <c r="B212" s="3" t="s">
        <v>710</v>
      </c>
      <c r="C212" s="3" t="s">
        <v>710</v>
      </c>
      <c r="D212" s="3" t="s">
        <v>711</v>
      </c>
      <c r="E212" s="3">
        <v>1</v>
      </c>
      <c r="F212" s="3">
        <v>1</v>
      </c>
      <c r="G212" s="3">
        <v>0</v>
      </c>
      <c r="H212" s="3"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3" t="s">
        <v>712</v>
      </c>
      <c r="B213" s="3" t="s">
        <v>713</v>
      </c>
      <c r="C213" s="3" t="s">
        <v>713</v>
      </c>
      <c r="D213" s="3" t="s">
        <v>714</v>
      </c>
      <c r="E213" s="3">
        <v>1</v>
      </c>
      <c r="F213" s="3">
        <v>0</v>
      </c>
      <c r="G213" s="3">
        <v>0</v>
      </c>
      <c r="H213" s="3">
        <v>1</v>
      </c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3" t="s">
        <v>715</v>
      </c>
      <c r="B214" s="3" t="s">
        <v>716</v>
      </c>
      <c r="C214" s="3" t="s">
        <v>716</v>
      </c>
      <c r="D214" s="3" t="s">
        <v>717</v>
      </c>
      <c r="E214" s="3">
        <v>1</v>
      </c>
      <c r="F214" s="3">
        <v>0</v>
      </c>
      <c r="G214" s="3">
        <v>0</v>
      </c>
      <c r="H214" s="3">
        <v>1</v>
      </c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3" t="s">
        <v>718</v>
      </c>
      <c r="B215" s="3" t="s">
        <v>719</v>
      </c>
      <c r="C215" s="3" t="s">
        <v>719</v>
      </c>
      <c r="D215" s="3" t="s">
        <v>720</v>
      </c>
      <c r="E215" s="3">
        <v>2</v>
      </c>
      <c r="F215" s="3">
        <v>1</v>
      </c>
      <c r="G215" s="3">
        <v>1</v>
      </c>
      <c r="H215" s="3"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3" t="s">
        <v>721</v>
      </c>
      <c r="B216" s="3" t="s">
        <v>722</v>
      </c>
      <c r="C216" s="3" t="s">
        <v>722</v>
      </c>
      <c r="D216" s="3" t="s">
        <v>723</v>
      </c>
      <c r="E216" s="3">
        <v>1</v>
      </c>
      <c r="F216" s="3">
        <v>0</v>
      </c>
      <c r="G216" s="3">
        <v>0</v>
      </c>
      <c r="H216" s="3">
        <v>1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3" t="s">
        <v>724</v>
      </c>
      <c r="B217" s="3" t="s">
        <v>725</v>
      </c>
      <c r="C217" s="3" t="s">
        <v>725</v>
      </c>
      <c r="D217" s="3" t="s">
        <v>726</v>
      </c>
      <c r="E217" s="3">
        <v>1</v>
      </c>
      <c r="F217" s="3">
        <v>0</v>
      </c>
      <c r="G217" s="3">
        <v>0</v>
      </c>
      <c r="H217" s="3">
        <v>1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3" t="s">
        <v>727</v>
      </c>
      <c r="B218" s="3" t="s">
        <v>728</v>
      </c>
      <c r="C218" s="3" t="s">
        <v>728</v>
      </c>
      <c r="D218" s="3" t="s">
        <v>729</v>
      </c>
      <c r="E218" s="3">
        <v>1</v>
      </c>
      <c r="F218" s="3">
        <v>0</v>
      </c>
      <c r="G218" s="3">
        <v>0</v>
      </c>
      <c r="H218" s="3">
        <v>1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3" t="s">
        <v>730</v>
      </c>
      <c r="B219" s="3" t="s">
        <v>731</v>
      </c>
      <c r="C219" s="3" t="s">
        <v>731</v>
      </c>
      <c r="D219" s="3" t="s">
        <v>732</v>
      </c>
      <c r="E219" s="3">
        <v>3</v>
      </c>
      <c r="F219" s="3">
        <v>1</v>
      </c>
      <c r="G219" s="3">
        <v>2</v>
      </c>
      <c r="H219" s="3">
        <v>0</v>
      </c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3" t="s">
        <v>733</v>
      </c>
      <c r="B220" s="3" t="s">
        <v>734</v>
      </c>
      <c r="C220" s="3" t="s">
        <v>734</v>
      </c>
      <c r="D220" s="3" t="s">
        <v>735</v>
      </c>
      <c r="E220" s="3">
        <v>2</v>
      </c>
      <c r="F220" s="3">
        <v>1</v>
      </c>
      <c r="G220" s="3">
        <v>1</v>
      </c>
      <c r="H220" s="3">
        <v>0</v>
      </c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3" t="s">
        <v>736</v>
      </c>
      <c r="B221" s="3" t="s">
        <v>737</v>
      </c>
      <c r="C221" s="3" t="s">
        <v>738</v>
      </c>
      <c r="D221" s="3" t="s">
        <v>739</v>
      </c>
      <c r="E221" s="3">
        <v>1</v>
      </c>
      <c r="F221" s="3">
        <v>0</v>
      </c>
      <c r="G221" s="3">
        <v>0</v>
      </c>
      <c r="H221" s="3">
        <v>1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3" t="s">
        <v>740</v>
      </c>
      <c r="B222" s="3" t="s">
        <v>741</v>
      </c>
      <c r="C222" s="3" t="s">
        <v>742</v>
      </c>
      <c r="D222" s="3" t="s">
        <v>743</v>
      </c>
      <c r="E222" s="3">
        <v>7</v>
      </c>
      <c r="F222" s="3">
        <v>0</v>
      </c>
      <c r="G222" s="3">
        <v>6</v>
      </c>
      <c r="H222" s="3">
        <v>1</v>
      </c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3" t="s">
        <v>744</v>
      </c>
      <c r="B223" s="3" t="s">
        <v>745</v>
      </c>
      <c r="C223" s="3" t="s">
        <v>746</v>
      </c>
      <c r="D223" s="3" t="s">
        <v>747</v>
      </c>
      <c r="E223" s="3">
        <v>3</v>
      </c>
      <c r="F223" s="3">
        <v>0</v>
      </c>
      <c r="G223" s="3">
        <v>3</v>
      </c>
      <c r="H223" s="3"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3" t="s">
        <v>748</v>
      </c>
      <c r="B224" s="3" t="s">
        <v>749</v>
      </c>
      <c r="C224" s="3" t="s">
        <v>750</v>
      </c>
      <c r="D224" s="3" t="s">
        <v>751</v>
      </c>
      <c r="E224" s="3">
        <v>7</v>
      </c>
      <c r="F224" s="3">
        <v>0</v>
      </c>
      <c r="G224" s="3">
        <v>7</v>
      </c>
      <c r="H224" s="3">
        <v>0</v>
      </c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3" t="s">
        <v>752</v>
      </c>
      <c r="B225" s="3" t="s">
        <v>753</v>
      </c>
      <c r="C225" s="3" t="s">
        <v>754</v>
      </c>
      <c r="D225" s="3" t="s">
        <v>755</v>
      </c>
      <c r="E225" s="3">
        <v>5</v>
      </c>
      <c r="F225" s="3">
        <v>0</v>
      </c>
      <c r="G225" s="3">
        <v>5</v>
      </c>
      <c r="H225" s="3"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3" t="s">
        <v>756</v>
      </c>
      <c r="B226" s="3" t="s">
        <v>757</v>
      </c>
      <c r="C226" s="3" t="s">
        <v>758</v>
      </c>
      <c r="D226" s="3" t="s">
        <v>759</v>
      </c>
      <c r="E226" s="3">
        <v>1</v>
      </c>
      <c r="F226" s="3">
        <v>1</v>
      </c>
      <c r="G226" s="3">
        <v>0</v>
      </c>
      <c r="H226" s="3">
        <v>0</v>
      </c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3" t="s">
        <v>760</v>
      </c>
      <c r="B227" s="3" t="s">
        <v>761</v>
      </c>
      <c r="C227" s="3" t="s">
        <v>762</v>
      </c>
      <c r="D227" s="3" t="s">
        <v>763</v>
      </c>
      <c r="E227" s="3">
        <v>1</v>
      </c>
      <c r="F227" s="3">
        <v>1</v>
      </c>
      <c r="G227" s="3">
        <v>0</v>
      </c>
      <c r="H227" s="3"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3" t="s">
        <v>764</v>
      </c>
      <c r="B228" s="3" t="s">
        <v>765</v>
      </c>
      <c r="C228" s="3" t="s">
        <v>766</v>
      </c>
      <c r="D228" s="3" t="s">
        <v>767</v>
      </c>
      <c r="E228" s="3">
        <v>5</v>
      </c>
      <c r="F228" s="3">
        <v>0</v>
      </c>
      <c r="G228" s="3">
        <v>5</v>
      </c>
      <c r="H228" s="3">
        <v>0</v>
      </c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3" t="s">
        <v>768</v>
      </c>
      <c r="B229" s="3" t="s">
        <v>769</v>
      </c>
      <c r="C229" s="3" t="s">
        <v>770</v>
      </c>
      <c r="D229" s="3" t="s">
        <v>771</v>
      </c>
      <c r="E229" s="3">
        <v>3</v>
      </c>
      <c r="F229" s="3">
        <v>0</v>
      </c>
      <c r="G229" s="3">
        <v>3</v>
      </c>
      <c r="H229" s="3"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3" t="s">
        <v>772</v>
      </c>
      <c r="B230" s="3" t="s">
        <v>773</v>
      </c>
      <c r="C230" s="3" t="s">
        <v>774</v>
      </c>
      <c r="D230" s="3" t="s">
        <v>775</v>
      </c>
      <c r="E230" s="3">
        <v>2</v>
      </c>
      <c r="F230" s="3">
        <v>1</v>
      </c>
      <c r="G230" s="3">
        <v>0</v>
      </c>
      <c r="H230" s="3">
        <v>1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3" t="s">
        <v>776</v>
      </c>
      <c r="B231" s="3" t="s">
        <v>777</v>
      </c>
      <c r="C231" s="3" t="s">
        <v>777</v>
      </c>
      <c r="D231" s="3" t="s">
        <v>778</v>
      </c>
      <c r="E231" s="3">
        <v>1</v>
      </c>
      <c r="F231" s="3">
        <v>1</v>
      </c>
      <c r="G231" s="3">
        <v>0</v>
      </c>
      <c r="H231" s="3"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3" t="s">
        <v>779</v>
      </c>
      <c r="B232" s="3" t="s">
        <v>780</v>
      </c>
      <c r="C232" s="3" t="s">
        <v>780</v>
      </c>
      <c r="D232" s="3" t="s">
        <v>781</v>
      </c>
      <c r="E232" s="3">
        <v>1</v>
      </c>
      <c r="F232" s="3">
        <v>0</v>
      </c>
      <c r="G232" s="3">
        <v>1</v>
      </c>
      <c r="H232" s="3">
        <v>0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3" t="s">
        <v>782</v>
      </c>
      <c r="B233" s="3" t="s">
        <v>783</v>
      </c>
      <c r="C233" s="3" t="s">
        <v>783</v>
      </c>
      <c r="D233" s="3" t="s">
        <v>784</v>
      </c>
      <c r="E233" s="3">
        <v>1</v>
      </c>
      <c r="F233" s="3">
        <v>1</v>
      </c>
      <c r="G233" s="3">
        <v>0</v>
      </c>
      <c r="H233" s="3"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3" t="s">
        <v>785</v>
      </c>
      <c r="B234" s="3" t="s">
        <v>786</v>
      </c>
      <c r="C234" s="3" t="s">
        <v>786</v>
      </c>
      <c r="D234" s="3" t="s">
        <v>787</v>
      </c>
      <c r="E234" s="3">
        <v>2</v>
      </c>
      <c r="F234" s="3">
        <v>2</v>
      </c>
      <c r="G234" s="3">
        <v>0</v>
      </c>
      <c r="H234" s="3">
        <v>0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3" t="s">
        <v>788</v>
      </c>
      <c r="B235" s="3" t="s">
        <v>789</v>
      </c>
      <c r="C235" s="3" t="s">
        <v>789</v>
      </c>
      <c r="D235" s="3" t="s">
        <v>790</v>
      </c>
      <c r="E235" s="3">
        <v>1</v>
      </c>
      <c r="F235" s="3">
        <v>0</v>
      </c>
      <c r="G235" s="3">
        <v>0</v>
      </c>
      <c r="H235" s="3">
        <v>1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3" t="s">
        <v>791</v>
      </c>
      <c r="B236" s="3" t="s">
        <v>792</v>
      </c>
      <c r="C236" s="3" t="s">
        <v>792</v>
      </c>
      <c r="D236" s="3" t="s">
        <v>793</v>
      </c>
      <c r="E236" s="3">
        <v>2</v>
      </c>
      <c r="F236" s="3">
        <v>2</v>
      </c>
      <c r="G236" s="3">
        <v>0</v>
      </c>
      <c r="H236" s="3">
        <v>0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3" t="s">
        <v>794</v>
      </c>
      <c r="B237" s="3" t="s">
        <v>795</v>
      </c>
      <c r="C237" s="3" t="s">
        <v>795</v>
      </c>
      <c r="D237" s="3" t="s">
        <v>796</v>
      </c>
      <c r="E237" s="3">
        <v>1</v>
      </c>
      <c r="F237" s="3">
        <v>1</v>
      </c>
      <c r="G237" s="3">
        <v>0</v>
      </c>
      <c r="H237" s="3">
        <v>0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3" t="s">
        <v>797</v>
      </c>
      <c r="B238" s="3" t="s">
        <v>798</v>
      </c>
      <c r="C238" s="3" t="s">
        <v>783</v>
      </c>
      <c r="D238" s="3" t="s">
        <v>784</v>
      </c>
      <c r="E238" s="3">
        <v>3</v>
      </c>
      <c r="F238" s="3">
        <v>1</v>
      </c>
      <c r="G238" s="3">
        <v>1</v>
      </c>
      <c r="H238" s="3">
        <v>1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3" t="s">
        <v>799</v>
      </c>
      <c r="B239" s="3" t="s">
        <v>800</v>
      </c>
      <c r="C239" s="3" t="s">
        <v>800</v>
      </c>
      <c r="D239" s="3" t="s">
        <v>801</v>
      </c>
      <c r="E239" s="3">
        <v>1</v>
      </c>
      <c r="F239" s="3">
        <v>0</v>
      </c>
      <c r="G239" s="3">
        <v>0</v>
      </c>
      <c r="H239" s="3">
        <v>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3" t="s">
        <v>802</v>
      </c>
      <c r="B240" s="3" t="s">
        <v>445</v>
      </c>
      <c r="C240" s="3" t="s">
        <v>445</v>
      </c>
      <c r="D240" s="3" t="s">
        <v>446</v>
      </c>
      <c r="E240" s="3">
        <v>1</v>
      </c>
      <c r="F240" s="3">
        <v>0</v>
      </c>
      <c r="G240" s="3">
        <v>0</v>
      </c>
      <c r="H240" s="3">
        <v>1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3" t="s">
        <v>803</v>
      </c>
      <c r="B241" s="3" t="s">
        <v>804</v>
      </c>
      <c r="C241" s="3" t="s">
        <v>805</v>
      </c>
      <c r="D241" s="3" t="s">
        <v>806</v>
      </c>
      <c r="E241" s="3">
        <v>6</v>
      </c>
      <c r="F241" s="3">
        <v>0</v>
      </c>
      <c r="G241" s="3">
        <v>6</v>
      </c>
      <c r="H241" s="3"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3" t="s">
        <v>807</v>
      </c>
      <c r="B242" s="3" t="s">
        <v>808</v>
      </c>
      <c r="C242" s="3" t="s">
        <v>809</v>
      </c>
      <c r="D242" s="3" t="s">
        <v>810</v>
      </c>
      <c r="E242" s="3">
        <v>9</v>
      </c>
      <c r="F242" s="3">
        <v>1</v>
      </c>
      <c r="G242" s="3">
        <v>7</v>
      </c>
      <c r="H242" s="3">
        <v>1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3" t="s">
        <v>811</v>
      </c>
      <c r="B243" s="3" t="s">
        <v>812</v>
      </c>
      <c r="C243" s="3" t="s">
        <v>812</v>
      </c>
      <c r="D243" s="3" t="s">
        <v>813</v>
      </c>
      <c r="E243" s="3">
        <v>1</v>
      </c>
      <c r="F243" s="3">
        <v>0</v>
      </c>
      <c r="G243" s="3">
        <v>0</v>
      </c>
      <c r="H243" s="3">
        <v>1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3" t="s">
        <v>814</v>
      </c>
      <c r="B244" s="3" t="s">
        <v>815</v>
      </c>
      <c r="C244" s="3" t="s">
        <v>815</v>
      </c>
      <c r="D244" s="3" t="s">
        <v>816</v>
      </c>
      <c r="E244" s="3">
        <v>1</v>
      </c>
      <c r="F244" s="3">
        <v>0</v>
      </c>
      <c r="G244" s="3">
        <v>0</v>
      </c>
      <c r="H244" s="3">
        <v>1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3" t="s">
        <v>817</v>
      </c>
      <c r="B245" s="3" t="s">
        <v>818</v>
      </c>
      <c r="C245" s="3" t="s">
        <v>786</v>
      </c>
      <c r="D245" s="3" t="s">
        <v>787</v>
      </c>
      <c r="E245" s="3">
        <v>8</v>
      </c>
      <c r="F245" s="3">
        <v>0</v>
      </c>
      <c r="G245" s="3">
        <v>8</v>
      </c>
      <c r="H245" s="3"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3" t="s">
        <v>819</v>
      </c>
      <c r="B246" s="3" t="s">
        <v>820</v>
      </c>
      <c r="C246" s="3" t="s">
        <v>780</v>
      </c>
      <c r="D246" s="3" t="s">
        <v>781</v>
      </c>
      <c r="E246" s="3">
        <v>4</v>
      </c>
      <c r="F246" s="3">
        <v>0</v>
      </c>
      <c r="G246" s="3">
        <v>3</v>
      </c>
      <c r="H246" s="3">
        <v>1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3" t="s">
        <v>821</v>
      </c>
      <c r="B247" s="3" t="s">
        <v>822</v>
      </c>
      <c r="C247" s="3" t="s">
        <v>823</v>
      </c>
      <c r="D247" s="3" t="s">
        <v>824</v>
      </c>
      <c r="E247" s="3">
        <v>5</v>
      </c>
      <c r="F247" s="3">
        <v>0</v>
      </c>
      <c r="G247" s="3">
        <v>4</v>
      </c>
      <c r="H247" s="3">
        <v>1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3" t="s">
        <v>825</v>
      </c>
      <c r="B248" s="3" t="s">
        <v>777</v>
      </c>
      <c r="C248" s="3" t="s">
        <v>777</v>
      </c>
      <c r="D248" s="3" t="s">
        <v>778</v>
      </c>
      <c r="E248" s="3">
        <v>1</v>
      </c>
      <c r="F248" s="3">
        <v>1</v>
      </c>
      <c r="G248" s="3">
        <v>0</v>
      </c>
      <c r="H248" s="3"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3" t="s">
        <v>826</v>
      </c>
      <c r="B249" s="3" t="s">
        <v>780</v>
      </c>
      <c r="C249" s="3" t="s">
        <v>780</v>
      </c>
      <c r="D249" s="3" t="s">
        <v>781</v>
      </c>
      <c r="E249" s="3">
        <v>1</v>
      </c>
      <c r="F249" s="3">
        <v>0</v>
      </c>
      <c r="G249" s="3">
        <v>1</v>
      </c>
      <c r="H249" s="3">
        <v>0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3" t="s">
        <v>827</v>
      </c>
      <c r="B250" s="3" t="s">
        <v>783</v>
      </c>
      <c r="C250" s="3" t="s">
        <v>783</v>
      </c>
      <c r="D250" s="3" t="s">
        <v>784</v>
      </c>
      <c r="E250" s="3">
        <v>1</v>
      </c>
      <c r="F250" s="3">
        <v>1</v>
      </c>
      <c r="G250" s="3">
        <v>0</v>
      </c>
      <c r="H250" s="3">
        <v>0</v>
      </c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3" t="s">
        <v>828</v>
      </c>
      <c r="B251" s="3" t="s">
        <v>434</v>
      </c>
      <c r="C251" s="3" t="s">
        <v>434</v>
      </c>
      <c r="D251" s="3" t="s">
        <v>435</v>
      </c>
      <c r="E251" s="3">
        <v>3</v>
      </c>
      <c r="F251" s="3">
        <v>1</v>
      </c>
      <c r="G251" s="3">
        <v>2</v>
      </c>
      <c r="H251" s="3"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3" t="s">
        <v>829</v>
      </c>
      <c r="B252" s="3" t="s">
        <v>789</v>
      </c>
      <c r="C252" s="3" t="s">
        <v>789</v>
      </c>
      <c r="D252" s="3" t="s">
        <v>790</v>
      </c>
      <c r="E252" s="3">
        <v>1</v>
      </c>
      <c r="F252" s="3">
        <v>0</v>
      </c>
      <c r="G252" s="3">
        <v>0</v>
      </c>
      <c r="H252" s="3">
        <v>1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3" t="s">
        <v>830</v>
      </c>
      <c r="B253" s="3" t="s">
        <v>483</v>
      </c>
      <c r="C253" s="3" t="s">
        <v>483</v>
      </c>
      <c r="D253" s="3" t="s">
        <v>484</v>
      </c>
      <c r="E253" s="3">
        <v>1</v>
      </c>
      <c r="F253" s="3">
        <v>0</v>
      </c>
      <c r="G253" s="3">
        <v>0</v>
      </c>
      <c r="H253" s="3">
        <v>1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3" t="s">
        <v>831</v>
      </c>
      <c r="B254" s="3" t="s">
        <v>795</v>
      </c>
      <c r="C254" s="3" t="s">
        <v>795</v>
      </c>
      <c r="D254" s="3" t="s">
        <v>796</v>
      </c>
      <c r="E254" s="3">
        <v>1</v>
      </c>
      <c r="F254" s="3">
        <v>1</v>
      </c>
      <c r="G254" s="3">
        <v>0</v>
      </c>
      <c r="H254" s="3"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  <row r="413" spans="1:18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</row>
    <row r="414" spans="1:18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</row>
    <row r="415" spans="1:18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</row>
    <row r="416" spans="1:18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</row>
    <row r="417" spans="1:18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</row>
    <row r="418" spans="1:18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</row>
    <row r="419" spans="1:18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</row>
    <row r="420" spans="1:18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</row>
    <row r="421" spans="1:18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</row>
    <row r="422" spans="1:18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</row>
    <row r="423" spans="1:18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</row>
    <row r="424" spans="1:18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</row>
    <row r="425" spans="1:18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</row>
    <row r="426" spans="1:18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</row>
    <row r="427" spans="1:18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</row>
    <row r="428" spans="1:18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</row>
    <row r="429" spans="1:18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</row>
    <row r="430" spans="1:18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</row>
    <row r="431" spans="1:18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</row>
    <row r="432" spans="1:18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</row>
    <row r="433" spans="1:18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</row>
    <row r="434" spans="1:18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</row>
    <row r="435" spans="1:18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</row>
    <row r="436" spans="1:18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</row>
    <row r="437" spans="1:18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</row>
    <row r="438" spans="1:18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</row>
    <row r="439" spans="1:18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</row>
    <row r="440" spans="1:18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</row>
    <row r="441" spans="1:18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</row>
    <row r="442" spans="1:18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</row>
    <row r="443" spans="1:18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</row>
    <row r="444" spans="1:18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</row>
    <row r="445" spans="1:18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</row>
    <row r="446" spans="1:18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</row>
    <row r="447" spans="1:18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</row>
    <row r="448" spans="1:18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</row>
    <row r="449" spans="1:18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</row>
    <row r="450" spans="1:18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</row>
    <row r="451" spans="1:18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</row>
    <row r="452" spans="1:18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</row>
    <row r="453" spans="1:18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</row>
    <row r="454" spans="1:18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</row>
    <row r="455" spans="1:18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</row>
    <row r="456" spans="1:18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</row>
    <row r="457" spans="1:18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</row>
    <row r="458" spans="1:18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</row>
    <row r="459" spans="1:18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</row>
    <row r="460" spans="1:18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</row>
    <row r="461" spans="1:18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</row>
    <row r="462" spans="1:18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</row>
    <row r="463" spans="1:18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</row>
    <row r="464" spans="1:18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</row>
    <row r="465" spans="1:18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</row>
    <row r="466" spans="1:18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</row>
    <row r="467" spans="1:18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</row>
    <row r="468" spans="1:18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</row>
    <row r="469" spans="1:18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</row>
    <row r="470" spans="1:18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</row>
    <row r="471" spans="1:18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</row>
    <row r="472" spans="1:18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</row>
    <row r="473" spans="1:18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</row>
    <row r="474" spans="1:18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</row>
    <row r="475" spans="1:18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</row>
    <row r="476" spans="1:18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</row>
    <row r="477" spans="1:18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</row>
    <row r="478" spans="1:18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</row>
    <row r="479" spans="1:18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</row>
    <row r="480" spans="1:18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</row>
    <row r="481" spans="1:18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</row>
    <row r="482" spans="1:18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</row>
    <row r="483" spans="1:18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</row>
    <row r="484" spans="1:18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</row>
    <row r="485" spans="1:18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</row>
    <row r="486" spans="1:18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</row>
    <row r="487" spans="1:18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</row>
    <row r="488" spans="1:18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</row>
    <row r="489" spans="1:18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</row>
    <row r="490" spans="1:18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</row>
    <row r="491" spans="1:18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</row>
    <row r="492" spans="1:18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</row>
    <row r="493" spans="1:18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</row>
    <row r="494" spans="1:18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</row>
    <row r="495" spans="1:18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</row>
    <row r="496" spans="1:18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</row>
    <row r="497" spans="1:18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</row>
    <row r="498" spans="1:18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</row>
    <row r="499" spans="1:18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</row>
    <row r="500" spans="1:18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</row>
    <row r="501" spans="1:18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</row>
    <row r="502" spans="1:18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</row>
    <row r="503" spans="1:18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</row>
    <row r="504" spans="1:18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</row>
    <row r="505" spans="1:18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</row>
    <row r="506" spans="1:18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</row>
    <row r="507" spans="1:18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</row>
    <row r="508" spans="1:18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</row>
    <row r="509" spans="1:18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</row>
    <row r="510" spans="1:18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</row>
    <row r="511" spans="1:18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</row>
    <row r="512" spans="1:18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</row>
    <row r="513" spans="1:18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</row>
    <row r="514" spans="1:18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</row>
    <row r="515" spans="1:18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</row>
    <row r="516" spans="1:18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</row>
    <row r="517" spans="1:18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</row>
    <row r="518" spans="1:18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</row>
    <row r="519" spans="1:18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</row>
    <row r="520" spans="1:18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</row>
    <row r="521" spans="1:18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</row>
    <row r="522" spans="1:18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</row>
    <row r="523" spans="1:18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</row>
    <row r="524" spans="1:18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</row>
    <row r="525" spans="1:18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</row>
    <row r="526" spans="1:18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</row>
    <row r="527" spans="1:18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</row>
    <row r="528" spans="1:18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</row>
    <row r="529" spans="1:18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</row>
    <row r="530" spans="1:18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</row>
    <row r="531" spans="1:18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</row>
    <row r="532" spans="1:18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</row>
    <row r="533" spans="1:18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</row>
    <row r="534" spans="1:18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</row>
    <row r="535" spans="1:18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</row>
    <row r="536" spans="1:18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</row>
    <row r="537" spans="1:18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</row>
    <row r="538" spans="1:18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</row>
    <row r="539" spans="1:18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</row>
    <row r="540" spans="1:18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</row>
    <row r="541" spans="1:18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</row>
    <row r="542" spans="1:18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</row>
    <row r="543" spans="1:18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</row>
    <row r="544" spans="1:18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</row>
    <row r="545" spans="1:18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</row>
    <row r="546" spans="1:18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</row>
    <row r="547" spans="1:18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</row>
    <row r="548" spans="1:18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</row>
    <row r="549" spans="1:18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</row>
    <row r="550" spans="1:18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</row>
    <row r="551" spans="1:18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</row>
    <row r="552" spans="1:18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</row>
    <row r="553" spans="1:18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</row>
    <row r="554" spans="1:18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</row>
    <row r="555" spans="1:18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</row>
    <row r="556" spans="1:18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</row>
    <row r="557" spans="1:18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</row>
    <row r="558" spans="1:18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</row>
    <row r="559" spans="1:18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</row>
    <row r="560" spans="1:18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</row>
    <row r="561" spans="1:18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</row>
    <row r="562" spans="1:18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</row>
    <row r="563" spans="1:18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</row>
    <row r="564" spans="1:18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</row>
    <row r="565" spans="1:18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</row>
    <row r="566" spans="1:18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</row>
    <row r="567" spans="1:18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</row>
    <row r="568" spans="1:18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</row>
    <row r="569" spans="1:18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</row>
    <row r="570" spans="1:18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</row>
    <row r="571" spans="1:18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</row>
    <row r="572" spans="1:18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</row>
    <row r="573" spans="1:18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</row>
    <row r="574" spans="1:18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</row>
    <row r="575" spans="1:18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</row>
    <row r="576" spans="1:18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</row>
    <row r="577" spans="1:18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</row>
    <row r="578" spans="1:18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</row>
    <row r="579" spans="1:18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</row>
    <row r="580" spans="1:18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</row>
    <row r="581" spans="1:18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</row>
    <row r="582" spans="1:18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</row>
    <row r="583" spans="1:18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</row>
    <row r="584" spans="1:18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</row>
    <row r="585" spans="1:18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</row>
    <row r="586" spans="1:18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</row>
    <row r="587" spans="1:18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</row>
    <row r="588" spans="1:18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</row>
    <row r="589" spans="1:18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</row>
    <row r="590" spans="1:18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</row>
    <row r="591" spans="1:18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</row>
    <row r="592" spans="1:18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</row>
    <row r="593" spans="1:18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</row>
    <row r="594" spans="1:18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</row>
    <row r="595" spans="1:18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</row>
    <row r="596" spans="1:18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</row>
    <row r="597" spans="1:18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</row>
    <row r="598" spans="1:18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</row>
    <row r="599" spans="1:18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</row>
    <row r="600" spans="1:18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</row>
    <row r="601" spans="1:18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</row>
    <row r="602" spans="1:18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</row>
    <row r="603" spans="1:18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</row>
    <row r="604" spans="1:18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</row>
    <row r="605" spans="1:18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</row>
    <row r="606" spans="1:18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</row>
    <row r="607" spans="1:18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</row>
    <row r="608" spans="1:18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</row>
    <row r="609" spans="1:18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</row>
    <row r="610" spans="1:18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</row>
    <row r="611" spans="1:18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</row>
    <row r="612" spans="1:18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</row>
    <row r="613" spans="1:18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</row>
    <row r="614" spans="1:18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</row>
    <row r="615" spans="1:18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</row>
    <row r="616" spans="1:18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</row>
    <row r="617" spans="1:18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</row>
    <row r="618" spans="1:18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</row>
    <row r="619" spans="1:18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</row>
    <row r="620" spans="1:18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</row>
    <row r="621" spans="1:18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</row>
    <row r="622" spans="1:18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</row>
    <row r="623" spans="1:18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</row>
    <row r="624" spans="1:18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</row>
    <row r="625" spans="1:18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</row>
    <row r="626" spans="1:18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</row>
    <row r="627" spans="1:18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</row>
    <row r="628" spans="1:18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</row>
    <row r="629" spans="1:18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</row>
    <row r="630" spans="1:18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</row>
    <row r="631" spans="1:18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</row>
    <row r="632" spans="1:18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</row>
    <row r="633" spans="1:18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</row>
    <row r="634" spans="1:18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</row>
    <row r="635" spans="1:18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</row>
    <row r="636" spans="1:18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</row>
    <row r="637" spans="1:18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</row>
    <row r="638" spans="1:18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</row>
    <row r="639" spans="1:18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</row>
    <row r="640" spans="1:18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</row>
    <row r="641" spans="1:18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</row>
    <row r="642" spans="1:18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</row>
    <row r="643" spans="1:18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</row>
    <row r="644" spans="1:18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</row>
    <row r="645" spans="1:18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</row>
    <row r="646" spans="1:18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</row>
    <row r="647" spans="1:18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</row>
    <row r="648" spans="1:18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</row>
    <row r="649" spans="1:18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</row>
    <row r="650" spans="1:18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</row>
    <row r="651" spans="1:18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</row>
    <row r="652" spans="1:18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</row>
    <row r="653" spans="1:18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</row>
    <row r="654" spans="1:18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</row>
    <row r="655" spans="1:18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</row>
    <row r="656" spans="1:18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</row>
    <row r="657" spans="1:18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</row>
    <row r="658" spans="1:18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</row>
    <row r="659" spans="1:18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</row>
    <row r="660" spans="1:18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</row>
    <row r="661" spans="1:18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</row>
    <row r="662" spans="1:18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</row>
    <row r="663" spans="1:18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</row>
    <row r="664" spans="1:18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</row>
    <row r="665" spans="1:18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</row>
    <row r="666" spans="1:18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</row>
    <row r="667" spans="1:18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</row>
    <row r="668" spans="1:18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</row>
    <row r="669" spans="1:18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</row>
    <row r="670" spans="1:18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</row>
    <row r="671" spans="1:18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</row>
    <row r="672" spans="1:18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</row>
    <row r="673" spans="1:18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</row>
    <row r="674" spans="1:18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</row>
    <row r="675" spans="1:18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</row>
    <row r="676" spans="1:18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</row>
    <row r="677" spans="1:18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</row>
    <row r="678" spans="1:18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</row>
    <row r="679" spans="1:18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</row>
    <row r="680" spans="1:18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</row>
    <row r="681" spans="1:18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</row>
    <row r="682" spans="1:18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</row>
    <row r="683" spans="1:18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</row>
    <row r="684" spans="1:18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</row>
    <row r="685" spans="1:18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</row>
    <row r="686" spans="1:18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</row>
    <row r="687" spans="1:18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</row>
    <row r="688" spans="1:18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</row>
    <row r="689" spans="1:18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</row>
    <row r="690" spans="1:18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</row>
    <row r="691" spans="1:18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</row>
    <row r="692" spans="1:18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</row>
    <row r="693" spans="1:18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</row>
    <row r="694" spans="1:18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</row>
    <row r="695" spans="1:18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</row>
    <row r="696" spans="1:18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</row>
    <row r="697" spans="1:18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</row>
    <row r="698" spans="1:18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</row>
    <row r="699" spans="1:18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</row>
    <row r="700" spans="1:18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</row>
    <row r="701" spans="1:18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</row>
    <row r="702" spans="1:18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</row>
    <row r="703" spans="1:18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</row>
    <row r="704" spans="1:18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</row>
    <row r="705" spans="1:18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</row>
    <row r="706" spans="1:18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</row>
    <row r="707" spans="1:18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</row>
    <row r="708" spans="1:18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</row>
    <row r="709" spans="1:18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</row>
    <row r="710" spans="1:18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</row>
    <row r="711" spans="1:18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</row>
    <row r="712" spans="1:18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</row>
    <row r="713" spans="1:18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</row>
    <row r="714" spans="1:18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</row>
    <row r="715" spans="1:18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</row>
    <row r="716" spans="1:18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</row>
    <row r="717" spans="1:18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</row>
    <row r="718" spans="1:18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</row>
    <row r="719" spans="1:18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</row>
    <row r="720" spans="1:18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</row>
    <row r="721" spans="1:18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</row>
    <row r="722" spans="1:18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</row>
    <row r="723" spans="1:18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</row>
    <row r="724" spans="1:18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</row>
    <row r="725" spans="1:18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</row>
    <row r="726" spans="1:18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</row>
    <row r="727" spans="1:18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</row>
    <row r="728" spans="1:18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</row>
    <row r="729" spans="1:18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</row>
    <row r="730" spans="1:18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</row>
    <row r="731" spans="1:18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</row>
    <row r="732" spans="1:18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</row>
    <row r="733" spans="1:18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</row>
    <row r="734" spans="1:18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</row>
    <row r="735" spans="1:18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</row>
    <row r="736" spans="1:18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</row>
    <row r="737" spans="1:18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</row>
    <row r="738" spans="1:18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</row>
    <row r="739" spans="1:18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</row>
    <row r="740" spans="1:18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</row>
    <row r="741" spans="1:18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</row>
    <row r="742" spans="1:18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</row>
    <row r="743" spans="1:18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</row>
    <row r="744" spans="1:18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</row>
    <row r="745" spans="1:18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</row>
    <row r="746" spans="1:18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</row>
    <row r="747" spans="1:18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</row>
    <row r="748" spans="1:18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</row>
    <row r="749" spans="1:18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</row>
    <row r="750" spans="1:18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</row>
    <row r="751" spans="1:18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</row>
    <row r="752" spans="1:18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</row>
    <row r="753" spans="1:18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</row>
    <row r="754" spans="1:18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</row>
    <row r="755" spans="1:18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</row>
    <row r="756" spans="1:18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</row>
    <row r="757" spans="1:18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</row>
    <row r="758" spans="1:18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</row>
    <row r="759" spans="1:18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</row>
    <row r="760" spans="1:18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</row>
    <row r="761" spans="1:18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</row>
    <row r="762" spans="1:18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</row>
    <row r="763" spans="1:18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</row>
    <row r="764" spans="1:18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</row>
    <row r="765" spans="1:18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</row>
    <row r="766" spans="1:18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</row>
    <row r="767" spans="1:18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</row>
    <row r="768" spans="1:18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</row>
    <row r="769" spans="1:18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</row>
    <row r="770" spans="1:18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</row>
    <row r="771" spans="1:18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</row>
    <row r="772" spans="1:18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</row>
    <row r="773" spans="1:18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</row>
    <row r="774" spans="1:18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</row>
    <row r="775" spans="1:18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</row>
    <row r="776" spans="1:18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</row>
    <row r="777" spans="1:18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</row>
    <row r="778" spans="1:18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</row>
    <row r="779" spans="1:18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</row>
    <row r="780" spans="1:18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</row>
    <row r="781" spans="1:18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</row>
    <row r="782" spans="1:18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</row>
    <row r="783" spans="1:18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</row>
    <row r="784" spans="1:18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</row>
    <row r="785" spans="1:18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</row>
    <row r="786" spans="1:18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</row>
    <row r="787" spans="1:18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</row>
    <row r="788" spans="1:18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</row>
    <row r="789" spans="1:18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</row>
    <row r="790" spans="1:18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</row>
    <row r="791" spans="1:18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</row>
    <row r="792" spans="1:18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</row>
    <row r="793" spans="1:18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</row>
    <row r="794" spans="1:18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</row>
    <row r="795" spans="1:18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</row>
    <row r="796" spans="1:18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</row>
    <row r="797" spans="1:18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</row>
    <row r="798" spans="1:18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</row>
    <row r="799" spans="1:18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</row>
    <row r="800" spans="1:18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</row>
    <row r="801" spans="1:18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</row>
    <row r="802" spans="1:18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</row>
    <row r="803" spans="1:18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</row>
    <row r="804" spans="1:18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</row>
    <row r="805" spans="1:18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</row>
    <row r="806" spans="1:18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</row>
    <row r="807" spans="1:18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</row>
    <row r="808" spans="1:18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</row>
    <row r="809" spans="1:18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</row>
    <row r="810" spans="1:18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</row>
    <row r="811" spans="1:18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</row>
    <row r="812" spans="1:18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</row>
    <row r="813" spans="1:18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</row>
    <row r="814" spans="1:18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</row>
    <row r="815" spans="1:18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</row>
    <row r="816" spans="1:18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</row>
    <row r="817" spans="1:18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</row>
    <row r="818" spans="1:18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</row>
    <row r="819" spans="1:18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</row>
    <row r="820" spans="1:18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</row>
    <row r="821" spans="1:18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</row>
    <row r="822" spans="1:18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</row>
    <row r="823" spans="1:18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</row>
    <row r="824" spans="1:18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</row>
    <row r="825" spans="1:18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</row>
    <row r="826" spans="1:18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</row>
    <row r="827" spans="1:18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</row>
    <row r="828" spans="1:18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</row>
    <row r="829" spans="1:18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</row>
    <row r="830" spans="1:18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</row>
    <row r="831" spans="1:18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</row>
    <row r="832" spans="1:18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</row>
    <row r="833" spans="1:18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</row>
    <row r="834" spans="1:18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</row>
    <row r="835" spans="1:18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</row>
    <row r="836" spans="1:18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</row>
    <row r="837" spans="1:18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</row>
    <row r="838" spans="1:18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</row>
    <row r="839" spans="1:18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</row>
    <row r="840" spans="1:18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</row>
    <row r="841" spans="1:18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</row>
    <row r="842" spans="1:18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</row>
    <row r="843" spans="1:18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</row>
    <row r="844" spans="1:18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</row>
    <row r="845" spans="1:18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</row>
    <row r="846" spans="1:18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</row>
    <row r="847" spans="1:18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</row>
    <row r="848" spans="1:18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</row>
    <row r="849" spans="1:18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</row>
    <row r="850" spans="1:18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</row>
    <row r="851" spans="1:18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</row>
    <row r="852" spans="1:18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</row>
    <row r="853" spans="1:18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</row>
    <row r="854" spans="1:18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</row>
    <row r="855" spans="1:18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</row>
    <row r="856" spans="1:18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</row>
    <row r="857" spans="1:18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</row>
    <row r="858" spans="1:18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</row>
    <row r="859" spans="1:18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</row>
    <row r="860" spans="1:18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</row>
    <row r="861" spans="1:18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</row>
    <row r="862" spans="1:18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</row>
    <row r="863" spans="1:18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</row>
    <row r="864" spans="1:18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</row>
    <row r="865" spans="1:18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</row>
    <row r="866" spans="1:18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</row>
    <row r="867" spans="1:18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</row>
    <row r="868" spans="1:18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</row>
    <row r="869" spans="1:18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</row>
    <row r="870" spans="1:18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</row>
    <row r="871" spans="1:18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</row>
    <row r="872" spans="1:18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</row>
    <row r="873" spans="1:18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</row>
    <row r="874" spans="1:18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</row>
    <row r="875" spans="1:18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</row>
    <row r="876" spans="1:18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</row>
    <row r="877" spans="1:18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</row>
    <row r="878" spans="1:18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</row>
    <row r="879" spans="1:18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</row>
    <row r="880" spans="1:18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</row>
    <row r="881" spans="1:18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</row>
    <row r="882" spans="1:18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</row>
    <row r="883" spans="1:18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</row>
    <row r="884" spans="1:18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</row>
    <row r="885" spans="1:18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</row>
    <row r="886" spans="1:18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</row>
    <row r="887" spans="1:18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</row>
    <row r="888" spans="1:18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</row>
    <row r="889" spans="1:18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</row>
    <row r="890" spans="1:18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</row>
    <row r="891" spans="1:18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</row>
    <row r="892" spans="1:18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</row>
    <row r="893" spans="1:18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</row>
    <row r="894" spans="1:18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</row>
    <row r="895" spans="1:18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</row>
    <row r="896" spans="1:18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</row>
    <row r="897" spans="1:18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</row>
    <row r="898" spans="1:18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</row>
    <row r="899" spans="1:18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</row>
    <row r="900" spans="1:18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</row>
    <row r="901" spans="1:18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</row>
    <row r="902" spans="1:18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</row>
    <row r="903" spans="1:18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</row>
    <row r="904" spans="1:18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</row>
    <row r="905" spans="1:18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</row>
    <row r="906" spans="1:18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</row>
    <row r="907" spans="1:18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</row>
    <row r="908" spans="1:18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</row>
    <row r="909" spans="1:18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</row>
    <row r="910" spans="1:18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</row>
    <row r="911" spans="1:18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</row>
    <row r="912" spans="1:18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</row>
    <row r="913" spans="1:18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</row>
    <row r="914" spans="1:18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</row>
    <row r="915" spans="1:18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</row>
    <row r="916" spans="1:18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</row>
    <row r="917" spans="1:18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</row>
    <row r="918" spans="1:18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</row>
    <row r="919" spans="1:18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</row>
    <row r="920" spans="1:18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</row>
    <row r="921" spans="1:18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</row>
    <row r="922" spans="1:18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</row>
    <row r="923" spans="1:18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</row>
    <row r="924" spans="1:18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</row>
    <row r="925" spans="1:18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</row>
    <row r="926" spans="1:18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</row>
    <row r="927" spans="1:18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</row>
    <row r="928" spans="1:18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</row>
    <row r="929" spans="1:18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</row>
    <row r="930" spans="1:18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</row>
    <row r="931" spans="1:18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</row>
    <row r="932" spans="1:18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</row>
    <row r="933" spans="1:18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</row>
    <row r="934" spans="1:18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</row>
    <row r="935" spans="1:18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</row>
    <row r="936" spans="1:18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</row>
    <row r="937" spans="1:18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</row>
    <row r="938" spans="1:18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</row>
    <row r="939" spans="1:18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</row>
    <row r="940" spans="1:18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</row>
    <row r="941" spans="1:18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</row>
    <row r="942" spans="1:18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</row>
    <row r="943" spans="1:18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</row>
    <row r="944" spans="1:18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</row>
    <row r="945" spans="1:18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</row>
    <row r="946" spans="1:18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</row>
    <row r="947" spans="1:18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</row>
    <row r="948" spans="1:18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</row>
    <row r="949" spans="1:18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</row>
    <row r="950" spans="1:18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</row>
    <row r="951" spans="1:18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</row>
    <row r="952" spans="1:18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</row>
    <row r="953" spans="1:18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</row>
    <row r="954" spans="1:18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</row>
    <row r="955" spans="1:18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</row>
    <row r="956" spans="1:18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</row>
    <row r="957" spans="1:18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</row>
    <row r="958" spans="1:18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</row>
    <row r="959" spans="1:18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</row>
    <row r="960" spans="1:18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</row>
    <row r="961" spans="1:18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</row>
    <row r="962" spans="1:18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</row>
    <row r="963" spans="1:18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</row>
    <row r="964" spans="1:18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</row>
    <row r="965" spans="1:18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</row>
    <row r="966" spans="1:18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</row>
    <row r="967" spans="1:18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</row>
    <row r="968" spans="1:18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</row>
    <row r="969" spans="1:18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</row>
    <row r="970" spans="1:18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</row>
    <row r="971" spans="1:18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</row>
    <row r="972" spans="1:18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</row>
    <row r="973" spans="1:18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</row>
    <row r="974" spans="1:18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</row>
    <row r="975" spans="1:18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</row>
    <row r="976" spans="1:18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</row>
    <row r="977" spans="1:18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</row>
    <row r="978" spans="1:18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</row>
    <row r="979" spans="1:18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</row>
    <row r="980" spans="1:18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</row>
    <row r="981" spans="1:18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</row>
    <row r="982" spans="1:18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</row>
    <row r="983" spans="1:18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</row>
    <row r="984" spans="1:18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</row>
    <row r="985" spans="1:18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</row>
    <row r="986" spans="1:18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</row>
    <row r="987" spans="1:18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</row>
    <row r="988" spans="1:18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</row>
    <row r="989" spans="1:18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</row>
    <row r="990" spans="1:18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</row>
    <row r="991" spans="1:18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</row>
    <row r="992" spans="1:18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</row>
    <row r="993" spans="1:18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</row>
    <row r="994" spans="1:18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</row>
    <row r="995" spans="1:18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</row>
    <row r="996" spans="1:18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</row>
    <row r="997" spans="1:18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</row>
    <row r="998" spans="1:18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</row>
    <row r="999" spans="1:18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</row>
    <row r="1000" spans="1:18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</row>
    <row r="1001" spans="1:18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</row>
    <row r="1002" spans="1:18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</row>
    <row r="1003" spans="1:18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</row>
    <row r="1004" spans="1:18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</row>
    <row r="1005" spans="1:18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</row>
    <row r="1006" spans="1:18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</row>
    <row r="1007" spans="1:18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</row>
    <row r="1008" spans="1:18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</row>
    <row r="1009" spans="1:18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</row>
    <row r="1010" spans="1:18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</row>
    <row r="1011" spans="1:18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</row>
    <row r="1012" spans="1:18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</row>
    <row r="1013" spans="1:18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</row>
    <row r="1014" spans="1:18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</row>
    <row r="1015" spans="1:18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</row>
    <row r="1016" spans="1:18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</row>
    <row r="1017" spans="1:18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</row>
    <row r="1018" spans="1:18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</row>
    <row r="1019" spans="1:18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</row>
    <row r="1020" spans="1:18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</row>
    <row r="1021" spans="1:18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</row>
    <row r="1022" spans="1:18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</row>
    <row r="1023" spans="1:18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</row>
    <row r="1024" spans="1:18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</row>
    <row r="1025" spans="1:18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</row>
    <row r="1026" spans="1:18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</row>
    <row r="1027" spans="1:18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</row>
    <row r="1028" spans="1:18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</row>
    <row r="1029" spans="1:18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</row>
    <row r="1030" spans="1:18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</row>
    <row r="1031" spans="1:18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</row>
    <row r="1032" spans="1:18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</row>
    <row r="1033" spans="1:18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</row>
    <row r="1034" spans="1:18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</row>
    <row r="1035" spans="1:18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</row>
    <row r="1036" spans="1:18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</row>
    <row r="1037" spans="1:18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</row>
    <row r="1038" spans="1:18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</row>
    <row r="1039" spans="1:18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</row>
    <row r="1040" spans="1:18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</row>
    <row r="1041" spans="1:18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</row>
    <row r="1042" spans="1:18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</row>
    <row r="1043" spans="1:18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</row>
    <row r="1044" spans="1:18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</row>
    <row r="1045" spans="1:18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</row>
    <row r="1046" spans="1:18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</row>
    <row r="1047" spans="1:18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</row>
    <row r="1048" spans="1:18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</row>
    <row r="1049" spans="1:18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</row>
    <row r="1050" spans="1:18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</row>
    <row r="1051" spans="1:18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</row>
    <row r="1052" spans="1:18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</row>
    <row r="1053" spans="1:18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</row>
    <row r="1054" spans="1:18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</row>
    <row r="1055" spans="1:18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</row>
    <row r="1056" spans="1:18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</row>
    <row r="1057" spans="1:18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</row>
    <row r="1058" spans="1:18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</row>
    <row r="1059" spans="1:18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</row>
    <row r="1060" spans="1:18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</row>
    <row r="1061" spans="1:18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</row>
    <row r="1062" spans="1:18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</row>
    <row r="1063" spans="1:18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</row>
    <row r="1064" spans="1:18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</row>
    <row r="1065" spans="1:18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</row>
    <row r="1066" spans="1:18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</row>
    <row r="1067" spans="1:18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</row>
    <row r="1068" spans="1:18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</row>
    <row r="1069" spans="1:18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</row>
    <row r="1070" spans="1:18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</row>
    <row r="1071" spans="1:18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</row>
    <row r="1072" spans="1:18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</row>
    <row r="1073" spans="1:18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</row>
    <row r="1074" spans="1:18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</row>
    <row r="1075" spans="1:18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</row>
    <row r="1076" spans="1:18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</row>
    <row r="1077" spans="1:18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</row>
    <row r="1078" spans="1:18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</row>
    <row r="1079" spans="1:18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</row>
    <row r="1080" spans="1:18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</row>
    <row r="1081" spans="1:18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</row>
    <row r="1082" spans="1:18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</row>
    <row r="1083" spans="1:18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</row>
    <row r="1084" spans="1:18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</row>
    <row r="1085" spans="1:18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</row>
    <row r="1086" spans="1:18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</row>
    <row r="1087" spans="1:18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</row>
    <row r="1088" spans="1:18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</row>
    <row r="1089" spans="1:18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</row>
    <row r="1090" spans="1:18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</row>
    <row r="1091" spans="1:18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</row>
    <row r="1092" spans="1:18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</row>
    <row r="1093" spans="1:18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</row>
    <row r="1094" spans="1:18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</row>
    <row r="1095" spans="1:18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</row>
    <row r="1096" spans="1:18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</row>
    <row r="1097" spans="1:18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</row>
    <row r="1098" spans="1:18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</row>
    <row r="1099" spans="1:18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</row>
    <row r="1100" spans="1:18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</row>
    <row r="1101" spans="1:18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</row>
    <row r="1102" spans="1:18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</row>
    <row r="1103" spans="1:18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</row>
    <row r="1104" spans="1:18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</row>
    <row r="1105" spans="1:18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</row>
    <row r="1106" spans="1:18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</row>
    <row r="1107" spans="1:18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</row>
    <row r="1108" spans="1:18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</row>
    <row r="1109" spans="1:18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</row>
    <row r="1110" spans="1:18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</row>
    <row r="1111" spans="1:18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</row>
    <row r="1112" spans="1:18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</row>
    <row r="1113" spans="1:18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</row>
    <row r="1114" spans="1:18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</row>
    <row r="1115" spans="1:18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</row>
    <row r="1116" spans="1:18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</row>
    <row r="1117" spans="1:18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</row>
    <row r="1118" spans="1:18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</row>
    <row r="1119" spans="1:18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</row>
    <row r="1120" spans="1:18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</row>
    <row r="1121" spans="1:18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</row>
    <row r="1122" spans="1:18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</row>
    <row r="1123" spans="1:18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</row>
    <row r="1124" spans="1:18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</row>
    <row r="1125" spans="1:18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</row>
    <row r="1126" spans="1:18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</row>
    <row r="1127" spans="1:18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</row>
    <row r="1128" spans="1:18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</row>
    <row r="1129" spans="1:18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</row>
    <row r="1130" spans="1:18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</row>
    <row r="1131" spans="1:18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</row>
    <row r="1132" spans="1:18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</row>
    <row r="1133" spans="1:18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</row>
    <row r="1134" spans="1:18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</row>
    <row r="1135" spans="1:18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</row>
    <row r="1136" spans="1:18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</row>
    <row r="1137" spans="1:18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</row>
    <row r="1138" spans="1:18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</row>
    <row r="1139" spans="1:18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</row>
    <row r="1140" spans="1:18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</row>
    <row r="1141" spans="1:18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</row>
    <row r="1142" spans="1:18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</row>
    <row r="1143" spans="1:18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</row>
    <row r="1144" spans="1:18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</row>
    <row r="1145" spans="1:18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</row>
    <row r="1146" spans="1:18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</row>
    <row r="1147" spans="1:18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</row>
    <row r="1148" spans="1:18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</row>
    <row r="1149" spans="1:18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</row>
    <row r="1150" spans="1:18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</row>
    <row r="1151" spans="1:18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</row>
    <row r="1152" spans="1:18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</row>
    <row r="1153" spans="1:18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</row>
    <row r="1154" spans="1:18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</row>
    <row r="1155" spans="1:18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</row>
    <row r="1156" spans="1:18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</row>
    <row r="1157" spans="1:18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</row>
    <row r="1158" spans="1:18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</row>
    <row r="1159" spans="1:18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</row>
    <row r="1160" spans="1:18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</row>
    <row r="1161" spans="1:18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</row>
    <row r="1162" spans="1:18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</row>
    <row r="1163" spans="1:18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</row>
    <row r="1164" spans="1:18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</row>
    <row r="1165" spans="1:18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</row>
    <row r="1166" spans="1:18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</row>
    <row r="1167" spans="1:18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</row>
    <row r="1168" spans="1:18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</row>
    <row r="1169" spans="1:18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</row>
    <row r="1170" spans="1:18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</row>
    <row r="1171" spans="1:18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</row>
    <row r="1172" spans="1:18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</row>
    <row r="1173" spans="1:18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</row>
    <row r="1174" spans="1:18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</row>
    <row r="1175" spans="1:18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</row>
    <row r="1176" spans="1:18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</row>
    <row r="1177" spans="1:18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</row>
    <row r="1178" spans="1:18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</row>
    <row r="1179" spans="1:18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</row>
    <row r="1180" spans="1:18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</row>
    <row r="1181" spans="1:18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</row>
    <row r="1182" spans="1:18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</row>
    <row r="1183" spans="1:18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</row>
    <row r="1184" spans="1:18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</row>
    <row r="1185" spans="1:18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</row>
    <row r="1186" spans="1:18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</row>
    <row r="1187" spans="1:18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</row>
    <row r="1188" spans="1:18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</row>
    <row r="1189" spans="1:18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</row>
    <row r="1190" spans="1:18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</row>
    <row r="1191" spans="1:18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</row>
    <row r="1192" spans="1:18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</row>
    <row r="1193" spans="1:18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</row>
    <row r="1194" spans="1:18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</row>
    <row r="1195" spans="1:18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</row>
    <row r="1196" spans="1:18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</row>
    <row r="1197" spans="1:18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</row>
    <row r="1198" spans="1:18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</row>
    <row r="1199" spans="1:18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</row>
    <row r="1200" spans="1:18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</row>
    <row r="1201" spans="1:18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</row>
    <row r="1202" spans="1:18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</row>
    <row r="1203" spans="1:18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</row>
    <row r="1204" spans="1:18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</row>
    <row r="1205" spans="1:18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</row>
    <row r="1206" spans="1:18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</row>
    <row r="1207" spans="1:18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</row>
    <row r="1208" spans="1:18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</row>
    <row r="1209" spans="1:18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</row>
    <row r="1210" spans="1:18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</row>
    <row r="1211" spans="1:18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</row>
    <row r="1212" spans="1:18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</row>
    <row r="1213" spans="1:18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</row>
    <row r="1214" spans="1:18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</row>
    <row r="1215" spans="1:18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</row>
    <row r="1216" spans="1:18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</row>
    <row r="1217" spans="1:18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</row>
    <row r="1218" spans="1:18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</row>
    <row r="1219" spans="1:18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</row>
    <row r="1220" spans="1:18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</row>
    <row r="1221" spans="1:18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</row>
    <row r="1222" spans="1:18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</row>
    <row r="1223" spans="1:18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</row>
    <row r="1224" spans="1:18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</row>
    <row r="1225" spans="1:18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</row>
    <row r="1226" spans="1:18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</row>
    <row r="1227" spans="1:18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</row>
    <row r="1228" spans="1:18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</row>
    <row r="1229" spans="1:18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</row>
    <row r="1230" spans="1:18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</row>
    <row r="1231" spans="1:18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</row>
    <row r="1232" spans="1:18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</row>
    <row r="1233" spans="1:18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</row>
    <row r="1234" spans="1:18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</row>
    <row r="1235" spans="1:18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</row>
    <row r="1236" spans="1:18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</row>
    <row r="1237" spans="1:18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</row>
    <row r="1238" spans="1:18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</row>
    <row r="1239" spans="1:18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</row>
    <row r="1240" spans="1:18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</row>
    <row r="1241" spans="1:18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</row>
    <row r="1242" spans="1:18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</row>
    <row r="1243" spans="1:18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</row>
    <row r="1244" spans="1:18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</row>
    <row r="1245" spans="1:18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</row>
    <row r="1246" spans="1:18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</row>
    <row r="1247" spans="1:18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</row>
    <row r="1248" spans="1:18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</row>
    <row r="1249" spans="1:18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</row>
    <row r="1250" spans="1:18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</row>
    <row r="1251" spans="1:18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</row>
    <row r="1252" spans="1:18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</row>
    <row r="1253" spans="1:18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</row>
    <row r="1254" spans="1:18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</row>
    <row r="1255" spans="1:18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</row>
    <row r="1256" spans="1:18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</row>
    <row r="1257" spans="1:18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</row>
    <row r="1258" spans="1:18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</row>
    <row r="1259" spans="1:18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</row>
    <row r="1260" spans="1:18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</row>
    <row r="1261" spans="1:18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</row>
    <row r="1262" spans="1:18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</row>
    <row r="1263" spans="1:18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</row>
    <row r="1264" spans="1:18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</row>
    <row r="1265" spans="1:18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</row>
    <row r="1266" spans="1:18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</row>
    <row r="1267" spans="1:18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</row>
    <row r="1268" spans="1:18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</row>
    <row r="1269" spans="1:18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</row>
    <row r="1270" spans="1:18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</row>
    <row r="1271" spans="1:18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</row>
    <row r="1272" spans="1:18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</row>
    <row r="1273" spans="1:18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</row>
    <row r="1274" spans="1:18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</row>
    <row r="1275" spans="1:18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</row>
    <row r="1276" spans="1:18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</row>
    <row r="1277" spans="1:18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</row>
    <row r="1278" spans="1:18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</row>
    <row r="1279" spans="1:18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</row>
    <row r="1280" spans="1:18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</row>
    <row r="1281" spans="1:18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</row>
    <row r="1282" spans="1:18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</row>
    <row r="1283" spans="1:18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</row>
    <row r="1284" spans="1:18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</row>
    <row r="1285" spans="1:18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</row>
    <row r="1286" spans="1:18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</row>
    <row r="1287" spans="1:18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</row>
    <row r="1288" spans="1:18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</row>
    <row r="1289" spans="1:18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</row>
    <row r="1290" spans="1:18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</row>
    <row r="1291" spans="1:18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</row>
    <row r="1292" spans="1:18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</row>
    <row r="1293" spans="1:18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</row>
    <row r="1294" spans="1:18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</row>
    <row r="1295" spans="1:18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</row>
    <row r="1296" spans="1:18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</row>
    <row r="1297" spans="1:18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</row>
    <row r="1298" spans="1:18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</row>
    <row r="1299" spans="1:18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</row>
    <row r="1300" spans="1:18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</row>
    <row r="1301" spans="1:18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</row>
    <row r="1302" spans="1:18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</row>
    <row r="1303" spans="1:18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</row>
    <row r="1304" spans="1:18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</row>
    <row r="1305" spans="1:18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</row>
    <row r="1306" spans="1:18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</row>
    <row r="1307" spans="1:18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</row>
    <row r="1308" spans="1:18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</row>
    <row r="1309" spans="1:18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</row>
    <row r="1310" spans="1:18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</row>
    <row r="1311" spans="1:18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</row>
    <row r="1312" spans="1:18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</row>
    <row r="1313" spans="1:18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</row>
    <row r="1314" spans="1:18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</row>
    <row r="1315" spans="1:18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</row>
    <row r="1316" spans="1:18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</row>
    <row r="1317" spans="1:18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</row>
    <row r="1318" spans="1:18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</row>
    <row r="1319" spans="1:18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</row>
    <row r="1320" spans="1:18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</row>
    <row r="1321" spans="1:18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</row>
    <row r="1322" spans="1:18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</row>
    <row r="1323" spans="1:18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</row>
    <row r="1324" spans="1:18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</row>
    <row r="1325" spans="1:18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</row>
    <row r="1326" spans="1:18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</row>
    <row r="1327" spans="1:18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</row>
    <row r="1328" spans="1:18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</row>
    <row r="1329" spans="1:18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</row>
    <row r="1330" spans="1:18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</row>
    <row r="1331" spans="1:18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</row>
    <row r="1332" spans="1:18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</row>
    <row r="1333" spans="1:18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</row>
    <row r="1334" spans="1:18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</row>
    <row r="1335" spans="1:18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</row>
    <row r="1336" spans="1:18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</row>
    <row r="1337" spans="1:18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</row>
    <row r="1338" spans="1:18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</row>
    <row r="1339" spans="1:18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</row>
    <row r="1340" spans="1:18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</row>
    <row r="1341" spans="1:18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</row>
    <row r="1342" spans="1:18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</row>
    <row r="1343" spans="1:18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</row>
    <row r="1344" spans="1:18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</row>
    <row r="1345" spans="1:18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</row>
    <row r="1346" spans="1:18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</row>
    <row r="1347" spans="1:18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</row>
    <row r="1348" spans="1:18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</row>
    <row r="1349" spans="1:18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</row>
    <row r="1350" spans="1:18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</row>
    <row r="1351" spans="1:18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</row>
    <row r="1352" spans="1:18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</row>
    <row r="1353" spans="1:18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</row>
    <row r="1354" spans="1:18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</row>
    <row r="1355" spans="1:18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</row>
    <row r="1356" spans="1:18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</row>
    <row r="1357" spans="1:18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</row>
    <row r="1358" spans="1:18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</row>
    <row r="1359" spans="1:18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</row>
    <row r="1360" spans="1:18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</row>
    <row r="1361" spans="1:18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</row>
    <row r="1362" spans="1:18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</row>
    <row r="1363" spans="1:18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</row>
    <row r="1364" spans="1:18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</row>
    <row r="1365" spans="1:18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</row>
    <row r="1366" spans="1:18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</row>
    <row r="1367" spans="1:18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</row>
    <row r="1368" spans="1:18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</row>
    <row r="1369" spans="1:18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</row>
    <row r="1370" spans="1:18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</row>
    <row r="1371" spans="1:18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</row>
    <row r="1372" spans="1:18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</row>
    <row r="1373" spans="1:18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</row>
    <row r="1374" spans="1:18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</row>
    <row r="1375" spans="1:18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</row>
    <row r="1376" spans="1:18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</row>
    <row r="1377" spans="1:18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</row>
    <row r="1378" spans="1:18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</row>
    <row r="1379" spans="1:18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</row>
    <row r="1380" spans="1:18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</row>
    <row r="1381" spans="1:18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</row>
    <row r="1382" spans="1:18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</row>
    <row r="1383" spans="1:18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</row>
    <row r="1384" spans="1:18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</row>
    <row r="1385" spans="1:18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</row>
    <row r="1386" spans="1:18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</row>
    <row r="1387" spans="1:18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</row>
    <row r="1388" spans="1:18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</row>
    <row r="1389" spans="1:18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</row>
    <row r="1390" spans="1:18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</row>
    <row r="1391" spans="1:18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</row>
    <row r="1392" spans="1:18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</row>
    <row r="1393" spans="1:18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</row>
    <row r="1394" spans="1:18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</row>
    <row r="1395" spans="1:18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</row>
    <row r="1396" spans="1:18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</row>
    <row r="1397" spans="1:18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</row>
    <row r="1398" spans="1:18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</row>
    <row r="1399" spans="1:18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</row>
    <row r="1400" spans="1:18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</row>
    <row r="1401" spans="1:18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</row>
    <row r="1402" spans="1:18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</row>
    <row r="1403" spans="1:18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</row>
    <row r="1404" spans="1:18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</row>
    <row r="1405" spans="1:18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</row>
    <row r="1406" spans="1:18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</row>
    <row r="1407" spans="1:18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</row>
    <row r="1408" spans="1:18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</row>
    <row r="1409" spans="1:18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</row>
    <row r="1410" spans="1:18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</row>
    <row r="1411" spans="1:18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</row>
    <row r="1412" spans="1:18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</row>
    <row r="1413" spans="1:18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</row>
    <row r="1414" spans="1:18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</row>
    <row r="1415" spans="1:18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</row>
    <row r="1416" spans="1:18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</row>
    <row r="1417" spans="1:18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</row>
    <row r="1418" spans="1:18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</row>
    <row r="1419" spans="1:18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</row>
    <row r="1420" spans="1:18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</row>
    <row r="1421" spans="1:18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</row>
    <row r="1422" spans="1:18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</row>
    <row r="1423" spans="1:18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</row>
    <row r="1424" spans="1:18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</row>
    <row r="1425" spans="1:18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</row>
    <row r="1426" spans="1:18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</row>
    <row r="1427" spans="1:18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</row>
    <row r="1428" spans="1:18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</row>
    <row r="1429" spans="1:18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</row>
    <row r="1430" spans="1:18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</row>
    <row r="1431" spans="1:18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</row>
    <row r="1432" spans="1:18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</row>
    <row r="1433" spans="1:18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</row>
    <row r="1434" spans="1:18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</row>
    <row r="1435" spans="1:18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</row>
    <row r="1436" spans="1:18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</row>
    <row r="1437" spans="1:18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</row>
    <row r="1438" spans="1:18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</row>
    <row r="1439" spans="1:18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</row>
    <row r="1440" spans="1:18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</row>
    <row r="1441" spans="1:18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</row>
    <row r="1442" spans="1:18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</row>
    <row r="1443" spans="1:18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</row>
    <row r="1444" spans="1:18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</row>
    <row r="1445" spans="1:18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</row>
    <row r="1446" spans="1:18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</row>
    <row r="1447" spans="1:18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</row>
    <row r="1448" spans="1:18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</row>
    <row r="1449" spans="1:18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</row>
    <row r="1450" spans="1:18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</row>
    <row r="1451" spans="1:18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</row>
    <row r="1452" spans="1:18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</row>
    <row r="1453" spans="1:18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</row>
    <row r="1454" spans="1:18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</row>
    <row r="1455" spans="1:18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</row>
    <row r="1456" spans="1:18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</row>
    <row r="1457" spans="1:18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</row>
    <row r="1458" spans="1:18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</row>
    <row r="1459" spans="1:18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</row>
    <row r="1460" spans="1:18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</row>
    <row r="1461" spans="1:18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</row>
    <row r="1462" spans="1:18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</row>
    <row r="1463" spans="1:18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</row>
    <row r="1464" spans="1:18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</row>
    <row r="1465" spans="1:18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</row>
    <row r="1466" spans="1:18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</row>
    <row r="1467" spans="1:18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</row>
    <row r="1468" spans="1:18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</row>
    <row r="1469" spans="1:18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</row>
    <row r="1470" spans="1:18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</row>
    <row r="1471" spans="1:18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</row>
    <row r="1472" spans="1:18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</row>
    <row r="1473" spans="1:18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</row>
    <row r="1474" spans="1:18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</row>
    <row r="1475" spans="1:18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</row>
    <row r="1476" spans="1:18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</row>
    <row r="1477" spans="1:18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</row>
    <row r="1478" spans="1:18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</row>
    <row r="1479" spans="1:18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</row>
    <row r="1480" spans="1:18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</row>
    <row r="1481" spans="1:18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</row>
    <row r="1482" spans="1:18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</row>
    <row r="1483" spans="1:18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</row>
    <row r="1484" spans="1:18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</row>
    <row r="1485" spans="1:18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</row>
    <row r="1486" spans="1:18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</row>
    <row r="1487" spans="1:18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</row>
    <row r="1488" spans="1:18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</row>
    <row r="1489" spans="1:18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</row>
    <row r="1490" spans="1:18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</row>
    <row r="1491" spans="1:18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</row>
    <row r="1492" spans="1:18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</row>
    <row r="1493" spans="1:18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</row>
    <row r="1494" spans="1:18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</row>
    <row r="1495" spans="1:18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</row>
    <row r="1496" spans="1:18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</row>
    <row r="1497" spans="1:18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</row>
    <row r="1498" spans="1:18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</row>
    <row r="1499" spans="1:18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</row>
    <row r="1500" spans="1:18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</row>
    <row r="1501" spans="1:18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</row>
    <row r="1502" spans="1:18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</row>
    <row r="1503" spans="1:18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</row>
    <row r="1504" spans="1:18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</row>
    <row r="1505" spans="1:18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</row>
    <row r="1506" spans="1:18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</row>
    <row r="1507" spans="1:18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</row>
    <row r="1508" spans="1:18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</row>
    <row r="1509" spans="1:18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</row>
    <row r="1510" spans="1:18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</row>
    <row r="1511" spans="1:18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</row>
    <row r="1512" spans="1:18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</row>
    <row r="1513" spans="1:18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</row>
    <row r="1514" spans="1:18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</row>
    <row r="1515" spans="1:18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</row>
    <row r="1516" spans="1:18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</row>
    <row r="1517" spans="1:18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</row>
    <row r="1518" spans="1:18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</row>
    <row r="1519" spans="1:18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</row>
    <row r="1520" spans="1:18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</row>
    <row r="1521" spans="1:18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</row>
    <row r="1522" spans="1:18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</row>
    <row r="1523" spans="1:18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</row>
    <row r="1524" spans="1:18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</row>
    <row r="1525" spans="1:18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</row>
    <row r="1526" spans="1:18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</row>
    <row r="1527" spans="1:18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</row>
    <row r="1528" spans="1:18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</row>
    <row r="1529" spans="1:18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</row>
    <row r="1530" spans="1:18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</row>
    <row r="1531" spans="1:18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</row>
    <row r="1532" spans="1:18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</row>
    <row r="1533" spans="1:18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</row>
    <row r="1534" spans="1:18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</row>
    <row r="1535" spans="1:18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</row>
    <row r="1536" spans="1:18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</row>
    <row r="1537" spans="1:18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</row>
    <row r="1538" spans="1:18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</row>
    <row r="1539" spans="1:18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</row>
    <row r="1540" spans="1:18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</row>
    <row r="1541" spans="1:18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</row>
    <row r="1542" spans="1:18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</row>
    <row r="1543" spans="1:18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</row>
    <row r="1544" spans="1:18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</row>
    <row r="1545" spans="1:18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</row>
    <row r="1546" spans="1:18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</row>
    <row r="1547" spans="1:18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</row>
    <row r="1548" spans="1:18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</row>
    <row r="1549" spans="1:18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</row>
    <row r="1550" spans="1:18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</row>
    <row r="1551" spans="1:18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</row>
    <row r="1552" spans="1:18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</row>
    <row r="1553" spans="1:18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</row>
    <row r="1554" spans="1:18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</row>
    <row r="1555" spans="1:18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</row>
    <row r="1556" spans="1:18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</row>
    <row r="1557" spans="1:18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</row>
    <row r="1558" spans="1:18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</row>
    <row r="1559" spans="1:18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</row>
    <row r="1560" spans="1:18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</row>
    <row r="1561" spans="1:18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</row>
    <row r="1562" spans="1:18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</row>
    <row r="1563" spans="1:18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</row>
    <row r="1564" spans="1:18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</row>
    <row r="1565" spans="1:18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</row>
    <row r="1566" spans="1:18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</row>
    <row r="1567" spans="1:18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</row>
    <row r="1568" spans="1:18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</row>
    <row r="1569" spans="1:18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</row>
    <row r="1570" spans="1:18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</row>
    <row r="1571" spans="1:18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</row>
    <row r="1572" spans="1:18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</row>
    <row r="1573" spans="1:18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</row>
    <row r="1574" spans="1:18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</row>
    <row r="1575" spans="1:18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</row>
    <row r="1576" spans="1:18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</row>
    <row r="1577" spans="1:18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</row>
    <row r="1578" spans="1:18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</row>
    <row r="1579" spans="1:18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</row>
    <row r="1580" spans="1:18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</row>
    <row r="1581" spans="1:18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</row>
    <row r="1582" spans="1:18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</row>
    <row r="1583" spans="1:18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</row>
    <row r="1584" spans="1:18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</row>
    <row r="1585" spans="1:18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</row>
    <row r="1586" spans="1:18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</row>
    <row r="1587" spans="1:18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</row>
    <row r="1588" spans="1:18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</row>
    <row r="1589" spans="1:18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</row>
    <row r="1590" spans="1:18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</row>
    <row r="1591" spans="1:18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</row>
    <row r="1592" spans="1:18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</row>
    <row r="1593" spans="1:18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</row>
    <row r="1594" spans="1:18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</row>
    <row r="1595" spans="1:18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</row>
    <row r="1596" spans="1:18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</row>
    <row r="1597" spans="1:18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</row>
    <row r="1598" spans="1:18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</row>
    <row r="1599" spans="1:18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</row>
    <row r="1600" spans="1:18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</row>
    <row r="1601" spans="1:18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</row>
    <row r="1602" spans="1:18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</row>
    <row r="1603" spans="1:18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</row>
    <row r="1604" spans="1:18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</row>
    <row r="1605" spans="1:18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</row>
    <row r="1606" spans="1:18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</row>
    <row r="1607" spans="1:18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</row>
    <row r="1608" spans="1:18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</row>
    <row r="1609" spans="1:18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</row>
    <row r="1610" spans="1:18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</row>
    <row r="1611" spans="1:18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</row>
    <row r="1612" spans="1:18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</row>
    <row r="1613" spans="1:18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</row>
    <row r="1614" spans="1:18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</row>
    <row r="1615" spans="1:18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</row>
    <row r="1616" spans="1:18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</row>
    <row r="1617" spans="1:18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</row>
    <row r="1618" spans="1:18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</row>
    <row r="1619" spans="1:18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</row>
    <row r="1620" spans="1:18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</row>
    <row r="1621" spans="1:18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</row>
    <row r="1622" spans="1:18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</row>
    <row r="1623" spans="1:18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</row>
    <row r="1624" spans="1:18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</row>
    <row r="1625" spans="1:18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</row>
    <row r="1626" spans="1:18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</row>
    <row r="1627" spans="1:18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</row>
    <row r="1628" spans="1:18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</row>
    <row r="1629" spans="1:18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</row>
    <row r="1630" spans="1:18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</row>
    <row r="1631" spans="1:18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</row>
    <row r="1632" spans="1:18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</row>
    <row r="1633" spans="1:18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</row>
    <row r="1634" spans="1:18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</row>
    <row r="1635" spans="1:18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</row>
    <row r="1636" spans="1:18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</row>
    <row r="1637" spans="1:18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</row>
    <row r="1638" spans="1:18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</row>
    <row r="1639" spans="1:18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</row>
    <row r="1640" spans="1:18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</row>
    <row r="1641" spans="1:18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</row>
    <row r="1642" spans="1:18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</row>
    <row r="1643" spans="1:18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</row>
    <row r="1644" spans="1:18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</row>
    <row r="1645" spans="1:18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</row>
    <row r="1646" spans="1:18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</row>
    <row r="1647" spans="1:18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</row>
    <row r="1648" spans="1:18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</row>
    <row r="1649" spans="1:18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</row>
    <row r="1650" spans="1:18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</row>
    <row r="1651" spans="1:18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</row>
    <row r="1652" spans="1:18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</row>
    <row r="1653" spans="1:18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</row>
    <row r="1654" spans="1:18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</row>
    <row r="1655" spans="1:18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</row>
    <row r="1656" spans="1:18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</row>
    <row r="1657" spans="1:18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</row>
    <row r="1658" spans="1:18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</row>
    <row r="1659" spans="1:18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</row>
    <row r="1660" spans="1:18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</row>
    <row r="1661" spans="1:18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</row>
    <row r="1662" spans="1:18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</row>
    <row r="1663" spans="1:18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</row>
    <row r="1664" spans="1:18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</row>
    <row r="1665" spans="1:18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</row>
    <row r="1666" spans="1:18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</row>
    <row r="1667" spans="1:18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</row>
    <row r="1668" spans="1:18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</row>
    <row r="1669" spans="1:18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</row>
    <row r="1670" spans="1:18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</row>
    <row r="1671" spans="1:18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</row>
    <row r="1672" spans="1:18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</row>
    <row r="1673" spans="1:18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</row>
    <row r="1674" spans="1:18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</row>
    <row r="1675" spans="1:18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</row>
    <row r="1676" spans="1:18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</row>
    <row r="1677" spans="1:18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</row>
    <row r="1678" spans="1:18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</row>
    <row r="1679" spans="1:18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</row>
    <row r="1680" spans="1:18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</row>
    <row r="1681" spans="1:18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</row>
    <row r="1682" spans="1:18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</row>
    <row r="1683" spans="1:18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</row>
    <row r="1684" spans="1:18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</row>
    <row r="1685" spans="1:18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</row>
    <row r="1686" spans="1:18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</row>
    <row r="1687" spans="1:18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</row>
    <row r="1688" spans="1:18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</row>
    <row r="1689" spans="1:18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</row>
    <row r="1690" spans="1:18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</row>
    <row r="1691" spans="1:18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</row>
    <row r="1692" spans="1:18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</row>
    <row r="1693" spans="1:18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</row>
    <row r="1694" spans="1:18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</row>
    <row r="1695" spans="1:18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</row>
    <row r="1696" spans="1:18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</row>
    <row r="1697" spans="1:18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</row>
    <row r="1698" spans="1:18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</row>
    <row r="1699" spans="1:18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</row>
    <row r="1700" spans="1:18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</row>
    <row r="1701" spans="1:18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</row>
    <row r="1702" spans="1:18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</row>
    <row r="1703" spans="1:18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</row>
    <row r="1704" spans="1:18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</row>
    <row r="1705" spans="1:18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</row>
    <row r="1706" spans="1:18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</row>
    <row r="1707" spans="1:18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</row>
    <row r="1708" spans="1:18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</row>
    <row r="1709" spans="1:18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</row>
    <row r="1710" spans="1:18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</row>
    <row r="1711" spans="1:18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</row>
    <row r="1712" spans="1:18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</row>
    <row r="1713" spans="1:18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</row>
    <row r="1714" spans="1:18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</row>
    <row r="1715" spans="1:18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</row>
    <row r="1716" spans="1:18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</row>
    <row r="1717" spans="1:18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</row>
    <row r="1718" spans="1:18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</row>
    <row r="1719" spans="1:18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</row>
    <row r="1720" spans="1:18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</row>
    <row r="1721" spans="1:18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</row>
    <row r="1722" spans="1:18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</row>
    <row r="1723" spans="1:18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</row>
    <row r="1724" spans="1:18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</row>
    <row r="1725" spans="1:18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</row>
    <row r="1726" spans="1:18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</row>
    <row r="1727" spans="1:18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</row>
    <row r="1728" spans="1:18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</row>
    <row r="1729" spans="1:18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</row>
    <row r="1730" spans="1:18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</row>
    <row r="1731" spans="1:18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</row>
    <row r="1732" spans="1:18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</row>
    <row r="1733" spans="1:18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</row>
    <row r="1734" spans="1:18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</row>
    <row r="1735" spans="1:18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</row>
    <row r="1736" spans="1:18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</row>
    <row r="1737" spans="1:18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</row>
    <row r="1738" spans="1:18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</row>
    <row r="1739" spans="1:18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</row>
    <row r="1740" spans="1:18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</row>
    <row r="1741" spans="1:18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</row>
    <row r="1742" spans="1:18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</row>
    <row r="1743" spans="1:18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</row>
    <row r="1744" spans="1:18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</row>
    <row r="1745" spans="1:18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</row>
    <row r="1746" spans="1:18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</row>
    <row r="1747" spans="1:18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</row>
    <row r="1748" spans="1:18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</row>
    <row r="1749" spans="1:18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</row>
    <row r="1750" spans="1:18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</row>
    <row r="1751" spans="1:18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</row>
    <row r="1752" spans="1:18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</row>
    <row r="1753" spans="1:18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</row>
    <row r="1754" spans="1:18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</row>
    <row r="1755" spans="1:18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</row>
    <row r="1756" spans="1:18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</row>
    <row r="1757" spans="1:18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</row>
    <row r="1758" spans="1:18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</row>
    <row r="1759" spans="1:18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</row>
    <row r="1760" spans="1:18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</row>
    <row r="1761" spans="1:18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</row>
    <row r="1762" spans="1:18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</row>
    <row r="1763" spans="1:18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</row>
    <row r="1764" spans="1:18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</row>
    <row r="1765" spans="1:18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</row>
    <row r="1766" spans="1:18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</row>
    <row r="1767" spans="1:18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</row>
    <row r="1768" spans="1:18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</row>
    <row r="1769" spans="1:18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</row>
    <row r="1770" spans="1:18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</row>
    <row r="1771" spans="1:18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</row>
    <row r="1772" spans="1:18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</row>
    <row r="1773" spans="1:18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</row>
    <row r="1774" spans="1:18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</row>
    <row r="1775" spans="1:18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</row>
    <row r="1776" spans="1:18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</row>
    <row r="1777" spans="1:18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</row>
    <row r="1778" spans="1:18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</row>
    <row r="1779" spans="1:18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</row>
    <row r="1780" spans="1:18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</row>
    <row r="1781" spans="1:18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</row>
    <row r="1782" spans="1:18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</row>
    <row r="1783" spans="1:18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</row>
    <row r="1784" spans="1:18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</row>
    <row r="1785" spans="1:18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</row>
    <row r="1786" spans="1:18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</row>
    <row r="1787" spans="1:18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</row>
    <row r="1788" spans="1:18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</row>
    <row r="1789" spans="1:18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</row>
    <row r="1790" spans="1:18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</row>
    <row r="1791" spans="1:18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</row>
    <row r="1792" spans="1:18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</row>
    <row r="1793" spans="1:18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</row>
    <row r="1794" spans="1:18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</row>
    <row r="1795" spans="1:18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</row>
    <row r="1796" spans="1:18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</row>
    <row r="1797" spans="1:18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</row>
    <row r="1798" spans="1:18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</row>
    <row r="1799" spans="1:18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</row>
    <row r="1800" spans="1:18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</row>
    <row r="1801" spans="1:18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</row>
    <row r="1802" spans="1:18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</row>
    <row r="1803" spans="1:18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</row>
    <row r="1804" spans="1:18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</row>
    <row r="1805" spans="1:18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</row>
    <row r="1806" spans="1:18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</row>
    <row r="1807" spans="1:18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</row>
    <row r="1808" spans="1:18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</row>
    <row r="1809" spans="1:18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</row>
    <row r="1810" spans="1:18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</row>
    <row r="1811" spans="1:18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</row>
    <row r="1812" spans="1:18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</row>
    <row r="1813" spans="1:18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</row>
    <row r="1814" spans="1:18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</row>
    <row r="1815" spans="1:18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</row>
    <row r="1816" spans="1:18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</row>
    <row r="1817" spans="1:18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</row>
    <row r="1818" spans="1:18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</row>
    <row r="1819" spans="1:18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</row>
    <row r="1820" spans="1:18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</row>
    <row r="1821" spans="1:18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</row>
    <row r="1822" spans="1:18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</row>
    <row r="1823" spans="1:18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</row>
    <row r="1824" spans="1:18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</row>
    <row r="1825" spans="1:18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</row>
    <row r="1826" spans="1:18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</row>
    <row r="1827" spans="1:18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</row>
    <row r="1828" spans="1:18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</row>
    <row r="1829" spans="1:18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</row>
    <row r="1830" spans="1:18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</row>
    <row r="1831" spans="1:18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</row>
    <row r="1832" spans="1:18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</row>
    <row r="1833" spans="1:18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</row>
    <row r="1834" spans="1:18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</row>
    <row r="1835" spans="1:18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</row>
    <row r="1836" spans="1:18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</row>
    <row r="1837" spans="1:18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</row>
    <row r="1838" spans="1:18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</row>
    <row r="1839" spans="1:18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</row>
    <row r="1840" spans="1:18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</row>
    <row r="1841" spans="1:18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</row>
    <row r="1842" spans="1:18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</row>
    <row r="1843" spans="1:18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</row>
    <row r="1844" spans="1:18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</row>
    <row r="1845" spans="1:18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</row>
    <row r="1846" spans="1:18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</row>
    <row r="1847" spans="1:18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</row>
    <row r="1848" spans="1:18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</row>
    <row r="1849" spans="1:18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</row>
    <row r="1850" spans="1:18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</row>
    <row r="1851" spans="1:18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</row>
    <row r="1852" spans="1:18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</row>
    <row r="1853" spans="1:18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</row>
    <row r="1854" spans="1:18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</row>
    <row r="1855" spans="1:18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</row>
    <row r="1856" spans="1:18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</row>
    <row r="1857" spans="1:18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</row>
    <row r="1858" spans="1:18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</row>
    <row r="1859" spans="1:18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</row>
    <row r="1860" spans="1:18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</row>
    <row r="1861" spans="1:18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</row>
    <row r="1862" spans="1:18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</row>
    <row r="1863" spans="1:18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</row>
    <row r="1864" spans="1:18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</row>
    <row r="1865" spans="1:18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</row>
    <row r="1866" spans="1:18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</row>
    <row r="1867" spans="1:18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</row>
    <row r="1868" spans="1:18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</row>
    <row r="1869" spans="1:18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</row>
    <row r="1870" spans="1:18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</row>
    <row r="1871" spans="1:18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</row>
    <row r="1872" spans="1:18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</row>
    <row r="1873" spans="1:18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</row>
    <row r="1874" spans="1:18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</row>
    <row r="1875" spans="1:18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</row>
    <row r="1876" spans="1:18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</row>
    <row r="1877" spans="1:18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</row>
    <row r="1878" spans="1:18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</row>
    <row r="1879" spans="1:18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</row>
    <row r="1880" spans="1:18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</row>
    <row r="1881" spans="1:18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</row>
    <row r="1882" spans="1:18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</row>
    <row r="1883" spans="1:18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</row>
    <row r="1884" spans="1:18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</row>
    <row r="1885" spans="1:18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</row>
    <row r="1886" spans="1:18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</row>
    <row r="1887" spans="1:18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</row>
    <row r="1888" spans="1:18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</row>
    <row r="1889" spans="1:18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</row>
    <row r="1890" spans="1:18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</row>
    <row r="1891" spans="1:18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</row>
    <row r="1892" spans="1:18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</row>
    <row r="1893" spans="1:18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</row>
    <row r="1894" spans="1:18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</row>
    <row r="1895" spans="1:18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</row>
    <row r="1896" spans="1:18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</row>
    <row r="1897" spans="1:18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</row>
    <row r="1898" spans="1:18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</row>
    <row r="1899" spans="1:18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</row>
    <row r="1900" spans="1:18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</row>
    <row r="1901" spans="1:18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</row>
    <row r="1902" spans="1:18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</row>
    <row r="1903" spans="1:18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</row>
    <row r="1904" spans="1:18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</row>
    <row r="1905" spans="1:18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</row>
    <row r="1906" spans="1:18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</row>
    <row r="1907" spans="1:18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</row>
    <row r="1908" spans="1:18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</row>
    <row r="1909" spans="1:18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</row>
    <row r="1910" spans="1:18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</row>
    <row r="1911" spans="1:18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</row>
    <row r="1912" spans="1:18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</row>
    <row r="1913" spans="1:18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</row>
    <row r="1914" spans="1:18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</row>
    <row r="1915" spans="1:18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</row>
    <row r="1916" spans="1:18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</row>
    <row r="1917" spans="1:18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</row>
    <row r="1918" spans="1:18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</row>
    <row r="1919" spans="1:18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</row>
    <row r="1920" spans="1:18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</row>
    <row r="1921" spans="1:18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</row>
    <row r="1922" spans="1:18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</row>
    <row r="1923" spans="1:18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</row>
    <row r="1924" spans="1:18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</row>
    <row r="1925" spans="1:18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</row>
    <row r="1926" spans="1:18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</row>
    <row r="1927" spans="1:18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</row>
    <row r="1928" spans="1:18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</row>
    <row r="1929" spans="1:18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</row>
    <row r="1930" spans="1:18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</row>
    <row r="1931" spans="1:18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</row>
    <row r="1932" spans="1:18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</row>
    <row r="1933" spans="1:18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</row>
    <row r="1934" spans="1:18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</row>
    <row r="1935" spans="1:18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</row>
    <row r="1936" spans="1:18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</row>
    <row r="1937" spans="1:18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</row>
    <row r="1938" spans="1:18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</row>
    <row r="1939" spans="1:18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</row>
    <row r="1940" spans="1:18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</row>
    <row r="1941" spans="1:18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</row>
    <row r="1942" spans="1:18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</row>
    <row r="1943" spans="1:18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</row>
    <row r="1944" spans="1:18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</row>
    <row r="1945" spans="1:18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</row>
    <row r="1946" spans="1:18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</row>
    <row r="1947" spans="1:18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</row>
    <row r="1948" spans="1:18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</row>
    <row r="1949" spans="1:18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</row>
    <row r="1950" spans="1:18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</row>
    <row r="1951" spans="1:18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</row>
    <row r="1952" spans="1:18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</row>
    <row r="1953" spans="1:18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</row>
    <row r="1954" spans="1:18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</row>
    <row r="1955" spans="1:18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</row>
    <row r="1956" spans="1:18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</row>
    <row r="1957" spans="1:18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</row>
    <row r="1958" spans="1:18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</row>
    <row r="1959" spans="1:18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</row>
    <row r="1960" spans="1:18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</row>
    <row r="1961" spans="1:18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</row>
    <row r="1962" spans="1:18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</row>
    <row r="1963" spans="1:18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</row>
    <row r="1964" spans="1:18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</row>
    <row r="1965" spans="1:18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</row>
    <row r="1966" spans="1:18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</row>
    <row r="1967" spans="1:18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</row>
    <row r="1968" spans="1:18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</row>
    <row r="1969" spans="1:18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</row>
    <row r="1970" spans="1:18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</row>
    <row r="1971" spans="1:18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</row>
    <row r="1972" spans="1:18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</row>
    <row r="1973" spans="1:18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</row>
    <row r="1974" spans="1:18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</row>
    <row r="1975" spans="1:18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</row>
    <row r="1976" spans="1:18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</row>
    <row r="1977" spans="1:18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</row>
    <row r="1978" spans="1:18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</row>
    <row r="1979" spans="1:18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</row>
    <row r="1980" spans="1:18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</row>
    <row r="1981" spans="1:18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</row>
    <row r="1982" spans="1:18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</row>
    <row r="1983" spans="1:18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</row>
    <row r="1984" spans="1:18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</row>
    <row r="1985" spans="1:18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</row>
    <row r="1986" spans="1:18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</row>
    <row r="1987" spans="1:18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</row>
    <row r="1988" spans="1:18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</row>
    <row r="1989" spans="1:18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</row>
    <row r="1990" spans="1:18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</row>
    <row r="1991" spans="1:18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</row>
    <row r="1992" spans="1:18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</row>
    <row r="1993" spans="1:18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</row>
    <row r="1994" spans="1:18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</row>
    <row r="1995" spans="1:18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</row>
    <row r="1996" spans="1:18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</row>
    <row r="1997" spans="1:18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</row>
    <row r="1998" spans="1:18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</row>
    <row r="1999" spans="1:18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</row>
    <row r="2000" spans="1:18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</row>
    <row r="2001" spans="1:18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</row>
    <row r="2002" spans="1:18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</row>
    <row r="2003" spans="1:18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</row>
    <row r="2004" spans="1:18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</row>
    <row r="2005" spans="1:18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</row>
    <row r="2006" spans="1:18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</row>
    <row r="2007" spans="1:18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</row>
    <row r="2008" spans="1:18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</row>
    <row r="2009" spans="1:18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</row>
    <row r="2010" spans="1:18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</row>
    <row r="2011" spans="1:18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</row>
    <row r="2012" spans="1:18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</row>
    <row r="2013" spans="1:18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</row>
    <row r="2014" spans="1:18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</row>
    <row r="2015" spans="1:18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</row>
    <row r="2016" spans="1:18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</row>
    <row r="2017" spans="1:18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</row>
    <row r="2018" spans="1:18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</row>
    <row r="2019" spans="1:18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</row>
    <row r="2020" spans="1:18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</row>
    <row r="2021" spans="1:18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</row>
    <row r="2022" spans="1:18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</row>
    <row r="2023" spans="1:18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</row>
    <row r="2024" spans="1:18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</row>
    <row r="2025" spans="1:18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</row>
    <row r="2026" spans="1:18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</row>
    <row r="2027" spans="1:18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</row>
    <row r="2028" spans="1:18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</row>
    <row r="2029" spans="1:18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</row>
    <row r="2030" spans="1:18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</row>
    <row r="2031" spans="1:18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</row>
    <row r="2032" spans="1:18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</row>
    <row r="2033" spans="1:18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</row>
    <row r="2034" spans="1:18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</row>
    <row r="2035" spans="1:18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</row>
    <row r="2036" spans="1:18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</row>
    <row r="2037" spans="1:18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</row>
    <row r="2038" spans="1:18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</row>
    <row r="2039" spans="1:18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</row>
    <row r="2040" spans="1:18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</row>
    <row r="2041" spans="1:18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</row>
    <row r="2042" spans="1:18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</row>
    <row r="2043" spans="1:18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</row>
    <row r="2044" spans="1:18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</row>
    <row r="2045" spans="1:18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</row>
    <row r="2046" spans="1:18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</row>
    <row r="2047" spans="1:18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</row>
    <row r="2048" spans="1:18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</row>
    <row r="2049" spans="1:18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</row>
    <row r="2050" spans="1:18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</row>
    <row r="2051" spans="1:18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</row>
    <row r="2052" spans="1:18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</row>
    <row r="2053" spans="1:18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123825</xdr:colOff>
                <xdr:row>0</xdr:row>
                <xdr:rowOff>28575</xdr:rowOff>
              </from>
              <to>
                <xdr:col>9</xdr:col>
                <xdr:colOff>138430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012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832</v>
      </c>
      <c r="B1" s="3" t="s">
        <v>833</v>
      </c>
      <c r="C1" s="3" t="s">
        <v>834</v>
      </c>
      <c r="D1" s="3" t="s">
        <v>2</v>
      </c>
      <c r="E1" s="3" t="s">
        <v>835</v>
      </c>
      <c r="F1" s="3" t="s">
        <v>836</v>
      </c>
      <c r="G1" s="3" t="s">
        <v>837</v>
      </c>
      <c r="H1" s="3" t="s">
        <v>838</v>
      </c>
      <c r="I1" s="3" t="s">
        <v>839</v>
      </c>
      <c r="J1" s="3" t="s">
        <v>840</v>
      </c>
      <c r="K1" s="3" t="s">
        <v>841</v>
      </c>
      <c r="L1" s="3" t="s">
        <v>842</v>
      </c>
      <c r="M1" s="3" t="s">
        <v>843</v>
      </c>
      <c r="N1" s="3" t="s">
        <v>844</v>
      </c>
      <c r="O1" s="3" t="s">
        <v>845</v>
      </c>
      <c r="P1" s="3" t="s">
        <v>846</v>
      </c>
      <c r="Q1" s="3" t="s">
        <v>847</v>
      </c>
      <c r="R1" s="3" t="s">
        <v>848</v>
      </c>
      <c r="S1" s="3" t="s">
        <v>849</v>
      </c>
      <c r="T1" s="3" t="s">
        <v>850</v>
      </c>
      <c r="U1" s="3" t="s">
        <v>851</v>
      </c>
      <c r="V1" s="3" t="s">
        <v>852</v>
      </c>
      <c r="W1" s="3" t="s">
        <v>853</v>
      </c>
      <c r="X1" s="3" t="s">
        <v>854</v>
      </c>
      <c r="Y1" s="3" t="s">
        <v>855</v>
      </c>
      <c r="Z1" s="3" t="s">
        <v>856</v>
      </c>
      <c r="AA1" s="3" t="s">
        <v>857</v>
      </c>
      <c r="AB1" s="3" t="s">
        <v>858</v>
      </c>
      <c r="AC1" s="3" t="s">
        <v>859</v>
      </c>
      <c r="AD1" s="3" t="s">
        <v>860</v>
      </c>
      <c r="AE1" s="3" t="s">
        <v>861</v>
      </c>
      <c r="AF1" s="3" t="s">
        <v>862</v>
      </c>
      <c r="AG1" s="3" t="s">
        <v>863</v>
      </c>
      <c r="AH1" s="3" t="s">
        <v>864</v>
      </c>
      <c r="AI1" s="3" t="s">
        <v>865</v>
      </c>
      <c r="AJ1" s="3" t="s">
        <v>866</v>
      </c>
    </row>
    <row r="2" spans="1:36">
      <c r="A2" s="5">
        <v>43336</v>
      </c>
      <c r="B2" s="3" t="s">
        <v>218</v>
      </c>
      <c r="C2" s="3" t="s">
        <v>219</v>
      </c>
      <c r="D2" s="3" t="s">
        <v>220</v>
      </c>
      <c r="E2" s="3" t="s">
        <v>221</v>
      </c>
      <c r="F2" s="3" t="s">
        <v>867</v>
      </c>
      <c r="G2" s="3">
        <v>13</v>
      </c>
      <c r="H2" s="3">
        <v>0</v>
      </c>
      <c r="I2" s="3">
        <v>13</v>
      </c>
      <c r="J2" s="3">
        <v>0</v>
      </c>
      <c r="K2" s="3">
        <v>0</v>
      </c>
      <c r="L2" s="3">
        <v>0</v>
      </c>
      <c r="M2" s="3">
        <v>0</v>
      </c>
      <c r="N2" s="3" t="s">
        <v>868</v>
      </c>
      <c r="O2" s="3">
        <v>0</v>
      </c>
      <c r="P2" s="3">
        <v>0</v>
      </c>
      <c r="Q2" s="3">
        <v>0</v>
      </c>
      <c r="R2" s="3">
        <v>0</v>
      </c>
      <c r="S2" s="3">
        <v>2</v>
      </c>
      <c r="T2" s="3">
        <v>5</v>
      </c>
      <c r="U2" s="3">
        <v>8</v>
      </c>
      <c r="V2" s="3">
        <v>8</v>
      </c>
      <c r="W2" s="3"/>
      <c r="X2" s="3">
        <v>22.98</v>
      </c>
      <c r="Y2" s="3">
        <v>22.98</v>
      </c>
      <c r="Z2" s="3">
        <v>22.98</v>
      </c>
      <c r="AA2" s="3">
        <v>0</v>
      </c>
      <c r="AB2" s="3" t="s">
        <v>869</v>
      </c>
      <c r="AC2" s="3">
        <v>14</v>
      </c>
      <c r="AD2" s="3">
        <v>22.98</v>
      </c>
      <c r="AE2" s="3">
        <v>0</v>
      </c>
      <c r="AF2" s="3">
        <v>0</v>
      </c>
      <c r="AG2" s="3">
        <v>0</v>
      </c>
      <c r="AH2" s="3">
        <v>1.09090909090909</v>
      </c>
      <c r="AI2" s="3">
        <v>1.176344</v>
      </c>
      <c r="AJ2" s="3" t="s">
        <v>870</v>
      </c>
    </row>
    <row r="3" spans="1:36">
      <c r="A3" s="5">
        <v>43336</v>
      </c>
      <c r="B3" s="3" t="s">
        <v>736</v>
      </c>
      <c r="C3" s="3" t="s">
        <v>737</v>
      </c>
      <c r="D3" s="3" t="s">
        <v>738</v>
      </c>
      <c r="E3" s="3" t="s">
        <v>739</v>
      </c>
      <c r="F3" s="3" t="s">
        <v>867</v>
      </c>
      <c r="G3" s="3">
        <v>5</v>
      </c>
      <c r="H3" s="3">
        <v>0</v>
      </c>
      <c r="I3" s="3">
        <v>5</v>
      </c>
      <c r="J3" s="3">
        <v>0</v>
      </c>
      <c r="K3" s="3">
        <v>0</v>
      </c>
      <c r="L3" s="3">
        <v>0</v>
      </c>
      <c r="M3" s="3">
        <v>0</v>
      </c>
      <c r="N3" s="3" t="s">
        <v>868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 t="s">
        <v>871</v>
      </c>
      <c r="X3" s="3">
        <v>23.98</v>
      </c>
      <c r="Y3" s="3">
        <v>23.98</v>
      </c>
      <c r="Z3" s="3">
        <v>23.98</v>
      </c>
      <c r="AA3" s="3">
        <v>0</v>
      </c>
      <c r="AB3" s="3" t="s">
        <v>869</v>
      </c>
      <c r="AC3" s="3">
        <v>5</v>
      </c>
      <c r="AD3" s="3">
        <v>23.98</v>
      </c>
      <c r="AE3" s="3">
        <v>0</v>
      </c>
      <c r="AF3" s="3">
        <v>0</v>
      </c>
      <c r="AG3" s="3">
        <v>0</v>
      </c>
      <c r="AH3" s="3">
        <v>1.79310344827586</v>
      </c>
      <c r="AI3" s="3">
        <v>0.470315</v>
      </c>
      <c r="AJ3" s="3" t="s">
        <v>870</v>
      </c>
    </row>
    <row r="4" spans="1:36">
      <c r="A4" s="5">
        <v>43336</v>
      </c>
      <c r="B4" s="3" t="s">
        <v>872</v>
      </c>
      <c r="C4" s="3" t="s">
        <v>873</v>
      </c>
      <c r="D4" s="3" t="s">
        <v>873</v>
      </c>
      <c r="E4" s="3" t="s">
        <v>874</v>
      </c>
      <c r="F4" s="3" t="s">
        <v>867</v>
      </c>
      <c r="G4" s="3">
        <v>17</v>
      </c>
      <c r="H4" s="3">
        <v>0</v>
      </c>
      <c r="I4" s="3">
        <v>7</v>
      </c>
      <c r="J4" s="3">
        <v>10</v>
      </c>
      <c r="K4" s="3">
        <v>0</v>
      </c>
      <c r="L4" s="3">
        <v>0</v>
      </c>
      <c r="M4" s="3">
        <v>0</v>
      </c>
      <c r="N4" s="3" t="s">
        <v>868</v>
      </c>
      <c r="O4" s="3">
        <v>0</v>
      </c>
      <c r="P4" s="3">
        <v>0</v>
      </c>
      <c r="Q4" s="3">
        <v>0</v>
      </c>
      <c r="R4" s="3">
        <v>0</v>
      </c>
      <c r="S4" s="3">
        <v>1</v>
      </c>
      <c r="T4" s="3">
        <v>2</v>
      </c>
      <c r="U4" s="3">
        <v>13</v>
      </c>
      <c r="V4" s="3">
        <v>17</v>
      </c>
      <c r="W4" s="3" t="s">
        <v>871</v>
      </c>
      <c r="X4" s="3">
        <v>20.98</v>
      </c>
      <c r="Y4" s="3">
        <v>20.98</v>
      </c>
      <c r="Z4" s="3">
        <v>20.98</v>
      </c>
      <c r="AA4" s="3">
        <v>0</v>
      </c>
      <c r="AB4" s="3" t="s">
        <v>869</v>
      </c>
      <c r="AC4" s="3">
        <v>17</v>
      </c>
      <c r="AD4" s="3">
        <v>20.98</v>
      </c>
      <c r="AE4" s="3">
        <v>0</v>
      </c>
      <c r="AF4" s="3">
        <v>0</v>
      </c>
      <c r="AG4" s="3">
        <v>0</v>
      </c>
      <c r="AH4" s="3">
        <v>0.453333333333333</v>
      </c>
      <c r="AI4" s="3">
        <v>3.096754</v>
      </c>
      <c r="AJ4" s="3" t="s">
        <v>870</v>
      </c>
    </row>
    <row r="5" spans="1:36">
      <c r="A5" s="5">
        <v>43336</v>
      </c>
      <c r="B5" s="3" t="s">
        <v>875</v>
      </c>
      <c r="C5" s="3" t="s">
        <v>185</v>
      </c>
      <c r="D5" s="3" t="s">
        <v>185</v>
      </c>
      <c r="E5" s="3" t="s">
        <v>186</v>
      </c>
      <c r="F5" s="3" t="s">
        <v>867</v>
      </c>
      <c r="G5" s="3">
        <v>11</v>
      </c>
      <c r="H5" s="3">
        <v>0</v>
      </c>
      <c r="I5" s="3">
        <v>3</v>
      </c>
      <c r="J5" s="3">
        <v>1</v>
      </c>
      <c r="K5" s="3">
        <v>7</v>
      </c>
      <c r="L5" s="3">
        <v>0</v>
      </c>
      <c r="M5" s="3">
        <v>0</v>
      </c>
      <c r="N5" s="3" t="s">
        <v>868</v>
      </c>
      <c r="O5" s="3">
        <v>7</v>
      </c>
      <c r="P5" s="3">
        <v>2.68</v>
      </c>
      <c r="Q5" s="3">
        <v>0</v>
      </c>
      <c r="R5" s="3">
        <v>0</v>
      </c>
      <c r="S5" s="3">
        <v>2</v>
      </c>
      <c r="T5" s="3">
        <v>9</v>
      </c>
      <c r="U5" s="3">
        <v>17</v>
      </c>
      <c r="V5" s="3">
        <v>20</v>
      </c>
      <c r="W5" s="3"/>
      <c r="X5" s="3">
        <v>22.99</v>
      </c>
      <c r="Y5" s="3">
        <v>22.99</v>
      </c>
      <c r="Z5" s="3">
        <v>22.99</v>
      </c>
      <c r="AA5" s="3">
        <v>0</v>
      </c>
      <c r="AB5" s="3" t="s">
        <v>869</v>
      </c>
      <c r="AC5" s="3">
        <v>11</v>
      </c>
      <c r="AD5" s="3">
        <v>22.98</v>
      </c>
      <c r="AE5" s="3">
        <v>0</v>
      </c>
      <c r="AF5" s="3">
        <v>0</v>
      </c>
      <c r="AG5" s="3">
        <v>0</v>
      </c>
      <c r="AH5" s="3">
        <v>0.941176470588235</v>
      </c>
      <c r="AI5" s="3">
        <v>1.221693</v>
      </c>
      <c r="AJ5" s="3" t="s">
        <v>870</v>
      </c>
    </row>
    <row r="6" spans="1:36">
      <c r="A6" s="5">
        <v>43336</v>
      </c>
      <c r="B6" s="3" t="s">
        <v>876</v>
      </c>
      <c r="C6" s="3" t="s">
        <v>877</v>
      </c>
      <c r="D6" s="3" t="s">
        <v>878</v>
      </c>
      <c r="E6" s="3" t="s">
        <v>879</v>
      </c>
      <c r="F6" s="3" t="s">
        <v>867</v>
      </c>
      <c r="G6" s="3">
        <v>4</v>
      </c>
      <c r="H6" s="3">
        <v>0</v>
      </c>
      <c r="I6" s="3">
        <v>4</v>
      </c>
      <c r="J6" s="3">
        <v>0</v>
      </c>
      <c r="K6" s="3">
        <v>0</v>
      </c>
      <c r="L6" s="3">
        <v>0</v>
      </c>
      <c r="M6" s="3">
        <v>0</v>
      </c>
      <c r="N6" s="3" t="s">
        <v>868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871</v>
      </c>
      <c r="X6" s="3">
        <v>27.98</v>
      </c>
      <c r="Y6" s="3">
        <v>27.98</v>
      </c>
      <c r="Z6" s="3">
        <v>27.98</v>
      </c>
      <c r="AA6" s="3">
        <v>0</v>
      </c>
      <c r="AB6" s="3" t="s">
        <v>869</v>
      </c>
      <c r="AC6" s="3">
        <v>4</v>
      </c>
      <c r="AD6" s="3">
        <v>27.98</v>
      </c>
      <c r="AE6" s="3">
        <v>0</v>
      </c>
      <c r="AF6" s="3">
        <v>0</v>
      </c>
      <c r="AG6" s="3">
        <v>0</v>
      </c>
      <c r="AH6" s="3">
        <v>1.2</v>
      </c>
      <c r="AI6" s="3">
        <v>0.67628</v>
      </c>
      <c r="AJ6" s="3" t="s">
        <v>870</v>
      </c>
    </row>
    <row r="7" spans="1:36">
      <c r="A7" s="5">
        <v>43336</v>
      </c>
      <c r="B7" s="3" t="s">
        <v>880</v>
      </c>
      <c r="C7" s="3" t="s">
        <v>881</v>
      </c>
      <c r="D7" s="3" t="s">
        <v>881</v>
      </c>
      <c r="E7" s="3" t="s">
        <v>882</v>
      </c>
      <c r="F7" s="3" t="s">
        <v>867</v>
      </c>
      <c r="G7" s="3">
        <v>12</v>
      </c>
      <c r="H7" s="3">
        <v>0</v>
      </c>
      <c r="I7" s="3">
        <v>1</v>
      </c>
      <c r="J7" s="3">
        <v>11</v>
      </c>
      <c r="K7" s="3">
        <v>0</v>
      </c>
      <c r="L7" s="3">
        <v>0</v>
      </c>
      <c r="M7" s="3">
        <v>0</v>
      </c>
      <c r="N7" s="3" t="s">
        <v>868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1</v>
      </c>
      <c r="W7" s="3" t="s">
        <v>871</v>
      </c>
      <c r="X7" s="3">
        <v>22.99</v>
      </c>
      <c r="Y7" s="3">
        <v>22.99</v>
      </c>
      <c r="Z7" s="3">
        <v>22.99</v>
      </c>
      <c r="AA7" s="3">
        <v>0</v>
      </c>
      <c r="AB7" s="3" t="s">
        <v>883</v>
      </c>
      <c r="AC7" s="3">
        <v>1</v>
      </c>
      <c r="AD7" s="3">
        <v>20.77</v>
      </c>
      <c r="AE7" s="3">
        <v>119</v>
      </c>
      <c r="AF7" s="3">
        <v>0</v>
      </c>
      <c r="AG7" s="3">
        <v>352.229436</v>
      </c>
      <c r="AH7" s="3">
        <v>0.043010752688172</v>
      </c>
      <c r="AI7" s="3">
        <v>1.750812</v>
      </c>
      <c r="AJ7" s="3" t="s">
        <v>870</v>
      </c>
    </row>
    <row r="8" spans="1:36">
      <c r="A8" s="5">
        <v>43336</v>
      </c>
      <c r="B8" s="3" t="s">
        <v>884</v>
      </c>
      <c r="C8" s="3" t="s">
        <v>885</v>
      </c>
      <c r="D8" s="3" t="s">
        <v>886</v>
      </c>
      <c r="E8" s="3" t="s">
        <v>887</v>
      </c>
      <c r="F8" s="3" t="s">
        <v>867</v>
      </c>
      <c r="G8" s="3">
        <v>19</v>
      </c>
      <c r="H8" s="3">
        <v>0</v>
      </c>
      <c r="I8" s="3">
        <v>19</v>
      </c>
      <c r="J8" s="3">
        <v>0</v>
      </c>
      <c r="K8" s="3">
        <v>0</v>
      </c>
      <c r="L8" s="3">
        <v>0</v>
      </c>
      <c r="M8" s="3">
        <v>0</v>
      </c>
      <c r="N8" s="3" t="s">
        <v>868</v>
      </c>
      <c r="O8" s="3">
        <v>0</v>
      </c>
      <c r="P8" s="3">
        <v>0</v>
      </c>
      <c r="Q8" s="3">
        <v>0</v>
      </c>
      <c r="R8" s="3">
        <v>0</v>
      </c>
      <c r="S8" s="3">
        <v>1</v>
      </c>
      <c r="T8" s="3">
        <v>1</v>
      </c>
      <c r="U8" s="3">
        <v>1</v>
      </c>
      <c r="V8" s="3">
        <v>1</v>
      </c>
      <c r="W8" s="3"/>
      <c r="X8" s="3">
        <v>22.98</v>
      </c>
      <c r="Y8" s="3">
        <v>22.98</v>
      </c>
      <c r="Z8" s="3">
        <v>22.98</v>
      </c>
      <c r="AA8" s="3">
        <v>0</v>
      </c>
      <c r="AB8" s="3" t="s">
        <v>869</v>
      </c>
      <c r="AC8" s="3">
        <v>19</v>
      </c>
      <c r="AD8" s="3">
        <v>22.98</v>
      </c>
      <c r="AE8" s="3">
        <v>0</v>
      </c>
      <c r="AF8" s="3">
        <v>0</v>
      </c>
      <c r="AG8" s="3">
        <v>0</v>
      </c>
      <c r="AH8" s="3">
        <v>2.87323943661971</v>
      </c>
      <c r="AI8" s="3">
        <v>2.84416699999999</v>
      </c>
      <c r="AJ8" s="3" t="s">
        <v>870</v>
      </c>
    </row>
    <row r="9" spans="1:36">
      <c r="A9" s="5">
        <v>43336</v>
      </c>
      <c r="B9" s="3" t="s">
        <v>888</v>
      </c>
      <c r="C9" s="3" t="s">
        <v>889</v>
      </c>
      <c r="D9" s="3" t="s">
        <v>889</v>
      </c>
      <c r="E9" s="3" t="s">
        <v>890</v>
      </c>
      <c r="F9" s="3" t="s">
        <v>867</v>
      </c>
      <c r="G9" s="3">
        <v>1</v>
      </c>
      <c r="H9" s="3">
        <v>0</v>
      </c>
      <c r="I9" s="3">
        <v>0</v>
      </c>
      <c r="J9" s="3">
        <v>1</v>
      </c>
      <c r="K9" s="3">
        <v>0</v>
      </c>
      <c r="L9" s="3">
        <v>0</v>
      </c>
      <c r="M9" s="3">
        <v>0</v>
      </c>
      <c r="N9" s="3" t="s">
        <v>868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/>
      <c r="X9" s="3"/>
      <c r="Y9" s="3"/>
      <c r="Z9" s="3">
        <v>-1</v>
      </c>
      <c r="AA9" s="3">
        <v>-1</v>
      </c>
      <c r="AB9" s="3" t="s">
        <v>891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0.145901</v>
      </c>
      <c r="AJ9" s="3" t="s">
        <v>870</v>
      </c>
    </row>
    <row r="10" spans="1:36">
      <c r="A10" s="5">
        <v>43336</v>
      </c>
      <c r="B10" s="3" t="s">
        <v>278</v>
      </c>
      <c r="C10" s="3" t="s">
        <v>279</v>
      </c>
      <c r="D10" s="3" t="s">
        <v>280</v>
      </c>
      <c r="E10" s="3" t="s">
        <v>68</v>
      </c>
      <c r="F10" s="3" t="s">
        <v>867</v>
      </c>
      <c r="G10" s="3">
        <v>25</v>
      </c>
      <c r="H10" s="3">
        <v>0</v>
      </c>
      <c r="I10" s="3">
        <v>25</v>
      </c>
      <c r="J10" s="3">
        <v>0</v>
      </c>
      <c r="K10" s="3">
        <v>0</v>
      </c>
      <c r="L10" s="3">
        <v>0</v>
      </c>
      <c r="M10" s="3">
        <v>0</v>
      </c>
      <c r="N10" s="3" t="s">
        <v>868</v>
      </c>
      <c r="O10" s="3">
        <v>0</v>
      </c>
      <c r="P10" s="3">
        <v>0</v>
      </c>
      <c r="Q10" s="3">
        <v>0</v>
      </c>
      <c r="R10" s="3">
        <v>0</v>
      </c>
      <c r="S10" s="3">
        <v>14</v>
      </c>
      <c r="T10" s="3">
        <v>37</v>
      </c>
      <c r="U10" s="3">
        <v>56</v>
      </c>
      <c r="V10" s="3">
        <v>56</v>
      </c>
      <c r="W10" s="3"/>
      <c r="X10" s="3">
        <v>39.98</v>
      </c>
      <c r="Y10" s="3">
        <v>23.98</v>
      </c>
      <c r="Z10" s="3">
        <v>23.98</v>
      </c>
      <c r="AA10" s="3">
        <v>0</v>
      </c>
      <c r="AB10" s="3" t="s">
        <v>869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2.87179487179487</v>
      </c>
      <c r="AI10" s="3">
        <v>1.138225</v>
      </c>
      <c r="AJ10" s="3" t="s">
        <v>870</v>
      </c>
    </row>
    <row r="11" spans="1:36">
      <c r="A11" s="5">
        <v>43336</v>
      </c>
      <c r="B11" s="3" t="s">
        <v>892</v>
      </c>
      <c r="C11" s="3" t="s">
        <v>893</v>
      </c>
      <c r="D11" s="3" t="s">
        <v>893</v>
      </c>
      <c r="E11" s="3" t="s">
        <v>894</v>
      </c>
      <c r="F11" s="3" t="s">
        <v>867</v>
      </c>
      <c r="G11" s="3">
        <v>10</v>
      </c>
      <c r="H11" s="3">
        <v>0</v>
      </c>
      <c r="I11" s="3">
        <v>10</v>
      </c>
      <c r="J11" s="3">
        <v>0</v>
      </c>
      <c r="K11" s="3">
        <v>0</v>
      </c>
      <c r="L11" s="3">
        <v>0</v>
      </c>
      <c r="M11" s="3">
        <v>0</v>
      </c>
      <c r="N11" s="3" t="s">
        <v>868</v>
      </c>
      <c r="O11" s="3">
        <v>0</v>
      </c>
      <c r="P11" s="3">
        <v>0</v>
      </c>
      <c r="Q11" s="3">
        <v>0</v>
      </c>
      <c r="R11" s="3">
        <v>0</v>
      </c>
      <c r="S11" s="3">
        <v>1</v>
      </c>
      <c r="T11" s="3">
        <v>4</v>
      </c>
      <c r="U11" s="3">
        <v>7</v>
      </c>
      <c r="V11" s="3">
        <v>7</v>
      </c>
      <c r="W11" s="3"/>
      <c r="X11" s="3">
        <v>23.99</v>
      </c>
      <c r="Y11" s="3">
        <v>14.98</v>
      </c>
      <c r="Z11" s="3">
        <v>14.98</v>
      </c>
      <c r="AA11" s="3">
        <v>0</v>
      </c>
      <c r="AB11" s="3" t="s">
        <v>883</v>
      </c>
      <c r="AC11" s="3">
        <v>2</v>
      </c>
      <c r="AD11" s="3">
        <v>11.5</v>
      </c>
      <c r="AE11" s="3">
        <v>168</v>
      </c>
      <c r="AF11" s="3">
        <v>0</v>
      </c>
      <c r="AG11" s="3">
        <v>31.441581</v>
      </c>
      <c r="AH11" s="3">
        <v>0.341463414634146</v>
      </c>
      <c r="AI11" s="3">
        <v>1.49692999999999</v>
      </c>
      <c r="AJ11" s="3" t="s">
        <v>870</v>
      </c>
    </row>
    <row r="12" spans="1:36">
      <c r="A12" s="5">
        <v>43336</v>
      </c>
      <c r="B12" s="3" t="s">
        <v>895</v>
      </c>
      <c r="C12" s="3" t="s">
        <v>896</v>
      </c>
      <c r="D12" s="3" t="s">
        <v>896</v>
      </c>
      <c r="E12" s="3" t="s">
        <v>897</v>
      </c>
      <c r="F12" s="3" t="s">
        <v>867</v>
      </c>
      <c r="G12" s="3">
        <v>1</v>
      </c>
      <c r="H12" s="3">
        <v>0</v>
      </c>
      <c r="I12" s="3">
        <v>1</v>
      </c>
      <c r="J12" s="3">
        <v>0</v>
      </c>
      <c r="K12" s="3">
        <v>0</v>
      </c>
      <c r="L12" s="3">
        <v>0</v>
      </c>
      <c r="M12" s="3">
        <v>0</v>
      </c>
      <c r="N12" s="3" t="s">
        <v>868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1</v>
      </c>
      <c r="U12" s="3">
        <v>17</v>
      </c>
      <c r="V12" s="3">
        <v>30</v>
      </c>
      <c r="W12" s="3"/>
      <c r="X12" s="3"/>
      <c r="Y12" s="3"/>
      <c r="Z12" s="3">
        <v>-1</v>
      </c>
      <c r="AA12" s="3">
        <v>-1</v>
      </c>
      <c r="AB12" s="3" t="s">
        <v>891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3</v>
      </c>
      <c r="AI12" s="3">
        <v>0.281276</v>
      </c>
      <c r="AJ12" s="3" t="s">
        <v>898</v>
      </c>
    </row>
    <row r="13" spans="1:36">
      <c r="A13" s="5">
        <v>43336</v>
      </c>
      <c r="B13" s="3" t="s">
        <v>899</v>
      </c>
      <c r="C13" s="3" t="s">
        <v>900</v>
      </c>
      <c r="D13" s="3" t="s">
        <v>901</v>
      </c>
      <c r="E13" s="3" t="s">
        <v>902</v>
      </c>
      <c r="F13" s="3" t="s">
        <v>867</v>
      </c>
      <c r="G13" s="3">
        <v>20</v>
      </c>
      <c r="H13" s="3">
        <v>0</v>
      </c>
      <c r="I13" s="3">
        <v>20</v>
      </c>
      <c r="J13" s="3">
        <v>0</v>
      </c>
      <c r="K13" s="3">
        <v>0</v>
      </c>
      <c r="L13" s="3">
        <v>0</v>
      </c>
      <c r="M13" s="3">
        <v>0</v>
      </c>
      <c r="N13" s="3" t="s">
        <v>868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871</v>
      </c>
      <c r="X13" s="3">
        <v>19.98</v>
      </c>
      <c r="Y13" s="3">
        <v>19.98</v>
      </c>
      <c r="Z13" s="3">
        <v>19.98</v>
      </c>
      <c r="AA13" s="3">
        <v>0</v>
      </c>
      <c r="AB13" s="3" t="s">
        <v>869</v>
      </c>
      <c r="AC13" s="3">
        <v>20</v>
      </c>
      <c r="AD13" s="3">
        <v>19.98</v>
      </c>
      <c r="AE13" s="3">
        <v>0</v>
      </c>
      <c r="AF13" s="3">
        <v>0</v>
      </c>
      <c r="AG13" s="3">
        <v>0</v>
      </c>
      <c r="AH13" s="3">
        <v>2.31578947368421</v>
      </c>
      <c r="AI13" s="3">
        <v>2.99385999999999</v>
      </c>
      <c r="AJ13" s="3" t="s">
        <v>870</v>
      </c>
    </row>
    <row r="14" spans="1:36">
      <c r="A14" s="5">
        <v>43336</v>
      </c>
      <c r="B14" s="3" t="s">
        <v>412</v>
      </c>
      <c r="C14" s="3" t="s">
        <v>413</v>
      </c>
      <c r="D14" s="3" t="s">
        <v>413</v>
      </c>
      <c r="E14" s="3" t="s">
        <v>414</v>
      </c>
      <c r="F14" s="3" t="s">
        <v>867</v>
      </c>
      <c r="G14" s="3">
        <v>16</v>
      </c>
      <c r="H14" s="3">
        <v>0</v>
      </c>
      <c r="I14" s="3">
        <v>2</v>
      </c>
      <c r="J14" s="3">
        <v>14</v>
      </c>
      <c r="K14" s="3">
        <v>0</v>
      </c>
      <c r="L14" s="3">
        <v>0</v>
      </c>
      <c r="M14" s="3">
        <v>0</v>
      </c>
      <c r="N14" s="3" t="s">
        <v>868</v>
      </c>
      <c r="O14" s="3">
        <v>0</v>
      </c>
      <c r="P14" s="3">
        <v>0</v>
      </c>
      <c r="Q14" s="3">
        <v>0</v>
      </c>
      <c r="R14" s="3">
        <v>0</v>
      </c>
      <c r="S14" s="3">
        <v>2</v>
      </c>
      <c r="T14" s="3">
        <v>8</v>
      </c>
      <c r="U14" s="3">
        <v>14</v>
      </c>
      <c r="V14" s="3">
        <v>18</v>
      </c>
      <c r="W14" s="3"/>
      <c r="X14" s="3">
        <v>18.98</v>
      </c>
      <c r="Y14" s="3">
        <v>23.98</v>
      </c>
      <c r="Z14" s="3">
        <v>23.98</v>
      </c>
      <c r="AA14" s="3">
        <v>0</v>
      </c>
      <c r="AB14" s="3" t="s">
        <v>869</v>
      </c>
      <c r="AC14" s="3">
        <v>18</v>
      </c>
      <c r="AD14" s="3">
        <v>23.98</v>
      </c>
      <c r="AE14" s="3">
        <v>0</v>
      </c>
      <c r="AF14" s="3">
        <v>0</v>
      </c>
      <c r="AG14" s="3">
        <v>0</v>
      </c>
      <c r="AH14" s="3">
        <v>0.666666666666666</v>
      </c>
      <c r="AI14" s="3">
        <v>1.657088</v>
      </c>
      <c r="AJ14" s="3" t="s">
        <v>870</v>
      </c>
    </row>
    <row r="15" spans="1:36">
      <c r="A15" s="5">
        <v>43336</v>
      </c>
      <c r="B15" s="3" t="s">
        <v>903</v>
      </c>
      <c r="C15" s="3" t="s">
        <v>904</v>
      </c>
      <c r="D15" s="3" t="s">
        <v>904</v>
      </c>
      <c r="E15" s="3" t="s">
        <v>905</v>
      </c>
      <c r="F15" s="3" t="s">
        <v>867</v>
      </c>
      <c r="G15" s="3">
        <v>7</v>
      </c>
      <c r="H15" s="3">
        <v>0</v>
      </c>
      <c r="I15" s="3">
        <v>0</v>
      </c>
      <c r="J15" s="3">
        <v>3</v>
      </c>
      <c r="K15" s="3">
        <v>4</v>
      </c>
      <c r="L15" s="3">
        <v>0</v>
      </c>
      <c r="M15" s="3">
        <v>0</v>
      </c>
      <c r="N15" s="3" t="s">
        <v>868</v>
      </c>
      <c r="O15" s="3">
        <v>4</v>
      </c>
      <c r="P15" s="3">
        <v>1.59</v>
      </c>
      <c r="Q15" s="3">
        <v>0</v>
      </c>
      <c r="R15" s="3">
        <v>0</v>
      </c>
      <c r="S15" s="3">
        <v>0</v>
      </c>
      <c r="T15" s="3">
        <v>0</v>
      </c>
      <c r="U15" s="3">
        <v>1</v>
      </c>
      <c r="V15" s="3">
        <v>2</v>
      </c>
      <c r="W15" s="3" t="s">
        <v>871</v>
      </c>
      <c r="X15" s="3">
        <v>25.98</v>
      </c>
      <c r="Y15" s="3">
        <v>25.98</v>
      </c>
      <c r="Z15" s="3">
        <v>25.98</v>
      </c>
      <c r="AA15" s="3">
        <v>0</v>
      </c>
      <c r="AB15" s="3" t="s">
        <v>883</v>
      </c>
      <c r="AC15" s="3">
        <v>1</v>
      </c>
      <c r="AD15" s="3">
        <v>25.71</v>
      </c>
      <c r="AE15" s="3">
        <v>77</v>
      </c>
      <c r="AF15" s="3">
        <v>0</v>
      </c>
      <c r="AG15" s="3">
        <v>202.323969</v>
      </c>
      <c r="AH15" s="3">
        <v>0.258064516129032</v>
      </c>
      <c r="AI15" s="3">
        <v>0.806967</v>
      </c>
      <c r="AJ15" s="3" t="s">
        <v>870</v>
      </c>
    </row>
    <row r="16" spans="1:36">
      <c r="A16" s="5">
        <v>43336</v>
      </c>
      <c r="B16" s="3" t="s">
        <v>175</v>
      </c>
      <c r="C16" s="3" t="s">
        <v>176</v>
      </c>
      <c r="D16" s="3" t="s">
        <v>177</v>
      </c>
      <c r="E16" s="3" t="s">
        <v>178</v>
      </c>
      <c r="F16" s="3" t="s">
        <v>867</v>
      </c>
      <c r="G16" s="3">
        <v>20</v>
      </c>
      <c r="H16" s="3">
        <v>0</v>
      </c>
      <c r="I16" s="3">
        <v>20</v>
      </c>
      <c r="J16" s="3">
        <v>0</v>
      </c>
      <c r="K16" s="3">
        <v>0</v>
      </c>
      <c r="L16" s="3">
        <v>0</v>
      </c>
      <c r="M16" s="3">
        <v>0</v>
      </c>
      <c r="N16" s="3" t="s">
        <v>868</v>
      </c>
      <c r="O16" s="3">
        <v>0</v>
      </c>
      <c r="P16" s="3">
        <v>0</v>
      </c>
      <c r="Q16" s="3">
        <v>0</v>
      </c>
      <c r="R16" s="3">
        <v>0</v>
      </c>
      <c r="S16" s="3">
        <v>4</v>
      </c>
      <c r="T16" s="3">
        <v>7</v>
      </c>
      <c r="U16" s="3">
        <v>12</v>
      </c>
      <c r="V16" s="3">
        <v>12</v>
      </c>
      <c r="W16" s="3"/>
      <c r="X16" s="3">
        <v>22.98</v>
      </c>
      <c r="Y16" s="3">
        <v>22.98</v>
      </c>
      <c r="Z16" s="3">
        <v>22.98</v>
      </c>
      <c r="AA16" s="3">
        <v>0</v>
      </c>
      <c r="AB16" s="3" t="s">
        <v>869</v>
      </c>
      <c r="AC16" s="3">
        <v>23</v>
      </c>
      <c r="AD16" s="3">
        <v>22.98</v>
      </c>
      <c r="AE16" s="3">
        <v>0</v>
      </c>
      <c r="AF16" s="3">
        <v>0</v>
      </c>
      <c r="AG16" s="3">
        <v>0</v>
      </c>
      <c r="AH16" s="3">
        <v>0.913043478260869</v>
      </c>
      <c r="AI16" s="3">
        <v>1.80976</v>
      </c>
      <c r="AJ16" s="3" t="s">
        <v>870</v>
      </c>
    </row>
    <row r="17" spans="1:36">
      <c r="A17" s="5">
        <v>43336</v>
      </c>
      <c r="B17" s="3" t="s">
        <v>906</v>
      </c>
      <c r="C17" s="3" t="s">
        <v>907</v>
      </c>
      <c r="D17" s="3" t="s">
        <v>908</v>
      </c>
      <c r="E17" s="3" t="s">
        <v>909</v>
      </c>
      <c r="F17" s="3" t="s">
        <v>867</v>
      </c>
      <c r="G17" s="3">
        <v>3</v>
      </c>
      <c r="H17" s="3">
        <v>0</v>
      </c>
      <c r="I17" s="3">
        <v>3</v>
      </c>
      <c r="J17" s="3">
        <v>0</v>
      </c>
      <c r="K17" s="3">
        <v>0</v>
      </c>
      <c r="L17" s="3">
        <v>0</v>
      </c>
      <c r="M17" s="3">
        <v>0</v>
      </c>
      <c r="N17" s="3" t="s">
        <v>868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871</v>
      </c>
      <c r="X17" s="3">
        <v>22.98</v>
      </c>
      <c r="Y17" s="3">
        <v>22.98</v>
      </c>
      <c r="Z17" s="3">
        <v>22.98</v>
      </c>
      <c r="AA17" s="3">
        <v>0</v>
      </c>
      <c r="AB17" s="3" t="s">
        <v>869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0.307692307692307</v>
      </c>
      <c r="AI17" s="3">
        <v>0.400734</v>
      </c>
      <c r="AJ17" s="3" t="s">
        <v>870</v>
      </c>
    </row>
    <row r="18" spans="1:36">
      <c r="A18" s="5">
        <v>43336</v>
      </c>
      <c r="B18" s="3" t="s">
        <v>703</v>
      </c>
      <c r="C18" s="3" t="s">
        <v>704</v>
      </c>
      <c r="D18" s="3" t="s">
        <v>704</v>
      </c>
      <c r="E18" s="3" t="s">
        <v>705</v>
      </c>
      <c r="F18" s="3" t="s">
        <v>867</v>
      </c>
      <c r="G18" s="3">
        <v>4</v>
      </c>
      <c r="H18" s="3">
        <v>0</v>
      </c>
      <c r="I18" s="3">
        <v>4</v>
      </c>
      <c r="J18" s="3">
        <v>0</v>
      </c>
      <c r="K18" s="3">
        <v>0</v>
      </c>
      <c r="L18" s="3">
        <v>0</v>
      </c>
      <c r="M18" s="3">
        <v>0</v>
      </c>
      <c r="N18" s="3" t="s">
        <v>868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3</v>
      </c>
      <c r="U18" s="3">
        <v>9</v>
      </c>
      <c r="V18" s="3">
        <v>18</v>
      </c>
      <c r="W18" s="3"/>
      <c r="X18" s="3">
        <v>23.98</v>
      </c>
      <c r="Y18" s="3">
        <v>23.98</v>
      </c>
      <c r="Z18" s="3">
        <v>23.98</v>
      </c>
      <c r="AA18" s="3">
        <v>0</v>
      </c>
      <c r="AB18" s="3" t="s">
        <v>869</v>
      </c>
      <c r="AC18" s="3">
        <v>3</v>
      </c>
      <c r="AD18" s="3">
        <v>23.98</v>
      </c>
      <c r="AE18" s="3">
        <v>0</v>
      </c>
      <c r="AF18" s="3">
        <v>0</v>
      </c>
      <c r="AG18" s="3">
        <v>0</v>
      </c>
      <c r="AH18" s="3">
        <v>2.77777777777777</v>
      </c>
      <c r="AI18" s="3">
        <v>0.2516</v>
      </c>
      <c r="AJ18" s="3" t="s">
        <v>870</v>
      </c>
    </row>
    <row r="19" spans="1:36">
      <c r="A19" s="5">
        <v>43336</v>
      </c>
      <c r="B19" s="3" t="s">
        <v>537</v>
      </c>
      <c r="C19" s="3" t="s">
        <v>538</v>
      </c>
      <c r="D19" s="3" t="s">
        <v>538</v>
      </c>
      <c r="E19" s="3" t="s">
        <v>539</v>
      </c>
      <c r="F19" s="3" t="s">
        <v>867</v>
      </c>
      <c r="G19" s="3">
        <v>11</v>
      </c>
      <c r="H19" s="3">
        <v>0</v>
      </c>
      <c r="I19" s="3">
        <v>11</v>
      </c>
      <c r="J19" s="3">
        <v>0</v>
      </c>
      <c r="K19" s="3">
        <v>0</v>
      </c>
      <c r="L19" s="3">
        <v>0</v>
      </c>
      <c r="M19" s="3">
        <v>0</v>
      </c>
      <c r="N19" s="3" t="s">
        <v>868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1</v>
      </c>
      <c r="U19" s="3">
        <v>5</v>
      </c>
      <c r="V19" s="3">
        <v>7</v>
      </c>
      <c r="W19" s="3"/>
      <c r="X19" s="3">
        <v>19.98</v>
      </c>
      <c r="Y19" s="3">
        <v>19.98</v>
      </c>
      <c r="Z19" s="3">
        <v>19.98</v>
      </c>
      <c r="AA19" s="3">
        <v>0</v>
      </c>
      <c r="AB19" s="3" t="s">
        <v>883</v>
      </c>
      <c r="AC19" s="3">
        <v>0</v>
      </c>
      <c r="AD19" s="3">
        <v>15.98</v>
      </c>
      <c r="AE19" s="3">
        <v>364</v>
      </c>
      <c r="AF19" s="3">
        <v>0</v>
      </c>
      <c r="AG19" s="3">
        <v>162.430297</v>
      </c>
      <c r="AH19" s="3">
        <v>0.405797101449275</v>
      </c>
      <c r="AI19" s="3">
        <v>1.646623</v>
      </c>
      <c r="AJ19" s="3" t="s">
        <v>870</v>
      </c>
    </row>
    <row r="20" spans="1:36">
      <c r="A20" s="5">
        <v>43336</v>
      </c>
      <c r="B20" s="3" t="s">
        <v>910</v>
      </c>
      <c r="C20" s="3" t="s">
        <v>911</v>
      </c>
      <c r="D20" s="3" t="s">
        <v>911</v>
      </c>
      <c r="E20" s="3" t="s">
        <v>912</v>
      </c>
      <c r="F20" s="3" t="s">
        <v>867</v>
      </c>
      <c r="G20" s="3">
        <v>2</v>
      </c>
      <c r="H20" s="3">
        <v>0</v>
      </c>
      <c r="I20" s="3">
        <v>1</v>
      </c>
      <c r="J20" s="3">
        <v>1</v>
      </c>
      <c r="K20" s="3">
        <v>0</v>
      </c>
      <c r="L20" s="3">
        <v>0</v>
      </c>
      <c r="M20" s="3">
        <v>0</v>
      </c>
      <c r="N20" s="3" t="s">
        <v>868</v>
      </c>
      <c r="O20" s="3">
        <v>0</v>
      </c>
      <c r="P20" s="3">
        <v>0</v>
      </c>
      <c r="Q20" s="3">
        <v>0</v>
      </c>
      <c r="R20" s="3">
        <v>0</v>
      </c>
      <c r="S20" s="3">
        <v>2</v>
      </c>
      <c r="T20" s="3">
        <v>6</v>
      </c>
      <c r="U20" s="3">
        <v>11</v>
      </c>
      <c r="V20" s="3">
        <v>18</v>
      </c>
      <c r="W20" s="3"/>
      <c r="X20" s="3">
        <v>39.98</v>
      </c>
      <c r="Y20" s="3">
        <v>19.99</v>
      </c>
      <c r="Z20" s="3">
        <v>19.99</v>
      </c>
      <c r="AA20" s="3">
        <v>0</v>
      </c>
      <c r="AB20" s="3" t="s">
        <v>869</v>
      </c>
      <c r="AC20" s="3">
        <v>3</v>
      </c>
      <c r="AD20" s="3">
        <v>19.99</v>
      </c>
      <c r="AE20" s="3">
        <v>0</v>
      </c>
      <c r="AF20" s="3">
        <v>0</v>
      </c>
      <c r="AG20" s="3">
        <v>0</v>
      </c>
      <c r="AH20" s="3">
        <v>0.705882352941176</v>
      </c>
      <c r="AI20" s="3">
        <v>0.247636</v>
      </c>
      <c r="AJ20" s="3" t="s">
        <v>870</v>
      </c>
    </row>
    <row r="21" spans="1:36">
      <c r="A21" s="5">
        <v>43336</v>
      </c>
      <c r="B21" s="3" t="s">
        <v>913</v>
      </c>
      <c r="C21" s="3" t="s">
        <v>914</v>
      </c>
      <c r="D21" s="3" t="s">
        <v>914</v>
      </c>
      <c r="E21" s="3" t="s">
        <v>623</v>
      </c>
      <c r="F21" s="3" t="s">
        <v>867</v>
      </c>
      <c r="G21" s="3">
        <v>2</v>
      </c>
      <c r="H21" s="3">
        <v>0</v>
      </c>
      <c r="I21" s="3">
        <v>2</v>
      </c>
      <c r="J21" s="3">
        <v>0</v>
      </c>
      <c r="K21" s="3">
        <v>0</v>
      </c>
      <c r="L21" s="3">
        <v>0</v>
      </c>
      <c r="M21" s="3">
        <v>0</v>
      </c>
      <c r="N21" s="3" t="s">
        <v>868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6</v>
      </c>
      <c r="V21" s="3">
        <v>11</v>
      </c>
      <c r="W21" s="3"/>
      <c r="X21" s="3"/>
      <c r="Y21" s="3"/>
      <c r="Z21" s="3">
        <v>-1</v>
      </c>
      <c r="AA21" s="3">
        <v>-1</v>
      </c>
      <c r="AB21" s="3" t="s">
        <v>891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2.31578947368421</v>
      </c>
      <c r="AI21" s="3">
        <v>0.172126</v>
      </c>
      <c r="AJ21" s="3" t="s">
        <v>870</v>
      </c>
    </row>
    <row r="22" spans="1:36">
      <c r="A22" s="5">
        <v>43336</v>
      </c>
      <c r="B22" s="3" t="s">
        <v>915</v>
      </c>
      <c r="C22" s="3" t="s">
        <v>916</v>
      </c>
      <c r="D22" s="3" t="s">
        <v>917</v>
      </c>
      <c r="E22" s="3" t="s">
        <v>546</v>
      </c>
      <c r="F22" s="3" t="s">
        <v>867</v>
      </c>
      <c r="G22" s="3">
        <v>21</v>
      </c>
      <c r="H22" s="3">
        <v>0</v>
      </c>
      <c r="I22" s="3">
        <v>21</v>
      </c>
      <c r="J22" s="3">
        <v>0</v>
      </c>
      <c r="K22" s="3">
        <v>0</v>
      </c>
      <c r="L22" s="3">
        <v>0</v>
      </c>
      <c r="M22" s="3">
        <v>0</v>
      </c>
      <c r="N22" s="3" t="s">
        <v>868</v>
      </c>
      <c r="O22" s="3">
        <v>0</v>
      </c>
      <c r="P22" s="3">
        <v>0</v>
      </c>
      <c r="Q22" s="3">
        <v>0</v>
      </c>
      <c r="R22" s="3">
        <v>0</v>
      </c>
      <c r="S22" s="3">
        <v>10</v>
      </c>
      <c r="T22" s="3">
        <v>23</v>
      </c>
      <c r="U22" s="3">
        <v>44</v>
      </c>
      <c r="V22" s="3">
        <v>53</v>
      </c>
      <c r="W22" s="3"/>
      <c r="X22" s="3">
        <v>22.98</v>
      </c>
      <c r="Y22" s="3">
        <v>22.98</v>
      </c>
      <c r="Z22" s="3">
        <v>22.98</v>
      </c>
      <c r="AA22" s="3">
        <v>0</v>
      </c>
      <c r="AB22" s="3" t="s">
        <v>869</v>
      </c>
      <c r="AC22" s="3">
        <v>22</v>
      </c>
      <c r="AD22" s="3">
        <v>22.98</v>
      </c>
      <c r="AE22" s="3">
        <v>0</v>
      </c>
      <c r="AF22" s="3">
        <v>0</v>
      </c>
      <c r="AG22" s="3">
        <v>0</v>
      </c>
      <c r="AH22" s="3">
        <v>3.45652173913043</v>
      </c>
      <c r="AI22" s="3">
        <v>0.956109</v>
      </c>
      <c r="AJ22" s="3" t="s">
        <v>870</v>
      </c>
    </row>
    <row r="23" spans="1:36">
      <c r="A23" s="5">
        <v>43336</v>
      </c>
      <c r="B23" s="3" t="s">
        <v>222</v>
      </c>
      <c r="C23" s="3" t="s">
        <v>223</v>
      </c>
      <c r="D23" s="3" t="s">
        <v>224</v>
      </c>
      <c r="E23" s="3" t="s">
        <v>225</v>
      </c>
      <c r="F23" s="3" t="s">
        <v>867</v>
      </c>
      <c r="G23" s="3">
        <v>41</v>
      </c>
      <c r="H23" s="3">
        <v>0</v>
      </c>
      <c r="I23" s="3">
        <v>41</v>
      </c>
      <c r="J23" s="3">
        <v>0</v>
      </c>
      <c r="K23" s="3">
        <v>0</v>
      </c>
      <c r="L23" s="3">
        <v>0</v>
      </c>
      <c r="M23" s="3">
        <v>0</v>
      </c>
      <c r="N23" s="3" t="s">
        <v>868</v>
      </c>
      <c r="O23" s="3">
        <v>0</v>
      </c>
      <c r="P23" s="3">
        <v>0</v>
      </c>
      <c r="Q23" s="3">
        <v>0</v>
      </c>
      <c r="R23" s="3">
        <v>0</v>
      </c>
      <c r="S23" s="3">
        <v>8</v>
      </c>
      <c r="T23" s="3">
        <v>28</v>
      </c>
      <c r="U23" s="3">
        <v>46</v>
      </c>
      <c r="V23" s="3">
        <v>46</v>
      </c>
      <c r="W23" s="3"/>
      <c r="X23" s="3">
        <v>23.98</v>
      </c>
      <c r="Y23" s="3">
        <v>23.98</v>
      </c>
      <c r="Z23" s="3">
        <v>23.98</v>
      </c>
      <c r="AA23" s="3">
        <v>0</v>
      </c>
      <c r="AB23" s="3" t="s">
        <v>869</v>
      </c>
      <c r="AC23" s="3">
        <v>43</v>
      </c>
      <c r="AD23" s="3">
        <v>23.98</v>
      </c>
      <c r="AE23" s="3">
        <v>0</v>
      </c>
      <c r="AF23" s="3">
        <v>0</v>
      </c>
      <c r="AG23" s="3">
        <v>0</v>
      </c>
      <c r="AH23" s="3">
        <v>5.568</v>
      </c>
      <c r="AI23" s="3">
        <v>4.871579</v>
      </c>
      <c r="AJ23" s="3" t="s">
        <v>870</v>
      </c>
    </row>
    <row r="24" spans="1:36">
      <c r="A24" s="5">
        <v>43336</v>
      </c>
      <c r="B24" s="3" t="s">
        <v>918</v>
      </c>
      <c r="C24" s="3" t="s">
        <v>919</v>
      </c>
      <c r="D24" s="3" t="s">
        <v>919</v>
      </c>
      <c r="E24" s="3" t="s">
        <v>920</v>
      </c>
      <c r="F24" s="3" t="s">
        <v>867</v>
      </c>
      <c r="G24" s="3">
        <v>14</v>
      </c>
      <c r="H24" s="3">
        <v>0</v>
      </c>
      <c r="I24" s="3">
        <v>1</v>
      </c>
      <c r="J24" s="3">
        <v>13</v>
      </c>
      <c r="K24" s="3">
        <v>0</v>
      </c>
      <c r="L24" s="3">
        <v>0</v>
      </c>
      <c r="M24" s="3">
        <v>0</v>
      </c>
      <c r="N24" s="3" t="s">
        <v>868</v>
      </c>
      <c r="O24" s="3">
        <v>0</v>
      </c>
      <c r="P24" s="3">
        <v>0</v>
      </c>
      <c r="Q24" s="3">
        <v>0</v>
      </c>
      <c r="R24" s="3">
        <v>0</v>
      </c>
      <c r="S24" s="3">
        <v>1</v>
      </c>
      <c r="T24" s="3">
        <v>8</v>
      </c>
      <c r="U24" s="3">
        <v>14</v>
      </c>
      <c r="V24" s="3">
        <v>17</v>
      </c>
      <c r="W24" s="3"/>
      <c r="X24" s="3">
        <v>21.98</v>
      </c>
      <c r="Y24" s="3">
        <v>21.98</v>
      </c>
      <c r="Z24" s="3">
        <v>21.98</v>
      </c>
      <c r="AA24" s="3">
        <v>0</v>
      </c>
      <c r="AB24" s="3" t="s">
        <v>869</v>
      </c>
      <c r="AC24" s="3">
        <v>13</v>
      </c>
      <c r="AD24" s="3">
        <v>21.98</v>
      </c>
      <c r="AE24" s="3">
        <v>0</v>
      </c>
      <c r="AF24" s="3">
        <v>0</v>
      </c>
      <c r="AG24" s="3">
        <v>0</v>
      </c>
      <c r="AH24" s="3">
        <v>0.851063829787234</v>
      </c>
      <c r="AI24" s="3">
        <v>0.980644</v>
      </c>
      <c r="AJ24" s="3" t="s">
        <v>870</v>
      </c>
    </row>
    <row r="25" spans="1:36">
      <c r="A25" s="5">
        <v>43336</v>
      </c>
      <c r="B25" s="3" t="s">
        <v>921</v>
      </c>
      <c r="C25" s="3" t="s">
        <v>922</v>
      </c>
      <c r="D25" s="3" t="s">
        <v>923</v>
      </c>
      <c r="E25" s="3" t="s">
        <v>924</v>
      </c>
      <c r="F25" s="3" t="s">
        <v>867</v>
      </c>
      <c r="G25" s="3">
        <v>6</v>
      </c>
      <c r="H25" s="3">
        <v>0</v>
      </c>
      <c r="I25" s="3">
        <v>6</v>
      </c>
      <c r="J25" s="3">
        <v>0</v>
      </c>
      <c r="K25" s="3">
        <v>0</v>
      </c>
      <c r="L25" s="3">
        <v>0</v>
      </c>
      <c r="M25" s="3">
        <v>0</v>
      </c>
      <c r="N25" s="3" t="s">
        <v>868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 t="s">
        <v>871</v>
      </c>
      <c r="X25" s="3">
        <v>17.99</v>
      </c>
      <c r="Y25" s="3">
        <v>17.99</v>
      </c>
      <c r="Z25" s="3">
        <v>17.99</v>
      </c>
      <c r="AA25" s="3">
        <v>0</v>
      </c>
      <c r="AB25" s="3" t="s">
        <v>869</v>
      </c>
      <c r="AC25" s="3">
        <v>0</v>
      </c>
      <c r="AD25" s="3">
        <v>17.99</v>
      </c>
      <c r="AE25" s="3">
        <v>63</v>
      </c>
      <c r="AF25" s="3">
        <v>0</v>
      </c>
      <c r="AG25" s="3">
        <v>100.883198</v>
      </c>
      <c r="AH25" s="3">
        <v>0</v>
      </c>
      <c r="AI25" s="3">
        <v>0.840402</v>
      </c>
      <c r="AJ25" s="3" t="s">
        <v>925</v>
      </c>
    </row>
    <row r="26" spans="1:36">
      <c r="A26" s="5">
        <v>43336</v>
      </c>
      <c r="B26" s="3" t="s">
        <v>926</v>
      </c>
      <c r="C26" s="3" t="s">
        <v>927</v>
      </c>
      <c r="D26" s="3" t="s">
        <v>927</v>
      </c>
      <c r="E26" s="3" t="s">
        <v>928</v>
      </c>
      <c r="F26" s="3" t="s">
        <v>867</v>
      </c>
      <c r="G26" s="3">
        <v>15</v>
      </c>
      <c r="H26" s="3">
        <v>0</v>
      </c>
      <c r="I26" s="3">
        <v>0</v>
      </c>
      <c r="J26" s="3">
        <v>15</v>
      </c>
      <c r="K26" s="3">
        <v>0</v>
      </c>
      <c r="L26" s="3">
        <v>0</v>
      </c>
      <c r="M26" s="3">
        <v>0</v>
      </c>
      <c r="N26" s="3" t="s">
        <v>868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871</v>
      </c>
      <c r="X26" s="3">
        <v>22.99</v>
      </c>
      <c r="Y26" s="3">
        <v>22.99</v>
      </c>
      <c r="Z26" s="3">
        <v>22.99</v>
      </c>
      <c r="AA26" s="3">
        <v>0</v>
      </c>
      <c r="AB26" s="3" t="s">
        <v>883</v>
      </c>
      <c r="AC26" s="3">
        <v>0</v>
      </c>
      <c r="AD26" s="3">
        <v>16.49</v>
      </c>
      <c r="AE26" s="3">
        <v>364</v>
      </c>
      <c r="AF26" s="3">
        <v>0</v>
      </c>
      <c r="AG26" s="3">
        <v>363.565414</v>
      </c>
      <c r="AH26" s="3">
        <v>0</v>
      </c>
      <c r="AI26" s="3">
        <v>2.43768</v>
      </c>
      <c r="AJ26" s="3" t="s">
        <v>870</v>
      </c>
    </row>
    <row r="27" spans="1:36">
      <c r="A27" s="5">
        <v>43336</v>
      </c>
      <c r="B27" s="3" t="s">
        <v>929</v>
      </c>
      <c r="C27" s="3" t="s">
        <v>930</v>
      </c>
      <c r="D27" s="3" t="s">
        <v>930</v>
      </c>
      <c r="E27" s="3" t="s">
        <v>931</v>
      </c>
      <c r="F27" s="3" t="s">
        <v>867</v>
      </c>
      <c r="G27" s="3">
        <v>10</v>
      </c>
      <c r="H27" s="3">
        <v>0</v>
      </c>
      <c r="I27" s="3">
        <v>10</v>
      </c>
      <c r="J27" s="3">
        <v>0</v>
      </c>
      <c r="K27" s="3">
        <v>0</v>
      </c>
      <c r="L27" s="3">
        <v>0</v>
      </c>
      <c r="M27" s="3">
        <v>0</v>
      </c>
      <c r="N27" s="3" t="s">
        <v>868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2</v>
      </c>
      <c r="W27" s="3" t="s">
        <v>871</v>
      </c>
      <c r="X27" s="3">
        <v>45.98</v>
      </c>
      <c r="Y27" s="3">
        <v>27.98</v>
      </c>
      <c r="Z27" s="3">
        <v>27.98</v>
      </c>
      <c r="AA27" s="3">
        <v>0</v>
      </c>
      <c r="AB27" s="3" t="s">
        <v>883</v>
      </c>
      <c r="AC27" s="3">
        <v>0</v>
      </c>
      <c r="AD27" s="3">
        <v>23.36</v>
      </c>
      <c r="AE27" s="3">
        <v>336</v>
      </c>
      <c r="AF27" s="3">
        <v>0</v>
      </c>
      <c r="AG27" s="3">
        <v>297.301314</v>
      </c>
      <c r="AH27" s="3">
        <v>0.25</v>
      </c>
      <c r="AI27" s="3">
        <v>1.6907</v>
      </c>
      <c r="AJ27" s="3" t="s">
        <v>870</v>
      </c>
    </row>
    <row r="28" spans="1:36">
      <c r="A28" s="5">
        <v>43336</v>
      </c>
      <c r="B28" s="3" t="s">
        <v>932</v>
      </c>
      <c r="C28" s="3" t="s">
        <v>933</v>
      </c>
      <c r="D28" s="3" t="s">
        <v>934</v>
      </c>
      <c r="E28" s="3" t="s">
        <v>935</v>
      </c>
      <c r="F28" s="3" t="s">
        <v>867</v>
      </c>
      <c r="G28" s="3">
        <v>6</v>
      </c>
      <c r="H28" s="3">
        <v>0</v>
      </c>
      <c r="I28" s="3">
        <v>6</v>
      </c>
      <c r="J28" s="3">
        <v>0</v>
      </c>
      <c r="K28" s="3">
        <v>0</v>
      </c>
      <c r="L28" s="3">
        <v>0</v>
      </c>
      <c r="M28" s="3">
        <v>0</v>
      </c>
      <c r="N28" s="3" t="s">
        <v>868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936</v>
      </c>
      <c r="X28" s="3">
        <v>22.99</v>
      </c>
      <c r="Y28" s="3">
        <v>22.99</v>
      </c>
      <c r="Z28" s="3">
        <v>22.99</v>
      </c>
      <c r="AA28" s="3">
        <v>0</v>
      </c>
      <c r="AB28" s="3" t="s">
        <v>937</v>
      </c>
      <c r="AC28" s="3">
        <v>0</v>
      </c>
      <c r="AD28" s="3">
        <v>18.39</v>
      </c>
      <c r="AE28" s="3">
        <v>63</v>
      </c>
      <c r="AF28" s="3">
        <v>0</v>
      </c>
      <c r="AG28" s="3">
        <v>111.433691</v>
      </c>
      <c r="AH28" s="3">
        <v>0</v>
      </c>
      <c r="AI28" s="3">
        <v>0.859374</v>
      </c>
      <c r="AJ28" s="3" t="s">
        <v>925</v>
      </c>
    </row>
    <row r="29" spans="1:36">
      <c r="A29" s="5">
        <v>43336</v>
      </c>
      <c r="B29" s="3" t="s">
        <v>938</v>
      </c>
      <c r="C29" s="3" t="s">
        <v>939</v>
      </c>
      <c r="D29" s="3" t="s">
        <v>939</v>
      </c>
      <c r="E29" s="3" t="s">
        <v>940</v>
      </c>
      <c r="F29" s="3" t="s">
        <v>867</v>
      </c>
      <c r="G29" s="3">
        <v>16</v>
      </c>
      <c r="H29" s="3">
        <v>0</v>
      </c>
      <c r="I29" s="3">
        <v>7</v>
      </c>
      <c r="J29" s="3">
        <v>9</v>
      </c>
      <c r="K29" s="3">
        <v>0</v>
      </c>
      <c r="L29" s="3">
        <v>0</v>
      </c>
      <c r="M29" s="3">
        <v>0</v>
      </c>
      <c r="N29" s="3" t="s">
        <v>868</v>
      </c>
      <c r="O29" s="3">
        <v>0</v>
      </c>
      <c r="P29" s="3">
        <v>0</v>
      </c>
      <c r="Q29" s="3">
        <v>0</v>
      </c>
      <c r="R29" s="3">
        <v>0</v>
      </c>
      <c r="S29" s="3">
        <v>1</v>
      </c>
      <c r="T29" s="3">
        <v>1</v>
      </c>
      <c r="U29" s="3">
        <v>3</v>
      </c>
      <c r="V29" s="3">
        <v>8</v>
      </c>
      <c r="W29" s="3"/>
      <c r="X29" s="3">
        <v>22.98</v>
      </c>
      <c r="Y29" s="3">
        <v>22.98</v>
      </c>
      <c r="Z29" s="3">
        <v>22.98</v>
      </c>
      <c r="AA29" s="3">
        <v>0</v>
      </c>
      <c r="AB29" s="3" t="s">
        <v>869</v>
      </c>
      <c r="AC29" s="3">
        <v>17</v>
      </c>
      <c r="AD29" s="3">
        <v>22.98</v>
      </c>
      <c r="AE29" s="3">
        <v>0</v>
      </c>
      <c r="AF29" s="3">
        <v>0</v>
      </c>
      <c r="AG29" s="3">
        <v>0</v>
      </c>
      <c r="AH29" s="3">
        <v>0.477611940298507</v>
      </c>
      <c r="AI29" s="3">
        <v>1.337008</v>
      </c>
      <c r="AJ29" s="3" t="s">
        <v>870</v>
      </c>
    </row>
    <row r="30" spans="1:36">
      <c r="A30" s="5">
        <v>43336</v>
      </c>
      <c r="B30" s="3" t="s">
        <v>941</v>
      </c>
      <c r="C30" s="3" t="s">
        <v>942</v>
      </c>
      <c r="D30" s="3" t="s">
        <v>943</v>
      </c>
      <c r="E30" s="3" t="s">
        <v>944</v>
      </c>
      <c r="F30" s="3" t="s">
        <v>867</v>
      </c>
      <c r="G30" s="3">
        <v>35</v>
      </c>
      <c r="H30" s="3">
        <v>0</v>
      </c>
      <c r="I30" s="3">
        <v>35</v>
      </c>
      <c r="J30" s="3">
        <v>0</v>
      </c>
      <c r="K30" s="3">
        <v>0</v>
      </c>
      <c r="L30" s="3">
        <v>0</v>
      </c>
      <c r="M30" s="3">
        <v>0</v>
      </c>
      <c r="N30" s="3" t="s">
        <v>868</v>
      </c>
      <c r="O30" s="3">
        <v>0</v>
      </c>
      <c r="P30" s="3">
        <v>0</v>
      </c>
      <c r="Q30" s="3">
        <v>0</v>
      </c>
      <c r="R30" s="3">
        <v>0</v>
      </c>
      <c r="S30" s="3">
        <v>4</v>
      </c>
      <c r="T30" s="3">
        <v>28</v>
      </c>
      <c r="U30" s="3">
        <v>31</v>
      </c>
      <c r="V30" s="3">
        <v>31</v>
      </c>
      <c r="W30" s="3"/>
      <c r="X30" s="3">
        <v>22.98</v>
      </c>
      <c r="Y30" s="3">
        <v>22.98</v>
      </c>
      <c r="Z30" s="3">
        <v>22.98</v>
      </c>
      <c r="AA30" s="3">
        <v>0</v>
      </c>
      <c r="AB30" s="3" t="s">
        <v>869</v>
      </c>
      <c r="AC30" s="3">
        <v>37</v>
      </c>
      <c r="AD30" s="3">
        <v>22.98</v>
      </c>
      <c r="AE30" s="3">
        <v>0</v>
      </c>
      <c r="AF30" s="3">
        <v>0</v>
      </c>
      <c r="AG30" s="3">
        <v>0</v>
      </c>
      <c r="AH30" s="3">
        <v>1.05084745762711</v>
      </c>
      <c r="AI30" s="3">
        <v>6.077925</v>
      </c>
      <c r="AJ30" s="3" t="s">
        <v>870</v>
      </c>
    </row>
    <row r="31" spans="1:36">
      <c r="A31" s="5">
        <v>43336</v>
      </c>
      <c r="B31" s="3" t="s">
        <v>945</v>
      </c>
      <c r="C31" s="3" t="s">
        <v>946</v>
      </c>
      <c r="D31" s="3" t="s">
        <v>946</v>
      </c>
      <c r="E31" s="3" t="s">
        <v>947</v>
      </c>
      <c r="F31" s="3" t="s">
        <v>867</v>
      </c>
      <c r="G31" s="3">
        <v>17</v>
      </c>
      <c r="H31" s="3">
        <v>0</v>
      </c>
      <c r="I31" s="3">
        <v>0</v>
      </c>
      <c r="J31" s="3">
        <v>4</v>
      </c>
      <c r="K31" s="3">
        <v>13</v>
      </c>
      <c r="L31" s="3">
        <v>0</v>
      </c>
      <c r="M31" s="3">
        <v>0</v>
      </c>
      <c r="N31" s="3" t="s">
        <v>868</v>
      </c>
      <c r="O31" s="3">
        <v>14</v>
      </c>
      <c r="P31" s="3">
        <v>6.67</v>
      </c>
      <c r="Q31" s="3">
        <v>0</v>
      </c>
      <c r="R31" s="3">
        <v>0</v>
      </c>
      <c r="S31" s="3">
        <v>1</v>
      </c>
      <c r="T31" s="3">
        <v>2</v>
      </c>
      <c r="U31" s="3">
        <v>3</v>
      </c>
      <c r="V31" s="3">
        <v>3</v>
      </c>
      <c r="W31" s="3" t="s">
        <v>871</v>
      </c>
      <c r="X31" s="3">
        <v>22.98</v>
      </c>
      <c r="Y31" s="3">
        <v>22.98</v>
      </c>
      <c r="Z31" s="3">
        <v>22.98</v>
      </c>
      <c r="AA31" s="3">
        <v>0</v>
      </c>
      <c r="AB31" s="3" t="s">
        <v>869</v>
      </c>
      <c r="AC31" s="3">
        <v>17</v>
      </c>
      <c r="AD31" s="3">
        <v>22.98</v>
      </c>
      <c r="AE31" s="3">
        <v>0</v>
      </c>
      <c r="AF31" s="3">
        <v>0</v>
      </c>
      <c r="AG31" s="3">
        <v>0</v>
      </c>
      <c r="AH31" s="3">
        <v>0.157894736842105</v>
      </c>
      <c r="AI31" s="3">
        <v>2.347734</v>
      </c>
      <c r="AJ31" s="3" t="s">
        <v>870</v>
      </c>
    </row>
    <row r="32" spans="1:36">
      <c r="A32" s="5">
        <v>43336</v>
      </c>
      <c r="B32" s="3" t="s">
        <v>948</v>
      </c>
      <c r="C32" s="3" t="s">
        <v>949</v>
      </c>
      <c r="D32" s="3" t="s">
        <v>949</v>
      </c>
      <c r="E32" s="3" t="s">
        <v>950</v>
      </c>
      <c r="F32" s="3" t="s">
        <v>867</v>
      </c>
      <c r="G32" s="3">
        <v>16</v>
      </c>
      <c r="H32" s="3">
        <v>0</v>
      </c>
      <c r="I32" s="3">
        <v>0</v>
      </c>
      <c r="J32" s="3">
        <v>10</v>
      </c>
      <c r="K32" s="3">
        <v>6</v>
      </c>
      <c r="L32" s="3">
        <v>0</v>
      </c>
      <c r="M32" s="3">
        <v>0</v>
      </c>
      <c r="N32" s="3" t="s">
        <v>868</v>
      </c>
      <c r="O32" s="3">
        <v>6</v>
      </c>
      <c r="P32" s="3">
        <v>1.32</v>
      </c>
      <c r="Q32" s="3">
        <v>0</v>
      </c>
      <c r="R32" s="3">
        <v>0</v>
      </c>
      <c r="S32" s="3">
        <v>0</v>
      </c>
      <c r="T32" s="3">
        <v>1</v>
      </c>
      <c r="U32" s="3">
        <v>2</v>
      </c>
      <c r="V32" s="3">
        <v>4</v>
      </c>
      <c r="W32" s="3" t="s">
        <v>871</v>
      </c>
      <c r="X32" s="3">
        <v>22.98</v>
      </c>
      <c r="Y32" s="3">
        <v>22.98</v>
      </c>
      <c r="Z32" s="3">
        <v>22.98</v>
      </c>
      <c r="AA32" s="3">
        <v>0</v>
      </c>
      <c r="AB32" s="3" t="s">
        <v>869</v>
      </c>
      <c r="AC32" s="3">
        <v>16</v>
      </c>
      <c r="AD32" s="3">
        <v>22.98</v>
      </c>
      <c r="AE32" s="3">
        <v>0</v>
      </c>
      <c r="AF32" s="3">
        <v>0</v>
      </c>
      <c r="AG32" s="3">
        <v>0</v>
      </c>
      <c r="AH32" s="3">
        <v>0.225352112676056</v>
      </c>
      <c r="AI32" s="3">
        <v>1.023296</v>
      </c>
      <c r="AJ32" s="3" t="s">
        <v>870</v>
      </c>
    </row>
    <row r="33" spans="1:36">
      <c r="A33" s="5">
        <v>43336</v>
      </c>
      <c r="B33" s="3" t="s">
        <v>951</v>
      </c>
      <c r="C33" s="3" t="s">
        <v>952</v>
      </c>
      <c r="D33" s="3" t="s">
        <v>952</v>
      </c>
      <c r="E33" s="3" t="s">
        <v>953</v>
      </c>
      <c r="F33" s="3" t="s">
        <v>867</v>
      </c>
      <c r="G33" s="3">
        <v>1</v>
      </c>
      <c r="H33" s="3">
        <v>0</v>
      </c>
      <c r="I33" s="3">
        <v>0</v>
      </c>
      <c r="J33" s="3">
        <v>0</v>
      </c>
      <c r="K33" s="3">
        <v>1</v>
      </c>
      <c r="L33" s="3">
        <v>0</v>
      </c>
      <c r="M33" s="3">
        <v>0</v>
      </c>
      <c r="N33" s="3" t="s">
        <v>868</v>
      </c>
      <c r="O33" s="3">
        <v>1</v>
      </c>
      <c r="P33" s="3">
        <v>0.71</v>
      </c>
      <c r="Q33" s="3">
        <v>0</v>
      </c>
      <c r="R33" s="3">
        <v>0</v>
      </c>
      <c r="S33" s="3">
        <v>0</v>
      </c>
      <c r="T33" s="3">
        <v>2</v>
      </c>
      <c r="U33" s="3">
        <v>6</v>
      </c>
      <c r="V33" s="3">
        <v>7</v>
      </c>
      <c r="W33" s="3"/>
      <c r="X33" s="3">
        <v>15</v>
      </c>
      <c r="Y33" s="3">
        <v>15</v>
      </c>
      <c r="Z33" s="3">
        <v>15</v>
      </c>
      <c r="AA33" s="3">
        <v>0</v>
      </c>
      <c r="AB33" s="3" t="s">
        <v>869</v>
      </c>
      <c r="AC33" s="3">
        <v>1</v>
      </c>
      <c r="AD33" s="3">
        <v>15</v>
      </c>
      <c r="AE33" s="3">
        <v>0</v>
      </c>
      <c r="AF33" s="3">
        <v>0</v>
      </c>
      <c r="AG33" s="3">
        <v>0</v>
      </c>
      <c r="AH33" s="3">
        <v>1.47368421052631</v>
      </c>
      <c r="AI33" s="3">
        <v>0.205085</v>
      </c>
      <c r="AJ33" s="3" t="s">
        <v>870</v>
      </c>
    </row>
    <row r="34" spans="1:36">
      <c r="A34" s="5">
        <v>43336</v>
      </c>
      <c r="B34" s="3" t="s">
        <v>954</v>
      </c>
      <c r="C34" s="3" t="s">
        <v>955</v>
      </c>
      <c r="D34" s="3" t="s">
        <v>955</v>
      </c>
      <c r="E34" s="3" t="s">
        <v>956</v>
      </c>
      <c r="F34" s="3" t="s">
        <v>867</v>
      </c>
      <c r="G34" s="3">
        <v>4</v>
      </c>
      <c r="H34" s="3">
        <v>0</v>
      </c>
      <c r="I34" s="3">
        <v>2</v>
      </c>
      <c r="J34" s="3">
        <v>2</v>
      </c>
      <c r="K34" s="3">
        <v>0</v>
      </c>
      <c r="L34" s="3">
        <v>0</v>
      </c>
      <c r="M34" s="3">
        <v>0</v>
      </c>
      <c r="N34" s="3" t="s">
        <v>868</v>
      </c>
      <c r="O34" s="3">
        <v>1</v>
      </c>
      <c r="P34" s="3">
        <v>0.74</v>
      </c>
      <c r="Q34" s="3">
        <v>0</v>
      </c>
      <c r="R34" s="3">
        <v>0</v>
      </c>
      <c r="S34" s="3">
        <v>0</v>
      </c>
      <c r="T34" s="3">
        <v>0</v>
      </c>
      <c r="U34" s="3">
        <v>2</v>
      </c>
      <c r="V34" s="3">
        <v>4</v>
      </c>
      <c r="W34" s="3" t="s">
        <v>871</v>
      </c>
      <c r="X34" s="3">
        <v>26.98</v>
      </c>
      <c r="Y34" s="3">
        <v>26.98</v>
      </c>
      <c r="Z34" s="3">
        <v>26.98</v>
      </c>
      <c r="AA34" s="3">
        <v>0</v>
      </c>
      <c r="AB34" s="3" t="s">
        <v>883</v>
      </c>
      <c r="AC34" s="3">
        <v>0</v>
      </c>
      <c r="AD34" s="3">
        <v>24.36</v>
      </c>
      <c r="AE34" s="3">
        <v>154</v>
      </c>
      <c r="AF34" s="3">
        <v>0</v>
      </c>
      <c r="AG34" s="3">
        <v>127.121052</v>
      </c>
      <c r="AH34" s="3">
        <v>0.533333333333333</v>
      </c>
      <c r="AI34" s="3">
        <v>0.854012</v>
      </c>
      <c r="AJ34" s="3" t="s">
        <v>870</v>
      </c>
    </row>
    <row r="35" spans="1:36">
      <c r="A35" s="5">
        <v>43336</v>
      </c>
      <c r="B35" s="3" t="s">
        <v>957</v>
      </c>
      <c r="C35" s="3" t="s">
        <v>958</v>
      </c>
      <c r="D35" s="3" t="s">
        <v>958</v>
      </c>
      <c r="E35" s="3" t="s">
        <v>959</v>
      </c>
      <c r="F35" s="3" t="s">
        <v>867</v>
      </c>
      <c r="G35" s="3">
        <v>1</v>
      </c>
      <c r="H35" s="3">
        <v>0</v>
      </c>
      <c r="I35" s="3">
        <v>0</v>
      </c>
      <c r="J35" s="3">
        <v>1</v>
      </c>
      <c r="K35" s="3">
        <v>0</v>
      </c>
      <c r="L35" s="3">
        <v>0</v>
      </c>
      <c r="M35" s="3">
        <v>0</v>
      </c>
      <c r="N35" s="3" t="s">
        <v>868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2</v>
      </c>
      <c r="W35" s="3" t="s">
        <v>871</v>
      </c>
      <c r="X35" s="3">
        <v>27.98</v>
      </c>
      <c r="Y35" s="3">
        <v>27.98</v>
      </c>
      <c r="Z35" s="3">
        <v>25.98</v>
      </c>
      <c r="AA35" s="3">
        <v>0</v>
      </c>
      <c r="AB35" s="3" t="s">
        <v>883</v>
      </c>
      <c r="AC35" s="3">
        <v>1</v>
      </c>
      <c r="AD35" s="3">
        <v>25.98</v>
      </c>
      <c r="AE35" s="3">
        <v>0</v>
      </c>
      <c r="AF35" s="3">
        <v>0</v>
      </c>
      <c r="AG35" s="3">
        <v>0</v>
      </c>
      <c r="AH35" s="3">
        <v>0.266666666666666</v>
      </c>
      <c r="AI35" s="3">
        <v>0.115281</v>
      </c>
      <c r="AJ35" s="3" t="s">
        <v>870</v>
      </c>
    </row>
    <row r="36" spans="1:36">
      <c r="A36" s="5">
        <v>43336</v>
      </c>
      <c r="B36" s="3" t="s">
        <v>960</v>
      </c>
      <c r="C36" s="3" t="s">
        <v>961</v>
      </c>
      <c r="D36" s="3" t="s">
        <v>961</v>
      </c>
      <c r="E36" s="3" t="s">
        <v>962</v>
      </c>
      <c r="F36" s="3" t="s">
        <v>867</v>
      </c>
      <c r="G36" s="3">
        <v>3</v>
      </c>
      <c r="H36" s="3">
        <v>0</v>
      </c>
      <c r="I36" s="3">
        <v>0</v>
      </c>
      <c r="J36" s="3">
        <v>0</v>
      </c>
      <c r="K36" s="3">
        <v>3</v>
      </c>
      <c r="L36" s="3">
        <v>0</v>
      </c>
      <c r="M36" s="3">
        <v>0</v>
      </c>
      <c r="N36" s="3" t="s">
        <v>868</v>
      </c>
      <c r="O36" s="3">
        <v>3</v>
      </c>
      <c r="P36" s="3">
        <v>0.91</v>
      </c>
      <c r="Q36" s="3">
        <v>0</v>
      </c>
      <c r="R36" s="3">
        <v>0</v>
      </c>
      <c r="S36" s="3">
        <v>0</v>
      </c>
      <c r="T36" s="3">
        <v>2</v>
      </c>
      <c r="U36" s="3">
        <v>3</v>
      </c>
      <c r="V36" s="3">
        <v>3</v>
      </c>
      <c r="W36" s="3"/>
      <c r="X36" s="3">
        <v>23.98</v>
      </c>
      <c r="Y36" s="3">
        <v>23.98</v>
      </c>
      <c r="Z36" s="3">
        <v>23.98</v>
      </c>
      <c r="AA36" s="3">
        <v>0</v>
      </c>
      <c r="AB36" s="3" t="s">
        <v>869</v>
      </c>
      <c r="AC36" s="3">
        <v>3</v>
      </c>
      <c r="AD36" s="3">
        <v>23.98</v>
      </c>
      <c r="AE36" s="3">
        <v>0</v>
      </c>
      <c r="AF36" s="3">
        <v>0</v>
      </c>
      <c r="AG36" s="3">
        <v>0</v>
      </c>
      <c r="AH36" s="3">
        <v>0.6</v>
      </c>
      <c r="AI36" s="3">
        <v>0.264699</v>
      </c>
      <c r="AJ36" s="3" t="s">
        <v>870</v>
      </c>
    </row>
    <row r="37" spans="1:36">
      <c r="A37" s="5">
        <v>43336</v>
      </c>
      <c r="B37" s="3" t="s">
        <v>963</v>
      </c>
      <c r="C37" s="3" t="s">
        <v>964</v>
      </c>
      <c r="D37" s="3" t="s">
        <v>964</v>
      </c>
      <c r="E37" s="3" t="s">
        <v>965</v>
      </c>
      <c r="F37" s="3" t="s">
        <v>867</v>
      </c>
      <c r="G37" s="3">
        <v>33</v>
      </c>
      <c r="H37" s="3">
        <v>0</v>
      </c>
      <c r="I37" s="3">
        <v>5</v>
      </c>
      <c r="J37" s="3">
        <v>22</v>
      </c>
      <c r="K37" s="3">
        <v>6</v>
      </c>
      <c r="L37" s="3">
        <v>0</v>
      </c>
      <c r="M37" s="3">
        <v>0</v>
      </c>
      <c r="N37" s="3" t="s">
        <v>868</v>
      </c>
      <c r="O37" s="3">
        <v>26</v>
      </c>
      <c r="P37" s="3">
        <v>5.47</v>
      </c>
      <c r="Q37" s="3">
        <v>0</v>
      </c>
      <c r="R37" s="3">
        <v>0</v>
      </c>
      <c r="S37" s="3">
        <v>1</v>
      </c>
      <c r="T37" s="3">
        <v>2</v>
      </c>
      <c r="U37" s="3">
        <v>12</v>
      </c>
      <c r="V37" s="3">
        <v>23</v>
      </c>
      <c r="W37" s="3"/>
      <c r="X37" s="3">
        <v>22.98</v>
      </c>
      <c r="Y37" s="3">
        <v>22.98</v>
      </c>
      <c r="Z37" s="3">
        <v>22.98</v>
      </c>
      <c r="AA37" s="3">
        <v>0</v>
      </c>
      <c r="AB37" s="3" t="s">
        <v>869</v>
      </c>
      <c r="AC37" s="3">
        <v>34</v>
      </c>
      <c r="AD37" s="3">
        <v>22.98</v>
      </c>
      <c r="AE37" s="3">
        <v>0</v>
      </c>
      <c r="AF37" s="3">
        <v>0</v>
      </c>
      <c r="AG37" s="3">
        <v>0</v>
      </c>
      <c r="AH37" s="3">
        <v>0.593548387096774</v>
      </c>
      <c r="AI37" s="3">
        <v>2.01339599999999</v>
      </c>
      <c r="AJ37" s="3" t="s">
        <v>870</v>
      </c>
    </row>
    <row r="38" spans="1:36">
      <c r="A38" s="5">
        <v>43336</v>
      </c>
      <c r="B38" s="3" t="s">
        <v>966</v>
      </c>
      <c r="C38" s="3" t="s">
        <v>967</v>
      </c>
      <c r="D38" s="3" t="s">
        <v>967</v>
      </c>
      <c r="E38" s="3" t="s">
        <v>968</v>
      </c>
      <c r="F38" s="3" t="s">
        <v>867</v>
      </c>
      <c r="G38" s="3">
        <v>36</v>
      </c>
      <c r="H38" s="3">
        <v>0</v>
      </c>
      <c r="I38" s="3">
        <v>6</v>
      </c>
      <c r="J38" s="3">
        <v>30</v>
      </c>
      <c r="K38" s="3">
        <v>0</v>
      </c>
      <c r="L38" s="3">
        <v>0</v>
      </c>
      <c r="M38" s="3">
        <v>0</v>
      </c>
      <c r="N38" s="3" t="s">
        <v>868</v>
      </c>
      <c r="O38" s="3">
        <v>0</v>
      </c>
      <c r="P38" s="3">
        <v>0</v>
      </c>
      <c r="Q38" s="3">
        <v>0</v>
      </c>
      <c r="R38" s="3">
        <v>0</v>
      </c>
      <c r="S38" s="3">
        <v>3</v>
      </c>
      <c r="T38" s="3">
        <v>5</v>
      </c>
      <c r="U38" s="3">
        <v>7</v>
      </c>
      <c r="V38" s="3">
        <v>9</v>
      </c>
      <c r="W38" s="3"/>
      <c r="X38" s="3">
        <v>14.99</v>
      </c>
      <c r="Y38" s="3">
        <v>14.99</v>
      </c>
      <c r="Z38" s="3">
        <v>14.99</v>
      </c>
      <c r="AA38" s="3">
        <v>0</v>
      </c>
      <c r="AB38" s="3" t="s">
        <v>869</v>
      </c>
      <c r="AC38" s="3">
        <v>0</v>
      </c>
      <c r="AD38" s="3">
        <v>14.99</v>
      </c>
      <c r="AE38" s="3">
        <v>63</v>
      </c>
      <c r="AF38" s="3">
        <v>0</v>
      </c>
      <c r="AG38" s="3">
        <v>1004.37183</v>
      </c>
      <c r="AH38" s="3">
        <v>0.233766233766233</v>
      </c>
      <c r="AI38" s="3">
        <v>7.67584799999999</v>
      </c>
      <c r="AJ38" s="3" t="s">
        <v>870</v>
      </c>
    </row>
    <row r="39" spans="1:36">
      <c r="A39" s="5">
        <v>43336</v>
      </c>
      <c r="B39" s="3" t="s">
        <v>969</v>
      </c>
      <c r="C39" s="3" t="s">
        <v>970</v>
      </c>
      <c r="D39" s="3" t="s">
        <v>970</v>
      </c>
      <c r="E39" s="3" t="s">
        <v>971</v>
      </c>
      <c r="F39" s="3" t="s">
        <v>867</v>
      </c>
      <c r="G39" s="3">
        <v>2</v>
      </c>
      <c r="H39" s="3">
        <v>0</v>
      </c>
      <c r="I39" s="3">
        <v>2</v>
      </c>
      <c r="J39" s="3">
        <v>0</v>
      </c>
      <c r="K39" s="3">
        <v>0</v>
      </c>
      <c r="L39" s="3">
        <v>0</v>
      </c>
      <c r="M39" s="3">
        <v>0</v>
      </c>
      <c r="N39" s="3" t="s">
        <v>868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1</v>
      </c>
      <c r="U39" s="3">
        <v>1</v>
      </c>
      <c r="V39" s="3">
        <v>2</v>
      </c>
      <c r="W39" s="3"/>
      <c r="X39" s="3">
        <v>24.98</v>
      </c>
      <c r="Y39" s="3">
        <v>24.98</v>
      </c>
      <c r="Z39" s="3">
        <v>24.98</v>
      </c>
      <c r="AA39" s="3">
        <v>0</v>
      </c>
      <c r="AB39" s="3" t="s">
        <v>869</v>
      </c>
      <c r="AC39" s="3">
        <v>1</v>
      </c>
      <c r="AD39" s="3">
        <v>24.98</v>
      </c>
      <c r="AE39" s="3">
        <v>0</v>
      </c>
      <c r="AF39" s="3">
        <v>0</v>
      </c>
      <c r="AG39" s="3">
        <v>0</v>
      </c>
      <c r="AH39" s="3">
        <v>0.363636363636363</v>
      </c>
      <c r="AI39" s="3">
        <v>0.274502</v>
      </c>
      <c r="AJ39" s="3" t="s">
        <v>870</v>
      </c>
    </row>
    <row r="40" spans="1:36">
      <c r="A40" s="5">
        <v>43336</v>
      </c>
      <c r="B40" s="3" t="s">
        <v>972</v>
      </c>
      <c r="C40" s="3" t="s">
        <v>973</v>
      </c>
      <c r="D40" s="3" t="s">
        <v>973</v>
      </c>
      <c r="E40" s="3" t="s">
        <v>974</v>
      </c>
      <c r="F40" s="3" t="s">
        <v>867</v>
      </c>
      <c r="G40" s="3">
        <v>4</v>
      </c>
      <c r="H40" s="3">
        <v>0</v>
      </c>
      <c r="I40" s="3">
        <v>0</v>
      </c>
      <c r="J40" s="3">
        <v>1</v>
      </c>
      <c r="K40" s="3">
        <v>2</v>
      </c>
      <c r="L40" s="3">
        <v>1</v>
      </c>
      <c r="M40" s="3">
        <v>0</v>
      </c>
      <c r="N40" s="3" t="s">
        <v>868</v>
      </c>
      <c r="O40" s="3">
        <v>3</v>
      </c>
      <c r="P40" s="3">
        <v>1.29</v>
      </c>
      <c r="Q40" s="3">
        <v>0</v>
      </c>
      <c r="R40" s="3">
        <v>0</v>
      </c>
      <c r="S40" s="3">
        <v>1</v>
      </c>
      <c r="T40" s="3">
        <v>2</v>
      </c>
      <c r="U40" s="3">
        <v>6</v>
      </c>
      <c r="V40" s="3">
        <v>7</v>
      </c>
      <c r="W40" s="3" t="s">
        <v>871</v>
      </c>
      <c r="X40" s="3">
        <v>23.98</v>
      </c>
      <c r="Y40" s="3">
        <v>23.98</v>
      </c>
      <c r="Z40" s="3">
        <v>23.98</v>
      </c>
      <c r="AA40" s="3">
        <v>0</v>
      </c>
      <c r="AB40" s="3" t="s">
        <v>869</v>
      </c>
      <c r="AC40" s="3">
        <v>5</v>
      </c>
      <c r="AD40" s="3">
        <v>23.98</v>
      </c>
      <c r="AE40" s="3">
        <v>0</v>
      </c>
      <c r="AF40" s="3">
        <v>0</v>
      </c>
      <c r="AG40" s="3">
        <v>0</v>
      </c>
      <c r="AH40" s="3">
        <v>0.459016393442622</v>
      </c>
      <c r="AI40" s="3">
        <v>0.4991</v>
      </c>
      <c r="AJ40" s="3" t="s">
        <v>870</v>
      </c>
    </row>
    <row r="41" spans="1:36">
      <c r="A41" s="5">
        <v>43336</v>
      </c>
      <c r="B41" s="3" t="s">
        <v>975</v>
      </c>
      <c r="C41" s="3" t="s">
        <v>976</v>
      </c>
      <c r="D41" s="3" t="s">
        <v>976</v>
      </c>
      <c r="E41" s="3" t="s">
        <v>977</v>
      </c>
      <c r="F41" s="3" t="s">
        <v>867</v>
      </c>
      <c r="G41" s="3">
        <v>16</v>
      </c>
      <c r="H41" s="3">
        <v>0</v>
      </c>
      <c r="I41" s="3">
        <v>11</v>
      </c>
      <c r="J41" s="3">
        <v>3</v>
      </c>
      <c r="K41" s="3">
        <v>0</v>
      </c>
      <c r="L41" s="3">
        <v>2</v>
      </c>
      <c r="M41" s="3">
        <v>0</v>
      </c>
      <c r="N41" s="3" t="s">
        <v>868</v>
      </c>
      <c r="O41" s="3">
        <v>2</v>
      </c>
      <c r="P41" s="3">
        <v>1.03</v>
      </c>
      <c r="Q41" s="3">
        <v>0</v>
      </c>
      <c r="R41" s="3">
        <v>0</v>
      </c>
      <c r="S41" s="3">
        <v>0</v>
      </c>
      <c r="T41" s="3">
        <v>4</v>
      </c>
      <c r="U41" s="3">
        <v>7</v>
      </c>
      <c r="V41" s="3">
        <v>9</v>
      </c>
      <c r="W41" s="3"/>
      <c r="X41" s="3">
        <v>19.98</v>
      </c>
      <c r="Y41" s="3">
        <v>19.98</v>
      </c>
      <c r="Z41" s="3">
        <v>19.98</v>
      </c>
      <c r="AA41" s="3">
        <v>0</v>
      </c>
      <c r="AB41" s="3" t="s">
        <v>869</v>
      </c>
      <c r="AC41" s="3">
        <v>16</v>
      </c>
      <c r="AD41" s="3">
        <v>19.98</v>
      </c>
      <c r="AE41" s="3">
        <v>0</v>
      </c>
      <c r="AF41" s="3">
        <v>0</v>
      </c>
      <c r="AG41" s="3">
        <v>0</v>
      </c>
      <c r="AH41" s="3">
        <v>0.493150684931506</v>
      </c>
      <c r="AI41" s="3">
        <v>2.395088</v>
      </c>
      <c r="AJ41" s="3" t="s">
        <v>870</v>
      </c>
    </row>
    <row r="42" spans="1:36">
      <c r="A42" s="5">
        <v>43336</v>
      </c>
      <c r="B42" s="3" t="s">
        <v>978</v>
      </c>
      <c r="C42" s="3" t="s">
        <v>979</v>
      </c>
      <c r="D42" s="3" t="s">
        <v>979</v>
      </c>
      <c r="E42" s="3" t="s">
        <v>980</v>
      </c>
      <c r="F42" s="3" t="s">
        <v>867</v>
      </c>
      <c r="G42" s="3">
        <v>1</v>
      </c>
      <c r="H42" s="3">
        <v>0</v>
      </c>
      <c r="I42" s="3">
        <v>1</v>
      </c>
      <c r="J42" s="3">
        <v>0</v>
      </c>
      <c r="K42" s="3">
        <v>0</v>
      </c>
      <c r="L42" s="3">
        <v>0</v>
      </c>
      <c r="M42" s="3">
        <v>0</v>
      </c>
      <c r="N42" s="3" t="s">
        <v>868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4</v>
      </c>
      <c r="W42" s="3"/>
      <c r="X42" s="3"/>
      <c r="Y42" s="3"/>
      <c r="Z42" s="3">
        <v>-1</v>
      </c>
      <c r="AA42" s="3">
        <v>-1</v>
      </c>
      <c r="AB42" s="3" t="s">
        <v>891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2.28571428571428</v>
      </c>
      <c r="AI42" s="3">
        <v>0.20495</v>
      </c>
      <c r="AJ42" s="3" t="s">
        <v>870</v>
      </c>
    </row>
    <row r="43" spans="1:36">
      <c r="A43" s="5">
        <v>43336</v>
      </c>
      <c r="B43" s="3" t="s">
        <v>494</v>
      </c>
      <c r="C43" s="3" t="s">
        <v>495</v>
      </c>
      <c r="D43" s="3" t="s">
        <v>495</v>
      </c>
      <c r="E43" s="3" t="s">
        <v>496</v>
      </c>
      <c r="F43" s="3" t="s">
        <v>867</v>
      </c>
      <c r="G43" s="3">
        <v>12</v>
      </c>
      <c r="H43" s="3">
        <v>0</v>
      </c>
      <c r="I43" s="3">
        <v>5</v>
      </c>
      <c r="J43" s="3">
        <v>7</v>
      </c>
      <c r="K43" s="3">
        <v>0</v>
      </c>
      <c r="L43" s="3">
        <v>0</v>
      </c>
      <c r="M43" s="3">
        <v>0</v>
      </c>
      <c r="N43" s="3" t="s">
        <v>868</v>
      </c>
      <c r="O43" s="3">
        <v>0</v>
      </c>
      <c r="P43" s="3">
        <v>0</v>
      </c>
      <c r="Q43" s="3">
        <v>0</v>
      </c>
      <c r="R43" s="3">
        <v>0</v>
      </c>
      <c r="S43" s="3">
        <v>3</v>
      </c>
      <c r="T43" s="3">
        <v>11</v>
      </c>
      <c r="U43" s="3">
        <v>18</v>
      </c>
      <c r="V43" s="3">
        <v>20</v>
      </c>
      <c r="W43" s="3"/>
      <c r="X43" s="3">
        <v>39.98</v>
      </c>
      <c r="Y43" s="3">
        <v>22.98</v>
      </c>
      <c r="Z43" s="3">
        <v>22.98</v>
      </c>
      <c r="AA43" s="3">
        <v>0</v>
      </c>
      <c r="AB43" s="3" t="s">
        <v>869</v>
      </c>
      <c r="AC43" s="3">
        <v>14</v>
      </c>
      <c r="AD43" s="3">
        <v>22.98</v>
      </c>
      <c r="AE43" s="3">
        <v>0</v>
      </c>
      <c r="AF43" s="3">
        <v>0</v>
      </c>
      <c r="AG43" s="3">
        <v>0</v>
      </c>
      <c r="AH43" s="3">
        <v>0.86021505376344</v>
      </c>
      <c r="AI43" s="3">
        <v>2.558616</v>
      </c>
      <c r="AJ43" s="3" t="s">
        <v>870</v>
      </c>
    </row>
    <row r="44" spans="1:36">
      <c r="A44" s="5">
        <v>43336</v>
      </c>
      <c r="B44" s="3" t="s">
        <v>981</v>
      </c>
      <c r="C44" s="3" t="s">
        <v>982</v>
      </c>
      <c r="D44" s="3" t="s">
        <v>983</v>
      </c>
      <c r="E44" s="3" t="s">
        <v>984</v>
      </c>
      <c r="F44" s="3" t="s">
        <v>867</v>
      </c>
      <c r="G44" s="3">
        <v>3</v>
      </c>
      <c r="H44" s="3">
        <v>0</v>
      </c>
      <c r="I44" s="3">
        <v>3</v>
      </c>
      <c r="J44" s="3">
        <v>0</v>
      </c>
      <c r="K44" s="3">
        <v>0</v>
      </c>
      <c r="L44" s="3">
        <v>0</v>
      </c>
      <c r="M44" s="3">
        <v>0</v>
      </c>
      <c r="N44" s="3" t="s">
        <v>868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3</v>
      </c>
      <c r="U44" s="3">
        <v>3</v>
      </c>
      <c r="V44" s="3">
        <v>3</v>
      </c>
      <c r="W44" s="3" t="s">
        <v>936</v>
      </c>
      <c r="X44" s="3">
        <v>21.98</v>
      </c>
      <c r="Y44" s="3">
        <v>21.98</v>
      </c>
      <c r="Z44" s="3">
        <v>21.98</v>
      </c>
      <c r="AA44" s="3">
        <v>0</v>
      </c>
      <c r="AB44" s="3" t="s">
        <v>985</v>
      </c>
      <c r="AC44" s="3">
        <v>3</v>
      </c>
      <c r="AD44" s="3">
        <v>21.98</v>
      </c>
      <c r="AE44" s="3">
        <v>0</v>
      </c>
      <c r="AF44" s="3">
        <v>0</v>
      </c>
      <c r="AG44" s="3">
        <v>0</v>
      </c>
      <c r="AH44" s="3">
        <v>2</v>
      </c>
      <c r="AI44" s="3">
        <v>0.319173</v>
      </c>
      <c r="AJ44" s="3" t="s">
        <v>925</v>
      </c>
    </row>
    <row r="45" spans="1:36">
      <c r="A45" s="5">
        <v>43336</v>
      </c>
      <c r="B45" s="3" t="s">
        <v>986</v>
      </c>
      <c r="C45" s="3" t="s">
        <v>987</v>
      </c>
      <c r="D45" s="3" t="s">
        <v>988</v>
      </c>
      <c r="E45" s="3" t="s">
        <v>989</v>
      </c>
      <c r="F45" s="3" t="s">
        <v>867</v>
      </c>
      <c r="G45" s="3">
        <v>5</v>
      </c>
      <c r="H45" s="3">
        <v>0</v>
      </c>
      <c r="I45" s="3">
        <v>5</v>
      </c>
      <c r="J45" s="3">
        <v>0</v>
      </c>
      <c r="K45" s="3">
        <v>0</v>
      </c>
      <c r="L45" s="3">
        <v>0</v>
      </c>
      <c r="M45" s="3">
        <v>0</v>
      </c>
      <c r="N45" s="3" t="s">
        <v>868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871</v>
      </c>
      <c r="X45" s="3">
        <v>26.98</v>
      </c>
      <c r="Y45" s="3">
        <v>26.98</v>
      </c>
      <c r="Z45" s="3">
        <v>26.98</v>
      </c>
      <c r="AA45" s="3">
        <v>0</v>
      </c>
      <c r="AB45" s="3" t="s">
        <v>883</v>
      </c>
      <c r="AC45" s="3">
        <v>0</v>
      </c>
      <c r="AD45" s="3">
        <v>21.58</v>
      </c>
      <c r="AE45" s="3">
        <v>63</v>
      </c>
      <c r="AF45" s="3">
        <v>0</v>
      </c>
      <c r="AG45" s="3">
        <v>72.483058</v>
      </c>
      <c r="AH45" s="3">
        <v>0</v>
      </c>
      <c r="AI45" s="3">
        <v>0.661629999999999</v>
      </c>
      <c r="AJ45" s="3" t="s">
        <v>870</v>
      </c>
    </row>
    <row r="46" spans="1:36">
      <c r="A46" s="5">
        <v>43336</v>
      </c>
      <c r="B46" s="3" t="s">
        <v>990</v>
      </c>
      <c r="C46" s="3" t="s">
        <v>991</v>
      </c>
      <c r="D46" s="3" t="s">
        <v>991</v>
      </c>
      <c r="E46" s="3" t="s">
        <v>992</v>
      </c>
      <c r="F46" s="3" t="s">
        <v>867</v>
      </c>
      <c r="G46" s="3">
        <v>33</v>
      </c>
      <c r="H46" s="3">
        <v>0</v>
      </c>
      <c r="I46" s="3">
        <v>13</v>
      </c>
      <c r="J46" s="3">
        <v>20</v>
      </c>
      <c r="K46" s="3">
        <v>0</v>
      </c>
      <c r="L46" s="3">
        <v>0</v>
      </c>
      <c r="M46" s="3">
        <v>0</v>
      </c>
      <c r="N46" s="3" t="s">
        <v>868</v>
      </c>
      <c r="O46" s="3">
        <v>0</v>
      </c>
      <c r="P46" s="3">
        <v>0</v>
      </c>
      <c r="Q46" s="3">
        <v>0</v>
      </c>
      <c r="R46" s="3">
        <v>0</v>
      </c>
      <c r="S46" s="3">
        <v>1</v>
      </c>
      <c r="T46" s="3">
        <v>3</v>
      </c>
      <c r="U46" s="3">
        <v>8</v>
      </c>
      <c r="V46" s="3">
        <v>13</v>
      </c>
      <c r="W46" s="3"/>
      <c r="X46" s="3">
        <v>21.98</v>
      </c>
      <c r="Y46" s="3">
        <v>21.98</v>
      </c>
      <c r="Z46" s="3">
        <v>21.98</v>
      </c>
      <c r="AA46" s="3">
        <v>0</v>
      </c>
      <c r="AB46" s="3" t="s">
        <v>869</v>
      </c>
      <c r="AC46" s="3">
        <v>34</v>
      </c>
      <c r="AD46" s="3">
        <v>21.98</v>
      </c>
      <c r="AE46" s="3">
        <v>0</v>
      </c>
      <c r="AF46" s="3">
        <v>0</v>
      </c>
      <c r="AG46" s="3">
        <v>0</v>
      </c>
      <c r="AH46" s="3">
        <v>0.469135802469135</v>
      </c>
      <c r="AI46" s="3">
        <v>4.939869</v>
      </c>
      <c r="AJ46" s="3" t="s">
        <v>870</v>
      </c>
    </row>
    <row r="47" spans="1:36">
      <c r="A47" s="5">
        <v>43336</v>
      </c>
      <c r="B47" s="3" t="s">
        <v>993</v>
      </c>
      <c r="C47" s="3" t="s">
        <v>994</v>
      </c>
      <c r="D47" s="3" t="s">
        <v>994</v>
      </c>
      <c r="E47" s="3" t="s">
        <v>995</v>
      </c>
      <c r="F47" s="3" t="s">
        <v>867</v>
      </c>
      <c r="G47" s="3">
        <v>8</v>
      </c>
      <c r="H47" s="3">
        <v>0</v>
      </c>
      <c r="I47" s="3">
        <v>1</v>
      </c>
      <c r="J47" s="3">
        <v>0</v>
      </c>
      <c r="K47" s="3">
        <v>1</v>
      </c>
      <c r="L47" s="3">
        <v>6</v>
      </c>
      <c r="M47" s="3">
        <v>0</v>
      </c>
      <c r="N47" s="3" t="s">
        <v>868</v>
      </c>
      <c r="O47" s="3">
        <v>7</v>
      </c>
      <c r="P47" s="3">
        <v>1.91</v>
      </c>
      <c r="Q47" s="3">
        <v>0</v>
      </c>
      <c r="R47" s="3">
        <v>0</v>
      </c>
      <c r="S47" s="3">
        <v>0</v>
      </c>
      <c r="T47" s="3">
        <v>1</v>
      </c>
      <c r="U47" s="3">
        <v>4</v>
      </c>
      <c r="V47" s="3">
        <v>7</v>
      </c>
      <c r="W47" s="3" t="s">
        <v>871</v>
      </c>
      <c r="X47" s="3">
        <v>23.98</v>
      </c>
      <c r="Y47" s="3">
        <v>23.98</v>
      </c>
      <c r="Z47" s="3">
        <v>23.98</v>
      </c>
      <c r="AA47" s="3">
        <v>0</v>
      </c>
      <c r="AB47" s="3" t="s">
        <v>883</v>
      </c>
      <c r="AC47" s="3">
        <v>1</v>
      </c>
      <c r="AD47" s="3">
        <v>12.35</v>
      </c>
      <c r="AE47" s="3">
        <v>49</v>
      </c>
      <c r="AF47" s="3">
        <v>0</v>
      </c>
      <c r="AG47" s="3">
        <v>61.235236</v>
      </c>
      <c r="AH47" s="3">
        <v>0.318181818181818</v>
      </c>
      <c r="AI47" s="3">
        <v>0.631944</v>
      </c>
      <c r="AJ47" s="3" t="s">
        <v>870</v>
      </c>
    </row>
    <row r="48" spans="1:36">
      <c r="A48" s="5">
        <v>43336</v>
      </c>
      <c r="B48" s="3" t="s">
        <v>426</v>
      </c>
      <c r="C48" s="3" t="s">
        <v>427</v>
      </c>
      <c r="D48" s="3" t="s">
        <v>427</v>
      </c>
      <c r="E48" s="3" t="s">
        <v>428</v>
      </c>
      <c r="F48" s="3" t="s">
        <v>867</v>
      </c>
      <c r="G48" s="3">
        <v>10</v>
      </c>
      <c r="H48" s="3">
        <v>0</v>
      </c>
      <c r="I48" s="3">
        <v>7</v>
      </c>
      <c r="J48" s="3">
        <v>3</v>
      </c>
      <c r="K48" s="3">
        <v>0</v>
      </c>
      <c r="L48" s="3">
        <v>0</v>
      </c>
      <c r="M48" s="3">
        <v>0</v>
      </c>
      <c r="N48" s="3" t="s">
        <v>868</v>
      </c>
      <c r="O48" s="3">
        <v>0</v>
      </c>
      <c r="P48" s="3">
        <v>0</v>
      </c>
      <c r="Q48" s="3">
        <v>0</v>
      </c>
      <c r="R48" s="3">
        <v>0</v>
      </c>
      <c r="S48" s="3">
        <v>4</v>
      </c>
      <c r="T48" s="3">
        <v>7</v>
      </c>
      <c r="U48" s="3">
        <v>7</v>
      </c>
      <c r="V48" s="3">
        <v>7</v>
      </c>
      <c r="W48" s="3"/>
      <c r="X48" s="3">
        <v>23.98</v>
      </c>
      <c r="Y48" s="3">
        <v>23.98</v>
      </c>
      <c r="Z48" s="3">
        <v>23.98</v>
      </c>
      <c r="AA48" s="3">
        <v>0</v>
      </c>
      <c r="AB48" s="3" t="s">
        <v>869</v>
      </c>
      <c r="AC48" s="3">
        <v>10</v>
      </c>
      <c r="AD48" s="3">
        <v>23.98</v>
      </c>
      <c r="AE48" s="3">
        <v>0</v>
      </c>
      <c r="AF48" s="3">
        <v>0</v>
      </c>
      <c r="AG48" s="3">
        <v>0</v>
      </c>
      <c r="AH48" s="3">
        <v>1.59259259259259</v>
      </c>
      <c r="AI48" s="3">
        <v>0.74276</v>
      </c>
      <c r="AJ48" s="3" t="s">
        <v>870</v>
      </c>
    </row>
    <row r="49" spans="1:36">
      <c r="A49" s="5">
        <v>43336</v>
      </c>
      <c r="B49" s="3" t="s">
        <v>996</v>
      </c>
      <c r="C49" s="3" t="s">
        <v>997</v>
      </c>
      <c r="D49" s="3" t="s">
        <v>998</v>
      </c>
      <c r="E49" s="3" t="s">
        <v>999</v>
      </c>
      <c r="F49" s="3" t="s">
        <v>867</v>
      </c>
      <c r="G49" s="3">
        <v>4</v>
      </c>
      <c r="H49" s="3">
        <v>0</v>
      </c>
      <c r="I49" s="3">
        <v>4</v>
      </c>
      <c r="J49" s="3">
        <v>0</v>
      </c>
      <c r="K49" s="3">
        <v>0</v>
      </c>
      <c r="L49" s="3">
        <v>0</v>
      </c>
      <c r="M49" s="3">
        <v>0</v>
      </c>
      <c r="N49" s="3" t="s">
        <v>868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1</v>
      </c>
      <c r="U49" s="3">
        <v>1</v>
      </c>
      <c r="V49" s="3">
        <v>1</v>
      </c>
      <c r="W49" s="3"/>
      <c r="X49" s="3">
        <v>22.98</v>
      </c>
      <c r="Y49" s="3">
        <v>22.98</v>
      </c>
      <c r="Z49" s="3">
        <v>22.98</v>
      </c>
      <c r="AA49" s="3">
        <v>0</v>
      </c>
      <c r="AB49" s="3" t="s">
        <v>883</v>
      </c>
      <c r="AC49" s="3">
        <v>0</v>
      </c>
      <c r="AD49" s="3">
        <v>10.52</v>
      </c>
      <c r="AE49" s="3">
        <v>28</v>
      </c>
      <c r="AF49" s="3">
        <v>0</v>
      </c>
      <c r="AG49" s="3">
        <v>17.812221</v>
      </c>
      <c r="AH49" s="3">
        <v>0.969696969696969</v>
      </c>
      <c r="AI49" s="3">
        <v>0.280184</v>
      </c>
      <c r="AJ49" s="3" t="s">
        <v>870</v>
      </c>
    </row>
    <row r="50" spans="1:36">
      <c r="A50" s="5">
        <v>43336</v>
      </c>
      <c r="B50" s="3" t="s">
        <v>160</v>
      </c>
      <c r="C50" s="3" t="s">
        <v>161</v>
      </c>
      <c r="D50" s="3" t="s">
        <v>162</v>
      </c>
      <c r="E50" s="3" t="s">
        <v>163</v>
      </c>
      <c r="F50" s="3" t="s">
        <v>867</v>
      </c>
      <c r="G50" s="3">
        <v>10</v>
      </c>
      <c r="H50" s="3">
        <v>0</v>
      </c>
      <c r="I50" s="3">
        <v>10</v>
      </c>
      <c r="J50" s="3">
        <v>0</v>
      </c>
      <c r="K50" s="3">
        <v>0</v>
      </c>
      <c r="L50" s="3">
        <v>0</v>
      </c>
      <c r="M50" s="3">
        <v>0</v>
      </c>
      <c r="N50" s="3" t="s">
        <v>868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871</v>
      </c>
      <c r="X50" s="3">
        <v>22.99</v>
      </c>
      <c r="Y50" s="3">
        <v>22.98</v>
      </c>
      <c r="Z50" s="3">
        <v>22.98</v>
      </c>
      <c r="AA50" s="3">
        <v>0</v>
      </c>
      <c r="AB50" s="3" t="s">
        <v>869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0.465753424657534</v>
      </c>
      <c r="AI50" s="3">
        <v>0.51734</v>
      </c>
      <c r="AJ50" s="3" t="s">
        <v>870</v>
      </c>
    </row>
    <row r="51" spans="1:36">
      <c r="A51" s="5">
        <v>43336</v>
      </c>
      <c r="B51" s="3" t="s">
        <v>1000</v>
      </c>
      <c r="C51" s="3" t="s">
        <v>1001</v>
      </c>
      <c r="D51" s="3" t="s">
        <v>1002</v>
      </c>
      <c r="E51" s="3" t="s">
        <v>1003</v>
      </c>
      <c r="F51" s="3" t="s">
        <v>867</v>
      </c>
      <c r="G51" s="3">
        <v>7</v>
      </c>
      <c r="H51" s="3">
        <v>0</v>
      </c>
      <c r="I51" s="3">
        <v>7</v>
      </c>
      <c r="J51" s="3">
        <v>0</v>
      </c>
      <c r="K51" s="3">
        <v>0</v>
      </c>
      <c r="L51" s="3">
        <v>0</v>
      </c>
      <c r="M51" s="3">
        <v>0</v>
      </c>
      <c r="N51" s="3" t="s">
        <v>868</v>
      </c>
      <c r="O51" s="3">
        <v>0</v>
      </c>
      <c r="P51" s="3">
        <v>0</v>
      </c>
      <c r="Q51" s="3">
        <v>0</v>
      </c>
      <c r="R51" s="3">
        <v>0</v>
      </c>
      <c r="S51" s="3">
        <v>3</v>
      </c>
      <c r="T51" s="3">
        <v>12</v>
      </c>
      <c r="U51" s="3">
        <v>13</v>
      </c>
      <c r="V51" s="3">
        <v>13</v>
      </c>
      <c r="W51" s="3"/>
      <c r="X51" s="3">
        <v>19.98</v>
      </c>
      <c r="Y51" s="3">
        <v>19.98</v>
      </c>
      <c r="Z51" s="3">
        <v>19.98</v>
      </c>
      <c r="AA51" s="3">
        <v>0</v>
      </c>
      <c r="AB51" s="3" t="s">
        <v>869</v>
      </c>
      <c r="AC51" s="3">
        <v>7</v>
      </c>
      <c r="AD51" s="3">
        <v>19.98</v>
      </c>
      <c r="AE51" s="3">
        <v>0</v>
      </c>
      <c r="AF51" s="3">
        <v>0</v>
      </c>
      <c r="AG51" s="3">
        <v>0</v>
      </c>
      <c r="AH51" s="3">
        <v>1.25</v>
      </c>
      <c r="AI51" s="3">
        <v>0.633416</v>
      </c>
      <c r="AJ51" s="3" t="s">
        <v>870</v>
      </c>
    </row>
    <row r="52" spans="1:36">
      <c r="A52" s="5">
        <v>43336</v>
      </c>
      <c r="B52" s="3" t="s">
        <v>1004</v>
      </c>
      <c r="C52" s="3" t="s">
        <v>1005</v>
      </c>
      <c r="D52" s="3" t="s">
        <v>1006</v>
      </c>
      <c r="E52" s="3" t="s">
        <v>1007</v>
      </c>
      <c r="F52" s="3" t="s">
        <v>867</v>
      </c>
      <c r="G52" s="3">
        <v>3</v>
      </c>
      <c r="H52" s="3">
        <v>0</v>
      </c>
      <c r="I52" s="3">
        <v>3</v>
      </c>
      <c r="J52" s="3">
        <v>0</v>
      </c>
      <c r="K52" s="3">
        <v>0</v>
      </c>
      <c r="L52" s="3">
        <v>0</v>
      </c>
      <c r="M52" s="3">
        <v>0</v>
      </c>
      <c r="N52" s="3" t="s">
        <v>868</v>
      </c>
      <c r="O52" s="3">
        <v>0</v>
      </c>
      <c r="P52" s="3">
        <v>0</v>
      </c>
      <c r="Q52" s="3">
        <v>0</v>
      </c>
      <c r="R52" s="3">
        <v>0</v>
      </c>
      <c r="S52" s="3">
        <v>1</v>
      </c>
      <c r="T52" s="3">
        <v>6</v>
      </c>
      <c r="U52" s="3">
        <v>16</v>
      </c>
      <c r="V52" s="3">
        <v>16</v>
      </c>
      <c r="W52" s="3"/>
      <c r="X52" s="3">
        <v>21.98</v>
      </c>
      <c r="Y52" s="3">
        <v>21.98</v>
      </c>
      <c r="Z52" s="3">
        <v>21.98</v>
      </c>
      <c r="AA52" s="3">
        <v>0</v>
      </c>
      <c r="AB52" s="3" t="s">
        <v>869</v>
      </c>
      <c r="AC52" s="3">
        <v>2</v>
      </c>
      <c r="AD52" s="3">
        <v>21.98</v>
      </c>
      <c r="AE52" s="3">
        <v>0</v>
      </c>
      <c r="AF52" s="3">
        <v>0</v>
      </c>
      <c r="AG52" s="3">
        <v>0</v>
      </c>
      <c r="AH52" s="3">
        <v>0.794701986754966</v>
      </c>
      <c r="AI52" s="3">
        <v>0.449079</v>
      </c>
      <c r="AJ52" s="3" t="s">
        <v>870</v>
      </c>
    </row>
    <row r="53" spans="1:36">
      <c r="A53" s="5">
        <v>43336</v>
      </c>
      <c r="B53" s="3" t="s">
        <v>1008</v>
      </c>
      <c r="C53" s="3" t="s">
        <v>1009</v>
      </c>
      <c r="D53" s="3" t="s">
        <v>1010</v>
      </c>
      <c r="E53" s="3" t="s">
        <v>1011</v>
      </c>
      <c r="F53" s="3" t="s">
        <v>867</v>
      </c>
      <c r="G53" s="3">
        <v>5</v>
      </c>
      <c r="H53" s="3">
        <v>0</v>
      </c>
      <c r="I53" s="3">
        <v>5</v>
      </c>
      <c r="J53" s="3">
        <v>0</v>
      </c>
      <c r="K53" s="3">
        <v>0</v>
      </c>
      <c r="L53" s="3">
        <v>0</v>
      </c>
      <c r="M53" s="3">
        <v>0</v>
      </c>
      <c r="N53" s="3" t="s">
        <v>868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936</v>
      </c>
      <c r="X53" s="3">
        <v>17.99</v>
      </c>
      <c r="Y53" s="3">
        <v>17.99</v>
      </c>
      <c r="Z53" s="3">
        <v>17.99</v>
      </c>
      <c r="AA53" s="3">
        <v>0</v>
      </c>
      <c r="AB53" s="3" t="s">
        <v>937</v>
      </c>
      <c r="AC53" s="3">
        <v>5</v>
      </c>
      <c r="AD53" s="3">
        <v>17.99</v>
      </c>
      <c r="AE53" s="3">
        <v>0</v>
      </c>
      <c r="AF53" s="3">
        <v>0</v>
      </c>
      <c r="AG53" s="3">
        <v>0</v>
      </c>
      <c r="AH53" s="3">
        <v>0</v>
      </c>
      <c r="AI53" s="3">
        <v>0.63492</v>
      </c>
      <c r="AJ53" s="3" t="s">
        <v>925</v>
      </c>
    </row>
    <row r="54" spans="1:36">
      <c r="A54" s="5">
        <v>43336</v>
      </c>
      <c r="B54" s="3" t="s">
        <v>1012</v>
      </c>
      <c r="C54" s="3" t="s">
        <v>1013</v>
      </c>
      <c r="D54" s="3" t="s">
        <v>1014</v>
      </c>
      <c r="E54" s="3" t="s">
        <v>1015</v>
      </c>
      <c r="F54" s="3" t="s">
        <v>867</v>
      </c>
      <c r="G54" s="3">
        <v>6</v>
      </c>
      <c r="H54" s="3">
        <v>0</v>
      </c>
      <c r="I54" s="3">
        <v>6</v>
      </c>
      <c r="J54" s="3">
        <v>0</v>
      </c>
      <c r="K54" s="3">
        <v>0</v>
      </c>
      <c r="L54" s="3">
        <v>0</v>
      </c>
      <c r="M54" s="3">
        <v>0</v>
      </c>
      <c r="N54" s="3" t="s">
        <v>868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936</v>
      </c>
      <c r="X54" s="3">
        <v>22.99</v>
      </c>
      <c r="Y54" s="3">
        <v>22.99</v>
      </c>
      <c r="Z54" s="3">
        <v>22.99</v>
      </c>
      <c r="AA54" s="3">
        <v>0</v>
      </c>
      <c r="AB54" s="3" t="s">
        <v>937</v>
      </c>
      <c r="AC54" s="3">
        <v>0</v>
      </c>
      <c r="AD54" s="3">
        <v>18.39</v>
      </c>
      <c r="AE54" s="3">
        <v>63</v>
      </c>
      <c r="AF54" s="3">
        <v>0</v>
      </c>
      <c r="AG54" s="3">
        <v>144.34916</v>
      </c>
      <c r="AH54" s="3">
        <v>0</v>
      </c>
      <c r="AI54" s="3">
        <v>1.14528</v>
      </c>
      <c r="AJ54" s="3" t="s">
        <v>925</v>
      </c>
    </row>
    <row r="55" spans="1:36">
      <c r="A55" s="5">
        <v>43336</v>
      </c>
      <c r="B55" s="3" t="s">
        <v>1016</v>
      </c>
      <c r="C55" s="3" t="s">
        <v>1017</v>
      </c>
      <c r="D55" s="3" t="s">
        <v>1017</v>
      </c>
      <c r="E55" s="3" t="s">
        <v>1018</v>
      </c>
      <c r="F55" s="3" t="s">
        <v>867</v>
      </c>
      <c r="G55" s="3">
        <v>3</v>
      </c>
      <c r="H55" s="3">
        <v>0</v>
      </c>
      <c r="I55" s="3">
        <v>0</v>
      </c>
      <c r="J55" s="3">
        <v>3</v>
      </c>
      <c r="K55" s="3">
        <v>0</v>
      </c>
      <c r="L55" s="3">
        <v>0</v>
      </c>
      <c r="M55" s="3">
        <v>0</v>
      </c>
      <c r="N55" s="3" t="s">
        <v>868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1</v>
      </c>
      <c r="U55" s="3">
        <v>4</v>
      </c>
      <c r="V55" s="3">
        <v>7</v>
      </c>
      <c r="W55" s="3"/>
      <c r="X55" s="3">
        <v>20.98</v>
      </c>
      <c r="Y55" s="3">
        <v>20.98</v>
      </c>
      <c r="Z55" s="3">
        <v>20.98</v>
      </c>
      <c r="AA55" s="3">
        <v>0</v>
      </c>
      <c r="AB55" s="3" t="s">
        <v>869</v>
      </c>
      <c r="AC55" s="3">
        <v>3</v>
      </c>
      <c r="AD55" s="3">
        <v>20.98</v>
      </c>
      <c r="AE55" s="3">
        <v>0</v>
      </c>
      <c r="AF55" s="3">
        <v>0</v>
      </c>
      <c r="AG55" s="3">
        <v>0</v>
      </c>
      <c r="AH55" s="3">
        <v>2</v>
      </c>
      <c r="AI55" s="3">
        <v>0.250689</v>
      </c>
      <c r="AJ55" s="3" t="s">
        <v>870</v>
      </c>
    </row>
    <row r="56" spans="1:36">
      <c r="A56" s="5">
        <v>43336</v>
      </c>
      <c r="B56" s="3" t="s">
        <v>1019</v>
      </c>
      <c r="C56" s="3" t="s">
        <v>1020</v>
      </c>
      <c r="D56" s="3" t="s">
        <v>1021</v>
      </c>
      <c r="E56" s="3" t="s">
        <v>1022</v>
      </c>
      <c r="F56" s="3" t="s">
        <v>867</v>
      </c>
      <c r="G56" s="3">
        <v>6</v>
      </c>
      <c r="H56" s="3">
        <v>0</v>
      </c>
      <c r="I56" s="3">
        <v>6</v>
      </c>
      <c r="J56" s="3">
        <v>0</v>
      </c>
      <c r="K56" s="3">
        <v>0</v>
      </c>
      <c r="L56" s="3">
        <v>0</v>
      </c>
      <c r="M56" s="3">
        <v>0</v>
      </c>
      <c r="N56" s="3" t="s">
        <v>868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1</v>
      </c>
      <c r="V56" s="3">
        <v>1</v>
      </c>
      <c r="W56" s="3" t="s">
        <v>871</v>
      </c>
      <c r="X56" s="3">
        <v>22.98</v>
      </c>
      <c r="Y56" s="3">
        <v>22.98</v>
      </c>
      <c r="Z56" s="3">
        <v>22.98</v>
      </c>
      <c r="AA56" s="3">
        <v>0</v>
      </c>
      <c r="AB56" s="3" t="s">
        <v>869</v>
      </c>
      <c r="AC56" s="3">
        <v>6</v>
      </c>
      <c r="AD56" s="3">
        <v>22.98</v>
      </c>
      <c r="AE56" s="3">
        <v>0</v>
      </c>
      <c r="AF56" s="3">
        <v>0</v>
      </c>
      <c r="AG56" s="3">
        <v>0</v>
      </c>
      <c r="AH56" s="3">
        <v>1.125</v>
      </c>
      <c r="AI56" s="3">
        <v>0.501378</v>
      </c>
      <c r="AJ56" s="3" t="s">
        <v>870</v>
      </c>
    </row>
    <row r="57" spans="1:36">
      <c r="A57" s="5">
        <v>43336</v>
      </c>
      <c r="B57" s="3" t="s">
        <v>436</v>
      </c>
      <c r="C57" s="3" t="s">
        <v>437</v>
      </c>
      <c r="D57" s="3" t="s">
        <v>438</v>
      </c>
      <c r="E57" s="3" t="s">
        <v>1023</v>
      </c>
      <c r="F57" s="3" t="s">
        <v>867</v>
      </c>
      <c r="G57" s="3">
        <v>15</v>
      </c>
      <c r="H57" s="3">
        <v>0</v>
      </c>
      <c r="I57" s="3">
        <v>15</v>
      </c>
      <c r="J57" s="3">
        <v>0</v>
      </c>
      <c r="K57" s="3">
        <v>0</v>
      </c>
      <c r="L57" s="3">
        <v>0</v>
      </c>
      <c r="M57" s="3">
        <v>0</v>
      </c>
      <c r="N57" s="3" t="s">
        <v>868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871</v>
      </c>
      <c r="X57" s="3">
        <v>39.98</v>
      </c>
      <c r="Y57" s="3">
        <v>19.98</v>
      </c>
      <c r="Z57" s="3">
        <v>19.98</v>
      </c>
      <c r="AA57" s="3">
        <v>0</v>
      </c>
      <c r="AB57" s="3" t="s">
        <v>869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2.12121212121212</v>
      </c>
      <c r="AI57" s="3">
        <v>1.12998</v>
      </c>
      <c r="AJ57" s="3" t="s">
        <v>870</v>
      </c>
    </row>
    <row r="58" spans="1:36">
      <c r="A58" s="5">
        <v>43336</v>
      </c>
      <c r="B58" s="3" t="s">
        <v>1024</v>
      </c>
      <c r="C58" s="3" t="s">
        <v>1025</v>
      </c>
      <c r="D58" s="3" t="s">
        <v>1025</v>
      </c>
      <c r="E58" s="3" t="s">
        <v>1026</v>
      </c>
      <c r="F58" s="3" t="s">
        <v>867</v>
      </c>
      <c r="G58" s="3">
        <v>32</v>
      </c>
      <c r="H58" s="3">
        <v>0</v>
      </c>
      <c r="I58" s="3">
        <v>4</v>
      </c>
      <c r="J58" s="3">
        <v>28</v>
      </c>
      <c r="K58" s="3">
        <v>0</v>
      </c>
      <c r="L58" s="3">
        <v>0</v>
      </c>
      <c r="M58" s="3">
        <v>0</v>
      </c>
      <c r="N58" s="3" t="s">
        <v>868</v>
      </c>
      <c r="O58" s="3">
        <v>0</v>
      </c>
      <c r="P58" s="3">
        <v>0</v>
      </c>
      <c r="Q58" s="3">
        <v>0</v>
      </c>
      <c r="R58" s="3">
        <v>0</v>
      </c>
      <c r="S58" s="3">
        <v>1</v>
      </c>
      <c r="T58" s="3">
        <v>5</v>
      </c>
      <c r="U58" s="3">
        <v>6</v>
      </c>
      <c r="V58" s="3">
        <v>8</v>
      </c>
      <c r="W58" s="3"/>
      <c r="X58" s="3">
        <v>22.98</v>
      </c>
      <c r="Y58" s="3">
        <v>22.98</v>
      </c>
      <c r="Z58" s="3">
        <v>22.98</v>
      </c>
      <c r="AA58" s="3">
        <v>0</v>
      </c>
      <c r="AB58" s="3" t="s">
        <v>869</v>
      </c>
      <c r="AC58" s="3">
        <v>32</v>
      </c>
      <c r="AD58" s="3">
        <v>22.98</v>
      </c>
      <c r="AE58" s="3">
        <v>0</v>
      </c>
      <c r="AF58" s="3">
        <v>0</v>
      </c>
      <c r="AG58" s="3">
        <v>0</v>
      </c>
      <c r="AH58" s="3">
        <v>0.226950354609929</v>
      </c>
      <c r="AI58" s="3">
        <v>6.822976</v>
      </c>
      <c r="AJ58" s="3" t="s">
        <v>870</v>
      </c>
    </row>
    <row r="59" spans="1:36">
      <c r="A59" s="5">
        <v>43336</v>
      </c>
      <c r="B59" s="3" t="s">
        <v>1027</v>
      </c>
      <c r="C59" s="3" t="s">
        <v>1028</v>
      </c>
      <c r="D59" s="3" t="s">
        <v>1029</v>
      </c>
      <c r="E59" s="3" t="s">
        <v>1030</v>
      </c>
      <c r="F59" s="3" t="s">
        <v>867</v>
      </c>
      <c r="G59" s="3">
        <v>9</v>
      </c>
      <c r="H59" s="3">
        <v>0</v>
      </c>
      <c r="I59" s="3">
        <v>9</v>
      </c>
      <c r="J59" s="3">
        <v>0</v>
      </c>
      <c r="K59" s="3">
        <v>0</v>
      </c>
      <c r="L59" s="3">
        <v>0</v>
      </c>
      <c r="M59" s="3">
        <v>0</v>
      </c>
      <c r="N59" s="3" t="s">
        <v>868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1</v>
      </c>
      <c r="U59" s="3">
        <v>1</v>
      </c>
      <c r="V59" s="3">
        <v>1</v>
      </c>
      <c r="W59" s="3"/>
      <c r="X59" s="3">
        <v>22.98</v>
      </c>
      <c r="Y59" s="3">
        <v>22.98</v>
      </c>
      <c r="Z59" s="3">
        <v>22.98</v>
      </c>
      <c r="AA59" s="3">
        <v>0</v>
      </c>
      <c r="AB59" s="3" t="s">
        <v>869</v>
      </c>
      <c r="AC59" s="3">
        <v>9</v>
      </c>
      <c r="AD59" s="3">
        <v>22.98</v>
      </c>
      <c r="AE59" s="3">
        <v>0</v>
      </c>
      <c r="AF59" s="3">
        <v>0</v>
      </c>
      <c r="AG59" s="3">
        <v>0</v>
      </c>
      <c r="AH59" s="3">
        <v>0.329411764705882</v>
      </c>
      <c r="AI59" s="3">
        <v>0.752067</v>
      </c>
      <c r="AJ59" s="3" t="s">
        <v>870</v>
      </c>
    </row>
    <row r="60" spans="1:36">
      <c r="A60" s="5">
        <v>43336</v>
      </c>
      <c r="B60" s="3" t="s">
        <v>1031</v>
      </c>
      <c r="C60" s="3" t="s">
        <v>1032</v>
      </c>
      <c r="D60" s="3" t="s">
        <v>1032</v>
      </c>
      <c r="E60" s="3" t="s">
        <v>1033</v>
      </c>
      <c r="F60" s="3" t="s">
        <v>867</v>
      </c>
      <c r="G60" s="3">
        <v>13</v>
      </c>
      <c r="H60" s="3">
        <v>0</v>
      </c>
      <c r="I60" s="3">
        <v>0</v>
      </c>
      <c r="J60" s="3">
        <v>12</v>
      </c>
      <c r="K60" s="3">
        <v>1</v>
      </c>
      <c r="L60" s="3">
        <v>0</v>
      </c>
      <c r="M60" s="3">
        <v>0</v>
      </c>
      <c r="N60" s="3" t="s">
        <v>868</v>
      </c>
      <c r="O60" s="3">
        <v>12</v>
      </c>
      <c r="P60" s="3">
        <v>8.84</v>
      </c>
      <c r="Q60" s="3">
        <v>0</v>
      </c>
      <c r="R60" s="3">
        <v>0</v>
      </c>
      <c r="S60" s="3">
        <v>0</v>
      </c>
      <c r="T60" s="3">
        <v>1</v>
      </c>
      <c r="U60" s="3">
        <v>1</v>
      </c>
      <c r="V60" s="3">
        <v>3</v>
      </c>
      <c r="W60" s="3"/>
      <c r="X60" s="3">
        <v>26.98</v>
      </c>
      <c r="Y60" s="3">
        <v>26.98</v>
      </c>
      <c r="Z60" s="3">
        <v>26.98</v>
      </c>
      <c r="AA60" s="3">
        <v>0</v>
      </c>
      <c r="AB60" s="3" t="s">
        <v>883</v>
      </c>
      <c r="AC60" s="3">
        <v>8</v>
      </c>
      <c r="AD60" s="3">
        <v>24.85</v>
      </c>
      <c r="AE60" s="3">
        <v>63</v>
      </c>
      <c r="AF60" s="3">
        <v>0</v>
      </c>
      <c r="AG60" s="3">
        <v>5.129286</v>
      </c>
      <c r="AH60" s="3">
        <v>0.206896551724137</v>
      </c>
      <c r="AI60" s="3">
        <v>2.775539</v>
      </c>
      <c r="AJ60" s="3" t="s">
        <v>870</v>
      </c>
    </row>
    <row r="61" spans="1:36">
      <c r="A61" s="5">
        <v>43336</v>
      </c>
      <c r="B61" s="3" t="s">
        <v>1034</v>
      </c>
      <c r="C61" s="3" t="s">
        <v>1035</v>
      </c>
      <c r="D61" s="3" t="s">
        <v>1035</v>
      </c>
      <c r="E61" s="3" t="s">
        <v>1036</v>
      </c>
      <c r="F61" s="3" t="s">
        <v>867</v>
      </c>
      <c r="G61" s="3">
        <v>5</v>
      </c>
      <c r="H61" s="3">
        <v>0</v>
      </c>
      <c r="I61" s="3">
        <v>5</v>
      </c>
      <c r="J61" s="3">
        <v>0</v>
      </c>
      <c r="K61" s="3">
        <v>0</v>
      </c>
      <c r="L61" s="3">
        <v>0</v>
      </c>
      <c r="M61" s="3">
        <v>0</v>
      </c>
      <c r="N61" s="3" t="s">
        <v>868</v>
      </c>
      <c r="O61" s="3">
        <v>0</v>
      </c>
      <c r="P61" s="3">
        <v>0</v>
      </c>
      <c r="Q61" s="3">
        <v>0</v>
      </c>
      <c r="R61" s="3">
        <v>0</v>
      </c>
      <c r="S61" s="3">
        <v>8</v>
      </c>
      <c r="T61" s="3">
        <v>16</v>
      </c>
      <c r="U61" s="3">
        <v>21</v>
      </c>
      <c r="V61" s="3">
        <v>25</v>
      </c>
      <c r="W61" s="3"/>
      <c r="X61" s="3">
        <v>23.98</v>
      </c>
      <c r="Y61" s="3">
        <v>23.98</v>
      </c>
      <c r="Z61" s="3">
        <v>23.98</v>
      </c>
      <c r="AA61" s="3">
        <v>0</v>
      </c>
      <c r="AB61" s="3" t="s">
        <v>869</v>
      </c>
      <c r="AC61" s="3">
        <v>5</v>
      </c>
      <c r="AD61" s="3">
        <v>23.98</v>
      </c>
      <c r="AE61" s="3">
        <v>0</v>
      </c>
      <c r="AF61" s="3">
        <v>0</v>
      </c>
      <c r="AG61" s="3">
        <v>0</v>
      </c>
      <c r="AH61" s="3">
        <v>1.42857142857142</v>
      </c>
      <c r="AI61" s="3">
        <v>0.83771</v>
      </c>
      <c r="AJ61" s="3" t="s">
        <v>870</v>
      </c>
    </row>
    <row r="62" spans="1:36">
      <c r="A62" s="5">
        <v>43336</v>
      </c>
      <c r="B62" s="3" t="s">
        <v>1037</v>
      </c>
      <c r="C62" s="3" t="s">
        <v>1038</v>
      </c>
      <c r="D62" s="3" t="s">
        <v>1038</v>
      </c>
      <c r="E62" s="3" t="s">
        <v>1039</v>
      </c>
      <c r="F62" s="3" t="s">
        <v>867</v>
      </c>
      <c r="G62" s="3">
        <v>25</v>
      </c>
      <c r="H62" s="3">
        <v>0</v>
      </c>
      <c r="I62" s="3">
        <v>0</v>
      </c>
      <c r="J62" s="3">
        <v>25</v>
      </c>
      <c r="K62" s="3">
        <v>0</v>
      </c>
      <c r="L62" s="3">
        <v>0</v>
      </c>
      <c r="M62" s="3">
        <v>0</v>
      </c>
      <c r="N62" s="3" t="s">
        <v>868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3</v>
      </c>
      <c r="V62" s="3">
        <v>4</v>
      </c>
      <c r="W62" s="3" t="s">
        <v>871</v>
      </c>
      <c r="X62" s="3">
        <v>22.99</v>
      </c>
      <c r="Y62" s="3">
        <v>22.99</v>
      </c>
      <c r="Z62" s="3">
        <v>22.99</v>
      </c>
      <c r="AA62" s="3">
        <v>0</v>
      </c>
      <c r="AB62" s="3" t="s">
        <v>883</v>
      </c>
      <c r="AC62" s="3">
        <v>0</v>
      </c>
      <c r="AD62" s="3">
        <v>18.38</v>
      </c>
      <c r="AE62" s="3">
        <v>364</v>
      </c>
      <c r="AF62" s="3">
        <v>0</v>
      </c>
      <c r="AG62" s="3">
        <v>505.233575</v>
      </c>
      <c r="AH62" s="3">
        <v>0.149532710280373</v>
      </c>
      <c r="AI62" s="3">
        <v>4.06279999999999</v>
      </c>
      <c r="AJ62" s="3" t="s">
        <v>870</v>
      </c>
    </row>
    <row r="63" spans="1:36">
      <c r="A63" s="5">
        <v>43336</v>
      </c>
      <c r="B63" s="3" t="s">
        <v>1040</v>
      </c>
      <c r="C63" s="3" t="s">
        <v>667</v>
      </c>
      <c r="D63" s="3" t="s">
        <v>667</v>
      </c>
      <c r="E63" s="3" t="s">
        <v>668</v>
      </c>
      <c r="F63" s="3" t="s">
        <v>867</v>
      </c>
      <c r="G63" s="3">
        <v>2</v>
      </c>
      <c r="H63" s="3">
        <v>0</v>
      </c>
      <c r="I63" s="3">
        <v>1</v>
      </c>
      <c r="J63" s="3">
        <v>1</v>
      </c>
      <c r="K63" s="3">
        <v>0</v>
      </c>
      <c r="L63" s="3">
        <v>0</v>
      </c>
      <c r="M63" s="3">
        <v>0</v>
      </c>
      <c r="N63" s="3" t="s">
        <v>868</v>
      </c>
      <c r="O63" s="3">
        <v>0</v>
      </c>
      <c r="P63" s="3">
        <v>0</v>
      </c>
      <c r="Q63" s="3">
        <v>0</v>
      </c>
      <c r="R63" s="3">
        <v>0</v>
      </c>
      <c r="S63" s="3">
        <v>1</v>
      </c>
      <c r="T63" s="3">
        <v>2</v>
      </c>
      <c r="U63" s="3">
        <v>3</v>
      </c>
      <c r="V63" s="3">
        <v>4</v>
      </c>
      <c r="W63" s="3"/>
      <c r="X63" s="3">
        <v>22.98</v>
      </c>
      <c r="Y63" s="3">
        <v>22.98</v>
      </c>
      <c r="Z63" s="3">
        <v>22.98</v>
      </c>
      <c r="AA63" s="3">
        <v>0</v>
      </c>
      <c r="AB63" s="3" t="s">
        <v>869</v>
      </c>
      <c r="AC63" s="3">
        <v>2</v>
      </c>
      <c r="AD63" s="3">
        <v>22.98</v>
      </c>
      <c r="AE63" s="3">
        <v>0</v>
      </c>
      <c r="AF63" s="3">
        <v>0</v>
      </c>
      <c r="AG63" s="3">
        <v>0</v>
      </c>
      <c r="AH63" s="3">
        <v>0.38095238095238</v>
      </c>
      <c r="AI63" s="3">
        <v>0.23509</v>
      </c>
      <c r="AJ63" s="3" t="s">
        <v>870</v>
      </c>
    </row>
    <row r="64" spans="1:36">
      <c r="A64" s="5">
        <v>43336</v>
      </c>
      <c r="B64" s="3" t="s">
        <v>333</v>
      </c>
      <c r="C64" s="3" t="s">
        <v>334</v>
      </c>
      <c r="D64" s="3" t="s">
        <v>335</v>
      </c>
      <c r="E64" s="3" t="s">
        <v>336</v>
      </c>
      <c r="F64" s="3" t="s">
        <v>867</v>
      </c>
      <c r="G64" s="3">
        <v>52</v>
      </c>
      <c r="H64" s="3">
        <v>0</v>
      </c>
      <c r="I64" s="3">
        <v>52</v>
      </c>
      <c r="J64" s="3">
        <v>0</v>
      </c>
      <c r="K64" s="3">
        <v>0</v>
      </c>
      <c r="L64" s="3">
        <v>0</v>
      </c>
      <c r="M64" s="3">
        <v>0</v>
      </c>
      <c r="N64" s="3" t="s">
        <v>868</v>
      </c>
      <c r="O64" s="3">
        <v>0</v>
      </c>
      <c r="P64" s="3">
        <v>0</v>
      </c>
      <c r="Q64" s="3">
        <v>0</v>
      </c>
      <c r="R64" s="3">
        <v>0</v>
      </c>
      <c r="S64" s="3">
        <v>7</v>
      </c>
      <c r="T64" s="3">
        <v>32</v>
      </c>
      <c r="U64" s="3">
        <v>54</v>
      </c>
      <c r="V64" s="3">
        <v>54</v>
      </c>
      <c r="W64" s="3"/>
      <c r="X64" s="3">
        <v>22.98</v>
      </c>
      <c r="Y64" s="3">
        <v>22.98</v>
      </c>
      <c r="Z64" s="3">
        <v>22.98</v>
      </c>
      <c r="AA64" s="3">
        <v>0</v>
      </c>
      <c r="AB64" s="3" t="s">
        <v>869</v>
      </c>
      <c r="AC64" s="3">
        <v>50</v>
      </c>
      <c r="AD64" s="3">
        <v>22.98</v>
      </c>
      <c r="AE64" s="3">
        <v>0</v>
      </c>
      <c r="AF64" s="3">
        <v>0</v>
      </c>
      <c r="AG64" s="3">
        <v>0</v>
      </c>
      <c r="AH64" s="3">
        <v>3.68695652173913</v>
      </c>
      <c r="AI64" s="3">
        <v>4.562636</v>
      </c>
      <c r="AJ64" s="3" t="s">
        <v>870</v>
      </c>
    </row>
    <row r="65" spans="1:36">
      <c r="A65" s="5">
        <v>43336</v>
      </c>
      <c r="B65" s="3" t="s">
        <v>238</v>
      </c>
      <c r="C65" s="3" t="s">
        <v>239</v>
      </c>
      <c r="D65" s="3" t="s">
        <v>240</v>
      </c>
      <c r="E65" s="3" t="s">
        <v>241</v>
      </c>
      <c r="F65" s="3" t="s">
        <v>867</v>
      </c>
      <c r="G65" s="3">
        <v>5</v>
      </c>
      <c r="H65" s="3">
        <v>0</v>
      </c>
      <c r="I65" s="3">
        <v>5</v>
      </c>
      <c r="J65" s="3">
        <v>0</v>
      </c>
      <c r="K65" s="3">
        <v>0</v>
      </c>
      <c r="L65" s="3">
        <v>0</v>
      </c>
      <c r="M65" s="3">
        <v>0</v>
      </c>
      <c r="N65" s="3" t="s">
        <v>868</v>
      </c>
      <c r="O65" s="3">
        <v>0</v>
      </c>
      <c r="P65" s="3">
        <v>0</v>
      </c>
      <c r="Q65" s="3">
        <v>0</v>
      </c>
      <c r="R65" s="3">
        <v>0</v>
      </c>
      <c r="S65" s="3">
        <v>4</v>
      </c>
      <c r="T65" s="3">
        <v>5</v>
      </c>
      <c r="U65" s="3">
        <v>5</v>
      </c>
      <c r="V65" s="3">
        <v>5</v>
      </c>
      <c r="W65" s="3"/>
      <c r="X65" s="3">
        <v>45.98</v>
      </c>
      <c r="Y65" s="3">
        <v>27.98</v>
      </c>
      <c r="Z65" s="3">
        <v>27.98</v>
      </c>
      <c r="AA65" s="3">
        <v>0</v>
      </c>
      <c r="AB65" s="3" t="s">
        <v>869</v>
      </c>
      <c r="AC65" s="3">
        <v>8</v>
      </c>
      <c r="AD65" s="3">
        <v>27.98</v>
      </c>
      <c r="AE65" s="3">
        <v>0</v>
      </c>
      <c r="AF65" s="3">
        <v>0</v>
      </c>
      <c r="AG65" s="3">
        <v>0</v>
      </c>
      <c r="AH65" s="3">
        <v>3.42857142857142</v>
      </c>
      <c r="AI65" s="3">
        <v>0.82469</v>
      </c>
      <c r="AJ65" s="3" t="s">
        <v>870</v>
      </c>
    </row>
    <row r="66" spans="1:36">
      <c r="A66" s="5">
        <v>43336</v>
      </c>
      <c r="B66" s="3" t="s">
        <v>1041</v>
      </c>
      <c r="C66" s="3" t="s">
        <v>1042</v>
      </c>
      <c r="D66" s="3" t="s">
        <v>1042</v>
      </c>
      <c r="E66" s="3" t="s">
        <v>1043</v>
      </c>
      <c r="F66" s="3" t="s">
        <v>867</v>
      </c>
      <c r="G66" s="3">
        <v>18</v>
      </c>
      <c r="H66" s="3">
        <v>0</v>
      </c>
      <c r="I66" s="3">
        <v>18</v>
      </c>
      <c r="J66" s="3">
        <v>0</v>
      </c>
      <c r="K66" s="3">
        <v>0</v>
      </c>
      <c r="L66" s="3">
        <v>0</v>
      </c>
      <c r="M66" s="3">
        <v>0</v>
      </c>
      <c r="N66" s="3" t="s">
        <v>868</v>
      </c>
      <c r="O66" s="3">
        <v>0</v>
      </c>
      <c r="P66" s="3">
        <v>0</v>
      </c>
      <c r="Q66" s="3">
        <v>0</v>
      </c>
      <c r="R66" s="3">
        <v>0</v>
      </c>
      <c r="S66" s="3">
        <v>3</v>
      </c>
      <c r="T66" s="3">
        <v>8</v>
      </c>
      <c r="U66" s="3">
        <v>19</v>
      </c>
      <c r="V66" s="3">
        <v>32</v>
      </c>
      <c r="W66" s="3"/>
      <c r="X66" s="3">
        <v>22.98</v>
      </c>
      <c r="Y66" s="3">
        <v>22.98</v>
      </c>
      <c r="Z66" s="3">
        <v>22.98</v>
      </c>
      <c r="AA66" s="3">
        <v>0</v>
      </c>
      <c r="AB66" s="3" t="s">
        <v>869</v>
      </c>
      <c r="AC66" s="3">
        <v>19</v>
      </c>
      <c r="AD66" s="3">
        <v>22.98</v>
      </c>
      <c r="AE66" s="3">
        <v>0</v>
      </c>
      <c r="AF66" s="3">
        <v>0</v>
      </c>
      <c r="AG66" s="3">
        <v>0</v>
      </c>
      <c r="AH66" s="3">
        <v>1.54954954954954</v>
      </c>
      <c r="AI66" s="3">
        <v>2.694474</v>
      </c>
      <c r="AJ66" s="3" t="s">
        <v>870</v>
      </c>
    </row>
    <row r="67" spans="1:36">
      <c r="A67" s="5">
        <v>43336</v>
      </c>
      <c r="B67" s="3" t="s">
        <v>1044</v>
      </c>
      <c r="C67" s="3" t="s">
        <v>1045</v>
      </c>
      <c r="D67" s="3" t="s">
        <v>1046</v>
      </c>
      <c r="E67" s="3" t="s">
        <v>1047</v>
      </c>
      <c r="F67" s="3" t="s">
        <v>867</v>
      </c>
      <c r="G67" s="3">
        <v>5</v>
      </c>
      <c r="H67" s="3">
        <v>0</v>
      </c>
      <c r="I67" s="3">
        <v>5</v>
      </c>
      <c r="J67" s="3">
        <v>0</v>
      </c>
      <c r="K67" s="3">
        <v>0</v>
      </c>
      <c r="L67" s="3">
        <v>0</v>
      </c>
      <c r="M67" s="3">
        <v>0</v>
      </c>
      <c r="N67" s="3" t="s">
        <v>868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871</v>
      </c>
      <c r="X67" s="3">
        <v>22.98</v>
      </c>
      <c r="Y67" s="3">
        <v>22.98</v>
      </c>
      <c r="Z67" s="3">
        <v>22.98</v>
      </c>
      <c r="AA67" s="3">
        <v>0</v>
      </c>
      <c r="AB67" s="3" t="s">
        <v>883</v>
      </c>
      <c r="AC67" s="3">
        <v>0</v>
      </c>
      <c r="AD67" s="3">
        <v>18.38</v>
      </c>
      <c r="AE67" s="3">
        <v>63</v>
      </c>
      <c r="AF67" s="3">
        <v>0</v>
      </c>
      <c r="AG67" s="3">
        <v>80.183597</v>
      </c>
      <c r="AH67" s="3">
        <v>0.666666666666666</v>
      </c>
      <c r="AI67" s="3">
        <v>0.587724999999999</v>
      </c>
      <c r="AJ67" s="3" t="s">
        <v>870</v>
      </c>
    </row>
    <row r="68" spans="1:36">
      <c r="A68" s="5">
        <v>43336</v>
      </c>
      <c r="B68" s="3" t="s">
        <v>1048</v>
      </c>
      <c r="C68" s="3" t="s">
        <v>1049</v>
      </c>
      <c r="D68" s="3" t="s">
        <v>1049</v>
      </c>
      <c r="E68" s="3" t="s">
        <v>1050</v>
      </c>
      <c r="F68" s="3" t="s">
        <v>867</v>
      </c>
      <c r="G68" s="3">
        <v>1</v>
      </c>
      <c r="H68" s="3">
        <v>0</v>
      </c>
      <c r="I68" s="3">
        <v>0</v>
      </c>
      <c r="J68" s="3">
        <v>1</v>
      </c>
      <c r="K68" s="3">
        <v>0</v>
      </c>
      <c r="L68" s="3">
        <v>0</v>
      </c>
      <c r="M68" s="3">
        <v>0</v>
      </c>
      <c r="N68" s="3" t="s">
        <v>868</v>
      </c>
      <c r="O68" s="3">
        <v>1</v>
      </c>
      <c r="P68" s="3">
        <v>1.83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936</v>
      </c>
      <c r="X68" s="3">
        <v>65.98</v>
      </c>
      <c r="Y68" s="3">
        <v>65.98</v>
      </c>
      <c r="Z68" s="3">
        <v>65.98</v>
      </c>
      <c r="AA68" s="3">
        <v>0</v>
      </c>
      <c r="AB68" s="3" t="s">
        <v>937</v>
      </c>
      <c r="AC68" s="3">
        <v>0</v>
      </c>
      <c r="AD68" s="3">
        <v>61.43</v>
      </c>
      <c r="AE68" s="3">
        <v>42</v>
      </c>
      <c r="AF68" s="3">
        <v>0</v>
      </c>
      <c r="AG68" s="3">
        <v>100.353305</v>
      </c>
      <c r="AH68" s="3">
        <v>0</v>
      </c>
      <c r="AI68" s="3">
        <v>0.531528</v>
      </c>
      <c r="AJ68" s="3" t="s">
        <v>870</v>
      </c>
    </row>
    <row r="69" spans="1:36">
      <c r="A69" s="5">
        <v>43336</v>
      </c>
      <c r="B69" s="3" t="s">
        <v>52</v>
      </c>
      <c r="C69" s="3" t="s">
        <v>53</v>
      </c>
      <c r="D69" s="3" t="s">
        <v>54</v>
      </c>
      <c r="E69" s="3" t="s">
        <v>55</v>
      </c>
      <c r="F69" s="3" t="s">
        <v>867</v>
      </c>
      <c r="G69" s="3">
        <v>39</v>
      </c>
      <c r="H69" s="3">
        <v>0</v>
      </c>
      <c r="I69" s="3">
        <v>39</v>
      </c>
      <c r="J69" s="3">
        <v>0</v>
      </c>
      <c r="K69" s="3">
        <v>0</v>
      </c>
      <c r="L69" s="3">
        <v>0</v>
      </c>
      <c r="M69" s="3">
        <v>0</v>
      </c>
      <c r="N69" s="3" t="s">
        <v>868</v>
      </c>
      <c r="O69" s="3">
        <v>0</v>
      </c>
      <c r="P69" s="3">
        <v>0</v>
      </c>
      <c r="Q69" s="3">
        <v>0</v>
      </c>
      <c r="R69" s="3">
        <v>0</v>
      </c>
      <c r="S69" s="3">
        <v>24</v>
      </c>
      <c r="T69" s="3">
        <v>65</v>
      </c>
      <c r="U69" s="3">
        <v>99</v>
      </c>
      <c r="V69" s="3">
        <v>99</v>
      </c>
      <c r="W69" s="3"/>
      <c r="X69" s="3">
        <v>23.98</v>
      </c>
      <c r="Y69" s="3">
        <v>23.98</v>
      </c>
      <c r="Z69" s="3">
        <v>23.98</v>
      </c>
      <c r="AA69" s="3">
        <v>0</v>
      </c>
      <c r="AB69" s="3" t="s">
        <v>869</v>
      </c>
      <c r="AC69" s="3">
        <v>43</v>
      </c>
      <c r="AD69" s="3">
        <v>23.98</v>
      </c>
      <c r="AE69" s="3">
        <v>0</v>
      </c>
      <c r="AF69" s="3">
        <v>0</v>
      </c>
      <c r="AG69" s="3">
        <v>0</v>
      </c>
      <c r="AH69" s="3">
        <v>8.41176470588235</v>
      </c>
      <c r="AI69" s="3">
        <v>2.602275</v>
      </c>
      <c r="AJ69" s="3" t="s">
        <v>870</v>
      </c>
    </row>
    <row r="70" spans="1:36">
      <c r="A70" s="5">
        <v>43336</v>
      </c>
      <c r="B70" s="3" t="s">
        <v>1051</v>
      </c>
      <c r="C70" s="3" t="s">
        <v>1052</v>
      </c>
      <c r="D70" s="3" t="s">
        <v>1052</v>
      </c>
      <c r="E70" s="3" t="s">
        <v>1053</v>
      </c>
      <c r="F70" s="3" t="s">
        <v>867</v>
      </c>
      <c r="G70" s="3">
        <v>4</v>
      </c>
      <c r="H70" s="3">
        <v>0</v>
      </c>
      <c r="I70" s="3">
        <v>3</v>
      </c>
      <c r="J70" s="3">
        <v>0</v>
      </c>
      <c r="K70" s="3">
        <v>1</v>
      </c>
      <c r="L70" s="3">
        <v>0</v>
      </c>
      <c r="M70" s="3">
        <v>0</v>
      </c>
      <c r="N70" s="3" t="s">
        <v>868</v>
      </c>
      <c r="O70" s="3">
        <v>1</v>
      </c>
      <c r="P70" s="3">
        <v>0.4</v>
      </c>
      <c r="Q70" s="3">
        <v>0</v>
      </c>
      <c r="R70" s="3">
        <v>0</v>
      </c>
      <c r="S70" s="3">
        <v>2</v>
      </c>
      <c r="T70" s="3">
        <v>6</v>
      </c>
      <c r="U70" s="3">
        <v>7</v>
      </c>
      <c r="V70" s="3">
        <v>10</v>
      </c>
      <c r="W70" s="3"/>
      <c r="X70" s="3">
        <v>16.99</v>
      </c>
      <c r="Y70" s="3">
        <v>16.99</v>
      </c>
      <c r="Z70" s="3">
        <v>16.99</v>
      </c>
      <c r="AA70" s="3">
        <v>0</v>
      </c>
      <c r="AB70" s="3" t="s">
        <v>869</v>
      </c>
      <c r="AC70" s="3">
        <v>4</v>
      </c>
      <c r="AD70" s="3">
        <v>16.99</v>
      </c>
      <c r="AE70" s="3">
        <v>0</v>
      </c>
      <c r="AF70" s="3">
        <v>0</v>
      </c>
      <c r="AG70" s="3">
        <v>0</v>
      </c>
      <c r="AH70" s="3">
        <v>1.29032258064516</v>
      </c>
      <c r="AI70" s="3">
        <v>0.465296</v>
      </c>
      <c r="AJ70" s="3" t="s">
        <v>870</v>
      </c>
    </row>
    <row r="71" spans="1:36">
      <c r="A71" s="5">
        <v>43336</v>
      </c>
      <c r="B71" s="3" t="s">
        <v>1054</v>
      </c>
      <c r="C71" s="3" t="s">
        <v>1055</v>
      </c>
      <c r="D71" s="3" t="s">
        <v>1055</v>
      </c>
      <c r="E71" s="3" t="s">
        <v>1056</v>
      </c>
      <c r="F71" s="3" t="s">
        <v>867</v>
      </c>
      <c r="G71" s="3">
        <v>7</v>
      </c>
      <c r="H71" s="3">
        <v>0</v>
      </c>
      <c r="I71" s="3">
        <v>0</v>
      </c>
      <c r="J71" s="3">
        <v>7</v>
      </c>
      <c r="K71" s="3">
        <v>0</v>
      </c>
      <c r="L71" s="3">
        <v>0</v>
      </c>
      <c r="M71" s="3">
        <v>0</v>
      </c>
      <c r="N71" s="3" t="s">
        <v>868</v>
      </c>
      <c r="O71" s="3">
        <v>0</v>
      </c>
      <c r="P71" s="3">
        <v>0</v>
      </c>
      <c r="Q71" s="3">
        <v>0</v>
      </c>
      <c r="R71" s="3">
        <v>0</v>
      </c>
      <c r="S71" s="3">
        <v>2</v>
      </c>
      <c r="T71" s="3">
        <v>4</v>
      </c>
      <c r="U71" s="3">
        <v>5</v>
      </c>
      <c r="V71" s="3">
        <v>7</v>
      </c>
      <c r="W71" s="3"/>
      <c r="X71" s="3">
        <v>22.98</v>
      </c>
      <c r="Y71" s="3">
        <v>22.98</v>
      </c>
      <c r="Z71" s="3">
        <v>22.98</v>
      </c>
      <c r="AA71" s="3">
        <v>0</v>
      </c>
      <c r="AB71" s="3" t="s">
        <v>869</v>
      </c>
      <c r="AC71" s="3">
        <v>8</v>
      </c>
      <c r="AD71" s="3">
        <v>22.98</v>
      </c>
      <c r="AE71" s="3">
        <v>0</v>
      </c>
      <c r="AF71" s="3">
        <v>0</v>
      </c>
      <c r="AG71" s="3">
        <v>0</v>
      </c>
      <c r="AH71" s="3">
        <v>0.636363636363636</v>
      </c>
      <c r="AI71" s="3">
        <v>0.966714</v>
      </c>
      <c r="AJ71" s="3" t="s">
        <v>870</v>
      </c>
    </row>
    <row r="72" spans="1:36">
      <c r="A72" s="5">
        <v>43336</v>
      </c>
      <c r="B72" s="3" t="s">
        <v>523</v>
      </c>
      <c r="C72" s="3" t="s">
        <v>524</v>
      </c>
      <c r="D72" s="3" t="s">
        <v>524</v>
      </c>
      <c r="E72" s="3" t="s">
        <v>525</v>
      </c>
      <c r="F72" s="3" t="s">
        <v>867</v>
      </c>
      <c r="G72" s="3">
        <v>37</v>
      </c>
      <c r="H72" s="3">
        <v>0</v>
      </c>
      <c r="I72" s="3">
        <v>24</v>
      </c>
      <c r="J72" s="3">
        <v>13</v>
      </c>
      <c r="K72" s="3">
        <v>0</v>
      </c>
      <c r="L72" s="3">
        <v>0</v>
      </c>
      <c r="M72" s="3">
        <v>0</v>
      </c>
      <c r="N72" s="3" t="s">
        <v>868</v>
      </c>
      <c r="O72" s="3">
        <v>0</v>
      </c>
      <c r="P72" s="3">
        <v>0</v>
      </c>
      <c r="Q72" s="3">
        <v>0</v>
      </c>
      <c r="R72" s="3">
        <v>0</v>
      </c>
      <c r="S72" s="3">
        <v>3</v>
      </c>
      <c r="T72" s="3">
        <v>7</v>
      </c>
      <c r="U72" s="3">
        <v>12</v>
      </c>
      <c r="V72" s="3">
        <v>17</v>
      </c>
      <c r="W72" s="3"/>
      <c r="X72" s="3">
        <v>21.98</v>
      </c>
      <c r="Y72" s="3">
        <v>21.98</v>
      </c>
      <c r="Z72" s="3">
        <v>21.98</v>
      </c>
      <c r="AA72" s="3">
        <v>0</v>
      </c>
      <c r="AB72" s="3" t="s">
        <v>869</v>
      </c>
      <c r="AC72" s="3">
        <v>39</v>
      </c>
      <c r="AD72" s="3">
        <v>21.98</v>
      </c>
      <c r="AE72" s="3">
        <v>0</v>
      </c>
      <c r="AF72" s="3">
        <v>0</v>
      </c>
      <c r="AG72" s="3">
        <v>0</v>
      </c>
      <c r="AH72" s="3">
        <v>0.43312101910828</v>
      </c>
      <c r="AI72" s="3">
        <v>5.538641</v>
      </c>
      <c r="AJ72" s="3" t="s">
        <v>870</v>
      </c>
    </row>
    <row r="73" spans="1:36">
      <c r="A73" s="5">
        <v>43336</v>
      </c>
      <c r="B73" s="3" t="s">
        <v>467</v>
      </c>
      <c r="C73" s="3" t="s">
        <v>468</v>
      </c>
      <c r="D73" s="3" t="s">
        <v>469</v>
      </c>
      <c r="E73" s="3" t="s">
        <v>1057</v>
      </c>
      <c r="F73" s="3" t="s">
        <v>867</v>
      </c>
      <c r="G73" s="3">
        <v>14</v>
      </c>
      <c r="H73" s="3">
        <v>0</v>
      </c>
      <c r="I73" s="3">
        <v>14</v>
      </c>
      <c r="J73" s="3">
        <v>0</v>
      </c>
      <c r="K73" s="3">
        <v>0</v>
      </c>
      <c r="L73" s="3">
        <v>0</v>
      </c>
      <c r="M73" s="3">
        <v>0</v>
      </c>
      <c r="N73" s="3" t="s">
        <v>868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871</v>
      </c>
      <c r="X73" s="3">
        <v>39.98</v>
      </c>
      <c r="Y73" s="3">
        <v>19.98</v>
      </c>
      <c r="Z73" s="3">
        <v>19.98</v>
      </c>
      <c r="AA73" s="3">
        <v>0</v>
      </c>
      <c r="AB73" s="3" t="s">
        <v>869</v>
      </c>
      <c r="AC73" s="3">
        <v>5</v>
      </c>
      <c r="AD73" s="3">
        <v>19.98</v>
      </c>
      <c r="AE73" s="3">
        <v>0</v>
      </c>
      <c r="AF73" s="3">
        <v>0</v>
      </c>
      <c r="AG73" s="3">
        <v>0</v>
      </c>
      <c r="AH73" s="3">
        <v>2.04255319148936</v>
      </c>
      <c r="AI73" s="3">
        <v>1.493338</v>
      </c>
      <c r="AJ73" s="3" t="s">
        <v>870</v>
      </c>
    </row>
    <row r="74" spans="1:36">
      <c r="A74" s="5">
        <v>43336</v>
      </c>
      <c r="B74" s="3" t="s">
        <v>586</v>
      </c>
      <c r="C74" s="3" t="s">
        <v>587</v>
      </c>
      <c r="D74" s="3" t="s">
        <v>387</v>
      </c>
      <c r="E74" s="3" t="s">
        <v>388</v>
      </c>
      <c r="F74" s="3" t="s">
        <v>867</v>
      </c>
      <c r="G74" s="3">
        <v>1</v>
      </c>
      <c r="H74" s="3">
        <v>0</v>
      </c>
      <c r="I74" s="3">
        <v>1</v>
      </c>
      <c r="J74" s="3">
        <v>0</v>
      </c>
      <c r="K74" s="3">
        <v>0</v>
      </c>
      <c r="L74" s="3">
        <v>0</v>
      </c>
      <c r="M74" s="3">
        <v>0</v>
      </c>
      <c r="N74" s="3" t="s">
        <v>868</v>
      </c>
      <c r="O74" s="3">
        <v>0</v>
      </c>
      <c r="P74" s="3">
        <v>0</v>
      </c>
      <c r="Q74" s="3">
        <v>0</v>
      </c>
      <c r="R74" s="3">
        <v>0</v>
      </c>
      <c r="S74" s="3">
        <v>12</v>
      </c>
      <c r="T74" s="3">
        <v>31</v>
      </c>
      <c r="U74" s="3">
        <v>111</v>
      </c>
      <c r="V74" s="3">
        <v>201</v>
      </c>
      <c r="W74" s="3"/>
      <c r="X74" s="3"/>
      <c r="Y74" s="3"/>
      <c r="Z74" s="3">
        <v>23.98</v>
      </c>
      <c r="AA74" s="3">
        <v>-1</v>
      </c>
      <c r="AB74" s="3" t="s">
        <v>891</v>
      </c>
      <c r="AC74" s="3">
        <v>1</v>
      </c>
      <c r="AD74" s="3">
        <v>23.98</v>
      </c>
      <c r="AE74" s="3">
        <v>0</v>
      </c>
      <c r="AF74" s="3">
        <v>0</v>
      </c>
      <c r="AG74" s="3">
        <v>0</v>
      </c>
      <c r="AH74" s="3">
        <v>6.48704663212435</v>
      </c>
      <c r="AI74" s="3">
        <v>0.045529</v>
      </c>
      <c r="AJ74" s="3" t="s">
        <v>870</v>
      </c>
    </row>
    <row r="75" spans="1:36">
      <c r="A75" s="5">
        <v>43336</v>
      </c>
      <c r="B75" s="3" t="s">
        <v>615</v>
      </c>
      <c r="C75" s="3" t="s">
        <v>616</v>
      </c>
      <c r="D75" s="3" t="s">
        <v>616</v>
      </c>
      <c r="E75" s="3" t="s">
        <v>617</v>
      </c>
      <c r="F75" s="3" t="s">
        <v>867</v>
      </c>
      <c r="G75" s="3">
        <v>20</v>
      </c>
      <c r="H75" s="3">
        <v>0</v>
      </c>
      <c r="I75" s="3">
        <v>5</v>
      </c>
      <c r="J75" s="3">
        <v>15</v>
      </c>
      <c r="K75" s="3">
        <v>0</v>
      </c>
      <c r="L75" s="3">
        <v>0</v>
      </c>
      <c r="M75" s="3">
        <v>0</v>
      </c>
      <c r="N75" s="3" t="s">
        <v>868</v>
      </c>
      <c r="O75" s="3">
        <v>0</v>
      </c>
      <c r="P75" s="3">
        <v>0</v>
      </c>
      <c r="Q75" s="3">
        <v>0</v>
      </c>
      <c r="R75" s="3">
        <v>0</v>
      </c>
      <c r="S75" s="3">
        <v>4</v>
      </c>
      <c r="T75" s="3">
        <v>15</v>
      </c>
      <c r="U75" s="3">
        <v>27</v>
      </c>
      <c r="V75" s="3">
        <v>36</v>
      </c>
      <c r="W75" s="3"/>
      <c r="X75" s="3">
        <v>23.98</v>
      </c>
      <c r="Y75" s="3">
        <v>23.98</v>
      </c>
      <c r="Z75" s="3">
        <v>23.98</v>
      </c>
      <c r="AA75" s="3">
        <v>0</v>
      </c>
      <c r="AB75" s="3" t="s">
        <v>869</v>
      </c>
      <c r="AC75" s="3">
        <v>21</v>
      </c>
      <c r="AD75" s="3">
        <v>23.98</v>
      </c>
      <c r="AE75" s="3">
        <v>0</v>
      </c>
      <c r="AF75" s="3">
        <v>0</v>
      </c>
      <c r="AG75" s="3">
        <v>0</v>
      </c>
      <c r="AH75" s="3">
        <v>0.95364238410596</v>
      </c>
      <c r="AI75" s="3">
        <v>5.4525</v>
      </c>
      <c r="AJ75" s="3" t="s">
        <v>870</v>
      </c>
    </row>
    <row r="76" spans="1:36">
      <c r="A76" s="5">
        <v>43336</v>
      </c>
      <c r="B76" s="3" t="s">
        <v>1058</v>
      </c>
      <c r="C76" s="3" t="s">
        <v>1059</v>
      </c>
      <c r="D76" s="3" t="s">
        <v>1059</v>
      </c>
      <c r="E76" s="3" t="s">
        <v>1060</v>
      </c>
      <c r="F76" s="3" t="s">
        <v>867</v>
      </c>
      <c r="G76" s="3">
        <v>5</v>
      </c>
      <c r="H76" s="3">
        <v>0</v>
      </c>
      <c r="I76" s="3">
        <v>1</v>
      </c>
      <c r="J76" s="3">
        <v>1</v>
      </c>
      <c r="K76" s="3">
        <v>3</v>
      </c>
      <c r="L76" s="3">
        <v>0</v>
      </c>
      <c r="M76" s="3">
        <v>0</v>
      </c>
      <c r="N76" s="3" t="s">
        <v>868</v>
      </c>
      <c r="O76" s="3">
        <v>3</v>
      </c>
      <c r="P76" s="3">
        <v>0.63</v>
      </c>
      <c r="Q76" s="3">
        <v>0</v>
      </c>
      <c r="R76" s="3">
        <v>0</v>
      </c>
      <c r="S76" s="3">
        <v>0</v>
      </c>
      <c r="T76" s="3">
        <v>0</v>
      </c>
      <c r="U76" s="3">
        <v>2</v>
      </c>
      <c r="V76" s="3">
        <v>2</v>
      </c>
      <c r="W76" s="3" t="s">
        <v>871</v>
      </c>
      <c r="X76" s="3">
        <v>26.98</v>
      </c>
      <c r="Y76" s="3">
        <v>26.98</v>
      </c>
      <c r="Z76" s="3">
        <v>26.98</v>
      </c>
      <c r="AA76" s="3">
        <v>0</v>
      </c>
      <c r="AB76" s="3" t="s">
        <v>883</v>
      </c>
      <c r="AC76" s="3">
        <v>0</v>
      </c>
      <c r="AD76" s="3">
        <v>24.34</v>
      </c>
      <c r="AE76" s="3">
        <v>231</v>
      </c>
      <c r="AF76" s="3">
        <v>0</v>
      </c>
      <c r="AG76" s="3">
        <v>87.011638</v>
      </c>
      <c r="AH76" s="3">
        <v>0.352941176470588</v>
      </c>
      <c r="AI76" s="3">
        <v>0.30506</v>
      </c>
      <c r="AJ76" s="3" t="s">
        <v>870</v>
      </c>
    </row>
    <row r="77" spans="1:36">
      <c r="A77" s="5">
        <v>43336</v>
      </c>
      <c r="B77" s="3" t="s">
        <v>1061</v>
      </c>
      <c r="C77" s="3" t="s">
        <v>1062</v>
      </c>
      <c r="D77" s="3" t="s">
        <v>1062</v>
      </c>
      <c r="E77" s="3" t="s">
        <v>1063</v>
      </c>
      <c r="F77" s="3" t="s">
        <v>867</v>
      </c>
      <c r="G77" s="3">
        <v>6</v>
      </c>
      <c r="H77" s="3">
        <v>0</v>
      </c>
      <c r="I77" s="3">
        <v>1</v>
      </c>
      <c r="J77" s="3">
        <v>5</v>
      </c>
      <c r="K77" s="3">
        <v>0</v>
      </c>
      <c r="L77" s="3">
        <v>0</v>
      </c>
      <c r="M77" s="3">
        <v>0</v>
      </c>
      <c r="N77" s="3" t="s">
        <v>868</v>
      </c>
      <c r="O77" s="3">
        <v>5</v>
      </c>
      <c r="P77" s="3">
        <v>2.85</v>
      </c>
      <c r="Q77" s="3">
        <v>0</v>
      </c>
      <c r="R77" s="3">
        <v>0</v>
      </c>
      <c r="S77" s="3">
        <v>1</v>
      </c>
      <c r="T77" s="3">
        <v>3</v>
      </c>
      <c r="U77" s="3">
        <v>3</v>
      </c>
      <c r="V77" s="3">
        <v>3</v>
      </c>
      <c r="W77" s="3"/>
      <c r="X77" s="3">
        <v>25.98</v>
      </c>
      <c r="Y77" s="3">
        <v>25.98</v>
      </c>
      <c r="Z77" s="3">
        <v>25.98</v>
      </c>
      <c r="AA77" s="3">
        <v>0</v>
      </c>
      <c r="AB77" s="3" t="s">
        <v>869</v>
      </c>
      <c r="AC77" s="3">
        <v>6</v>
      </c>
      <c r="AD77" s="3">
        <v>25.98</v>
      </c>
      <c r="AE77" s="3">
        <v>0</v>
      </c>
      <c r="AF77" s="3">
        <v>0</v>
      </c>
      <c r="AG77" s="3">
        <v>0</v>
      </c>
      <c r="AH77" s="3">
        <v>0.25</v>
      </c>
      <c r="AI77" s="3">
        <v>0.989628</v>
      </c>
      <c r="AJ77" s="3" t="s">
        <v>870</v>
      </c>
    </row>
    <row r="78" spans="1:36">
      <c r="A78" s="5">
        <v>43336</v>
      </c>
      <c r="B78" s="3" t="s">
        <v>1064</v>
      </c>
      <c r="C78" s="3" t="s">
        <v>1065</v>
      </c>
      <c r="D78" s="3" t="s">
        <v>1065</v>
      </c>
      <c r="E78" s="3" t="s">
        <v>1066</v>
      </c>
      <c r="F78" s="3" t="s">
        <v>867</v>
      </c>
      <c r="G78" s="3">
        <v>5</v>
      </c>
      <c r="H78" s="3">
        <v>0</v>
      </c>
      <c r="I78" s="3">
        <v>5</v>
      </c>
      <c r="J78" s="3">
        <v>0</v>
      </c>
      <c r="K78" s="3">
        <v>0</v>
      </c>
      <c r="L78" s="3">
        <v>0</v>
      </c>
      <c r="M78" s="3">
        <v>0</v>
      </c>
      <c r="N78" s="3" t="s">
        <v>868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1</v>
      </c>
      <c r="U78" s="3">
        <v>2</v>
      </c>
      <c r="V78" s="3">
        <v>5</v>
      </c>
      <c r="W78" s="3"/>
      <c r="X78" s="3">
        <v>20.98</v>
      </c>
      <c r="Y78" s="3">
        <v>20.98</v>
      </c>
      <c r="Z78" s="3">
        <v>20.98</v>
      </c>
      <c r="AA78" s="3">
        <v>0</v>
      </c>
      <c r="AB78" s="3" t="s">
        <v>869</v>
      </c>
      <c r="AC78" s="3">
        <v>5</v>
      </c>
      <c r="AD78" s="3">
        <v>20.98</v>
      </c>
      <c r="AE78" s="3">
        <v>0</v>
      </c>
      <c r="AF78" s="3">
        <v>0</v>
      </c>
      <c r="AG78" s="3">
        <v>0</v>
      </c>
      <c r="AH78" s="3">
        <v>1.25</v>
      </c>
      <c r="AI78" s="3">
        <v>0.417815</v>
      </c>
      <c r="AJ78" s="3" t="s">
        <v>870</v>
      </c>
    </row>
    <row r="79" spans="1:36">
      <c r="A79" s="5">
        <v>43336</v>
      </c>
      <c r="B79" s="3" t="s">
        <v>156</v>
      </c>
      <c r="C79" s="3" t="s">
        <v>157</v>
      </c>
      <c r="D79" s="3" t="s">
        <v>158</v>
      </c>
      <c r="E79" s="3" t="s">
        <v>159</v>
      </c>
      <c r="F79" s="3" t="s">
        <v>867</v>
      </c>
      <c r="G79" s="3">
        <v>12</v>
      </c>
      <c r="H79" s="3">
        <v>0</v>
      </c>
      <c r="I79" s="3">
        <v>12</v>
      </c>
      <c r="J79" s="3">
        <v>0</v>
      </c>
      <c r="K79" s="3">
        <v>0</v>
      </c>
      <c r="L79" s="3">
        <v>0</v>
      </c>
      <c r="M79" s="3">
        <v>0</v>
      </c>
      <c r="N79" s="3" t="s">
        <v>868</v>
      </c>
      <c r="O79" s="3">
        <v>0</v>
      </c>
      <c r="P79" s="3">
        <v>0</v>
      </c>
      <c r="Q79" s="3">
        <v>0</v>
      </c>
      <c r="R79" s="3">
        <v>0</v>
      </c>
      <c r="S79" s="3">
        <v>2</v>
      </c>
      <c r="T79" s="3">
        <v>20</v>
      </c>
      <c r="U79" s="3">
        <v>28</v>
      </c>
      <c r="V79" s="3">
        <v>28</v>
      </c>
      <c r="W79" s="3" t="s">
        <v>871</v>
      </c>
      <c r="X79" s="3">
        <v>39.98</v>
      </c>
      <c r="Y79" s="3">
        <v>22.98</v>
      </c>
      <c r="Z79" s="3">
        <v>22.98</v>
      </c>
      <c r="AA79" s="3">
        <v>0</v>
      </c>
      <c r="AB79" s="3" t="s">
        <v>869</v>
      </c>
      <c r="AC79" s="3">
        <v>10</v>
      </c>
      <c r="AD79" s="3">
        <v>22.98</v>
      </c>
      <c r="AE79" s="3">
        <v>0</v>
      </c>
      <c r="AF79" s="3">
        <v>0</v>
      </c>
      <c r="AG79" s="3">
        <v>0</v>
      </c>
      <c r="AH79" s="3">
        <v>1.67901234567901</v>
      </c>
      <c r="AI79" s="3">
        <v>1.085856</v>
      </c>
      <c r="AJ79" s="3" t="s">
        <v>870</v>
      </c>
    </row>
    <row r="80" spans="1:36">
      <c r="A80" s="5">
        <v>43336</v>
      </c>
      <c r="B80" s="3" t="s">
        <v>1067</v>
      </c>
      <c r="C80" s="3" t="s">
        <v>1068</v>
      </c>
      <c r="D80" s="3" t="s">
        <v>1068</v>
      </c>
      <c r="E80" s="3" t="s">
        <v>1069</v>
      </c>
      <c r="F80" s="3" t="s">
        <v>867</v>
      </c>
      <c r="G80" s="3">
        <v>1</v>
      </c>
      <c r="H80" s="3">
        <v>0</v>
      </c>
      <c r="I80" s="3">
        <v>0</v>
      </c>
      <c r="J80" s="3">
        <v>1</v>
      </c>
      <c r="K80" s="3">
        <v>0</v>
      </c>
      <c r="L80" s="3">
        <v>0</v>
      </c>
      <c r="M80" s="3">
        <v>0</v>
      </c>
      <c r="N80" s="3" t="s">
        <v>868</v>
      </c>
      <c r="O80" s="3">
        <v>1</v>
      </c>
      <c r="P80" s="3">
        <v>1.02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 t="s">
        <v>871</v>
      </c>
      <c r="X80" s="3">
        <v>49.98</v>
      </c>
      <c r="Y80" s="3">
        <v>29.98</v>
      </c>
      <c r="Z80" s="3">
        <v>29.98</v>
      </c>
      <c r="AA80" s="3">
        <v>0</v>
      </c>
      <c r="AB80" s="3" t="s">
        <v>883</v>
      </c>
      <c r="AC80" s="3">
        <v>0</v>
      </c>
      <c r="AD80" s="3">
        <v>27.69</v>
      </c>
      <c r="AE80" s="3">
        <v>77</v>
      </c>
      <c r="AF80" s="3">
        <v>0</v>
      </c>
      <c r="AG80" s="3">
        <v>48.912128</v>
      </c>
      <c r="AH80" s="3">
        <v>0</v>
      </c>
      <c r="AI80" s="3">
        <v>0.295526</v>
      </c>
      <c r="AJ80" s="3" t="s">
        <v>870</v>
      </c>
    </row>
    <row r="81" spans="1:36">
      <c r="A81" s="5">
        <v>43336</v>
      </c>
      <c r="B81" s="3" t="s">
        <v>1070</v>
      </c>
      <c r="C81" s="3" t="s">
        <v>1071</v>
      </c>
      <c r="D81" s="3" t="s">
        <v>1071</v>
      </c>
      <c r="E81" s="3" t="s">
        <v>1072</v>
      </c>
      <c r="F81" s="3" t="s">
        <v>867</v>
      </c>
      <c r="G81" s="3">
        <v>14</v>
      </c>
      <c r="H81" s="3">
        <v>0</v>
      </c>
      <c r="I81" s="3">
        <v>0</v>
      </c>
      <c r="J81" s="3">
        <v>14</v>
      </c>
      <c r="K81" s="3">
        <v>0</v>
      </c>
      <c r="L81" s="3">
        <v>0</v>
      </c>
      <c r="M81" s="3">
        <v>0</v>
      </c>
      <c r="N81" s="3" t="s">
        <v>868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2</v>
      </c>
      <c r="U81" s="3">
        <v>3</v>
      </c>
      <c r="V81" s="3">
        <v>4</v>
      </c>
      <c r="W81" s="3"/>
      <c r="X81" s="3">
        <v>23.98</v>
      </c>
      <c r="Y81" s="3">
        <v>23.98</v>
      </c>
      <c r="Z81" s="3">
        <v>23.98</v>
      </c>
      <c r="AA81" s="3">
        <v>0</v>
      </c>
      <c r="AB81" s="3" t="s">
        <v>869</v>
      </c>
      <c r="AC81" s="3">
        <v>14</v>
      </c>
      <c r="AD81" s="3">
        <v>23.98</v>
      </c>
      <c r="AE81" s="3">
        <v>0</v>
      </c>
      <c r="AF81" s="3">
        <v>0</v>
      </c>
      <c r="AG81" s="3">
        <v>0</v>
      </c>
      <c r="AH81" s="3">
        <v>0.246153846153846</v>
      </c>
      <c r="AI81" s="3">
        <v>1.622614</v>
      </c>
      <c r="AJ81" s="3" t="s">
        <v>870</v>
      </c>
    </row>
    <row r="82" spans="1:36">
      <c r="A82" s="5">
        <v>43336</v>
      </c>
      <c r="B82" s="3" t="s">
        <v>405</v>
      </c>
      <c r="C82" s="3" t="s">
        <v>406</v>
      </c>
      <c r="D82" s="3" t="s">
        <v>407</v>
      </c>
      <c r="E82" s="3" t="s">
        <v>408</v>
      </c>
      <c r="F82" s="3" t="s">
        <v>867</v>
      </c>
      <c r="G82" s="3">
        <v>5</v>
      </c>
      <c r="H82" s="3">
        <v>0</v>
      </c>
      <c r="I82" s="3">
        <v>5</v>
      </c>
      <c r="J82" s="3">
        <v>0</v>
      </c>
      <c r="K82" s="3">
        <v>0</v>
      </c>
      <c r="L82" s="3">
        <v>0</v>
      </c>
      <c r="M82" s="3">
        <v>0</v>
      </c>
      <c r="N82" s="3" t="s">
        <v>868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936</v>
      </c>
      <c r="X82" s="3">
        <v>23.98</v>
      </c>
      <c r="Y82" s="3">
        <v>22.98</v>
      </c>
      <c r="Z82" s="3">
        <v>22.98</v>
      </c>
      <c r="AA82" s="3">
        <v>0</v>
      </c>
      <c r="AB82" s="3" t="s">
        <v>937</v>
      </c>
      <c r="AC82" s="3">
        <v>0</v>
      </c>
      <c r="AD82" s="3">
        <v>0</v>
      </c>
      <c r="AE82" s="3">
        <v>0</v>
      </c>
      <c r="AF82" s="3">
        <v>0</v>
      </c>
      <c r="AG82" s="3">
        <v>0</v>
      </c>
      <c r="AH82" s="3">
        <v>0</v>
      </c>
      <c r="AI82" s="3">
        <v>0.00520999999999999</v>
      </c>
      <c r="AJ82" s="3" t="s">
        <v>870</v>
      </c>
    </row>
    <row r="83" spans="1:36">
      <c r="A83" s="5">
        <v>43336</v>
      </c>
      <c r="B83" s="3" t="s">
        <v>1073</v>
      </c>
      <c r="C83" s="3" t="s">
        <v>1074</v>
      </c>
      <c r="D83" s="3" t="s">
        <v>1074</v>
      </c>
      <c r="E83" s="3" t="s">
        <v>1075</v>
      </c>
      <c r="F83" s="3" t="s">
        <v>867</v>
      </c>
      <c r="G83" s="3">
        <v>2</v>
      </c>
      <c r="H83" s="3">
        <v>2</v>
      </c>
      <c r="I83" s="3">
        <v>0</v>
      </c>
      <c r="J83" s="3">
        <v>0</v>
      </c>
      <c r="K83" s="3">
        <v>2</v>
      </c>
      <c r="L83" s="3">
        <v>0</v>
      </c>
      <c r="M83" s="3">
        <v>0</v>
      </c>
      <c r="N83" s="3" t="s">
        <v>868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2</v>
      </c>
      <c r="U83" s="3">
        <v>4</v>
      </c>
      <c r="V83" s="3">
        <v>5</v>
      </c>
      <c r="W83" s="3"/>
      <c r="X83" s="3">
        <v>21.98</v>
      </c>
      <c r="Y83" s="3">
        <v>21.98</v>
      </c>
      <c r="Z83" s="3">
        <v>21.98</v>
      </c>
      <c r="AA83" s="3">
        <v>0</v>
      </c>
      <c r="AB83" s="3" t="s">
        <v>869</v>
      </c>
      <c r="AC83" s="3">
        <v>0</v>
      </c>
      <c r="AD83" s="3">
        <v>0</v>
      </c>
      <c r="AE83" s="3">
        <v>0</v>
      </c>
      <c r="AF83" s="3">
        <v>0</v>
      </c>
      <c r="AG83" s="3">
        <v>0</v>
      </c>
      <c r="AH83" s="3">
        <v>0.0655737704918032</v>
      </c>
      <c r="AI83" s="3">
        <v>0.427626</v>
      </c>
      <c r="AJ83" s="3" t="s">
        <v>870</v>
      </c>
    </row>
    <row r="84" spans="1:36">
      <c r="A84" s="5">
        <v>43336</v>
      </c>
      <c r="B84" s="3" t="s">
        <v>509</v>
      </c>
      <c r="C84" s="3" t="s">
        <v>510</v>
      </c>
      <c r="D84" s="3" t="s">
        <v>510</v>
      </c>
      <c r="E84" s="3" t="s">
        <v>511</v>
      </c>
      <c r="F84" s="3" t="s">
        <v>867</v>
      </c>
      <c r="G84" s="3">
        <v>1</v>
      </c>
      <c r="H84" s="3">
        <v>0</v>
      </c>
      <c r="I84" s="3">
        <v>0</v>
      </c>
      <c r="J84" s="3">
        <v>1</v>
      </c>
      <c r="K84" s="3">
        <v>0</v>
      </c>
      <c r="L84" s="3">
        <v>0</v>
      </c>
      <c r="M84" s="3">
        <v>0</v>
      </c>
      <c r="N84" s="3" t="s">
        <v>868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871</v>
      </c>
      <c r="X84" s="3">
        <v>22.99</v>
      </c>
      <c r="Y84" s="3">
        <v>22.99</v>
      </c>
      <c r="Z84" s="3">
        <v>22.99</v>
      </c>
      <c r="AA84" s="3">
        <v>0</v>
      </c>
      <c r="AB84" s="3" t="s">
        <v>883</v>
      </c>
      <c r="AC84" s="3">
        <v>0</v>
      </c>
      <c r="AD84" s="3">
        <v>18.38</v>
      </c>
      <c r="AE84" s="3">
        <v>63</v>
      </c>
      <c r="AF84" s="3">
        <v>0</v>
      </c>
      <c r="AG84" s="3">
        <v>19.588661</v>
      </c>
      <c r="AH84" s="3">
        <v>0</v>
      </c>
      <c r="AI84" s="3">
        <v>0.145901</v>
      </c>
      <c r="AJ84" s="3" t="s">
        <v>870</v>
      </c>
    </row>
    <row r="85" spans="1:36">
      <c r="A85" s="5">
        <v>43336</v>
      </c>
      <c r="B85" s="3" t="s">
        <v>1076</v>
      </c>
      <c r="C85" s="3" t="s">
        <v>1077</v>
      </c>
      <c r="D85" s="3" t="s">
        <v>1077</v>
      </c>
      <c r="E85" s="3" t="s">
        <v>1078</v>
      </c>
      <c r="F85" s="3" t="s">
        <v>867</v>
      </c>
      <c r="G85" s="3">
        <v>1</v>
      </c>
      <c r="H85" s="3">
        <v>0</v>
      </c>
      <c r="I85" s="3">
        <v>1</v>
      </c>
      <c r="J85" s="3">
        <v>0</v>
      </c>
      <c r="K85" s="3">
        <v>0</v>
      </c>
      <c r="L85" s="3">
        <v>0</v>
      </c>
      <c r="M85" s="3">
        <v>0</v>
      </c>
      <c r="N85" s="3" t="s">
        <v>868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1</v>
      </c>
      <c r="W85" s="3" t="s">
        <v>871</v>
      </c>
      <c r="X85" s="3">
        <v>22.98</v>
      </c>
      <c r="Y85" s="3">
        <v>22.98</v>
      </c>
      <c r="Z85" s="3">
        <v>22.98</v>
      </c>
      <c r="AA85" s="3">
        <v>0</v>
      </c>
      <c r="AB85" s="3" t="s">
        <v>883</v>
      </c>
      <c r="AC85" s="3">
        <v>0</v>
      </c>
      <c r="AD85" s="3">
        <v>21.6</v>
      </c>
      <c r="AE85" s="3">
        <v>28</v>
      </c>
      <c r="AF85" s="3">
        <v>0</v>
      </c>
      <c r="AG85" s="3">
        <v>28.254084</v>
      </c>
      <c r="AH85" s="3">
        <v>0.125</v>
      </c>
      <c r="AI85" s="3">
        <v>0.133578</v>
      </c>
      <c r="AJ85" s="3" t="s">
        <v>870</v>
      </c>
    </row>
    <row r="86" spans="1:36">
      <c r="A86" s="5">
        <v>43336</v>
      </c>
      <c r="B86" s="3" t="s">
        <v>1079</v>
      </c>
      <c r="C86" s="3" t="s">
        <v>1080</v>
      </c>
      <c r="D86" s="3" t="s">
        <v>1081</v>
      </c>
      <c r="E86" s="3" t="s">
        <v>1082</v>
      </c>
      <c r="F86" s="3" t="s">
        <v>867</v>
      </c>
      <c r="G86" s="3">
        <v>3</v>
      </c>
      <c r="H86" s="3">
        <v>0</v>
      </c>
      <c r="I86" s="3">
        <v>3</v>
      </c>
      <c r="J86" s="3">
        <v>0</v>
      </c>
      <c r="K86" s="3">
        <v>0</v>
      </c>
      <c r="L86" s="3">
        <v>0</v>
      </c>
      <c r="M86" s="3">
        <v>0</v>
      </c>
      <c r="N86" s="3" t="s">
        <v>868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1</v>
      </c>
      <c r="U86" s="3">
        <v>2</v>
      </c>
      <c r="V86" s="3">
        <v>2</v>
      </c>
      <c r="W86" s="3"/>
      <c r="X86" s="3">
        <v>22.98</v>
      </c>
      <c r="Y86" s="3">
        <v>22.98</v>
      </c>
      <c r="Z86" s="3">
        <v>22.98</v>
      </c>
      <c r="AA86" s="3">
        <v>0</v>
      </c>
      <c r="AB86" s="3" t="s">
        <v>883</v>
      </c>
      <c r="AC86" s="3">
        <v>0</v>
      </c>
      <c r="AD86" s="3">
        <v>18.38</v>
      </c>
      <c r="AE86" s="3">
        <v>91</v>
      </c>
      <c r="AF86" s="3">
        <v>0</v>
      </c>
      <c r="AG86" s="3">
        <v>5.106566</v>
      </c>
      <c r="AH86" s="3">
        <v>1.17647058823529</v>
      </c>
      <c r="AI86" s="3">
        <v>0.210138</v>
      </c>
      <c r="AJ86" s="3" t="s">
        <v>870</v>
      </c>
    </row>
    <row r="87" spans="1:36">
      <c r="A87" s="5">
        <v>43336</v>
      </c>
      <c r="B87" s="3" t="s">
        <v>1083</v>
      </c>
      <c r="C87" s="3" t="s">
        <v>1084</v>
      </c>
      <c r="D87" s="3" t="s">
        <v>1084</v>
      </c>
      <c r="E87" s="3" t="s">
        <v>1085</v>
      </c>
      <c r="F87" s="3" t="s">
        <v>867</v>
      </c>
      <c r="G87" s="3">
        <v>3</v>
      </c>
      <c r="H87" s="3">
        <v>0</v>
      </c>
      <c r="I87" s="3">
        <v>0</v>
      </c>
      <c r="J87" s="3">
        <v>0</v>
      </c>
      <c r="K87" s="3">
        <v>3</v>
      </c>
      <c r="L87" s="3">
        <v>0</v>
      </c>
      <c r="M87" s="3">
        <v>0</v>
      </c>
      <c r="N87" s="3" t="s">
        <v>868</v>
      </c>
      <c r="O87" s="3">
        <v>3</v>
      </c>
      <c r="P87" s="3">
        <v>0.91</v>
      </c>
      <c r="Q87" s="3">
        <v>0</v>
      </c>
      <c r="R87" s="3">
        <v>0</v>
      </c>
      <c r="S87" s="3">
        <v>1</v>
      </c>
      <c r="T87" s="3">
        <v>1</v>
      </c>
      <c r="U87" s="3">
        <v>1</v>
      </c>
      <c r="V87" s="3">
        <v>1</v>
      </c>
      <c r="W87" s="3"/>
      <c r="X87" s="3">
        <v>23.98</v>
      </c>
      <c r="Y87" s="3">
        <v>23.98</v>
      </c>
      <c r="Z87" s="3">
        <v>23.98</v>
      </c>
      <c r="AA87" s="3">
        <v>0</v>
      </c>
      <c r="AB87" s="3" t="s">
        <v>883</v>
      </c>
      <c r="AC87" s="3">
        <v>0</v>
      </c>
      <c r="AD87" s="3">
        <v>22.89</v>
      </c>
      <c r="AE87" s="3">
        <v>133</v>
      </c>
      <c r="AF87" s="3">
        <v>0</v>
      </c>
      <c r="AG87" s="3">
        <v>115.180925</v>
      </c>
      <c r="AH87" s="3">
        <v>0.210526315789473</v>
      </c>
      <c r="AI87" s="3">
        <v>0.264699</v>
      </c>
      <c r="AJ87" s="3" t="s">
        <v>870</v>
      </c>
    </row>
    <row r="88" spans="1:36">
      <c r="A88" s="5">
        <v>43336</v>
      </c>
      <c r="B88" s="3" t="s">
        <v>715</v>
      </c>
      <c r="C88" s="3" t="s">
        <v>716</v>
      </c>
      <c r="D88" s="3" t="s">
        <v>716</v>
      </c>
      <c r="E88" s="3" t="s">
        <v>717</v>
      </c>
      <c r="F88" s="3" t="s">
        <v>867</v>
      </c>
      <c r="G88" s="3">
        <v>10</v>
      </c>
      <c r="H88" s="3">
        <v>0</v>
      </c>
      <c r="I88" s="3">
        <v>10</v>
      </c>
      <c r="J88" s="3">
        <v>0</v>
      </c>
      <c r="K88" s="3">
        <v>0</v>
      </c>
      <c r="L88" s="3">
        <v>0</v>
      </c>
      <c r="M88" s="3">
        <v>0</v>
      </c>
      <c r="N88" s="3" t="s">
        <v>868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1</v>
      </c>
      <c r="U88" s="3">
        <v>8</v>
      </c>
      <c r="V88" s="3">
        <v>11</v>
      </c>
      <c r="W88" s="3"/>
      <c r="X88" s="3">
        <v>20.98</v>
      </c>
      <c r="Y88" s="3">
        <v>20.98</v>
      </c>
      <c r="Z88" s="3">
        <v>20.98</v>
      </c>
      <c r="AA88" s="3">
        <v>0</v>
      </c>
      <c r="AB88" s="3" t="s">
        <v>869</v>
      </c>
      <c r="AC88" s="3">
        <v>10</v>
      </c>
      <c r="AD88" s="3">
        <v>20.98</v>
      </c>
      <c r="AE88" s="3">
        <v>0</v>
      </c>
      <c r="AF88" s="3">
        <v>0</v>
      </c>
      <c r="AG88" s="3">
        <v>0</v>
      </c>
      <c r="AH88" s="3">
        <v>1.02325581395348</v>
      </c>
      <c r="AI88" s="3">
        <v>0.83563</v>
      </c>
      <c r="AJ88" s="3" t="s">
        <v>870</v>
      </c>
    </row>
    <row r="89" spans="1:36">
      <c r="A89" s="5">
        <v>43336</v>
      </c>
      <c r="B89" s="3" t="s">
        <v>1086</v>
      </c>
      <c r="C89" s="3" t="s">
        <v>1087</v>
      </c>
      <c r="D89" s="3" t="s">
        <v>1087</v>
      </c>
      <c r="E89" s="3" t="s">
        <v>1088</v>
      </c>
      <c r="F89" s="3" t="s">
        <v>867</v>
      </c>
      <c r="G89" s="3">
        <v>2</v>
      </c>
      <c r="H89" s="3">
        <v>0</v>
      </c>
      <c r="I89" s="3">
        <v>0</v>
      </c>
      <c r="J89" s="3">
        <v>2</v>
      </c>
      <c r="K89" s="3">
        <v>0</v>
      </c>
      <c r="L89" s="3">
        <v>0</v>
      </c>
      <c r="M89" s="3">
        <v>0</v>
      </c>
      <c r="N89" s="3" t="s">
        <v>868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2</v>
      </c>
      <c r="V89" s="3">
        <v>2</v>
      </c>
      <c r="W89" s="3" t="s">
        <v>936</v>
      </c>
      <c r="X89" s="3">
        <v>18.98</v>
      </c>
      <c r="Y89" s="3">
        <v>18.98</v>
      </c>
      <c r="Z89" s="3">
        <v>18.98</v>
      </c>
      <c r="AA89" s="3">
        <v>0</v>
      </c>
      <c r="AB89" s="3" t="s">
        <v>937</v>
      </c>
      <c r="AC89" s="3">
        <v>2</v>
      </c>
      <c r="AD89" s="3">
        <v>18.98</v>
      </c>
      <c r="AE89" s="3">
        <v>0</v>
      </c>
      <c r="AF89" s="3">
        <v>0</v>
      </c>
      <c r="AG89" s="3">
        <v>0</v>
      </c>
      <c r="AH89" s="3">
        <v>0.296296296296296</v>
      </c>
      <c r="AI89" s="3">
        <v>0.302274</v>
      </c>
      <c r="AJ89" s="3" t="s">
        <v>870</v>
      </c>
    </row>
    <row r="90" spans="1:36">
      <c r="A90" s="5">
        <v>43336</v>
      </c>
      <c r="B90" s="3" t="s">
        <v>1089</v>
      </c>
      <c r="C90" s="3" t="s">
        <v>1090</v>
      </c>
      <c r="D90" s="3" t="s">
        <v>1091</v>
      </c>
      <c r="E90" s="3" t="s">
        <v>1092</v>
      </c>
      <c r="F90" s="3" t="s">
        <v>867</v>
      </c>
      <c r="G90" s="3">
        <v>10</v>
      </c>
      <c r="H90" s="3">
        <v>0</v>
      </c>
      <c r="I90" s="3">
        <v>10</v>
      </c>
      <c r="J90" s="3">
        <v>0</v>
      </c>
      <c r="K90" s="3">
        <v>0</v>
      </c>
      <c r="L90" s="3">
        <v>0</v>
      </c>
      <c r="M90" s="3">
        <v>0</v>
      </c>
      <c r="N90" s="3" t="s">
        <v>868</v>
      </c>
      <c r="O90" s="3">
        <v>0</v>
      </c>
      <c r="P90" s="3">
        <v>0</v>
      </c>
      <c r="Q90" s="3">
        <v>0</v>
      </c>
      <c r="R90" s="3">
        <v>0</v>
      </c>
      <c r="S90" s="3">
        <v>1</v>
      </c>
      <c r="T90" s="3">
        <v>5</v>
      </c>
      <c r="U90" s="3">
        <v>5</v>
      </c>
      <c r="V90" s="3">
        <v>5</v>
      </c>
      <c r="W90" s="3"/>
      <c r="X90" s="3">
        <v>18.99</v>
      </c>
      <c r="Y90" s="3">
        <v>18.99</v>
      </c>
      <c r="Z90" s="3">
        <v>18.99</v>
      </c>
      <c r="AA90" s="3">
        <v>0</v>
      </c>
      <c r="AB90" s="3" t="s">
        <v>869</v>
      </c>
      <c r="AC90" s="3">
        <v>10</v>
      </c>
      <c r="AD90" s="3">
        <v>18.99</v>
      </c>
      <c r="AE90" s="3">
        <v>0</v>
      </c>
      <c r="AF90" s="3">
        <v>0</v>
      </c>
      <c r="AG90" s="3">
        <v>0</v>
      </c>
      <c r="AH90" s="3">
        <v>1</v>
      </c>
      <c r="AI90" s="3">
        <v>1.06211</v>
      </c>
      <c r="AJ90" s="3" t="s">
        <v>925</v>
      </c>
    </row>
    <row r="91" spans="1:36">
      <c r="A91" s="5">
        <v>43336</v>
      </c>
      <c r="B91" s="3" t="s">
        <v>1093</v>
      </c>
      <c r="C91" s="3" t="s">
        <v>1094</v>
      </c>
      <c r="D91" s="3" t="s">
        <v>1094</v>
      </c>
      <c r="E91" s="3" t="s">
        <v>1095</v>
      </c>
      <c r="F91" s="3" t="s">
        <v>867</v>
      </c>
      <c r="G91" s="3">
        <v>19</v>
      </c>
      <c r="H91" s="3">
        <v>0</v>
      </c>
      <c r="I91" s="3">
        <v>18</v>
      </c>
      <c r="J91" s="3">
        <v>0</v>
      </c>
      <c r="K91" s="3">
        <v>1</v>
      </c>
      <c r="L91" s="3">
        <v>0</v>
      </c>
      <c r="M91" s="3">
        <v>0</v>
      </c>
      <c r="N91" s="3" t="s">
        <v>868</v>
      </c>
      <c r="O91" s="3">
        <v>1</v>
      </c>
      <c r="P91" s="3">
        <v>0.5</v>
      </c>
      <c r="Q91" s="3">
        <v>0</v>
      </c>
      <c r="R91" s="3">
        <v>0</v>
      </c>
      <c r="S91" s="3">
        <v>0</v>
      </c>
      <c r="T91" s="3">
        <v>1</v>
      </c>
      <c r="U91" s="3">
        <v>1</v>
      </c>
      <c r="V91" s="3">
        <v>1</v>
      </c>
      <c r="W91" s="3" t="s">
        <v>871</v>
      </c>
      <c r="X91" s="3">
        <v>22.99</v>
      </c>
      <c r="Y91" s="3">
        <v>22.98</v>
      </c>
      <c r="Z91" s="3">
        <v>22.98</v>
      </c>
      <c r="AA91" s="3">
        <v>0</v>
      </c>
      <c r="AB91" s="3" t="s">
        <v>869</v>
      </c>
      <c r="AC91" s="3">
        <v>21</v>
      </c>
      <c r="AD91" s="3">
        <v>22.98</v>
      </c>
      <c r="AE91" s="3">
        <v>0</v>
      </c>
      <c r="AF91" s="3">
        <v>0</v>
      </c>
      <c r="AG91" s="3">
        <v>0</v>
      </c>
      <c r="AH91" s="3">
        <v>0.0579710144927536</v>
      </c>
      <c r="AI91" s="3">
        <v>2.772119</v>
      </c>
      <c r="AJ91" s="3" t="s">
        <v>870</v>
      </c>
    </row>
    <row r="92" spans="1:36">
      <c r="A92" s="5">
        <v>43336</v>
      </c>
      <c r="B92" s="3" t="s">
        <v>1096</v>
      </c>
      <c r="C92" s="3" t="s">
        <v>1097</v>
      </c>
      <c r="D92" s="3" t="s">
        <v>1097</v>
      </c>
      <c r="E92" s="3" t="s">
        <v>1098</v>
      </c>
      <c r="F92" s="3" t="s">
        <v>867</v>
      </c>
      <c r="G92" s="3">
        <v>1</v>
      </c>
      <c r="H92" s="3">
        <v>0</v>
      </c>
      <c r="I92" s="3">
        <v>1</v>
      </c>
      <c r="J92" s="3">
        <v>0</v>
      </c>
      <c r="K92" s="3">
        <v>0</v>
      </c>
      <c r="L92" s="3">
        <v>0</v>
      </c>
      <c r="M92" s="3">
        <v>0</v>
      </c>
      <c r="N92" s="3" t="s">
        <v>868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1</v>
      </c>
      <c r="V92" s="3">
        <v>2</v>
      </c>
      <c r="W92" s="3" t="s">
        <v>871</v>
      </c>
      <c r="X92" s="3">
        <v>24.98</v>
      </c>
      <c r="Y92" s="3">
        <v>24.98</v>
      </c>
      <c r="Z92" s="3">
        <v>24.98</v>
      </c>
      <c r="AA92" s="3">
        <v>0</v>
      </c>
      <c r="AB92" s="3" t="s">
        <v>869</v>
      </c>
      <c r="AC92" s="3">
        <v>1</v>
      </c>
      <c r="AD92" s="3">
        <v>24.98</v>
      </c>
      <c r="AE92" s="3">
        <v>0</v>
      </c>
      <c r="AF92" s="3">
        <v>0</v>
      </c>
      <c r="AG92" s="3">
        <v>0</v>
      </c>
      <c r="AH92" s="3">
        <v>0.888888888888888</v>
      </c>
      <c r="AI92" s="3">
        <v>0.137251</v>
      </c>
      <c r="AJ92" s="3" t="s">
        <v>870</v>
      </c>
    </row>
    <row r="93" spans="1:36">
      <c r="A93" s="5">
        <v>43336</v>
      </c>
      <c r="B93" s="3" t="s">
        <v>1099</v>
      </c>
      <c r="C93" s="3" t="s">
        <v>1100</v>
      </c>
      <c r="D93" s="3" t="s">
        <v>1100</v>
      </c>
      <c r="E93" s="3" t="s">
        <v>1101</v>
      </c>
      <c r="F93" s="3" t="s">
        <v>867</v>
      </c>
      <c r="G93" s="3">
        <v>3</v>
      </c>
      <c r="H93" s="3">
        <v>0</v>
      </c>
      <c r="I93" s="3">
        <v>1</v>
      </c>
      <c r="J93" s="3">
        <v>0</v>
      </c>
      <c r="K93" s="3">
        <v>2</v>
      </c>
      <c r="L93" s="3">
        <v>0</v>
      </c>
      <c r="M93" s="3">
        <v>0</v>
      </c>
      <c r="N93" s="3" t="s">
        <v>868</v>
      </c>
      <c r="O93" s="3">
        <v>2</v>
      </c>
      <c r="P93" s="3">
        <v>0.42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2</v>
      </c>
      <c r="W93" s="3" t="s">
        <v>871</v>
      </c>
      <c r="X93" s="3">
        <v>26.98</v>
      </c>
      <c r="Y93" s="3">
        <v>26.98</v>
      </c>
      <c r="Z93" s="3">
        <v>26.98</v>
      </c>
      <c r="AA93" s="3">
        <v>0</v>
      </c>
      <c r="AB93" s="3" t="s">
        <v>883</v>
      </c>
      <c r="AC93" s="3">
        <v>0</v>
      </c>
      <c r="AD93" s="3">
        <v>24.12</v>
      </c>
      <c r="AE93" s="3">
        <v>231</v>
      </c>
      <c r="AF93" s="3">
        <v>0</v>
      </c>
      <c r="AG93" s="3">
        <v>56.239451</v>
      </c>
      <c r="AH93" s="3">
        <v>0.666666666666666</v>
      </c>
      <c r="AI93" s="3">
        <v>0.183035999999999</v>
      </c>
      <c r="AJ93" s="3" t="s">
        <v>870</v>
      </c>
    </row>
    <row r="94" spans="1:36">
      <c r="A94" s="5">
        <v>43336</v>
      </c>
      <c r="B94" s="3" t="s">
        <v>1102</v>
      </c>
      <c r="C94" s="3" t="s">
        <v>1103</v>
      </c>
      <c r="D94" s="3" t="s">
        <v>1104</v>
      </c>
      <c r="E94" s="3" t="s">
        <v>1105</v>
      </c>
      <c r="F94" s="3" t="s">
        <v>867</v>
      </c>
      <c r="G94" s="3">
        <v>3</v>
      </c>
      <c r="H94" s="3">
        <v>0</v>
      </c>
      <c r="I94" s="3">
        <v>3</v>
      </c>
      <c r="J94" s="3">
        <v>0</v>
      </c>
      <c r="K94" s="3">
        <v>0</v>
      </c>
      <c r="L94" s="3">
        <v>0</v>
      </c>
      <c r="M94" s="3">
        <v>0</v>
      </c>
      <c r="N94" s="3" t="s">
        <v>868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871</v>
      </c>
      <c r="X94" s="3">
        <v>20.98</v>
      </c>
      <c r="Y94" s="3">
        <v>20.98</v>
      </c>
      <c r="Z94" s="3">
        <v>20.98</v>
      </c>
      <c r="AA94" s="3">
        <v>0</v>
      </c>
      <c r="AB94" s="3" t="s">
        <v>869</v>
      </c>
      <c r="AC94" s="3">
        <v>3</v>
      </c>
      <c r="AD94" s="3">
        <v>20.98</v>
      </c>
      <c r="AE94" s="3">
        <v>0</v>
      </c>
      <c r="AF94" s="3">
        <v>0</v>
      </c>
      <c r="AG94" s="3">
        <v>0</v>
      </c>
      <c r="AH94" s="3">
        <v>2.75862068965517</v>
      </c>
      <c r="AI94" s="3">
        <v>0.250689</v>
      </c>
      <c r="AJ94" s="3" t="s">
        <v>870</v>
      </c>
    </row>
    <row r="95" spans="1:36">
      <c r="A95" s="5">
        <v>43336</v>
      </c>
      <c r="B95" s="3" t="s">
        <v>345</v>
      </c>
      <c r="C95" s="3" t="s">
        <v>346</v>
      </c>
      <c r="D95" s="3" t="s">
        <v>347</v>
      </c>
      <c r="E95" s="3" t="s">
        <v>348</v>
      </c>
      <c r="F95" s="3" t="s">
        <v>867</v>
      </c>
      <c r="G95" s="3">
        <v>6</v>
      </c>
      <c r="H95" s="3">
        <v>0</v>
      </c>
      <c r="I95" s="3">
        <v>6</v>
      </c>
      <c r="J95" s="3">
        <v>0</v>
      </c>
      <c r="K95" s="3">
        <v>0</v>
      </c>
      <c r="L95" s="3">
        <v>0</v>
      </c>
      <c r="M95" s="3">
        <v>0</v>
      </c>
      <c r="N95" s="3" t="s">
        <v>868</v>
      </c>
      <c r="O95" s="3">
        <v>0</v>
      </c>
      <c r="P95" s="3">
        <v>0</v>
      </c>
      <c r="Q95" s="3">
        <v>0</v>
      </c>
      <c r="R95" s="3">
        <v>0</v>
      </c>
      <c r="S95" s="3">
        <v>10</v>
      </c>
      <c r="T95" s="3">
        <v>28</v>
      </c>
      <c r="U95" s="3">
        <v>41</v>
      </c>
      <c r="V95" s="3">
        <v>41</v>
      </c>
      <c r="W95" s="3"/>
      <c r="X95" s="3">
        <v>39.98</v>
      </c>
      <c r="Y95" s="3">
        <v>23.98</v>
      </c>
      <c r="Z95" s="3">
        <v>23.98</v>
      </c>
      <c r="AA95" s="3">
        <v>0</v>
      </c>
      <c r="AB95" s="3" t="s">
        <v>869</v>
      </c>
      <c r="AC95" s="3">
        <v>1</v>
      </c>
      <c r="AD95" s="3">
        <v>23.98</v>
      </c>
      <c r="AE95" s="3">
        <v>0</v>
      </c>
      <c r="AF95" s="3">
        <v>0</v>
      </c>
      <c r="AG95" s="3">
        <v>0</v>
      </c>
      <c r="AH95" s="3">
        <v>5.46666666666666</v>
      </c>
      <c r="AI95" s="3">
        <v>0.273174</v>
      </c>
      <c r="AJ95" s="3" t="s">
        <v>870</v>
      </c>
    </row>
    <row r="96" spans="1:36">
      <c r="A96" s="5">
        <v>43336</v>
      </c>
      <c r="B96" s="3" t="s">
        <v>1106</v>
      </c>
      <c r="C96" s="3" t="s">
        <v>1107</v>
      </c>
      <c r="D96" s="3" t="s">
        <v>1108</v>
      </c>
      <c r="E96" s="3" t="s">
        <v>1109</v>
      </c>
      <c r="F96" s="3" t="s">
        <v>867</v>
      </c>
      <c r="G96" s="3">
        <v>2</v>
      </c>
      <c r="H96" s="3">
        <v>0</v>
      </c>
      <c r="I96" s="3">
        <v>2</v>
      </c>
      <c r="J96" s="3">
        <v>0</v>
      </c>
      <c r="K96" s="3">
        <v>0</v>
      </c>
      <c r="L96" s="3">
        <v>0</v>
      </c>
      <c r="M96" s="3">
        <v>0</v>
      </c>
      <c r="N96" s="3" t="s">
        <v>868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/>
      <c r="X96" s="3"/>
      <c r="Y96" s="3"/>
      <c r="Z96" s="3">
        <v>22.98</v>
      </c>
      <c r="AA96" s="3">
        <v>-1</v>
      </c>
      <c r="AB96" s="3" t="s">
        <v>891</v>
      </c>
      <c r="AC96" s="3">
        <v>0</v>
      </c>
      <c r="AD96" s="3">
        <v>0</v>
      </c>
      <c r="AE96" s="3">
        <v>0</v>
      </c>
      <c r="AF96" s="3">
        <v>0</v>
      </c>
      <c r="AG96" s="3">
        <v>0</v>
      </c>
      <c r="AH96" s="3">
        <v>1.23076923076923</v>
      </c>
      <c r="AI96" s="3">
        <v>0.276204</v>
      </c>
      <c r="AJ96" s="3" t="s">
        <v>870</v>
      </c>
    </row>
    <row r="97" spans="1:36">
      <c r="A97" s="5">
        <v>43336</v>
      </c>
      <c r="B97" s="3" t="s">
        <v>305</v>
      </c>
      <c r="C97" s="3" t="s">
        <v>306</v>
      </c>
      <c r="D97" s="3" t="s">
        <v>307</v>
      </c>
      <c r="E97" s="3" t="s">
        <v>308</v>
      </c>
      <c r="F97" s="3" t="s">
        <v>867</v>
      </c>
      <c r="G97" s="3">
        <v>14</v>
      </c>
      <c r="H97" s="3">
        <v>0</v>
      </c>
      <c r="I97" s="3">
        <v>14</v>
      </c>
      <c r="J97" s="3">
        <v>0</v>
      </c>
      <c r="K97" s="3">
        <v>0</v>
      </c>
      <c r="L97" s="3">
        <v>0</v>
      </c>
      <c r="M97" s="3">
        <v>0</v>
      </c>
      <c r="N97" s="3" t="s">
        <v>868</v>
      </c>
      <c r="O97" s="3">
        <v>0</v>
      </c>
      <c r="P97" s="3">
        <v>0</v>
      </c>
      <c r="Q97" s="3">
        <v>0</v>
      </c>
      <c r="R97" s="3">
        <v>0</v>
      </c>
      <c r="S97" s="3">
        <v>3</v>
      </c>
      <c r="T97" s="3">
        <v>5</v>
      </c>
      <c r="U97" s="3">
        <v>5</v>
      </c>
      <c r="V97" s="3">
        <v>5</v>
      </c>
      <c r="W97" s="3"/>
      <c r="X97" s="3">
        <v>23.98</v>
      </c>
      <c r="Y97" s="3">
        <v>23.98</v>
      </c>
      <c r="Z97" s="3">
        <v>23.98</v>
      </c>
      <c r="AA97" s="3">
        <v>0</v>
      </c>
      <c r="AB97" s="3" t="s">
        <v>869</v>
      </c>
      <c r="AC97" s="3">
        <v>16</v>
      </c>
      <c r="AD97" s="3">
        <v>23.98</v>
      </c>
      <c r="AE97" s="3">
        <v>0</v>
      </c>
      <c r="AF97" s="3">
        <v>0</v>
      </c>
      <c r="AG97" s="3">
        <v>0</v>
      </c>
      <c r="AH97" s="3">
        <v>6.4</v>
      </c>
      <c r="AI97" s="3">
        <v>1.663466</v>
      </c>
      <c r="AJ97" s="3" t="s">
        <v>870</v>
      </c>
    </row>
    <row r="98" spans="1:36">
      <c r="A98" s="5">
        <v>43336</v>
      </c>
      <c r="B98" s="3" t="s">
        <v>447</v>
      </c>
      <c r="C98" s="3" t="s">
        <v>448</v>
      </c>
      <c r="D98" s="3" t="s">
        <v>449</v>
      </c>
      <c r="E98" s="3" t="s">
        <v>1110</v>
      </c>
      <c r="F98" s="3" t="s">
        <v>867</v>
      </c>
      <c r="G98" s="3">
        <v>1</v>
      </c>
      <c r="H98" s="3">
        <v>0</v>
      </c>
      <c r="I98" s="3">
        <v>1</v>
      </c>
      <c r="J98" s="3">
        <v>0</v>
      </c>
      <c r="K98" s="3">
        <v>0</v>
      </c>
      <c r="L98" s="3">
        <v>0</v>
      </c>
      <c r="M98" s="3">
        <v>0</v>
      </c>
      <c r="N98" s="3" t="s">
        <v>868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871</v>
      </c>
      <c r="X98" s="3">
        <v>39.98</v>
      </c>
      <c r="Y98" s="3">
        <v>19.98</v>
      </c>
      <c r="Z98" s="3">
        <v>19.98</v>
      </c>
      <c r="AA98" s="3">
        <v>0</v>
      </c>
      <c r="AB98" s="3" t="s">
        <v>869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1.39393939393939</v>
      </c>
      <c r="AI98" s="3">
        <v>0.028646</v>
      </c>
      <c r="AJ98" s="3" t="s">
        <v>870</v>
      </c>
    </row>
    <row r="99" spans="1:36">
      <c r="A99" s="5">
        <v>43336</v>
      </c>
      <c r="B99" s="3" t="s">
        <v>1111</v>
      </c>
      <c r="C99" s="3" t="s">
        <v>1112</v>
      </c>
      <c r="D99" s="3" t="s">
        <v>1112</v>
      </c>
      <c r="E99" s="3" t="s">
        <v>1113</v>
      </c>
      <c r="F99" s="3" t="s">
        <v>867</v>
      </c>
      <c r="G99" s="3">
        <v>8</v>
      </c>
      <c r="H99" s="3">
        <v>0</v>
      </c>
      <c r="I99" s="3">
        <v>0</v>
      </c>
      <c r="J99" s="3">
        <v>0</v>
      </c>
      <c r="K99" s="3">
        <v>8</v>
      </c>
      <c r="L99" s="3">
        <v>0</v>
      </c>
      <c r="M99" s="3">
        <v>0</v>
      </c>
      <c r="N99" s="3" t="s">
        <v>868</v>
      </c>
      <c r="O99" s="3">
        <v>8</v>
      </c>
      <c r="P99" s="3">
        <v>2.43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871</v>
      </c>
      <c r="X99" s="3">
        <v>23.98</v>
      </c>
      <c r="Y99" s="3">
        <v>23.98</v>
      </c>
      <c r="Z99" s="3">
        <v>23.98</v>
      </c>
      <c r="AA99" s="3">
        <v>0</v>
      </c>
      <c r="AB99" s="3" t="s">
        <v>883</v>
      </c>
      <c r="AC99" s="3">
        <v>0</v>
      </c>
      <c r="AD99" s="3">
        <v>21.67</v>
      </c>
      <c r="AE99" s="3">
        <v>217</v>
      </c>
      <c r="AF99" s="3">
        <v>0</v>
      </c>
      <c r="AG99" s="3">
        <v>171.962714</v>
      </c>
      <c r="AH99" s="3">
        <v>0</v>
      </c>
      <c r="AI99" s="3">
        <v>0.705864</v>
      </c>
      <c r="AJ99" s="3" t="s">
        <v>870</v>
      </c>
    </row>
    <row r="100" spans="1:36">
      <c r="A100" s="5">
        <v>43336</v>
      </c>
      <c r="B100" s="3" t="s">
        <v>1114</v>
      </c>
      <c r="C100" s="3" t="s">
        <v>1115</v>
      </c>
      <c r="D100" s="3" t="s">
        <v>1116</v>
      </c>
      <c r="E100" s="3" t="s">
        <v>1117</v>
      </c>
      <c r="F100" s="3" t="s">
        <v>867</v>
      </c>
      <c r="G100" s="3">
        <v>6</v>
      </c>
      <c r="H100" s="3">
        <v>0</v>
      </c>
      <c r="I100" s="3">
        <v>6</v>
      </c>
      <c r="J100" s="3">
        <v>0</v>
      </c>
      <c r="K100" s="3">
        <v>0</v>
      </c>
      <c r="L100" s="3">
        <v>0</v>
      </c>
      <c r="M100" s="3">
        <v>0</v>
      </c>
      <c r="N100" s="3" t="s">
        <v>868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936</v>
      </c>
      <c r="X100" s="3">
        <v>22.99</v>
      </c>
      <c r="Y100" s="3">
        <v>22.99</v>
      </c>
      <c r="Z100" s="3">
        <v>22.99</v>
      </c>
      <c r="AA100" s="3">
        <v>0</v>
      </c>
      <c r="AB100" s="3" t="s">
        <v>937</v>
      </c>
      <c r="AC100" s="3">
        <v>0</v>
      </c>
      <c r="AD100" s="3">
        <v>18.39</v>
      </c>
      <c r="AE100" s="3">
        <v>63</v>
      </c>
      <c r="AF100" s="3">
        <v>0</v>
      </c>
      <c r="AG100" s="3">
        <v>126.424341</v>
      </c>
      <c r="AH100" s="3">
        <v>0</v>
      </c>
      <c r="AI100" s="3">
        <v>0.989586</v>
      </c>
      <c r="AJ100" s="3" t="s">
        <v>925</v>
      </c>
    </row>
    <row r="101" spans="1:36">
      <c r="A101" s="5">
        <v>43336</v>
      </c>
      <c r="B101" s="3" t="s">
        <v>1118</v>
      </c>
      <c r="C101" s="3" t="s">
        <v>1119</v>
      </c>
      <c r="D101" s="3" t="s">
        <v>1119</v>
      </c>
      <c r="E101" s="3" t="s">
        <v>127</v>
      </c>
      <c r="F101" s="3" t="s">
        <v>867</v>
      </c>
      <c r="G101" s="3">
        <v>31</v>
      </c>
      <c r="H101" s="3">
        <v>0</v>
      </c>
      <c r="I101" s="3">
        <v>3</v>
      </c>
      <c r="J101" s="3">
        <v>28</v>
      </c>
      <c r="K101" s="3">
        <v>0</v>
      </c>
      <c r="L101" s="3">
        <v>0</v>
      </c>
      <c r="M101" s="3">
        <v>0</v>
      </c>
      <c r="N101" s="3" t="s">
        <v>868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2</v>
      </c>
      <c r="U101" s="3">
        <v>2</v>
      </c>
      <c r="V101" s="3">
        <v>3</v>
      </c>
      <c r="W101" s="3"/>
      <c r="X101" s="3">
        <v>22.99</v>
      </c>
      <c r="Y101" s="3">
        <v>22.99</v>
      </c>
      <c r="Z101" s="3">
        <v>22.99</v>
      </c>
      <c r="AA101" s="3">
        <v>0</v>
      </c>
      <c r="AB101" s="3" t="s">
        <v>883</v>
      </c>
      <c r="AC101" s="3">
        <v>18</v>
      </c>
      <c r="AD101" s="3">
        <v>19.45</v>
      </c>
      <c r="AE101" s="3">
        <v>168</v>
      </c>
      <c r="AF101" s="3">
        <v>0</v>
      </c>
      <c r="AG101" s="3">
        <v>12.014317</v>
      </c>
      <c r="AH101" s="3">
        <v>0.09375</v>
      </c>
      <c r="AI101" s="3">
        <v>4.522931</v>
      </c>
      <c r="AJ101" s="3" t="s">
        <v>870</v>
      </c>
    </row>
    <row r="102" spans="1:36">
      <c r="A102" s="5">
        <v>43336</v>
      </c>
      <c r="B102" s="3" t="s">
        <v>1120</v>
      </c>
      <c r="C102" s="3" t="s">
        <v>461</v>
      </c>
      <c r="D102" s="3" t="s">
        <v>461</v>
      </c>
      <c r="E102" s="3" t="s">
        <v>1121</v>
      </c>
      <c r="F102" s="3" t="s">
        <v>867</v>
      </c>
      <c r="G102" s="3">
        <v>4</v>
      </c>
      <c r="H102" s="3">
        <v>0</v>
      </c>
      <c r="I102" s="3">
        <v>4</v>
      </c>
      <c r="J102" s="3">
        <v>0</v>
      </c>
      <c r="K102" s="3">
        <v>0</v>
      </c>
      <c r="L102" s="3">
        <v>0</v>
      </c>
      <c r="M102" s="3">
        <v>0</v>
      </c>
      <c r="N102" s="3" t="s">
        <v>868</v>
      </c>
      <c r="O102" s="3">
        <v>0</v>
      </c>
      <c r="P102" s="3">
        <v>0</v>
      </c>
      <c r="Q102" s="3">
        <v>0</v>
      </c>
      <c r="R102" s="3">
        <v>0</v>
      </c>
      <c r="S102" s="3">
        <v>9</v>
      </c>
      <c r="T102" s="3">
        <v>22</v>
      </c>
      <c r="U102" s="3">
        <v>27</v>
      </c>
      <c r="V102" s="3">
        <v>36</v>
      </c>
      <c r="W102" s="3"/>
      <c r="X102" s="3">
        <v>39.98</v>
      </c>
      <c r="Y102" s="3">
        <v>23.98</v>
      </c>
      <c r="Z102" s="3">
        <v>19.98</v>
      </c>
      <c r="AA102" s="3">
        <v>0</v>
      </c>
      <c r="AB102" s="3" t="s">
        <v>869</v>
      </c>
      <c r="AC102" s="3">
        <v>6</v>
      </c>
      <c r="AD102" s="3">
        <v>23.98</v>
      </c>
      <c r="AE102" s="3">
        <v>0</v>
      </c>
      <c r="AF102" s="3">
        <v>0</v>
      </c>
      <c r="AG102" s="3">
        <v>0</v>
      </c>
      <c r="AH102" s="3">
        <v>1.5</v>
      </c>
      <c r="AI102" s="3">
        <v>0.83708</v>
      </c>
      <c r="AJ102" s="3" t="s">
        <v>870</v>
      </c>
    </row>
    <row r="103" spans="1:36">
      <c r="A103" s="5">
        <v>43336</v>
      </c>
      <c r="B103" s="3" t="s">
        <v>712</v>
      </c>
      <c r="C103" s="3" t="s">
        <v>713</v>
      </c>
      <c r="D103" s="3" t="s">
        <v>713</v>
      </c>
      <c r="E103" s="3" t="s">
        <v>714</v>
      </c>
      <c r="F103" s="3" t="s">
        <v>867</v>
      </c>
      <c r="G103" s="3">
        <v>12</v>
      </c>
      <c r="H103" s="3">
        <v>0</v>
      </c>
      <c r="I103" s="3">
        <v>5</v>
      </c>
      <c r="J103" s="3">
        <v>7</v>
      </c>
      <c r="K103" s="3">
        <v>0</v>
      </c>
      <c r="L103" s="3">
        <v>0</v>
      </c>
      <c r="M103" s="3">
        <v>0</v>
      </c>
      <c r="N103" s="3" t="s">
        <v>868</v>
      </c>
      <c r="O103" s="3">
        <v>0</v>
      </c>
      <c r="P103" s="3">
        <v>0</v>
      </c>
      <c r="Q103" s="3">
        <v>0</v>
      </c>
      <c r="R103" s="3">
        <v>0</v>
      </c>
      <c r="S103" s="3">
        <v>1</v>
      </c>
      <c r="T103" s="3">
        <v>2</v>
      </c>
      <c r="U103" s="3">
        <v>4</v>
      </c>
      <c r="V103" s="3">
        <v>8</v>
      </c>
      <c r="W103" s="3"/>
      <c r="X103" s="3">
        <v>23.98</v>
      </c>
      <c r="Y103" s="3">
        <v>23.98</v>
      </c>
      <c r="Z103" s="3">
        <v>23.98</v>
      </c>
      <c r="AA103" s="3">
        <v>0</v>
      </c>
      <c r="AB103" s="3" t="s">
        <v>869</v>
      </c>
      <c r="AC103" s="3">
        <v>12</v>
      </c>
      <c r="AD103" s="3">
        <v>23.98</v>
      </c>
      <c r="AE103" s="3">
        <v>0</v>
      </c>
      <c r="AF103" s="3">
        <v>0</v>
      </c>
      <c r="AG103" s="3">
        <v>0</v>
      </c>
      <c r="AH103" s="3">
        <v>0.561403508771929</v>
      </c>
      <c r="AI103" s="3">
        <v>1.104048</v>
      </c>
      <c r="AJ103" s="3" t="s">
        <v>870</v>
      </c>
    </row>
    <row r="104" spans="1:36">
      <c r="A104" s="5">
        <v>43336</v>
      </c>
      <c r="B104" s="3" t="s">
        <v>1122</v>
      </c>
      <c r="C104" s="3" t="s">
        <v>1123</v>
      </c>
      <c r="D104" s="3" t="s">
        <v>1124</v>
      </c>
      <c r="E104" s="3" t="s">
        <v>131</v>
      </c>
      <c r="F104" s="3" t="s">
        <v>867</v>
      </c>
      <c r="G104" s="3">
        <v>18</v>
      </c>
      <c r="H104" s="3">
        <v>0</v>
      </c>
      <c r="I104" s="3">
        <v>18</v>
      </c>
      <c r="J104" s="3">
        <v>0</v>
      </c>
      <c r="K104" s="3">
        <v>0</v>
      </c>
      <c r="L104" s="3">
        <v>0</v>
      </c>
      <c r="M104" s="3">
        <v>0</v>
      </c>
      <c r="N104" s="3" t="s">
        <v>868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2</v>
      </c>
      <c r="U104" s="3">
        <v>2</v>
      </c>
      <c r="V104" s="3">
        <v>2</v>
      </c>
      <c r="W104" s="3" t="s">
        <v>936</v>
      </c>
      <c r="X104" s="3">
        <v>24.98</v>
      </c>
      <c r="Y104" s="3">
        <v>24.98</v>
      </c>
      <c r="Z104" s="3">
        <v>24.98</v>
      </c>
      <c r="AA104" s="3">
        <v>0</v>
      </c>
      <c r="AB104" s="3" t="s">
        <v>937</v>
      </c>
      <c r="AC104" s="3">
        <v>18</v>
      </c>
      <c r="AD104" s="3">
        <v>24.98</v>
      </c>
      <c r="AE104" s="3">
        <v>0</v>
      </c>
      <c r="AF104" s="3">
        <v>0</v>
      </c>
      <c r="AG104" s="3">
        <v>0</v>
      </c>
      <c r="AH104" s="3">
        <v>1.21739130434782</v>
      </c>
      <c r="AI104" s="3">
        <v>3.57183</v>
      </c>
      <c r="AJ104" s="3" t="s">
        <v>870</v>
      </c>
    </row>
    <row r="105" spans="1:36">
      <c r="A105" s="5">
        <v>43336</v>
      </c>
      <c r="B105" s="3" t="s">
        <v>1125</v>
      </c>
      <c r="C105" s="3" t="s">
        <v>1126</v>
      </c>
      <c r="D105" s="3" t="s">
        <v>1127</v>
      </c>
      <c r="E105" s="3" t="s">
        <v>1128</v>
      </c>
      <c r="F105" s="3" t="s">
        <v>867</v>
      </c>
      <c r="G105" s="3">
        <v>12</v>
      </c>
      <c r="H105" s="3">
        <v>0</v>
      </c>
      <c r="I105" s="3">
        <v>12</v>
      </c>
      <c r="J105" s="3">
        <v>0</v>
      </c>
      <c r="K105" s="3">
        <v>0</v>
      </c>
      <c r="L105" s="3">
        <v>0</v>
      </c>
      <c r="M105" s="3">
        <v>0</v>
      </c>
      <c r="N105" s="3" t="s">
        <v>868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 t="s">
        <v>871</v>
      </c>
      <c r="X105" s="3">
        <v>22.99</v>
      </c>
      <c r="Y105" s="3">
        <v>22.99</v>
      </c>
      <c r="Z105" s="3">
        <v>22.99</v>
      </c>
      <c r="AA105" s="3">
        <v>0</v>
      </c>
      <c r="AB105" s="3" t="s">
        <v>883</v>
      </c>
      <c r="AC105" s="3">
        <v>12</v>
      </c>
      <c r="AD105" s="3">
        <v>22.98</v>
      </c>
      <c r="AE105" s="3">
        <v>0</v>
      </c>
      <c r="AF105" s="3">
        <v>0</v>
      </c>
      <c r="AG105" s="3">
        <v>0</v>
      </c>
      <c r="AH105" s="3">
        <v>1.14285714285714</v>
      </c>
      <c r="AI105" s="3">
        <v>2.42579999999999</v>
      </c>
      <c r="AJ105" s="3" t="s">
        <v>870</v>
      </c>
    </row>
    <row r="106" spans="1:36">
      <c r="A106" s="5">
        <v>43336</v>
      </c>
      <c r="B106" s="3" t="s">
        <v>475</v>
      </c>
      <c r="C106" s="3" t="s">
        <v>476</v>
      </c>
      <c r="D106" s="3" t="s">
        <v>476</v>
      </c>
      <c r="E106" s="3" t="s">
        <v>477</v>
      </c>
      <c r="F106" s="3" t="s">
        <v>867</v>
      </c>
      <c r="G106" s="3">
        <v>2</v>
      </c>
      <c r="H106" s="3">
        <v>0</v>
      </c>
      <c r="I106" s="3">
        <v>2</v>
      </c>
      <c r="J106" s="3">
        <v>0</v>
      </c>
      <c r="K106" s="3">
        <v>0</v>
      </c>
      <c r="L106" s="3">
        <v>0</v>
      </c>
      <c r="M106" s="3">
        <v>0</v>
      </c>
      <c r="N106" s="3" t="s">
        <v>868</v>
      </c>
      <c r="O106" s="3">
        <v>0</v>
      </c>
      <c r="P106" s="3">
        <v>0</v>
      </c>
      <c r="Q106" s="3">
        <v>0</v>
      </c>
      <c r="R106" s="3">
        <v>0</v>
      </c>
      <c r="S106" s="3">
        <v>2</v>
      </c>
      <c r="T106" s="3">
        <v>8</v>
      </c>
      <c r="U106" s="3">
        <v>24</v>
      </c>
      <c r="V106" s="3">
        <v>33</v>
      </c>
      <c r="W106" s="3"/>
      <c r="X106" s="3">
        <v>23.98</v>
      </c>
      <c r="Y106" s="3">
        <v>23.98</v>
      </c>
      <c r="Z106" s="3">
        <v>23.98</v>
      </c>
      <c r="AA106" s="3">
        <v>0</v>
      </c>
      <c r="AB106" s="3" t="s">
        <v>869</v>
      </c>
      <c r="AC106" s="3">
        <v>2</v>
      </c>
      <c r="AD106" s="3">
        <v>23.98</v>
      </c>
      <c r="AE106" s="3">
        <v>0</v>
      </c>
      <c r="AF106" s="3">
        <v>0</v>
      </c>
      <c r="AG106" s="3">
        <v>0</v>
      </c>
      <c r="AH106" s="3">
        <v>2</v>
      </c>
      <c r="AI106" s="3">
        <v>0.201942</v>
      </c>
      <c r="AJ106" s="3" t="s">
        <v>870</v>
      </c>
    </row>
    <row r="107" spans="1:36">
      <c r="A107" s="5">
        <v>43336</v>
      </c>
      <c r="B107" s="3" t="s">
        <v>1129</v>
      </c>
      <c r="C107" s="3" t="s">
        <v>1130</v>
      </c>
      <c r="D107" s="3" t="s">
        <v>1131</v>
      </c>
      <c r="E107" s="3" t="s">
        <v>1132</v>
      </c>
      <c r="F107" s="3" t="s">
        <v>867</v>
      </c>
      <c r="G107" s="3">
        <v>20</v>
      </c>
      <c r="H107" s="3">
        <v>0</v>
      </c>
      <c r="I107" s="3">
        <v>20</v>
      </c>
      <c r="J107" s="3">
        <v>0</v>
      </c>
      <c r="K107" s="3">
        <v>0</v>
      </c>
      <c r="L107" s="3">
        <v>0</v>
      </c>
      <c r="M107" s="3">
        <v>0</v>
      </c>
      <c r="N107" s="3" t="s">
        <v>868</v>
      </c>
      <c r="O107" s="3">
        <v>0</v>
      </c>
      <c r="P107" s="3">
        <v>0</v>
      </c>
      <c r="Q107" s="3">
        <v>0</v>
      </c>
      <c r="R107" s="3">
        <v>0</v>
      </c>
      <c r="S107" s="3">
        <v>1</v>
      </c>
      <c r="T107" s="3">
        <v>17</v>
      </c>
      <c r="U107" s="3">
        <v>32</v>
      </c>
      <c r="V107" s="3">
        <v>32</v>
      </c>
      <c r="W107" s="3"/>
      <c r="X107" s="3">
        <v>39.98</v>
      </c>
      <c r="Y107" s="3">
        <v>23.98</v>
      </c>
      <c r="Z107" s="3">
        <v>23.98</v>
      </c>
      <c r="AA107" s="3">
        <v>0</v>
      </c>
      <c r="AB107" s="3" t="s">
        <v>869</v>
      </c>
      <c r="AC107" s="3">
        <v>0</v>
      </c>
      <c r="AD107" s="3">
        <v>0</v>
      </c>
      <c r="AE107" s="3">
        <v>0</v>
      </c>
      <c r="AF107" s="3">
        <v>0</v>
      </c>
      <c r="AG107" s="3">
        <v>0</v>
      </c>
      <c r="AH107" s="3">
        <v>12.8</v>
      </c>
      <c r="AI107" s="3">
        <v>0.91058</v>
      </c>
      <c r="AJ107" s="3" t="s">
        <v>870</v>
      </c>
    </row>
    <row r="108" spans="1:36">
      <c r="A108" s="5">
        <v>43336</v>
      </c>
      <c r="B108" s="3" t="s">
        <v>1133</v>
      </c>
      <c r="C108" s="3" t="s">
        <v>427</v>
      </c>
      <c r="D108" s="3" t="s">
        <v>427</v>
      </c>
      <c r="E108" s="3" t="s">
        <v>428</v>
      </c>
      <c r="F108" s="3" t="s">
        <v>867</v>
      </c>
      <c r="G108" s="3">
        <v>10</v>
      </c>
      <c r="H108" s="3">
        <v>0</v>
      </c>
      <c r="I108" s="3">
        <v>7</v>
      </c>
      <c r="J108" s="3">
        <v>3</v>
      </c>
      <c r="K108" s="3">
        <v>0</v>
      </c>
      <c r="L108" s="3">
        <v>0</v>
      </c>
      <c r="M108" s="3">
        <v>0</v>
      </c>
      <c r="N108" s="3" t="s">
        <v>868</v>
      </c>
      <c r="O108" s="3">
        <v>0</v>
      </c>
      <c r="P108" s="3">
        <v>0</v>
      </c>
      <c r="Q108" s="3">
        <v>0</v>
      </c>
      <c r="R108" s="3">
        <v>0</v>
      </c>
      <c r="S108" s="3">
        <v>16</v>
      </c>
      <c r="T108" s="3">
        <v>36</v>
      </c>
      <c r="U108" s="3">
        <v>53</v>
      </c>
      <c r="V108" s="3">
        <v>79</v>
      </c>
      <c r="W108" s="3"/>
      <c r="X108" s="3">
        <v>39.98</v>
      </c>
      <c r="Y108" s="3">
        <v>23.98</v>
      </c>
      <c r="Z108" s="3">
        <v>23.98</v>
      </c>
      <c r="AA108" s="3">
        <v>0</v>
      </c>
      <c r="AB108" s="3" t="s">
        <v>869</v>
      </c>
      <c r="AC108" s="3">
        <v>10</v>
      </c>
      <c r="AD108" s="3">
        <v>23.98</v>
      </c>
      <c r="AE108" s="3">
        <v>0</v>
      </c>
      <c r="AF108" s="3">
        <v>0</v>
      </c>
      <c r="AG108" s="3">
        <v>0</v>
      </c>
      <c r="AH108" s="3">
        <v>1.59259259259259</v>
      </c>
      <c r="AI108" s="3">
        <v>0.74276</v>
      </c>
      <c r="AJ108" s="3" t="s">
        <v>870</v>
      </c>
    </row>
    <row r="109" spans="1:36">
      <c r="A109" s="5">
        <v>43336</v>
      </c>
      <c r="B109" s="3" t="s">
        <v>1134</v>
      </c>
      <c r="C109" s="3" t="s">
        <v>1006</v>
      </c>
      <c r="D109" s="3" t="s">
        <v>1006</v>
      </c>
      <c r="E109" s="3" t="s">
        <v>1007</v>
      </c>
      <c r="F109" s="3" t="s">
        <v>867</v>
      </c>
      <c r="G109" s="3">
        <v>28</v>
      </c>
      <c r="H109" s="3">
        <v>0</v>
      </c>
      <c r="I109" s="3">
        <v>23</v>
      </c>
      <c r="J109" s="3">
        <v>5</v>
      </c>
      <c r="K109" s="3">
        <v>0</v>
      </c>
      <c r="L109" s="3">
        <v>0</v>
      </c>
      <c r="M109" s="3">
        <v>0</v>
      </c>
      <c r="N109" s="3" t="s">
        <v>868</v>
      </c>
      <c r="O109" s="3">
        <v>0</v>
      </c>
      <c r="P109" s="3">
        <v>0</v>
      </c>
      <c r="Q109" s="3">
        <v>0</v>
      </c>
      <c r="R109" s="3">
        <v>0</v>
      </c>
      <c r="S109" s="3">
        <v>1</v>
      </c>
      <c r="T109" s="3">
        <v>5</v>
      </c>
      <c r="U109" s="3">
        <v>8</v>
      </c>
      <c r="V109" s="3">
        <v>14</v>
      </c>
      <c r="W109" s="3"/>
      <c r="X109" s="3">
        <v>23.99</v>
      </c>
      <c r="Y109" s="3">
        <v>21.98</v>
      </c>
      <c r="Z109" s="3">
        <v>21.98</v>
      </c>
      <c r="AA109" s="3">
        <v>0</v>
      </c>
      <c r="AB109" s="3" t="s">
        <v>869</v>
      </c>
      <c r="AC109" s="3">
        <v>27</v>
      </c>
      <c r="AD109" s="3">
        <v>21.98</v>
      </c>
      <c r="AE109" s="3">
        <v>0</v>
      </c>
      <c r="AF109" s="3">
        <v>0</v>
      </c>
      <c r="AG109" s="3">
        <v>0</v>
      </c>
      <c r="AH109" s="3">
        <v>0.794701986754966</v>
      </c>
      <c r="AI109" s="3">
        <v>4.19140399999999</v>
      </c>
      <c r="AJ109" s="3" t="s">
        <v>870</v>
      </c>
    </row>
    <row r="110" spans="1:36">
      <c r="A110" s="5">
        <v>43336</v>
      </c>
      <c r="B110" s="3" t="s">
        <v>120</v>
      </c>
      <c r="C110" s="3" t="s">
        <v>121</v>
      </c>
      <c r="D110" s="3" t="s">
        <v>122</v>
      </c>
      <c r="E110" s="3" t="s">
        <v>123</v>
      </c>
      <c r="F110" s="3" t="s">
        <v>867</v>
      </c>
      <c r="G110" s="3">
        <v>20</v>
      </c>
      <c r="H110" s="3">
        <v>0</v>
      </c>
      <c r="I110" s="3">
        <v>20</v>
      </c>
      <c r="J110" s="3">
        <v>0</v>
      </c>
      <c r="K110" s="3">
        <v>0</v>
      </c>
      <c r="L110" s="3">
        <v>0</v>
      </c>
      <c r="M110" s="3">
        <v>0</v>
      </c>
      <c r="N110" s="3" t="s">
        <v>868</v>
      </c>
      <c r="O110" s="3">
        <v>0</v>
      </c>
      <c r="P110" s="3">
        <v>0</v>
      </c>
      <c r="Q110" s="3">
        <v>0</v>
      </c>
      <c r="R110" s="3">
        <v>0</v>
      </c>
      <c r="S110" s="3">
        <v>1</v>
      </c>
      <c r="T110" s="3">
        <v>9</v>
      </c>
      <c r="U110" s="3">
        <v>32</v>
      </c>
      <c r="V110" s="3">
        <v>32</v>
      </c>
      <c r="W110" s="3"/>
      <c r="X110" s="3">
        <v>22.98</v>
      </c>
      <c r="Y110" s="3">
        <v>22.98</v>
      </c>
      <c r="Z110" s="3">
        <v>22.98</v>
      </c>
      <c r="AA110" s="3">
        <v>0</v>
      </c>
      <c r="AB110" s="3" t="s">
        <v>869</v>
      </c>
      <c r="AC110" s="3">
        <v>21</v>
      </c>
      <c r="AD110" s="3">
        <v>22.98</v>
      </c>
      <c r="AE110" s="3">
        <v>0</v>
      </c>
      <c r="AF110" s="3">
        <v>0</v>
      </c>
      <c r="AG110" s="3">
        <v>0</v>
      </c>
      <c r="AH110" s="3">
        <v>2.95652173913043</v>
      </c>
      <c r="AI110" s="3">
        <v>2.99385999999999</v>
      </c>
      <c r="AJ110" s="3" t="s">
        <v>870</v>
      </c>
    </row>
    <row r="111" spans="1:36">
      <c r="A111" s="5">
        <v>43336</v>
      </c>
      <c r="B111" s="3" t="s">
        <v>1135</v>
      </c>
      <c r="C111" s="3" t="s">
        <v>1136</v>
      </c>
      <c r="D111" s="3" t="s">
        <v>1136</v>
      </c>
      <c r="E111" s="3" t="s">
        <v>1137</v>
      </c>
      <c r="F111" s="3" t="s">
        <v>867</v>
      </c>
      <c r="G111" s="3">
        <v>7</v>
      </c>
      <c r="H111" s="3">
        <v>0</v>
      </c>
      <c r="I111" s="3">
        <v>4</v>
      </c>
      <c r="J111" s="3">
        <v>3</v>
      </c>
      <c r="K111" s="3">
        <v>0</v>
      </c>
      <c r="L111" s="3">
        <v>0</v>
      </c>
      <c r="M111" s="3">
        <v>0</v>
      </c>
      <c r="N111" s="3" t="s">
        <v>868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1</v>
      </c>
      <c r="W111" s="3" t="s">
        <v>871</v>
      </c>
      <c r="X111" s="3">
        <v>27.98</v>
      </c>
      <c r="Y111" s="3">
        <v>27.98</v>
      </c>
      <c r="Z111" s="3">
        <v>27.98</v>
      </c>
      <c r="AA111" s="3">
        <v>0</v>
      </c>
      <c r="AB111" s="3" t="s">
        <v>883</v>
      </c>
      <c r="AC111" s="3">
        <v>0</v>
      </c>
      <c r="AD111" s="3">
        <v>19.27</v>
      </c>
      <c r="AE111" s="3">
        <v>364</v>
      </c>
      <c r="AF111" s="3">
        <v>0</v>
      </c>
      <c r="AG111" s="3">
        <v>188.259632</v>
      </c>
      <c r="AH111" s="3">
        <v>0.117647058823529</v>
      </c>
      <c r="AI111" s="3">
        <v>1.18349</v>
      </c>
      <c r="AJ111" s="3" t="s">
        <v>870</v>
      </c>
    </row>
    <row r="112" spans="1:36">
      <c r="A112" s="5">
        <v>43336</v>
      </c>
      <c r="B112" s="3" t="s">
        <v>1138</v>
      </c>
      <c r="C112" s="3" t="s">
        <v>1139</v>
      </c>
      <c r="D112" s="3" t="s">
        <v>1139</v>
      </c>
      <c r="E112" s="3" t="s">
        <v>1140</v>
      </c>
      <c r="F112" s="3" t="s">
        <v>867</v>
      </c>
      <c r="G112" s="3">
        <v>4</v>
      </c>
      <c r="H112" s="3">
        <v>0</v>
      </c>
      <c r="I112" s="3">
        <v>3</v>
      </c>
      <c r="J112" s="3">
        <v>1</v>
      </c>
      <c r="K112" s="3">
        <v>0</v>
      </c>
      <c r="L112" s="3">
        <v>0</v>
      </c>
      <c r="M112" s="3">
        <v>0</v>
      </c>
      <c r="N112" s="3" t="s">
        <v>868</v>
      </c>
      <c r="O112" s="3">
        <v>0</v>
      </c>
      <c r="P112" s="3">
        <v>0</v>
      </c>
      <c r="Q112" s="3">
        <v>0</v>
      </c>
      <c r="R112" s="3">
        <v>0</v>
      </c>
      <c r="S112" s="3">
        <v>1</v>
      </c>
      <c r="T112" s="3">
        <v>1</v>
      </c>
      <c r="U112" s="3">
        <v>3</v>
      </c>
      <c r="V112" s="3">
        <v>3</v>
      </c>
      <c r="W112" s="3"/>
      <c r="X112" s="3">
        <v>20.98</v>
      </c>
      <c r="Y112" s="3">
        <v>20.98</v>
      </c>
      <c r="Z112" s="3">
        <v>20.98</v>
      </c>
      <c r="AA112" s="3">
        <v>0</v>
      </c>
      <c r="AB112" s="3" t="s">
        <v>883</v>
      </c>
      <c r="AC112" s="3">
        <v>1</v>
      </c>
      <c r="AD112" s="3">
        <v>16.78</v>
      </c>
      <c r="AE112" s="3">
        <v>119</v>
      </c>
      <c r="AF112" s="3">
        <v>0</v>
      </c>
      <c r="AG112" s="3">
        <v>8.652645</v>
      </c>
      <c r="AH112" s="3">
        <v>0.705882352941176</v>
      </c>
      <c r="AI112" s="3">
        <v>0.334252</v>
      </c>
      <c r="AJ112" s="3" t="s">
        <v>870</v>
      </c>
    </row>
    <row r="113" spans="1:36">
      <c r="A113" s="5">
        <v>43336</v>
      </c>
      <c r="B113" s="3" t="s">
        <v>1141</v>
      </c>
      <c r="C113" s="3" t="s">
        <v>1142</v>
      </c>
      <c r="D113" s="3" t="s">
        <v>1142</v>
      </c>
      <c r="E113" s="3" t="s">
        <v>1143</v>
      </c>
      <c r="F113" s="3" t="s">
        <v>867</v>
      </c>
      <c r="G113" s="3">
        <v>7</v>
      </c>
      <c r="H113" s="3">
        <v>0</v>
      </c>
      <c r="I113" s="3">
        <v>1</v>
      </c>
      <c r="J113" s="3">
        <v>1</v>
      </c>
      <c r="K113" s="3">
        <v>5</v>
      </c>
      <c r="L113" s="3">
        <v>0</v>
      </c>
      <c r="M113" s="3">
        <v>0</v>
      </c>
      <c r="N113" s="3" t="s">
        <v>868</v>
      </c>
      <c r="O113" s="3">
        <v>5</v>
      </c>
      <c r="P113" s="3">
        <v>1.05</v>
      </c>
      <c r="Q113" s="3">
        <v>0</v>
      </c>
      <c r="R113" s="3">
        <v>0</v>
      </c>
      <c r="S113" s="3">
        <v>1</v>
      </c>
      <c r="T113" s="3">
        <v>3</v>
      </c>
      <c r="U113" s="3">
        <v>3</v>
      </c>
      <c r="V113" s="3">
        <v>6</v>
      </c>
      <c r="W113" s="3"/>
      <c r="X113" s="3">
        <v>26.98</v>
      </c>
      <c r="Y113" s="3">
        <v>26.98</v>
      </c>
      <c r="Z113" s="3">
        <v>26.98</v>
      </c>
      <c r="AA113" s="3">
        <v>0</v>
      </c>
      <c r="AB113" s="3" t="s">
        <v>869</v>
      </c>
      <c r="AC113" s="3">
        <v>7</v>
      </c>
      <c r="AD113" s="3">
        <v>26.98</v>
      </c>
      <c r="AE113" s="3">
        <v>0</v>
      </c>
      <c r="AF113" s="3">
        <v>0</v>
      </c>
      <c r="AG113" s="3">
        <v>0</v>
      </c>
      <c r="AH113" s="3">
        <v>0.631578947368421</v>
      </c>
      <c r="AI113" s="3">
        <v>0.427083999999999</v>
      </c>
      <c r="AJ113" s="3" t="s">
        <v>870</v>
      </c>
    </row>
    <row r="114" spans="1:36">
      <c r="A114" s="5">
        <v>43336</v>
      </c>
      <c r="B114" s="3" t="s">
        <v>1144</v>
      </c>
      <c r="C114" s="3" t="s">
        <v>1145</v>
      </c>
      <c r="D114" s="3" t="s">
        <v>1146</v>
      </c>
      <c r="E114" s="3" t="s">
        <v>1147</v>
      </c>
      <c r="F114" s="3" t="s">
        <v>867</v>
      </c>
      <c r="G114" s="3">
        <v>6</v>
      </c>
      <c r="H114" s="3">
        <v>0</v>
      </c>
      <c r="I114" s="3">
        <v>6</v>
      </c>
      <c r="J114" s="3">
        <v>0</v>
      </c>
      <c r="K114" s="3">
        <v>0</v>
      </c>
      <c r="L114" s="3">
        <v>0</v>
      </c>
      <c r="M114" s="3">
        <v>0</v>
      </c>
      <c r="N114" s="3" t="s">
        <v>868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871</v>
      </c>
      <c r="X114" s="3">
        <v>19.99</v>
      </c>
      <c r="Y114" s="3">
        <v>19.99</v>
      </c>
      <c r="Z114" s="3">
        <v>19.99</v>
      </c>
      <c r="AA114" s="3">
        <v>0</v>
      </c>
      <c r="AB114" s="3" t="s">
        <v>869</v>
      </c>
      <c r="AC114" s="3">
        <v>0</v>
      </c>
      <c r="AD114" s="3">
        <v>19.99</v>
      </c>
      <c r="AE114" s="3">
        <v>63</v>
      </c>
      <c r="AF114" s="3">
        <v>0</v>
      </c>
      <c r="AG114" s="3">
        <v>147.984819</v>
      </c>
      <c r="AH114" s="3">
        <v>0</v>
      </c>
      <c r="AI114" s="3">
        <v>1.288128</v>
      </c>
      <c r="AJ114" s="3" t="s">
        <v>925</v>
      </c>
    </row>
    <row r="115" spans="1:36">
      <c r="A115" s="5">
        <v>43336</v>
      </c>
      <c r="B115" s="3" t="s">
        <v>520</v>
      </c>
      <c r="C115" s="3" t="s">
        <v>521</v>
      </c>
      <c r="D115" s="3" t="s">
        <v>521</v>
      </c>
      <c r="E115" s="3" t="s">
        <v>522</v>
      </c>
      <c r="F115" s="3" t="s">
        <v>867</v>
      </c>
      <c r="G115" s="3">
        <v>20</v>
      </c>
      <c r="H115" s="3">
        <v>0</v>
      </c>
      <c r="I115" s="3">
        <v>8</v>
      </c>
      <c r="J115" s="3">
        <v>12</v>
      </c>
      <c r="K115" s="3">
        <v>0</v>
      </c>
      <c r="L115" s="3">
        <v>0</v>
      </c>
      <c r="M115" s="3">
        <v>0</v>
      </c>
      <c r="N115" s="3" t="s">
        <v>868</v>
      </c>
      <c r="O115" s="3">
        <v>0</v>
      </c>
      <c r="P115" s="3">
        <v>0</v>
      </c>
      <c r="Q115" s="3">
        <v>0</v>
      </c>
      <c r="R115" s="3">
        <v>0</v>
      </c>
      <c r="S115" s="3">
        <v>2</v>
      </c>
      <c r="T115" s="3">
        <v>4</v>
      </c>
      <c r="U115" s="3">
        <v>5</v>
      </c>
      <c r="V115" s="3">
        <v>5</v>
      </c>
      <c r="W115" s="3"/>
      <c r="X115" s="3">
        <v>22.98</v>
      </c>
      <c r="Y115" s="3">
        <v>22.98</v>
      </c>
      <c r="Z115" s="3">
        <v>22.98</v>
      </c>
      <c r="AA115" s="3">
        <v>0</v>
      </c>
      <c r="AB115" s="3" t="s">
        <v>883</v>
      </c>
      <c r="AC115" s="3">
        <v>15</v>
      </c>
      <c r="AD115" s="3">
        <v>18.38</v>
      </c>
      <c r="AE115" s="3">
        <v>98</v>
      </c>
      <c r="AF115" s="3">
        <v>0</v>
      </c>
      <c r="AG115" s="3">
        <v>7.17516</v>
      </c>
      <c r="AH115" s="3">
        <v>0.194174757281553</v>
      </c>
      <c r="AI115" s="3">
        <v>4.26436</v>
      </c>
      <c r="AJ115" s="3" t="s">
        <v>870</v>
      </c>
    </row>
    <row r="116" spans="1:36">
      <c r="A116" s="5">
        <v>43336</v>
      </c>
      <c r="B116" s="3" t="s">
        <v>1148</v>
      </c>
      <c r="C116" s="3" t="s">
        <v>331</v>
      </c>
      <c r="D116" s="3" t="s">
        <v>331</v>
      </c>
      <c r="E116" s="3" t="s">
        <v>332</v>
      </c>
      <c r="F116" s="3" t="s">
        <v>867</v>
      </c>
      <c r="G116" s="3">
        <v>1</v>
      </c>
      <c r="H116" s="3">
        <v>0</v>
      </c>
      <c r="I116" s="3">
        <v>1</v>
      </c>
      <c r="J116" s="3">
        <v>0</v>
      </c>
      <c r="K116" s="3">
        <v>0</v>
      </c>
      <c r="L116" s="3">
        <v>0</v>
      </c>
      <c r="M116" s="3">
        <v>0</v>
      </c>
      <c r="N116" s="3" t="s">
        <v>868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4</v>
      </c>
      <c r="V116" s="3">
        <v>15</v>
      </c>
      <c r="W116" s="3" t="s">
        <v>871</v>
      </c>
      <c r="X116" s="3">
        <v>22.99</v>
      </c>
      <c r="Y116" s="3">
        <v>22.99</v>
      </c>
      <c r="Z116" s="3">
        <v>22.99</v>
      </c>
      <c r="AA116" s="3">
        <v>0</v>
      </c>
      <c r="AB116" s="3" t="s">
        <v>883</v>
      </c>
      <c r="AC116" s="3">
        <v>1</v>
      </c>
      <c r="AD116" s="3">
        <v>22.98</v>
      </c>
      <c r="AE116" s="3">
        <v>0</v>
      </c>
      <c r="AF116" s="3">
        <v>0</v>
      </c>
      <c r="AG116" s="3">
        <v>0</v>
      </c>
      <c r="AH116" s="3">
        <v>2.85714285714285</v>
      </c>
      <c r="AI116" s="3">
        <v>0.11853</v>
      </c>
      <c r="AJ116" s="3" t="s">
        <v>870</v>
      </c>
    </row>
    <row r="117" spans="1:36">
      <c r="A117" s="5">
        <v>43336</v>
      </c>
      <c r="B117" s="3" t="s">
        <v>1149</v>
      </c>
      <c r="C117" s="3" t="s">
        <v>1150</v>
      </c>
      <c r="D117" s="3" t="s">
        <v>1150</v>
      </c>
      <c r="E117" s="3" t="s">
        <v>1151</v>
      </c>
      <c r="F117" s="3" t="s">
        <v>867</v>
      </c>
      <c r="G117" s="3">
        <v>7</v>
      </c>
      <c r="H117" s="3">
        <v>0</v>
      </c>
      <c r="I117" s="3">
        <v>0</v>
      </c>
      <c r="J117" s="3">
        <v>7</v>
      </c>
      <c r="K117" s="3">
        <v>0</v>
      </c>
      <c r="L117" s="3">
        <v>0</v>
      </c>
      <c r="M117" s="3">
        <v>0</v>
      </c>
      <c r="N117" s="3" t="s">
        <v>868</v>
      </c>
      <c r="O117" s="3">
        <v>7</v>
      </c>
      <c r="P117" s="3">
        <v>3.98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/>
      <c r="X117" s="3"/>
      <c r="Y117" s="3"/>
      <c r="Z117" s="3">
        <v>-1</v>
      </c>
      <c r="AA117" s="3">
        <v>-1</v>
      </c>
      <c r="AB117" s="3" t="s">
        <v>891</v>
      </c>
      <c r="AC117" s="3">
        <v>0</v>
      </c>
      <c r="AD117" s="3">
        <v>0</v>
      </c>
      <c r="AE117" s="3">
        <v>0</v>
      </c>
      <c r="AF117" s="3">
        <v>0</v>
      </c>
      <c r="AG117" s="3">
        <v>0</v>
      </c>
      <c r="AH117" s="3">
        <v>0</v>
      </c>
      <c r="AI117" s="3">
        <v>1.154566</v>
      </c>
      <c r="AJ117" s="3" t="s">
        <v>870</v>
      </c>
    </row>
    <row r="118" spans="1:36">
      <c r="A118" s="5">
        <v>43336</v>
      </c>
      <c r="B118" s="3" t="s">
        <v>1152</v>
      </c>
      <c r="C118" s="3" t="s">
        <v>1153</v>
      </c>
      <c r="D118" s="3" t="s">
        <v>1153</v>
      </c>
      <c r="E118" s="3" t="s">
        <v>1154</v>
      </c>
      <c r="F118" s="3" t="s">
        <v>867</v>
      </c>
      <c r="G118" s="3">
        <v>26</v>
      </c>
      <c r="H118" s="3">
        <v>0</v>
      </c>
      <c r="I118" s="3">
        <v>1</v>
      </c>
      <c r="J118" s="3">
        <v>21</v>
      </c>
      <c r="K118" s="3">
        <v>2</v>
      </c>
      <c r="L118" s="3">
        <v>2</v>
      </c>
      <c r="M118" s="3">
        <v>0</v>
      </c>
      <c r="N118" s="3" t="s">
        <v>868</v>
      </c>
      <c r="O118" s="3">
        <v>16</v>
      </c>
      <c r="P118" s="3">
        <v>7.62</v>
      </c>
      <c r="Q118" s="3">
        <v>0</v>
      </c>
      <c r="R118" s="3">
        <v>0</v>
      </c>
      <c r="S118" s="3">
        <v>0</v>
      </c>
      <c r="T118" s="3">
        <v>0</v>
      </c>
      <c r="U118" s="3">
        <v>2</v>
      </c>
      <c r="V118" s="3">
        <v>4</v>
      </c>
      <c r="W118" s="3" t="s">
        <v>871</v>
      </c>
      <c r="X118" s="3">
        <v>22.98</v>
      </c>
      <c r="Y118" s="3">
        <v>22.98</v>
      </c>
      <c r="Z118" s="3">
        <v>22.98</v>
      </c>
      <c r="AA118" s="3">
        <v>0</v>
      </c>
      <c r="AB118" s="3" t="s">
        <v>883</v>
      </c>
      <c r="AC118" s="3">
        <v>10</v>
      </c>
      <c r="AD118" s="3">
        <v>18.38</v>
      </c>
      <c r="AE118" s="3">
        <v>336</v>
      </c>
      <c r="AF118" s="3">
        <v>0</v>
      </c>
      <c r="AG118" s="3">
        <v>54.883073</v>
      </c>
      <c r="AH118" s="3">
        <v>0.148148148148148</v>
      </c>
      <c r="AI118" s="3">
        <v>3.590652</v>
      </c>
      <c r="AJ118" s="3" t="s">
        <v>870</v>
      </c>
    </row>
    <row r="119" spans="1:36">
      <c r="A119" s="5">
        <v>43336</v>
      </c>
      <c r="B119" s="3" t="s">
        <v>124</v>
      </c>
      <c r="C119" s="3" t="s">
        <v>125</v>
      </c>
      <c r="D119" s="3" t="s">
        <v>126</v>
      </c>
      <c r="E119" s="3" t="s">
        <v>127</v>
      </c>
      <c r="F119" s="3" t="s">
        <v>867</v>
      </c>
      <c r="G119" s="3">
        <v>1</v>
      </c>
      <c r="H119" s="3">
        <v>0</v>
      </c>
      <c r="I119" s="3">
        <v>1</v>
      </c>
      <c r="J119" s="3">
        <v>0</v>
      </c>
      <c r="K119" s="3">
        <v>0</v>
      </c>
      <c r="L119" s="3">
        <v>0</v>
      </c>
      <c r="M119" s="3">
        <v>0</v>
      </c>
      <c r="N119" s="3" t="s">
        <v>868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871</v>
      </c>
      <c r="X119" s="3">
        <v>22.99</v>
      </c>
      <c r="Y119" s="3">
        <v>22.98</v>
      </c>
      <c r="Z119" s="3">
        <v>22.98</v>
      </c>
      <c r="AA119" s="3">
        <v>0</v>
      </c>
      <c r="AB119" s="3" t="s">
        <v>869</v>
      </c>
      <c r="AC119" s="3">
        <v>0</v>
      </c>
      <c r="AD119" s="3">
        <v>0</v>
      </c>
      <c r="AE119" s="3">
        <v>0</v>
      </c>
      <c r="AF119" s="3">
        <v>0</v>
      </c>
      <c r="AG119" s="3">
        <v>0</v>
      </c>
      <c r="AH119" s="3">
        <v>0.157480314960629</v>
      </c>
      <c r="AI119" s="3">
        <v>0.145901</v>
      </c>
      <c r="AJ119" s="3" t="s">
        <v>870</v>
      </c>
    </row>
    <row r="120" spans="1:36">
      <c r="A120" s="5">
        <v>43336</v>
      </c>
      <c r="B120" s="3" t="s">
        <v>1155</v>
      </c>
      <c r="C120" s="3" t="s">
        <v>1156</v>
      </c>
      <c r="D120" s="3" t="s">
        <v>1156</v>
      </c>
      <c r="E120" s="3" t="s">
        <v>1157</v>
      </c>
      <c r="F120" s="3" t="s">
        <v>867</v>
      </c>
      <c r="G120" s="3">
        <v>2</v>
      </c>
      <c r="H120" s="3">
        <v>0</v>
      </c>
      <c r="I120" s="3">
        <v>1</v>
      </c>
      <c r="J120" s="3">
        <v>1</v>
      </c>
      <c r="K120" s="3">
        <v>0</v>
      </c>
      <c r="L120" s="3">
        <v>0</v>
      </c>
      <c r="M120" s="3">
        <v>0</v>
      </c>
      <c r="N120" s="3" t="s">
        <v>868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12</v>
      </c>
      <c r="U120" s="3">
        <v>14</v>
      </c>
      <c r="V120" s="3">
        <v>18</v>
      </c>
      <c r="W120" s="3"/>
      <c r="X120" s="3">
        <v>22.99</v>
      </c>
      <c r="Y120" s="3">
        <v>22.99</v>
      </c>
      <c r="Z120" s="3">
        <v>22.98</v>
      </c>
      <c r="AA120" s="3">
        <v>0</v>
      </c>
      <c r="AB120" s="3" t="s">
        <v>869</v>
      </c>
      <c r="AC120" s="3">
        <v>2</v>
      </c>
      <c r="AD120" s="3">
        <v>22.99</v>
      </c>
      <c r="AE120" s="3">
        <v>0</v>
      </c>
      <c r="AF120" s="3">
        <v>0</v>
      </c>
      <c r="AG120" s="3">
        <v>0</v>
      </c>
      <c r="AH120" s="3">
        <v>0.503496503496503</v>
      </c>
      <c r="AI120" s="3">
        <v>0.187826</v>
      </c>
      <c r="AJ120" s="3" t="s">
        <v>870</v>
      </c>
    </row>
    <row r="121" spans="1:36">
      <c r="A121" s="5">
        <v>43336</v>
      </c>
      <c r="B121" s="3" t="s">
        <v>685</v>
      </c>
      <c r="C121" s="3" t="s">
        <v>686</v>
      </c>
      <c r="D121" s="3" t="s">
        <v>686</v>
      </c>
      <c r="E121" s="3" t="s">
        <v>687</v>
      </c>
      <c r="F121" s="3" t="s">
        <v>867</v>
      </c>
      <c r="G121" s="3">
        <v>23</v>
      </c>
      <c r="H121" s="3">
        <v>0</v>
      </c>
      <c r="I121" s="3">
        <v>10</v>
      </c>
      <c r="J121" s="3">
        <v>13</v>
      </c>
      <c r="K121" s="3">
        <v>0</v>
      </c>
      <c r="L121" s="3">
        <v>0</v>
      </c>
      <c r="M121" s="3">
        <v>0</v>
      </c>
      <c r="N121" s="3" t="s">
        <v>868</v>
      </c>
      <c r="O121" s="3">
        <v>0</v>
      </c>
      <c r="P121" s="3">
        <v>0</v>
      </c>
      <c r="Q121" s="3">
        <v>0</v>
      </c>
      <c r="R121" s="3">
        <v>0</v>
      </c>
      <c r="S121" s="3">
        <v>1</v>
      </c>
      <c r="T121" s="3">
        <v>2</v>
      </c>
      <c r="U121" s="3">
        <v>2</v>
      </c>
      <c r="V121" s="3">
        <v>2</v>
      </c>
      <c r="W121" s="3"/>
      <c r="X121" s="3">
        <v>23.98</v>
      </c>
      <c r="Y121" s="3">
        <v>23.98</v>
      </c>
      <c r="Z121" s="3">
        <v>23.98</v>
      </c>
      <c r="AA121" s="3">
        <v>0</v>
      </c>
      <c r="AB121" s="3" t="s">
        <v>883</v>
      </c>
      <c r="AC121" s="3">
        <v>2</v>
      </c>
      <c r="AD121" s="3">
        <v>21.16</v>
      </c>
      <c r="AE121" s="3">
        <v>189</v>
      </c>
      <c r="AF121" s="3">
        <v>0</v>
      </c>
      <c r="AG121" s="3">
        <v>711.376079</v>
      </c>
      <c r="AH121" s="3">
        <v>0.0909090909090909</v>
      </c>
      <c r="AI121" s="3">
        <v>3.853466</v>
      </c>
      <c r="AJ121" s="3" t="s">
        <v>870</v>
      </c>
    </row>
    <row r="122" spans="1:36">
      <c r="A122" s="5">
        <v>43336</v>
      </c>
      <c r="B122" s="3" t="s">
        <v>570</v>
      </c>
      <c r="C122" s="3" t="s">
        <v>571</v>
      </c>
      <c r="D122" s="3" t="s">
        <v>571</v>
      </c>
      <c r="E122" s="3" t="s">
        <v>572</v>
      </c>
      <c r="F122" s="3" t="s">
        <v>867</v>
      </c>
      <c r="G122" s="3">
        <v>10</v>
      </c>
      <c r="H122" s="3">
        <v>0</v>
      </c>
      <c r="I122" s="3">
        <v>0</v>
      </c>
      <c r="J122" s="3">
        <v>10</v>
      </c>
      <c r="K122" s="3">
        <v>0</v>
      </c>
      <c r="L122" s="3">
        <v>0</v>
      </c>
      <c r="M122" s="3">
        <v>0</v>
      </c>
      <c r="N122" s="3" t="s">
        <v>868</v>
      </c>
      <c r="O122" s="3">
        <v>9</v>
      </c>
      <c r="P122" s="3">
        <v>5.12</v>
      </c>
      <c r="Q122" s="3">
        <v>0</v>
      </c>
      <c r="R122" s="3">
        <v>0</v>
      </c>
      <c r="S122" s="3">
        <v>0</v>
      </c>
      <c r="T122" s="3">
        <v>1</v>
      </c>
      <c r="U122" s="3">
        <v>1</v>
      </c>
      <c r="V122" s="3">
        <v>3</v>
      </c>
      <c r="W122" s="3" t="s">
        <v>871</v>
      </c>
      <c r="X122" s="3">
        <v>25.98</v>
      </c>
      <c r="Y122" s="3">
        <v>25.98</v>
      </c>
      <c r="Z122" s="3">
        <v>25.98</v>
      </c>
      <c r="AA122" s="3">
        <v>0</v>
      </c>
      <c r="AB122" s="3" t="s">
        <v>883</v>
      </c>
      <c r="AC122" s="3">
        <v>0</v>
      </c>
      <c r="AD122" s="3">
        <v>21.9</v>
      </c>
      <c r="AE122" s="3">
        <v>329</v>
      </c>
      <c r="AF122" s="3">
        <v>0</v>
      </c>
      <c r="AG122" s="3">
        <v>286.582483</v>
      </c>
      <c r="AH122" s="3">
        <v>0.19047619047619</v>
      </c>
      <c r="AI122" s="3">
        <v>1.64938</v>
      </c>
      <c r="AJ122" s="3" t="s">
        <v>870</v>
      </c>
    </row>
    <row r="123" spans="1:36">
      <c r="A123" s="5">
        <v>43336</v>
      </c>
      <c r="B123" s="3" t="s">
        <v>669</v>
      </c>
      <c r="C123" s="3" t="s">
        <v>670</v>
      </c>
      <c r="D123" s="3" t="s">
        <v>671</v>
      </c>
      <c r="E123" s="3" t="s">
        <v>672</v>
      </c>
      <c r="F123" s="3" t="s">
        <v>867</v>
      </c>
      <c r="G123" s="3">
        <v>5</v>
      </c>
      <c r="H123" s="3">
        <v>0</v>
      </c>
      <c r="I123" s="3">
        <v>5</v>
      </c>
      <c r="J123" s="3">
        <v>0</v>
      </c>
      <c r="K123" s="3">
        <v>0</v>
      </c>
      <c r="L123" s="3">
        <v>0</v>
      </c>
      <c r="M123" s="3">
        <v>0</v>
      </c>
      <c r="N123" s="3" t="s">
        <v>868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 t="s">
        <v>871</v>
      </c>
      <c r="X123" s="3">
        <v>22.98</v>
      </c>
      <c r="Y123" s="3">
        <v>22.98</v>
      </c>
      <c r="Z123" s="3">
        <v>22.98</v>
      </c>
      <c r="AA123" s="3">
        <v>0</v>
      </c>
      <c r="AB123" s="3" t="s">
        <v>883</v>
      </c>
      <c r="AC123" s="3">
        <v>0</v>
      </c>
      <c r="AD123" s="3">
        <v>18.38</v>
      </c>
      <c r="AE123" s="3">
        <v>63</v>
      </c>
      <c r="AF123" s="3">
        <v>0</v>
      </c>
      <c r="AG123" s="3">
        <v>101.449509</v>
      </c>
      <c r="AH123" s="3">
        <v>0</v>
      </c>
      <c r="AI123" s="3">
        <v>0.75965</v>
      </c>
      <c r="AJ123" s="3" t="s">
        <v>870</v>
      </c>
    </row>
    <row r="124" spans="1:36">
      <c r="A124" s="5">
        <v>43336</v>
      </c>
      <c r="B124" s="3" t="s">
        <v>591</v>
      </c>
      <c r="C124" s="3" t="s">
        <v>355</v>
      </c>
      <c r="D124" s="3" t="s">
        <v>355</v>
      </c>
      <c r="E124" s="3" t="s">
        <v>356</v>
      </c>
      <c r="F124" s="3" t="s">
        <v>867</v>
      </c>
      <c r="G124" s="3">
        <v>14</v>
      </c>
      <c r="H124" s="3">
        <v>0</v>
      </c>
      <c r="I124" s="3">
        <v>14</v>
      </c>
      <c r="J124" s="3">
        <v>0</v>
      </c>
      <c r="K124" s="3">
        <v>0</v>
      </c>
      <c r="L124" s="3">
        <v>0</v>
      </c>
      <c r="M124" s="3">
        <v>0</v>
      </c>
      <c r="N124" s="3" t="s">
        <v>868</v>
      </c>
      <c r="O124" s="3">
        <v>0</v>
      </c>
      <c r="P124" s="3">
        <v>0</v>
      </c>
      <c r="Q124" s="3">
        <v>0</v>
      </c>
      <c r="R124" s="3">
        <v>0</v>
      </c>
      <c r="S124" s="3">
        <v>2</v>
      </c>
      <c r="T124" s="3">
        <v>25</v>
      </c>
      <c r="U124" s="3">
        <v>37</v>
      </c>
      <c r="V124" s="3">
        <v>37</v>
      </c>
      <c r="W124" s="3" t="s">
        <v>871</v>
      </c>
      <c r="X124" s="3">
        <v>21.98</v>
      </c>
      <c r="Y124" s="3">
        <v>21.98</v>
      </c>
      <c r="Z124" s="3">
        <v>21.98</v>
      </c>
      <c r="AA124" s="3">
        <v>0</v>
      </c>
      <c r="AB124" s="3" t="s">
        <v>869</v>
      </c>
      <c r="AC124" s="3">
        <v>16</v>
      </c>
      <c r="AD124" s="3">
        <v>21.98</v>
      </c>
      <c r="AE124" s="3">
        <v>0</v>
      </c>
      <c r="AF124" s="3">
        <v>0</v>
      </c>
      <c r="AG124" s="3">
        <v>0</v>
      </c>
      <c r="AH124" s="3">
        <v>3.30434782608695</v>
      </c>
      <c r="AI124" s="3">
        <v>0.637406</v>
      </c>
      <c r="AJ124" s="3" t="s">
        <v>870</v>
      </c>
    </row>
    <row r="125" spans="1:36">
      <c r="A125" s="5">
        <v>43336</v>
      </c>
      <c r="B125" s="3" t="s">
        <v>1158</v>
      </c>
      <c r="C125" s="3" t="s">
        <v>1159</v>
      </c>
      <c r="D125" s="3" t="s">
        <v>1160</v>
      </c>
      <c r="E125" s="3" t="s">
        <v>1161</v>
      </c>
      <c r="F125" s="3" t="s">
        <v>867</v>
      </c>
      <c r="G125" s="3">
        <v>12</v>
      </c>
      <c r="H125" s="3">
        <v>0</v>
      </c>
      <c r="I125" s="3">
        <v>12</v>
      </c>
      <c r="J125" s="3">
        <v>0</v>
      </c>
      <c r="K125" s="3">
        <v>0</v>
      </c>
      <c r="L125" s="3">
        <v>0</v>
      </c>
      <c r="M125" s="3">
        <v>0</v>
      </c>
      <c r="N125" s="3" t="s">
        <v>868</v>
      </c>
      <c r="O125" s="3">
        <v>0</v>
      </c>
      <c r="P125" s="3">
        <v>0</v>
      </c>
      <c r="Q125" s="3">
        <v>0</v>
      </c>
      <c r="R125" s="3">
        <v>0</v>
      </c>
      <c r="S125" s="3">
        <v>1</v>
      </c>
      <c r="T125" s="3">
        <v>3</v>
      </c>
      <c r="U125" s="3">
        <v>3</v>
      </c>
      <c r="V125" s="3">
        <v>3</v>
      </c>
      <c r="W125" s="3"/>
      <c r="X125" s="3">
        <v>36.98</v>
      </c>
      <c r="Y125" s="3">
        <v>18.99</v>
      </c>
      <c r="Z125" s="3">
        <v>18.99</v>
      </c>
      <c r="AA125" s="3">
        <v>0</v>
      </c>
      <c r="AB125" s="3" t="s">
        <v>869</v>
      </c>
      <c r="AC125" s="3">
        <v>13</v>
      </c>
      <c r="AD125" s="3">
        <v>18.99</v>
      </c>
      <c r="AE125" s="3">
        <v>0</v>
      </c>
      <c r="AF125" s="3">
        <v>0</v>
      </c>
      <c r="AG125" s="3">
        <v>0</v>
      </c>
      <c r="AH125" s="3">
        <v>0.5</v>
      </c>
      <c r="AI125" s="3">
        <v>1.521564</v>
      </c>
      <c r="AJ125" s="3" t="s">
        <v>925</v>
      </c>
    </row>
    <row r="126" spans="1:36">
      <c r="A126" s="5">
        <v>43336</v>
      </c>
      <c r="B126" s="3" t="s">
        <v>1162</v>
      </c>
      <c r="C126" s="3" t="s">
        <v>1163</v>
      </c>
      <c r="D126" s="3" t="s">
        <v>1163</v>
      </c>
      <c r="E126" s="3" t="s">
        <v>1164</v>
      </c>
      <c r="F126" s="3" t="s">
        <v>867</v>
      </c>
      <c r="G126" s="3">
        <v>5</v>
      </c>
      <c r="H126" s="3">
        <v>0</v>
      </c>
      <c r="I126" s="3">
        <v>0</v>
      </c>
      <c r="J126" s="3">
        <v>2</v>
      </c>
      <c r="K126" s="3">
        <v>3</v>
      </c>
      <c r="L126" s="3">
        <v>0</v>
      </c>
      <c r="M126" s="3">
        <v>0</v>
      </c>
      <c r="N126" s="3" t="s">
        <v>868</v>
      </c>
      <c r="O126" s="3">
        <v>5</v>
      </c>
      <c r="P126" s="3">
        <v>1.52</v>
      </c>
      <c r="Q126" s="3">
        <v>0</v>
      </c>
      <c r="R126" s="3">
        <v>0</v>
      </c>
      <c r="S126" s="3">
        <v>0</v>
      </c>
      <c r="T126" s="3">
        <v>0</v>
      </c>
      <c r="U126" s="3">
        <v>1</v>
      </c>
      <c r="V126" s="3">
        <v>1</v>
      </c>
      <c r="W126" s="3" t="s">
        <v>871</v>
      </c>
      <c r="X126" s="3">
        <v>23.98</v>
      </c>
      <c r="Y126" s="3">
        <v>23.98</v>
      </c>
      <c r="Z126" s="3">
        <v>23.98</v>
      </c>
      <c r="AA126" s="3">
        <v>0</v>
      </c>
      <c r="AB126" s="3" t="s">
        <v>883</v>
      </c>
      <c r="AC126" s="3">
        <v>1</v>
      </c>
      <c r="AD126" s="3">
        <v>22.69</v>
      </c>
      <c r="AE126" s="3">
        <v>63</v>
      </c>
      <c r="AF126" s="3">
        <v>0</v>
      </c>
      <c r="AG126" s="3">
        <v>111.212721</v>
      </c>
      <c r="AH126" s="3">
        <v>0.181818181818181</v>
      </c>
      <c r="AI126" s="3">
        <v>0.441165</v>
      </c>
      <c r="AJ126" s="3" t="s">
        <v>870</v>
      </c>
    </row>
    <row r="127" spans="1:36">
      <c r="A127" s="5">
        <v>43336</v>
      </c>
      <c r="B127" s="3" t="s">
        <v>1165</v>
      </c>
      <c r="C127" s="3" t="s">
        <v>1166</v>
      </c>
      <c r="D127" s="3" t="s">
        <v>1166</v>
      </c>
      <c r="E127" s="3" t="s">
        <v>1167</v>
      </c>
      <c r="F127" s="3" t="s">
        <v>867</v>
      </c>
      <c r="G127" s="3">
        <v>3</v>
      </c>
      <c r="H127" s="3">
        <v>0</v>
      </c>
      <c r="I127" s="3">
        <v>1</v>
      </c>
      <c r="J127" s="3">
        <v>1</v>
      </c>
      <c r="K127" s="3">
        <v>1</v>
      </c>
      <c r="L127" s="3">
        <v>0</v>
      </c>
      <c r="M127" s="3">
        <v>0</v>
      </c>
      <c r="N127" s="3" t="s">
        <v>868</v>
      </c>
      <c r="O127" s="3">
        <v>1</v>
      </c>
      <c r="P127" s="3">
        <v>0.41</v>
      </c>
      <c r="Q127" s="3">
        <v>0</v>
      </c>
      <c r="R127" s="3">
        <v>0</v>
      </c>
      <c r="S127" s="3">
        <v>1</v>
      </c>
      <c r="T127" s="3">
        <v>1</v>
      </c>
      <c r="U127" s="3">
        <v>2</v>
      </c>
      <c r="V127" s="3">
        <v>2</v>
      </c>
      <c r="W127" s="3"/>
      <c r="X127" s="3">
        <v>22.98</v>
      </c>
      <c r="Y127" s="3">
        <v>22.98</v>
      </c>
      <c r="Z127" s="3">
        <v>22.98</v>
      </c>
      <c r="AA127" s="3">
        <v>0</v>
      </c>
      <c r="AB127" s="3" t="s">
        <v>883</v>
      </c>
      <c r="AC127" s="3">
        <v>0</v>
      </c>
      <c r="AD127" s="3">
        <v>21.76</v>
      </c>
      <c r="AE127" s="3">
        <v>63</v>
      </c>
      <c r="AF127" s="3">
        <v>0</v>
      </c>
      <c r="AG127" s="3">
        <v>78.002641</v>
      </c>
      <c r="AH127" s="3">
        <v>0.140350877192982</v>
      </c>
      <c r="AI127" s="3">
        <v>0.352635</v>
      </c>
      <c r="AJ127" s="3" t="s">
        <v>870</v>
      </c>
    </row>
    <row r="128" spans="1:36">
      <c r="A128" s="5">
        <v>43336</v>
      </c>
      <c r="B128" s="3" t="s">
        <v>1168</v>
      </c>
      <c r="C128" s="3" t="s">
        <v>1169</v>
      </c>
      <c r="D128" s="3" t="s">
        <v>1170</v>
      </c>
      <c r="E128" s="3" t="s">
        <v>1171</v>
      </c>
      <c r="F128" s="3" t="s">
        <v>867</v>
      </c>
      <c r="G128" s="3">
        <v>15</v>
      </c>
      <c r="H128" s="3">
        <v>0</v>
      </c>
      <c r="I128" s="3">
        <v>15</v>
      </c>
      <c r="J128" s="3">
        <v>0</v>
      </c>
      <c r="K128" s="3">
        <v>0</v>
      </c>
      <c r="L128" s="3">
        <v>0</v>
      </c>
      <c r="M128" s="3">
        <v>0</v>
      </c>
      <c r="N128" s="3" t="s">
        <v>868</v>
      </c>
      <c r="O128" s="3">
        <v>0</v>
      </c>
      <c r="P128" s="3">
        <v>0</v>
      </c>
      <c r="Q128" s="3">
        <v>0</v>
      </c>
      <c r="R128" s="3">
        <v>0</v>
      </c>
      <c r="S128" s="3">
        <v>3</v>
      </c>
      <c r="T128" s="3">
        <v>4</v>
      </c>
      <c r="U128" s="3">
        <v>15</v>
      </c>
      <c r="V128" s="3">
        <v>15</v>
      </c>
      <c r="W128" s="3"/>
      <c r="X128" s="3">
        <v>23.99</v>
      </c>
      <c r="Y128" s="3">
        <v>16.36</v>
      </c>
      <c r="Z128" s="3">
        <v>16.36</v>
      </c>
      <c r="AA128" s="3">
        <v>0</v>
      </c>
      <c r="AB128" s="3" t="s">
        <v>869</v>
      </c>
      <c r="AC128" s="3">
        <v>17</v>
      </c>
      <c r="AD128" s="3">
        <v>16.36</v>
      </c>
      <c r="AE128" s="3">
        <v>0</v>
      </c>
      <c r="AF128" s="3">
        <v>0</v>
      </c>
      <c r="AG128" s="3">
        <v>0</v>
      </c>
      <c r="AH128" s="3">
        <v>1.88461538461538</v>
      </c>
      <c r="AI128" s="3">
        <v>2.245395</v>
      </c>
      <c r="AJ128" s="3" t="s">
        <v>870</v>
      </c>
    </row>
    <row r="129" spans="1:36">
      <c r="A129" s="5">
        <v>43336</v>
      </c>
      <c r="B129" s="3" t="s">
        <v>1172</v>
      </c>
      <c r="C129" s="3" t="s">
        <v>1173</v>
      </c>
      <c r="D129" s="3" t="s">
        <v>1174</v>
      </c>
      <c r="E129" s="3" t="s">
        <v>1175</v>
      </c>
      <c r="F129" s="3" t="s">
        <v>867</v>
      </c>
      <c r="G129" s="3">
        <v>6</v>
      </c>
      <c r="H129" s="3">
        <v>0</v>
      </c>
      <c r="I129" s="3">
        <v>6</v>
      </c>
      <c r="J129" s="3">
        <v>0</v>
      </c>
      <c r="K129" s="3">
        <v>0</v>
      </c>
      <c r="L129" s="3">
        <v>0</v>
      </c>
      <c r="M129" s="3">
        <v>0</v>
      </c>
      <c r="N129" s="3" t="s">
        <v>868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871</v>
      </c>
      <c r="X129" s="3">
        <v>21.98</v>
      </c>
      <c r="Y129" s="3">
        <v>21.98</v>
      </c>
      <c r="Z129" s="3">
        <v>21.98</v>
      </c>
      <c r="AA129" s="3">
        <v>0</v>
      </c>
      <c r="AB129" s="3" t="s">
        <v>883</v>
      </c>
      <c r="AC129" s="3">
        <v>0</v>
      </c>
      <c r="AD129" s="3">
        <v>18.99</v>
      </c>
      <c r="AE129" s="3">
        <v>63</v>
      </c>
      <c r="AF129" s="3">
        <v>0</v>
      </c>
      <c r="AG129" s="3">
        <v>140.768098</v>
      </c>
      <c r="AH129" s="3">
        <v>0</v>
      </c>
      <c r="AI129" s="3">
        <v>1.111158</v>
      </c>
      <c r="AJ129" s="3" t="s">
        <v>925</v>
      </c>
    </row>
    <row r="130" spans="1:36">
      <c r="A130" s="5">
        <v>43336</v>
      </c>
      <c r="B130" s="3" t="s">
        <v>1176</v>
      </c>
      <c r="C130" s="3" t="s">
        <v>1177</v>
      </c>
      <c r="D130" s="3" t="s">
        <v>1177</v>
      </c>
      <c r="E130" s="3" t="s">
        <v>1178</v>
      </c>
      <c r="F130" s="3" t="s">
        <v>867</v>
      </c>
      <c r="G130" s="3">
        <v>5</v>
      </c>
      <c r="H130" s="3">
        <v>0</v>
      </c>
      <c r="I130" s="3">
        <v>5</v>
      </c>
      <c r="J130" s="3">
        <v>0</v>
      </c>
      <c r="K130" s="3">
        <v>0</v>
      </c>
      <c r="L130" s="3">
        <v>0</v>
      </c>
      <c r="M130" s="3">
        <v>0</v>
      </c>
      <c r="N130" s="3" t="s">
        <v>868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1</v>
      </c>
      <c r="U130" s="3">
        <v>3</v>
      </c>
      <c r="V130" s="3">
        <v>5</v>
      </c>
      <c r="W130" s="3" t="s">
        <v>871</v>
      </c>
      <c r="X130" s="3">
        <v>26.98</v>
      </c>
      <c r="Y130" s="3">
        <v>26.98</v>
      </c>
      <c r="Z130" s="3">
        <v>26.98</v>
      </c>
      <c r="AA130" s="3">
        <v>0</v>
      </c>
      <c r="AB130" s="3" t="s">
        <v>869</v>
      </c>
      <c r="AC130" s="3">
        <v>5</v>
      </c>
      <c r="AD130" s="3">
        <v>26.98</v>
      </c>
      <c r="AE130" s="3">
        <v>0</v>
      </c>
      <c r="AF130" s="3">
        <v>0</v>
      </c>
      <c r="AG130" s="3">
        <v>0</v>
      </c>
      <c r="AH130" s="3">
        <v>0.909090909090909</v>
      </c>
      <c r="AI130" s="3">
        <v>0.661629999999999</v>
      </c>
      <c r="AJ130" s="3" t="s">
        <v>870</v>
      </c>
    </row>
    <row r="131" spans="1:36">
      <c r="A131" s="5">
        <v>43336</v>
      </c>
      <c r="B131" s="3" t="s">
        <v>760</v>
      </c>
      <c r="C131" s="3" t="s">
        <v>761</v>
      </c>
      <c r="D131" s="3" t="s">
        <v>762</v>
      </c>
      <c r="E131" s="3" t="s">
        <v>763</v>
      </c>
      <c r="F131" s="3" t="s">
        <v>867</v>
      </c>
      <c r="G131" s="3">
        <v>6</v>
      </c>
      <c r="H131" s="3">
        <v>0</v>
      </c>
      <c r="I131" s="3">
        <v>6</v>
      </c>
      <c r="J131" s="3">
        <v>0</v>
      </c>
      <c r="K131" s="3">
        <v>0</v>
      </c>
      <c r="L131" s="3">
        <v>0</v>
      </c>
      <c r="M131" s="3">
        <v>0</v>
      </c>
      <c r="N131" s="3" t="s">
        <v>868</v>
      </c>
      <c r="O131" s="3">
        <v>0</v>
      </c>
      <c r="P131" s="3">
        <v>0</v>
      </c>
      <c r="Q131" s="3">
        <v>0</v>
      </c>
      <c r="R131" s="3">
        <v>0</v>
      </c>
      <c r="S131" s="3">
        <v>2</v>
      </c>
      <c r="T131" s="3">
        <v>2</v>
      </c>
      <c r="U131" s="3">
        <v>2</v>
      </c>
      <c r="V131" s="3">
        <v>2</v>
      </c>
      <c r="W131" s="3"/>
      <c r="X131" s="3">
        <v>23.98</v>
      </c>
      <c r="Y131" s="3">
        <v>23.98</v>
      </c>
      <c r="Z131" s="3">
        <v>23.98</v>
      </c>
      <c r="AA131" s="3">
        <v>0</v>
      </c>
      <c r="AB131" s="3" t="s">
        <v>869</v>
      </c>
      <c r="AC131" s="3">
        <v>6</v>
      </c>
      <c r="AD131" s="3">
        <v>23.98</v>
      </c>
      <c r="AE131" s="3">
        <v>0</v>
      </c>
      <c r="AF131" s="3">
        <v>0</v>
      </c>
      <c r="AG131" s="3">
        <v>0</v>
      </c>
      <c r="AH131" s="3">
        <v>0.857142857142857</v>
      </c>
      <c r="AI131" s="3">
        <v>0.730998</v>
      </c>
      <c r="AJ131" s="3" t="s">
        <v>870</v>
      </c>
    </row>
    <row r="132" spans="1:36">
      <c r="A132" s="5">
        <v>43336</v>
      </c>
      <c r="B132" s="3" t="s">
        <v>1179</v>
      </c>
      <c r="C132" s="3" t="s">
        <v>1180</v>
      </c>
      <c r="D132" s="3" t="s">
        <v>1180</v>
      </c>
      <c r="E132" s="3" t="s">
        <v>1181</v>
      </c>
      <c r="F132" s="3" t="s">
        <v>867</v>
      </c>
      <c r="G132" s="3">
        <v>8</v>
      </c>
      <c r="H132" s="3">
        <v>0</v>
      </c>
      <c r="I132" s="3">
        <v>8</v>
      </c>
      <c r="J132" s="3">
        <v>0</v>
      </c>
      <c r="K132" s="3">
        <v>0</v>
      </c>
      <c r="L132" s="3">
        <v>0</v>
      </c>
      <c r="M132" s="3">
        <v>0</v>
      </c>
      <c r="N132" s="3" t="s">
        <v>868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3</v>
      </c>
      <c r="U132" s="3">
        <v>9</v>
      </c>
      <c r="V132" s="3">
        <v>10</v>
      </c>
      <c r="W132" s="3"/>
      <c r="X132" s="3">
        <v>19.98</v>
      </c>
      <c r="Y132" s="3">
        <v>19.98</v>
      </c>
      <c r="Z132" s="3">
        <v>19.98</v>
      </c>
      <c r="AA132" s="3">
        <v>0</v>
      </c>
      <c r="AB132" s="3" t="s">
        <v>869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0.54054054054054</v>
      </c>
      <c r="AI132" s="3">
        <v>1.197544</v>
      </c>
      <c r="AJ132" s="3" t="s">
        <v>870</v>
      </c>
    </row>
    <row r="133" spans="1:36">
      <c r="A133" s="5">
        <v>43336</v>
      </c>
      <c r="B133" s="3" t="s">
        <v>1182</v>
      </c>
      <c r="C133" s="3" t="s">
        <v>1183</v>
      </c>
      <c r="D133" s="3" t="s">
        <v>1183</v>
      </c>
      <c r="E133" s="3" t="s">
        <v>1184</v>
      </c>
      <c r="F133" s="3" t="s">
        <v>867</v>
      </c>
      <c r="G133" s="3">
        <v>3</v>
      </c>
      <c r="H133" s="3">
        <v>0</v>
      </c>
      <c r="I133" s="3">
        <v>0</v>
      </c>
      <c r="J133" s="3">
        <v>1</v>
      </c>
      <c r="K133" s="3">
        <v>2</v>
      </c>
      <c r="L133" s="3">
        <v>0</v>
      </c>
      <c r="M133" s="3">
        <v>0</v>
      </c>
      <c r="N133" s="3" t="s">
        <v>868</v>
      </c>
      <c r="O133" s="3">
        <v>2</v>
      </c>
      <c r="P133" s="3">
        <v>1.16</v>
      </c>
      <c r="Q133" s="3">
        <v>0</v>
      </c>
      <c r="R133" s="3">
        <v>0</v>
      </c>
      <c r="S133" s="3">
        <v>1</v>
      </c>
      <c r="T133" s="3">
        <v>2</v>
      </c>
      <c r="U133" s="3">
        <v>4</v>
      </c>
      <c r="V133" s="3">
        <v>4</v>
      </c>
      <c r="W133" s="3"/>
      <c r="X133" s="3">
        <v>23.98</v>
      </c>
      <c r="Y133" s="3">
        <v>23.98</v>
      </c>
      <c r="Z133" s="3">
        <v>23.98</v>
      </c>
      <c r="AA133" s="3">
        <v>0</v>
      </c>
      <c r="AB133" s="3" t="s">
        <v>883</v>
      </c>
      <c r="AC133" s="3">
        <v>0</v>
      </c>
      <c r="AD133" s="3">
        <v>18.77</v>
      </c>
      <c r="AE133" s="3">
        <v>112</v>
      </c>
      <c r="AF133" s="3">
        <v>0</v>
      </c>
      <c r="AG133" s="3">
        <v>58.514201</v>
      </c>
      <c r="AH133" s="3">
        <v>0.363636363636363</v>
      </c>
      <c r="AI133" s="3">
        <v>0.502626</v>
      </c>
      <c r="AJ133" s="3" t="s">
        <v>870</v>
      </c>
    </row>
    <row r="134" spans="1:36">
      <c r="A134" s="5">
        <v>43336</v>
      </c>
      <c r="B134" s="3" t="s">
        <v>72</v>
      </c>
      <c r="C134" s="3" t="s">
        <v>73</v>
      </c>
      <c r="D134" s="3" t="s">
        <v>74</v>
      </c>
      <c r="E134" s="3" t="s">
        <v>75</v>
      </c>
      <c r="F134" s="3" t="s">
        <v>867</v>
      </c>
      <c r="G134" s="3">
        <v>25</v>
      </c>
      <c r="H134" s="3">
        <v>0</v>
      </c>
      <c r="I134" s="3">
        <v>25</v>
      </c>
      <c r="J134" s="3">
        <v>0</v>
      </c>
      <c r="K134" s="3">
        <v>0</v>
      </c>
      <c r="L134" s="3">
        <v>0</v>
      </c>
      <c r="M134" s="3">
        <v>0</v>
      </c>
      <c r="N134" s="3" t="s">
        <v>868</v>
      </c>
      <c r="O134" s="3">
        <v>0</v>
      </c>
      <c r="P134" s="3">
        <v>0</v>
      </c>
      <c r="Q134" s="3">
        <v>0</v>
      </c>
      <c r="R134" s="3">
        <v>0</v>
      </c>
      <c r="S134" s="3">
        <v>1</v>
      </c>
      <c r="T134" s="3">
        <v>2</v>
      </c>
      <c r="U134" s="3">
        <v>3</v>
      </c>
      <c r="V134" s="3">
        <v>3</v>
      </c>
      <c r="W134" s="3"/>
      <c r="X134" s="3">
        <v>27.98</v>
      </c>
      <c r="Y134" s="3">
        <v>27.98</v>
      </c>
      <c r="Z134" s="3">
        <v>27.98</v>
      </c>
      <c r="AA134" s="3">
        <v>0</v>
      </c>
      <c r="AB134" s="3" t="s">
        <v>883</v>
      </c>
      <c r="AC134" s="3">
        <v>0</v>
      </c>
      <c r="AD134" s="3">
        <v>21.51</v>
      </c>
      <c r="AE134" s="3">
        <v>350</v>
      </c>
      <c r="AF134" s="3">
        <v>0</v>
      </c>
      <c r="AG134" s="3">
        <v>684.828341</v>
      </c>
      <c r="AH134" s="3">
        <v>0.450704225352112</v>
      </c>
      <c r="AI134" s="3">
        <v>4.22675</v>
      </c>
      <c r="AJ134" s="3" t="s">
        <v>870</v>
      </c>
    </row>
    <row r="135" spans="1:36">
      <c r="A135" s="5">
        <v>43336</v>
      </c>
      <c r="B135" s="3" t="s">
        <v>1185</v>
      </c>
      <c r="C135" s="3" t="s">
        <v>1186</v>
      </c>
      <c r="D135" s="3" t="s">
        <v>1186</v>
      </c>
      <c r="E135" s="3" t="s">
        <v>1187</v>
      </c>
      <c r="F135" s="3" t="s">
        <v>867</v>
      </c>
      <c r="G135" s="3">
        <v>5</v>
      </c>
      <c r="H135" s="3">
        <v>0</v>
      </c>
      <c r="I135" s="3">
        <v>0</v>
      </c>
      <c r="J135" s="3">
        <v>0</v>
      </c>
      <c r="K135" s="3">
        <v>4</v>
      </c>
      <c r="L135" s="3">
        <v>1</v>
      </c>
      <c r="M135" s="3">
        <v>0</v>
      </c>
      <c r="N135" s="3" t="s">
        <v>868</v>
      </c>
      <c r="O135" s="3">
        <v>5</v>
      </c>
      <c r="P135" s="3">
        <v>2.8</v>
      </c>
      <c r="Q135" s="3">
        <v>0</v>
      </c>
      <c r="R135" s="3">
        <v>0</v>
      </c>
      <c r="S135" s="3">
        <v>1</v>
      </c>
      <c r="T135" s="3">
        <v>4</v>
      </c>
      <c r="U135" s="3">
        <v>7</v>
      </c>
      <c r="V135" s="3">
        <v>7</v>
      </c>
      <c r="W135" s="3"/>
      <c r="X135" s="3">
        <v>22.99</v>
      </c>
      <c r="Y135" s="3">
        <v>22.99</v>
      </c>
      <c r="Z135" s="3">
        <v>22.99</v>
      </c>
      <c r="AA135" s="3">
        <v>0</v>
      </c>
      <c r="AB135" s="3" t="s">
        <v>869</v>
      </c>
      <c r="AC135" s="3">
        <v>5</v>
      </c>
      <c r="AD135" s="3">
        <v>19.98</v>
      </c>
      <c r="AE135" s="3">
        <v>0</v>
      </c>
      <c r="AF135" s="3">
        <v>0</v>
      </c>
      <c r="AG135" s="3">
        <v>0</v>
      </c>
      <c r="AH135" s="3">
        <v>0.195804195804195</v>
      </c>
      <c r="AI135" s="3">
        <v>0.81256</v>
      </c>
      <c r="AJ135" s="3" t="s">
        <v>870</v>
      </c>
    </row>
    <row r="136" spans="1:36">
      <c r="A136" s="5">
        <v>43336</v>
      </c>
      <c r="B136" s="3" t="s">
        <v>1188</v>
      </c>
      <c r="C136" s="3" t="s">
        <v>1189</v>
      </c>
      <c r="D136" s="3" t="s">
        <v>1190</v>
      </c>
      <c r="E136" s="3" t="s">
        <v>1191</v>
      </c>
      <c r="F136" s="3" t="s">
        <v>867</v>
      </c>
      <c r="G136" s="3">
        <v>5</v>
      </c>
      <c r="H136" s="3">
        <v>0</v>
      </c>
      <c r="I136" s="3">
        <v>5</v>
      </c>
      <c r="J136" s="3">
        <v>0</v>
      </c>
      <c r="K136" s="3">
        <v>0</v>
      </c>
      <c r="L136" s="3">
        <v>0</v>
      </c>
      <c r="M136" s="3">
        <v>0</v>
      </c>
      <c r="N136" s="3" t="s">
        <v>868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1</v>
      </c>
      <c r="U136" s="3">
        <v>1</v>
      </c>
      <c r="V136" s="3">
        <v>1</v>
      </c>
      <c r="W136" s="3"/>
      <c r="X136" s="3">
        <v>22.99</v>
      </c>
      <c r="Y136" s="3">
        <v>22.99</v>
      </c>
      <c r="Z136" s="3">
        <v>22.99</v>
      </c>
      <c r="AA136" s="3">
        <v>0</v>
      </c>
      <c r="AB136" s="3" t="s">
        <v>869</v>
      </c>
      <c r="AC136" s="3">
        <v>5</v>
      </c>
      <c r="AD136" s="3">
        <v>22.99</v>
      </c>
      <c r="AE136" s="3">
        <v>0</v>
      </c>
      <c r="AF136" s="3">
        <v>0</v>
      </c>
      <c r="AG136" s="3">
        <v>0</v>
      </c>
      <c r="AH136" s="3">
        <v>0.2</v>
      </c>
      <c r="AI136" s="3">
        <v>0.925964999999999</v>
      </c>
      <c r="AJ136" s="3" t="s">
        <v>925</v>
      </c>
    </row>
    <row r="137" spans="1:36">
      <c r="A137" s="5">
        <v>43336</v>
      </c>
      <c r="B137" s="3" t="s">
        <v>274</v>
      </c>
      <c r="C137" s="3" t="s">
        <v>275</v>
      </c>
      <c r="D137" s="3" t="s">
        <v>276</v>
      </c>
      <c r="E137" s="3" t="s">
        <v>277</v>
      </c>
      <c r="F137" s="3" t="s">
        <v>867</v>
      </c>
      <c r="G137" s="3">
        <v>7</v>
      </c>
      <c r="H137" s="3">
        <v>0</v>
      </c>
      <c r="I137" s="3">
        <v>7</v>
      </c>
      <c r="J137" s="3">
        <v>0</v>
      </c>
      <c r="K137" s="3">
        <v>0</v>
      </c>
      <c r="L137" s="3">
        <v>0</v>
      </c>
      <c r="M137" s="3">
        <v>0</v>
      </c>
      <c r="N137" s="3" t="s">
        <v>868</v>
      </c>
      <c r="O137" s="3">
        <v>0</v>
      </c>
      <c r="P137" s="3">
        <v>0</v>
      </c>
      <c r="Q137" s="3">
        <v>0</v>
      </c>
      <c r="R137" s="3">
        <v>0</v>
      </c>
      <c r="S137" s="3">
        <v>22</v>
      </c>
      <c r="T137" s="3">
        <v>103</v>
      </c>
      <c r="U137" s="3">
        <v>156</v>
      </c>
      <c r="V137" s="3">
        <v>156</v>
      </c>
      <c r="W137" s="3"/>
      <c r="X137" s="3">
        <v>23.98</v>
      </c>
      <c r="Y137" s="3">
        <v>23.98</v>
      </c>
      <c r="Z137" s="3">
        <v>23.98</v>
      </c>
      <c r="AA137" s="3">
        <v>0</v>
      </c>
      <c r="AB137" s="3" t="s">
        <v>869</v>
      </c>
      <c r="AC137" s="3">
        <v>13</v>
      </c>
      <c r="AD137" s="3">
        <v>23.98</v>
      </c>
      <c r="AE137" s="3">
        <v>0</v>
      </c>
      <c r="AF137" s="3">
        <v>0</v>
      </c>
      <c r="AG137" s="3">
        <v>0</v>
      </c>
      <c r="AH137" s="3">
        <v>15.8840579710144</v>
      </c>
      <c r="AI137" s="3">
        <v>0.318703</v>
      </c>
      <c r="AJ137" s="3" t="s">
        <v>870</v>
      </c>
    </row>
    <row r="138" spans="1:36">
      <c r="A138" s="5">
        <v>43336</v>
      </c>
      <c r="B138" s="3" t="s">
        <v>1192</v>
      </c>
      <c r="C138" s="3" t="s">
        <v>1193</v>
      </c>
      <c r="D138" s="3" t="s">
        <v>1193</v>
      </c>
      <c r="E138" s="3" t="s">
        <v>1194</v>
      </c>
      <c r="F138" s="3" t="s">
        <v>867</v>
      </c>
      <c r="G138" s="3">
        <v>4</v>
      </c>
      <c r="H138" s="3">
        <v>0</v>
      </c>
      <c r="I138" s="3">
        <v>2</v>
      </c>
      <c r="J138" s="3">
        <v>1</v>
      </c>
      <c r="K138" s="3">
        <v>1</v>
      </c>
      <c r="L138" s="3">
        <v>0</v>
      </c>
      <c r="M138" s="3">
        <v>0</v>
      </c>
      <c r="N138" s="3" t="s">
        <v>868</v>
      </c>
      <c r="O138" s="3">
        <v>1</v>
      </c>
      <c r="P138" s="3">
        <v>0.09</v>
      </c>
      <c r="Q138" s="3">
        <v>0</v>
      </c>
      <c r="R138" s="3">
        <v>0</v>
      </c>
      <c r="S138" s="3">
        <v>1</v>
      </c>
      <c r="T138" s="3">
        <v>5</v>
      </c>
      <c r="U138" s="3">
        <v>9</v>
      </c>
      <c r="V138" s="3">
        <v>17</v>
      </c>
      <c r="W138" s="3"/>
      <c r="X138" s="3">
        <v>18.98</v>
      </c>
      <c r="Y138" s="3">
        <v>18.98</v>
      </c>
      <c r="Z138" s="3">
        <v>18.98</v>
      </c>
      <c r="AA138" s="3">
        <v>0</v>
      </c>
      <c r="AB138" s="3" t="s">
        <v>869</v>
      </c>
      <c r="AC138" s="3">
        <v>5</v>
      </c>
      <c r="AD138" s="3">
        <v>18.98</v>
      </c>
      <c r="AE138" s="3">
        <v>0</v>
      </c>
      <c r="AF138" s="3">
        <v>0</v>
      </c>
      <c r="AG138" s="3">
        <v>0</v>
      </c>
      <c r="AH138" s="3">
        <v>1.5813953488372</v>
      </c>
      <c r="AI138" s="3">
        <v>0.102812</v>
      </c>
      <c r="AJ138" s="3" t="s">
        <v>870</v>
      </c>
    </row>
    <row r="139" spans="1:36">
      <c r="A139" s="5">
        <v>43336</v>
      </c>
      <c r="B139" s="3" t="s">
        <v>1195</v>
      </c>
      <c r="C139" s="3" t="s">
        <v>1196</v>
      </c>
      <c r="D139" s="3" t="s">
        <v>1196</v>
      </c>
      <c r="E139" s="3" t="s">
        <v>1197</v>
      </c>
      <c r="F139" s="3" t="s">
        <v>867</v>
      </c>
      <c r="G139" s="3">
        <v>1</v>
      </c>
      <c r="H139" s="3">
        <v>0</v>
      </c>
      <c r="I139" s="3">
        <v>1</v>
      </c>
      <c r="J139" s="3">
        <v>0</v>
      </c>
      <c r="K139" s="3">
        <v>0</v>
      </c>
      <c r="L139" s="3">
        <v>0</v>
      </c>
      <c r="M139" s="3">
        <v>0</v>
      </c>
      <c r="N139" s="3" t="s">
        <v>868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1</v>
      </c>
      <c r="U139" s="3">
        <v>5</v>
      </c>
      <c r="V139" s="3">
        <v>6</v>
      </c>
      <c r="W139" s="3"/>
      <c r="X139" s="3">
        <v>22.98</v>
      </c>
      <c r="Y139" s="3">
        <v>22.98</v>
      </c>
      <c r="Z139" s="3">
        <v>22.98</v>
      </c>
      <c r="AA139" s="3">
        <v>0</v>
      </c>
      <c r="AB139" s="3" t="s">
        <v>869</v>
      </c>
      <c r="AC139" s="3">
        <v>1</v>
      </c>
      <c r="AD139" s="3">
        <v>22.98</v>
      </c>
      <c r="AE139" s="3">
        <v>0</v>
      </c>
      <c r="AF139" s="3">
        <v>0</v>
      </c>
      <c r="AG139" s="3">
        <v>0</v>
      </c>
      <c r="AH139" s="3">
        <v>0.40506329113924</v>
      </c>
      <c r="AI139" s="3">
        <v>0.090488</v>
      </c>
      <c r="AJ139" s="3" t="s">
        <v>870</v>
      </c>
    </row>
    <row r="140" spans="1:36">
      <c r="A140" s="5">
        <v>43336</v>
      </c>
      <c r="B140" s="3" t="s">
        <v>1198</v>
      </c>
      <c r="C140" s="3" t="s">
        <v>1199</v>
      </c>
      <c r="D140" s="3" t="s">
        <v>1199</v>
      </c>
      <c r="E140" s="3" t="s">
        <v>1200</v>
      </c>
      <c r="F140" s="3" t="s">
        <v>867</v>
      </c>
      <c r="G140" s="3">
        <v>8</v>
      </c>
      <c r="H140" s="3">
        <v>0</v>
      </c>
      <c r="I140" s="3">
        <v>8</v>
      </c>
      <c r="J140" s="3">
        <v>0</v>
      </c>
      <c r="K140" s="3">
        <v>0</v>
      </c>
      <c r="L140" s="3">
        <v>0</v>
      </c>
      <c r="M140" s="3">
        <v>0</v>
      </c>
      <c r="N140" s="3" t="s">
        <v>868</v>
      </c>
      <c r="O140" s="3">
        <v>0</v>
      </c>
      <c r="P140" s="3">
        <v>0</v>
      </c>
      <c r="Q140" s="3">
        <v>0</v>
      </c>
      <c r="R140" s="3">
        <v>0</v>
      </c>
      <c r="S140" s="3">
        <v>2</v>
      </c>
      <c r="T140" s="3">
        <v>4</v>
      </c>
      <c r="U140" s="3">
        <v>9</v>
      </c>
      <c r="V140" s="3">
        <v>11</v>
      </c>
      <c r="W140" s="3" t="s">
        <v>871</v>
      </c>
      <c r="X140" s="3">
        <v>21.98</v>
      </c>
      <c r="Y140" s="3">
        <v>21.98</v>
      </c>
      <c r="Z140" s="3">
        <v>21.98</v>
      </c>
      <c r="AA140" s="3">
        <v>0</v>
      </c>
      <c r="AB140" s="3" t="s">
        <v>869</v>
      </c>
      <c r="AC140" s="3">
        <v>8</v>
      </c>
      <c r="AD140" s="3">
        <v>21.98</v>
      </c>
      <c r="AE140" s="3">
        <v>0</v>
      </c>
      <c r="AF140" s="3">
        <v>0</v>
      </c>
      <c r="AG140" s="3">
        <v>0</v>
      </c>
      <c r="AH140" s="3">
        <v>1.02325581395348</v>
      </c>
      <c r="AI140" s="3">
        <v>0.412504</v>
      </c>
      <c r="AJ140" s="3" t="s">
        <v>870</v>
      </c>
    </row>
    <row r="141" spans="1:36">
      <c r="A141" s="5">
        <v>43336</v>
      </c>
      <c r="B141" s="3" t="s">
        <v>1201</v>
      </c>
      <c r="C141" s="3" t="s">
        <v>1202</v>
      </c>
      <c r="D141" s="3" t="s">
        <v>1202</v>
      </c>
      <c r="E141" s="3" t="s">
        <v>1203</v>
      </c>
      <c r="F141" s="3" t="s">
        <v>867</v>
      </c>
      <c r="G141" s="3">
        <v>30</v>
      </c>
      <c r="H141" s="3">
        <v>0</v>
      </c>
      <c r="I141" s="3">
        <v>0</v>
      </c>
      <c r="J141" s="3">
        <v>30</v>
      </c>
      <c r="K141" s="3">
        <v>0</v>
      </c>
      <c r="L141" s="3">
        <v>0</v>
      </c>
      <c r="M141" s="3">
        <v>0</v>
      </c>
      <c r="N141" s="3" t="s">
        <v>868</v>
      </c>
      <c r="O141" s="3">
        <v>30</v>
      </c>
      <c r="P141" s="3">
        <v>11.93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1</v>
      </c>
      <c r="W141" s="3"/>
      <c r="X141" s="3"/>
      <c r="Y141" s="3"/>
      <c r="Z141" s="3">
        <v>-1</v>
      </c>
      <c r="AA141" s="3">
        <v>-1</v>
      </c>
      <c r="AB141" s="3" t="s">
        <v>891</v>
      </c>
      <c r="AC141" s="3">
        <v>0</v>
      </c>
      <c r="AD141" s="3">
        <v>0</v>
      </c>
      <c r="AE141" s="3">
        <v>0</v>
      </c>
      <c r="AF141" s="3">
        <v>0</v>
      </c>
      <c r="AG141" s="3">
        <v>0</v>
      </c>
      <c r="AH141" s="3">
        <v>0.0300751879699248</v>
      </c>
      <c r="AI141" s="3">
        <v>3.45843</v>
      </c>
      <c r="AJ141" s="3" t="s">
        <v>870</v>
      </c>
    </row>
    <row r="142" spans="1:36">
      <c r="A142" s="5">
        <v>43336</v>
      </c>
      <c r="B142" s="3" t="s">
        <v>281</v>
      </c>
      <c r="C142" s="3" t="s">
        <v>282</v>
      </c>
      <c r="D142" s="3" t="s">
        <v>283</v>
      </c>
      <c r="E142" s="3" t="s">
        <v>284</v>
      </c>
      <c r="F142" s="3" t="s">
        <v>867</v>
      </c>
      <c r="G142" s="3">
        <v>11</v>
      </c>
      <c r="H142" s="3">
        <v>0</v>
      </c>
      <c r="I142" s="3">
        <v>11</v>
      </c>
      <c r="J142" s="3">
        <v>0</v>
      </c>
      <c r="K142" s="3">
        <v>0</v>
      </c>
      <c r="L142" s="3">
        <v>0</v>
      </c>
      <c r="M142" s="3">
        <v>0</v>
      </c>
      <c r="N142" s="3" t="s">
        <v>868</v>
      </c>
      <c r="O142" s="3">
        <v>0</v>
      </c>
      <c r="P142" s="3">
        <v>0</v>
      </c>
      <c r="Q142" s="3">
        <v>0</v>
      </c>
      <c r="R142" s="3">
        <v>0</v>
      </c>
      <c r="S142" s="3">
        <v>4</v>
      </c>
      <c r="T142" s="3">
        <v>4</v>
      </c>
      <c r="U142" s="3">
        <v>4</v>
      </c>
      <c r="V142" s="3">
        <v>4</v>
      </c>
      <c r="W142" s="3" t="s">
        <v>871</v>
      </c>
      <c r="X142" s="3">
        <v>39.98</v>
      </c>
      <c r="Y142" s="3">
        <v>22.98</v>
      </c>
      <c r="Z142" s="3">
        <v>22.98</v>
      </c>
      <c r="AA142" s="3">
        <v>0</v>
      </c>
      <c r="AB142" s="3" t="s">
        <v>869</v>
      </c>
      <c r="AC142" s="3">
        <v>12</v>
      </c>
      <c r="AD142" s="3">
        <v>22.98</v>
      </c>
      <c r="AE142" s="3">
        <v>0</v>
      </c>
      <c r="AF142" s="3">
        <v>0</v>
      </c>
      <c r="AG142" s="3">
        <v>0</v>
      </c>
      <c r="AH142" s="3">
        <v>0.363636363636363</v>
      </c>
      <c r="AI142" s="3">
        <v>0.500819</v>
      </c>
      <c r="AJ142" s="3" t="s">
        <v>870</v>
      </c>
    </row>
    <row r="143" spans="1:36">
      <c r="A143" s="5">
        <v>43336</v>
      </c>
      <c r="B143" s="3" t="s">
        <v>1204</v>
      </c>
      <c r="C143" s="3" t="s">
        <v>1205</v>
      </c>
      <c r="D143" s="3" t="s">
        <v>1206</v>
      </c>
      <c r="E143" s="3" t="s">
        <v>1207</v>
      </c>
      <c r="F143" s="3" t="s">
        <v>867</v>
      </c>
      <c r="G143" s="3">
        <v>3</v>
      </c>
      <c r="H143" s="3">
        <v>0</v>
      </c>
      <c r="I143" s="3">
        <v>3</v>
      </c>
      <c r="J143" s="3">
        <v>0</v>
      </c>
      <c r="K143" s="3">
        <v>0</v>
      </c>
      <c r="L143" s="3">
        <v>0</v>
      </c>
      <c r="M143" s="3">
        <v>0</v>
      </c>
      <c r="N143" s="3" t="s">
        <v>868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871</v>
      </c>
      <c r="X143" s="3">
        <v>24.98</v>
      </c>
      <c r="Y143" s="3">
        <v>24.98</v>
      </c>
      <c r="Z143" s="3">
        <v>24.98</v>
      </c>
      <c r="AA143" s="3">
        <v>0</v>
      </c>
      <c r="AB143" s="3" t="s">
        <v>883</v>
      </c>
      <c r="AC143" s="3">
        <v>0</v>
      </c>
      <c r="AD143" s="3">
        <v>19.98</v>
      </c>
      <c r="AE143" s="3">
        <v>63</v>
      </c>
      <c r="AF143" s="3">
        <v>0</v>
      </c>
      <c r="AG143" s="3">
        <v>55.951795</v>
      </c>
      <c r="AH143" s="3">
        <v>0.8</v>
      </c>
      <c r="AI143" s="3">
        <v>0.411753</v>
      </c>
      <c r="AJ143" s="3" t="s">
        <v>870</v>
      </c>
    </row>
    <row r="144" spans="1:36">
      <c r="A144" s="5">
        <v>43336</v>
      </c>
      <c r="B144" s="3" t="s">
        <v>1208</v>
      </c>
      <c r="C144" s="3" t="s">
        <v>1209</v>
      </c>
      <c r="D144" s="3" t="s">
        <v>1209</v>
      </c>
      <c r="E144" s="3" t="s">
        <v>1210</v>
      </c>
      <c r="F144" s="3" t="s">
        <v>867</v>
      </c>
      <c r="G144" s="3">
        <v>7</v>
      </c>
      <c r="H144" s="3">
        <v>0</v>
      </c>
      <c r="I144" s="3">
        <v>0</v>
      </c>
      <c r="J144" s="3">
        <v>7</v>
      </c>
      <c r="K144" s="3">
        <v>0</v>
      </c>
      <c r="L144" s="3">
        <v>0</v>
      </c>
      <c r="M144" s="3">
        <v>0</v>
      </c>
      <c r="N144" s="3" t="s">
        <v>868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2</v>
      </c>
      <c r="U144" s="3">
        <v>3</v>
      </c>
      <c r="V144" s="3">
        <v>5</v>
      </c>
      <c r="W144" s="3" t="s">
        <v>871</v>
      </c>
      <c r="X144" s="3">
        <v>22.98</v>
      </c>
      <c r="Y144" s="3">
        <v>22.98</v>
      </c>
      <c r="Z144" s="3">
        <v>22.98</v>
      </c>
      <c r="AA144" s="3">
        <v>0</v>
      </c>
      <c r="AB144" s="3" t="s">
        <v>869</v>
      </c>
      <c r="AC144" s="3">
        <v>7</v>
      </c>
      <c r="AD144" s="3">
        <v>22.98</v>
      </c>
      <c r="AE144" s="3">
        <v>0</v>
      </c>
      <c r="AF144" s="3">
        <v>0</v>
      </c>
      <c r="AG144" s="3">
        <v>0</v>
      </c>
      <c r="AH144" s="3">
        <v>0.74074074074074</v>
      </c>
      <c r="AI144" s="3">
        <v>0.584940999999999</v>
      </c>
      <c r="AJ144" s="3" t="s">
        <v>870</v>
      </c>
    </row>
    <row r="145" spans="1:36">
      <c r="A145" s="5">
        <v>43336</v>
      </c>
      <c r="B145" s="3" t="s">
        <v>1211</v>
      </c>
      <c r="C145" s="3" t="s">
        <v>1212</v>
      </c>
      <c r="D145" s="3" t="s">
        <v>1212</v>
      </c>
      <c r="E145" s="3" t="s">
        <v>1213</v>
      </c>
      <c r="F145" s="3" t="s">
        <v>867</v>
      </c>
      <c r="G145" s="3">
        <v>4</v>
      </c>
      <c r="H145" s="3">
        <v>0</v>
      </c>
      <c r="I145" s="3">
        <v>4</v>
      </c>
      <c r="J145" s="3">
        <v>0</v>
      </c>
      <c r="K145" s="3">
        <v>0</v>
      </c>
      <c r="L145" s="3">
        <v>0</v>
      </c>
      <c r="M145" s="3">
        <v>0</v>
      </c>
      <c r="N145" s="3" t="s">
        <v>868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10</v>
      </c>
      <c r="U145" s="3">
        <v>14</v>
      </c>
      <c r="V145" s="3">
        <v>18</v>
      </c>
      <c r="W145" s="3"/>
      <c r="X145" s="3">
        <v>22.99</v>
      </c>
      <c r="Y145" s="3">
        <v>22.99</v>
      </c>
      <c r="Z145" s="3">
        <v>22.99</v>
      </c>
      <c r="AA145" s="3">
        <v>0</v>
      </c>
      <c r="AB145" s="3" t="s">
        <v>869</v>
      </c>
      <c r="AC145" s="3">
        <v>3</v>
      </c>
      <c r="AD145" s="3">
        <v>22.98</v>
      </c>
      <c r="AE145" s="3">
        <v>0</v>
      </c>
      <c r="AF145" s="3">
        <v>0</v>
      </c>
      <c r="AG145" s="3">
        <v>0</v>
      </c>
      <c r="AH145" s="3">
        <v>1.53191489361702</v>
      </c>
      <c r="AI145" s="3">
        <v>0.44038</v>
      </c>
      <c r="AJ145" s="3" t="s">
        <v>870</v>
      </c>
    </row>
    <row r="146" spans="1:36">
      <c r="A146" s="5">
        <v>43336</v>
      </c>
      <c r="B146" s="3" t="s">
        <v>1214</v>
      </c>
      <c r="C146" s="3" t="s">
        <v>1215</v>
      </c>
      <c r="D146" s="3" t="s">
        <v>1216</v>
      </c>
      <c r="E146" s="3" t="s">
        <v>1217</v>
      </c>
      <c r="F146" s="3" t="s">
        <v>867</v>
      </c>
      <c r="G146" s="3">
        <v>4</v>
      </c>
      <c r="H146" s="3">
        <v>0</v>
      </c>
      <c r="I146" s="3">
        <v>4</v>
      </c>
      <c r="J146" s="3">
        <v>0</v>
      </c>
      <c r="K146" s="3">
        <v>0</v>
      </c>
      <c r="L146" s="3">
        <v>0</v>
      </c>
      <c r="M146" s="3">
        <v>0</v>
      </c>
      <c r="N146" s="3" t="s">
        <v>868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1</v>
      </c>
      <c r="U146" s="3">
        <v>1</v>
      </c>
      <c r="V146" s="3">
        <v>1</v>
      </c>
      <c r="W146" s="3"/>
      <c r="X146" s="3">
        <v>45.98</v>
      </c>
      <c r="Y146" s="3">
        <v>27.98</v>
      </c>
      <c r="Z146" s="3">
        <v>27.98</v>
      </c>
      <c r="AA146" s="3">
        <v>0</v>
      </c>
      <c r="AB146" s="3" t="s">
        <v>869</v>
      </c>
      <c r="AC146" s="3">
        <v>4</v>
      </c>
      <c r="AD146" s="3">
        <v>27.98</v>
      </c>
      <c r="AE146" s="3">
        <v>0</v>
      </c>
      <c r="AF146" s="3">
        <v>0</v>
      </c>
      <c r="AG146" s="3">
        <v>0</v>
      </c>
      <c r="AH146" s="3">
        <v>0.651162790697674</v>
      </c>
      <c r="AI146" s="3">
        <v>0.67628</v>
      </c>
      <c r="AJ146" s="3" t="s">
        <v>870</v>
      </c>
    </row>
    <row r="147" spans="1:36">
      <c r="A147" s="5">
        <v>43336</v>
      </c>
      <c r="B147" s="3" t="s">
        <v>1218</v>
      </c>
      <c r="C147" s="3" t="s">
        <v>1104</v>
      </c>
      <c r="D147" s="3" t="s">
        <v>1104</v>
      </c>
      <c r="E147" s="3" t="s">
        <v>1105</v>
      </c>
      <c r="F147" s="3" t="s">
        <v>867</v>
      </c>
      <c r="G147" s="3">
        <v>1</v>
      </c>
      <c r="H147" s="3">
        <v>0</v>
      </c>
      <c r="I147" s="3">
        <v>1</v>
      </c>
      <c r="J147" s="3">
        <v>0</v>
      </c>
      <c r="K147" s="3">
        <v>0</v>
      </c>
      <c r="L147" s="3">
        <v>0</v>
      </c>
      <c r="M147" s="3">
        <v>0</v>
      </c>
      <c r="N147" s="3" t="s">
        <v>868</v>
      </c>
      <c r="O147" s="3">
        <v>0</v>
      </c>
      <c r="P147" s="3">
        <v>0</v>
      </c>
      <c r="Q147" s="3">
        <v>0</v>
      </c>
      <c r="R147" s="3">
        <v>0</v>
      </c>
      <c r="S147" s="3">
        <v>1</v>
      </c>
      <c r="T147" s="3">
        <v>6</v>
      </c>
      <c r="U147" s="3">
        <v>11</v>
      </c>
      <c r="V147" s="3">
        <v>20</v>
      </c>
      <c r="W147" s="3"/>
      <c r="X147" s="3">
        <v>20.98</v>
      </c>
      <c r="Y147" s="3">
        <v>20.98</v>
      </c>
      <c r="Z147" s="3">
        <v>20.98</v>
      </c>
      <c r="AA147" s="3">
        <v>0</v>
      </c>
      <c r="AB147" s="3" t="s">
        <v>869</v>
      </c>
      <c r="AC147" s="3">
        <v>3</v>
      </c>
      <c r="AD147" s="3">
        <v>20.98</v>
      </c>
      <c r="AE147" s="3">
        <v>0</v>
      </c>
      <c r="AF147" s="3">
        <v>0</v>
      </c>
      <c r="AG147" s="3">
        <v>0</v>
      </c>
      <c r="AH147" s="3">
        <v>2.75862068965517</v>
      </c>
      <c r="AI147" s="3">
        <v>0.083563</v>
      </c>
      <c r="AJ147" s="3" t="s">
        <v>870</v>
      </c>
    </row>
    <row r="148" spans="1:36">
      <c r="A148" s="5">
        <v>43336</v>
      </c>
      <c r="B148" s="3" t="s">
        <v>1219</v>
      </c>
      <c r="C148" s="3" t="s">
        <v>1220</v>
      </c>
      <c r="D148" s="3" t="s">
        <v>1220</v>
      </c>
      <c r="E148" s="3" t="s">
        <v>1221</v>
      </c>
      <c r="F148" s="3" t="s">
        <v>867</v>
      </c>
      <c r="G148" s="3">
        <v>46</v>
      </c>
      <c r="H148" s="3">
        <v>0</v>
      </c>
      <c r="I148" s="3">
        <v>0</v>
      </c>
      <c r="J148" s="3">
        <v>42</v>
      </c>
      <c r="K148" s="3">
        <v>4</v>
      </c>
      <c r="L148" s="3">
        <v>0</v>
      </c>
      <c r="M148" s="3">
        <v>0</v>
      </c>
      <c r="N148" s="3" t="s">
        <v>868</v>
      </c>
      <c r="O148" s="3">
        <v>4</v>
      </c>
      <c r="P148" s="3">
        <v>2.01</v>
      </c>
      <c r="Q148" s="3">
        <v>0</v>
      </c>
      <c r="R148" s="3">
        <v>0</v>
      </c>
      <c r="S148" s="3">
        <v>2</v>
      </c>
      <c r="T148" s="3">
        <v>3</v>
      </c>
      <c r="U148" s="3">
        <v>5</v>
      </c>
      <c r="V148" s="3">
        <v>6</v>
      </c>
      <c r="W148" s="3" t="s">
        <v>871</v>
      </c>
      <c r="X148" s="3">
        <v>22.99</v>
      </c>
      <c r="Y148" s="3">
        <v>22.99</v>
      </c>
      <c r="Z148" s="3">
        <v>22.99</v>
      </c>
      <c r="AA148" s="3">
        <v>0</v>
      </c>
      <c r="AB148" s="3" t="s">
        <v>883</v>
      </c>
      <c r="AC148" s="3">
        <v>34</v>
      </c>
      <c r="AD148" s="3">
        <v>15.62</v>
      </c>
      <c r="AE148" s="3">
        <v>63</v>
      </c>
      <c r="AF148" s="3">
        <v>0</v>
      </c>
      <c r="AG148" s="3">
        <v>27.529565</v>
      </c>
      <c r="AH148" s="3">
        <v>0.121212121212121</v>
      </c>
      <c r="AI148" s="3">
        <v>6.711446</v>
      </c>
      <c r="AJ148" s="3" t="s">
        <v>870</v>
      </c>
    </row>
    <row r="149" spans="1:36">
      <c r="A149" s="5">
        <v>43336</v>
      </c>
      <c r="B149" s="3" t="s">
        <v>1222</v>
      </c>
      <c r="C149" s="3" t="s">
        <v>1223</v>
      </c>
      <c r="D149" s="3" t="s">
        <v>1224</v>
      </c>
      <c r="E149" s="3" t="s">
        <v>1225</v>
      </c>
      <c r="F149" s="3" t="s">
        <v>867</v>
      </c>
      <c r="G149" s="3">
        <v>22</v>
      </c>
      <c r="H149" s="3">
        <v>0</v>
      </c>
      <c r="I149" s="3">
        <v>22</v>
      </c>
      <c r="J149" s="3">
        <v>0</v>
      </c>
      <c r="K149" s="3">
        <v>0</v>
      </c>
      <c r="L149" s="3">
        <v>0</v>
      </c>
      <c r="M149" s="3">
        <v>0</v>
      </c>
      <c r="N149" s="3" t="s">
        <v>868</v>
      </c>
      <c r="O149" s="3">
        <v>0</v>
      </c>
      <c r="P149" s="3">
        <v>0</v>
      </c>
      <c r="Q149" s="3">
        <v>0</v>
      </c>
      <c r="R149" s="3">
        <v>0</v>
      </c>
      <c r="S149" s="3">
        <v>6</v>
      </c>
      <c r="T149" s="3">
        <v>11</v>
      </c>
      <c r="U149" s="3">
        <v>18</v>
      </c>
      <c r="V149" s="3">
        <v>18</v>
      </c>
      <c r="W149" s="3"/>
      <c r="X149" s="3">
        <v>23.99</v>
      </c>
      <c r="Y149" s="3">
        <v>21.98</v>
      </c>
      <c r="Z149" s="3">
        <v>21.98</v>
      </c>
      <c r="AA149" s="3">
        <v>0</v>
      </c>
      <c r="AB149" s="3" t="s">
        <v>869</v>
      </c>
      <c r="AC149" s="3">
        <v>25</v>
      </c>
      <c r="AD149" s="3">
        <v>21.98</v>
      </c>
      <c r="AE149" s="3">
        <v>0</v>
      </c>
      <c r="AF149" s="3">
        <v>0</v>
      </c>
      <c r="AG149" s="3">
        <v>0</v>
      </c>
      <c r="AH149" s="3">
        <v>1.78378378378378</v>
      </c>
      <c r="AI149" s="3">
        <v>3.293246</v>
      </c>
      <c r="AJ149" s="3" t="s">
        <v>870</v>
      </c>
    </row>
    <row r="150" spans="1:36">
      <c r="A150" s="5">
        <v>43336</v>
      </c>
      <c r="B150" s="3" t="s">
        <v>1226</v>
      </c>
      <c r="C150" s="3" t="s">
        <v>1227</v>
      </c>
      <c r="D150" s="3" t="s">
        <v>1227</v>
      </c>
      <c r="E150" s="3" t="s">
        <v>1228</v>
      </c>
      <c r="F150" s="3" t="s">
        <v>867</v>
      </c>
      <c r="G150" s="3">
        <v>2</v>
      </c>
      <c r="H150" s="3">
        <v>0</v>
      </c>
      <c r="I150" s="3">
        <v>2</v>
      </c>
      <c r="J150" s="3">
        <v>0</v>
      </c>
      <c r="K150" s="3">
        <v>0</v>
      </c>
      <c r="L150" s="3">
        <v>0</v>
      </c>
      <c r="M150" s="3">
        <v>0</v>
      </c>
      <c r="N150" s="3" t="s">
        <v>868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1</v>
      </c>
      <c r="U150" s="3">
        <v>1</v>
      </c>
      <c r="V150" s="3">
        <v>2</v>
      </c>
      <c r="W150" s="3"/>
      <c r="X150" s="3">
        <v>22.98</v>
      </c>
      <c r="Y150" s="3">
        <v>22.98</v>
      </c>
      <c r="Z150" s="3">
        <v>22.98</v>
      </c>
      <c r="AA150" s="3">
        <v>0</v>
      </c>
      <c r="AB150" s="3" t="s">
        <v>869</v>
      </c>
      <c r="AC150" s="3">
        <v>2</v>
      </c>
      <c r="AD150" s="3">
        <v>22.98</v>
      </c>
      <c r="AE150" s="3">
        <v>0</v>
      </c>
      <c r="AF150" s="3">
        <v>0</v>
      </c>
      <c r="AG150" s="3">
        <v>0</v>
      </c>
      <c r="AH150" s="3">
        <v>0.8</v>
      </c>
      <c r="AI150" s="3">
        <v>0.426436</v>
      </c>
      <c r="AJ150" s="3" t="s">
        <v>870</v>
      </c>
    </row>
    <row r="151" spans="1:36">
      <c r="A151" s="5">
        <v>43336</v>
      </c>
      <c r="B151" s="3" t="s">
        <v>1229</v>
      </c>
      <c r="C151" s="3" t="s">
        <v>1230</v>
      </c>
      <c r="D151" s="3" t="s">
        <v>70</v>
      </c>
      <c r="E151" s="3" t="s">
        <v>71</v>
      </c>
      <c r="F151" s="3" t="s">
        <v>867</v>
      </c>
      <c r="G151" s="3">
        <v>1</v>
      </c>
      <c r="H151" s="3">
        <v>0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 t="s">
        <v>868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871</v>
      </c>
      <c r="X151" s="3">
        <v>27.98</v>
      </c>
      <c r="Y151" s="3">
        <v>27.98</v>
      </c>
      <c r="Z151" s="3">
        <v>27.98</v>
      </c>
      <c r="AA151" s="3">
        <v>0</v>
      </c>
      <c r="AB151" s="3" t="s">
        <v>869</v>
      </c>
      <c r="AC151" s="3">
        <v>1</v>
      </c>
      <c r="AD151" s="3">
        <v>27.98</v>
      </c>
      <c r="AE151" s="3">
        <v>0</v>
      </c>
      <c r="AF151" s="3">
        <v>0</v>
      </c>
      <c r="AG151" s="3">
        <v>0</v>
      </c>
      <c r="AH151" s="3">
        <v>1.28</v>
      </c>
      <c r="AI151" s="3">
        <v>0.16907</v>
      </c>
      <c r="AJ151" s="3" t="s">
        <v>870</v>
      </c>
    </row>
    <row r="152" spans="1:36">
      <c r="A152" s="5">
        <v>43336</v>
      </c>
      <c r="B152" s="3" t="s">
        <v>1231</v>
      </c>
      <c r="C152" s="3" t="s">
        <v>1232</v>
      </c>
      <c r="D152" s="3" t="s">
        <v>1232</v>
      </c>
      <c r="E152" s="3" t="s">
        <v>1233</v>
      </c>
      <c r="F152" s="3" t="s">
        <v>867</v>
      </c>
      <c r="G152" s="3">
        <v>5</v>
      </c>
      <c r="H152" s="3">
        <v>0</v>
      </c>
      <c r="I152" s="3">
        <v>0</v>
      </c>
      <c r="J152" s="3">
        <v>0</v>
      </c>
      <c r="K152" s="3">
        <v>5</v>
      </c>
      <c r="L152" s="3">
        <v>0</v>
      </c>
      <c r="M152" s="3">
        <v>0</v>
      </c>
      <c r="N152" s="3" t="s">
        <v>868</v>
      </c>
      <c r="O152" s="3">
        <v>5</v>
      </c>
      <c r="P152" s="3">
        <v>1.51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 t="s">
        <v>871</v>
      </c>
      <c r="X152" s="3">
        <v>23.98</v>
      </c>
      <c r="Y152" s="3">
        <v>23.98</v>
      </c>
      <c r="Z152" s="3">
        <v>23.98</v>
      </c>
      <c r="AA152" s="3">
        <v>0</v>
      </c>
      <c r="AB152" s="3" t="s">
        <v>883</v>
      </c>
      <c r="AC152" s="3">
        <v>0</v>
      </c>
      <c r="AD152" s="3">
        <v>21.53</v>
      </c>
      <c r="AE152" s="3">
        <v>266</v>
      </c>
      <c r="AF152" s="3">
        <v>0</v>
      </c>
      <c r="AG152" s="3">
        <v>102.223663</v>
      </c>
      <c r="AH152" s="3">
        <v>0</v>
      </c>
      <c r="AI152" s="3">
        <v>0.441165</v>
      </c>
      <c r="AJ152" s="3" t="s">
        <v>870</v>
      </c>
    </row>
    <row r="153" spans="1:36">
      <c r="A153" s="5">
        <v>43336</v>
      </c>
      <c r="B153" s="3" t="s">
        <v>752</v>
      </c>
      <c r="C153" s="3" t="s">
        <v>753</v>
      </c>
      <c r="D153" s="3" t="s">
        <v>754</v>
      </c>
      <c r="E153" s="3" t="s">
        <v>755</v>
      </c>
      <c r="F153" s="3" t="s">
        <v>867</v>
      </c>
      <c r="G153" s="3">
        <v>9</v>
      </c>
      <c r="H153" s="3">
        <v>0</v>
      </c>
      <c r="I153" s="3">
        <v>9</v>
      </c>
      <c r="J153" s="3">
        <v>0</v>
      </c>
      <c r="K153" s="3">
        <v>0</v>
      </c>
      <c r="L153" s="3">
        <v>0</v>
      </c>
      <c r="M153" s="3">
        <v>0</v>
      </c>
      <c r="N153" s="3" t="s">
        <v>868</v>
      </c>
      <c r="O153" s="3">
        <v>0</v>
      </c>
      <c r="P153" s="3">
        <v>0</v>
      </c>
      <c r="Q153" s="3">
        <v>0</v>
      </c>
      <c r="R153" s="3">
        <v>0</v>
      </c>
      <c r="S153" s="3">
        <v>2</v>
      </c>
      <c r="T153" s="3">
        <v>9</v>
      </c>
      <c r="U153" s="3">
        <v>16</v>
      </c>
      <c r="V153" s="3">
        <v>16</v>
      </c>
      <c r="W153" s="3"/>
      <c r="X153" s="3">
        <v>22.98</v>
      </c>
      <c r="Y153" s="3">
        <v>22.98</v>
      </c>
      <c r="Z153" s="3">
        <v>22.98</v>
      </c>
      <c r="AA153" s="3">
        <v>0</v>
      </c>
      <c r="AB153" s="3" t="s">
        <v>869</v>
      </c>
      <c r="AC153" s="3">
        <v>10</v>
      </c>
      <c r="AD153" s="3">
        <v>22.98</v>
      </c>
      <c r="AE153" s="3">
        <v>0</v>
      </c>
      <c r="AF153" s="3">
        <v>0</v>
      </c>
      <c r="AG153" s="3">
        <v>0</v>
      </c>
      <c r="AH153" s="3">
        <v>2.76190476190476</v>
      </c>
      <c r="AI153" s="3">
        <v>0.980829</v>
      </c>
      <c r="AJ153" s="3" t="s">
        <v>870</v>
      </c>
    </row>
    <row r="154" spans="1:36">
      <c r="A154" s="5">
        <v>43336</v>
      </c>
      <c r="B154" s="3" t="s">
        <v>1234</v>
      </c>
      <c r="C154" s="3" t="s">
        <v>1235</v>
      </c>
      <c r="D154" s="3" t="s">
        <v>1235</v>
      </c>
      <c r="E154" s="3" t="s">
        <v>1236</v>
      </c>
      <c r="F154" s="3" t="s">
        <v>867</v>
      </c>
      <c r="G154" s="3">
        <v>1</v>
      </c>
      <c r="H154" s="3">
        <v>0</v>
      </c>
      <c r="I154" s="3">
        <v>0</v>
      </c>
      <c r="J154" s="3">
        <v>1</v>
      </c>
      <c r="K154" s="3">
        <v>0</v>
      </c>
      <c r="L154" s="3">
        <v>0</v>
      </c>
      <c r="M154" s="3">
        <v>0</v>
      </c>
      <c r="N154" s="3" t="s">
        <v>868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1</v>
      </c>
      <c r="V154" s="3">
        <v>1</v>
      </c>
      <c r="W154" s="3" t="s">
        <v>871</v>
      </c>
      <c r="X154" s="3">
        <v>15.98</v>
      </c>
      <c r="Y154" s="3">
        <v>15.98</v>
      </c>
      <c r="Z154" s="3">
        <v>15.98</v>
      </c>
      <c r="AA154" s="3">
        <v>0</v>
      </c>
      <c r="AB154" s="3" t="s">
        <v>869</v>
      </c>
      <c r="AC154" s="3">
        <v>1</v>
      </c>
      <c r="AD154" s="3">
        <v>15.98</v>
      </c>
      <c r="AE154" s="3">
        <v>0</v>
      </c>
      <c r="AF154" s="3">
        <v>0</v>
      </c>
      <c r="AG154" s="3">
        <v>0</v>
      </c>
      <c r="AH154" s="3">
        <v>0.666666666666666</v>
      </c>
      <c r="AI154" s="3">
        <v>0.079607</v>
      </c>
      <c r="AJ154" s="3" t="s">
        <v>870</v>
      </c>
    </row>
    <row r="155" spans="1:36">
      <c r="A155" s="5">
        <v>43336</v>
      </c>
      <c r="B155" s="3" t="s">
        <v>1237</v>
      </c>
      <c r="C155" s="3" t="s">
        <v>1238</v>
      </c>
      <c r="D155" s="3" t="s">
        <v>1239</v>
      </c>
      <c r="E155" s="3" t="s">
        <v>1240</v>
      </c>
      <c r="F155" s="3" t="s">
        <v>867</v>
      </c>
      <c r="G155" s="3">
        <v>2</v>
      </c>
      <c r="H155" s="3">
        <v>0</v>
      </c>
      <c r="I155" s="3">
        <v>2</v>
      </c>
      <c r="J155" s="3">
        <v>0</v>
      </c>
      <c r="K155" s="3">
        <v>0</v>
      </c>
      <c r="L155" s="3">
        <v>0</v>
      </c>
      <c r="M155" s="3">
        <v>0</v>
      </c>
      <c r="N155" s="3" t="s">
        <v>868</v>
      </c>
      <c r="O155" s="3">
        <v>0</v>
      </c>
      <c r="P155" s="3">
        <v>0</v>
      </c>
      <c r="Q155" s="3">
        <v>0</v>
      </c>
      <c r="R155" s="3">
        <v>0</v>
      </c>
      <c r="S155" s="3">
        <v>1</v>
      </c>
      <c r="T155" s="3">
        <v>1</v>
      </c>
      <c r="U155" s="3">
        <v>1</v>
      </c>
      <c r="V155" s="3">
        <v>1</v>
      </c>
      <c r="W155" s="3"/>
      <c r="X155" s="3">
        <v>24.98</v>
      </c>
      <c r="Y155" s="3">
        <v>24.98</v>
      </c>
      <c r="Z155" s="3">
        <v>24.98</v>
      </c>
      <c r="AA155" s="3">
        <v>0</v>
      </c>
      <c r="AB155" s="3" t="s">
        <v>883</v>
      </c>
      <c r="AC155" s="3">
        <v>0</v>
      </c>
      <c r="AD155" s="3">
        <v>19.98</v>
      </c>
      <c r="AE155" s="3">
        <v>63</v>
      </c>
      <c r="AF155" s="3">
        <v>0</v>
      </c>
      <c r="AG155" s="3">
        <v>36.334788</v>
      </c>
      <c r="AH155" s="3">
        <v>2.66666666666666</v>
      </c>
      <c r="AI155" s="3">
        <v>0.274502</v>
      </c>
      <c r="AJ155" s="3" t="s">
        <v>870</v>
      </c>
    </row>
    <row r="156" spans="1:36">
      <c r="A156" s="5">
        <v>43336</v>
      </c>
      <c r="B156" s="3" t="s">
        <v>1241</v>
      </c>
      <c r="C156" s="3" t="s">
        <v>1242</v>
      </c>
      <c r="D156" s="3" t="s">
        <v>1242</v>
      </c>
      <c r="E156" s="3" t="s">
        <v>1243</v>
      </c>
      <c r="F156" s="3" t="s">
        <v>867</v>
      </c>
      <c r="G156" s="3">
        <v>13</v>
      </c>
      <c r="H156" s="3">
        <v>0</v>
      </c>
      <c r="I156" s="3">
        <v>1</v>
      </c>
      <c r="J156" s="3">
        <v>4</v>
      </c>
      <c r="K156" s="3">
        <v>8</v>
      </c>
      <c r="L156" s="3">
        <v>0</v>
      </c>
      <c r="M156" s="3">
        <v>0</v>
      </c>
      <c r="N156" s="3" t="s">
        <v>868</v>
      </c>
      <c r="O156" s="3">
        <v>9</v>
      </c>
      <c r="P156" s="3">
        <v>6.28</v>
      </c>
      <c r="Q156" s="3">
        <v>0</v>
      </c>
      <c r="R156" s="3">
        <v>0</v>
      </c>
      <c r="S156" s="3">
        <v>1</v>
      </c>
      <c r="T156" s="3">
        <v>3</v>
      </c>
      <c r="U156" s="3">
        <v>5</v>
      </c>
      <c r="V156" s="3">
        <v>11</v>
      </c>
      <c r="W156" s="3"/>
      <c r="X156" s="3">
        <v>22.99</v>
      </c>
      <c r="Y156" s="3">
        <v>22.99</v>
      </c>
      <c r="Z156" s="3">
        <v>22.99</v>
      </c>
      <c r="AA156" s="3">
        <v>0</v>
      </c>
      <c r="AB156" s="3" t="s">
        <v>869</v>
      </c>
      <c r="AC156" s="3">
        <v>15</v>
      </c>
      <c r="AD156" s="3">
        <v>22.98</v>
      </c>
      <c r="AE156" s="3">
        <v>0</v>
      </c>
      <c r="AF156" s="3">
        <v>0</v>
      </c>
      <c r="AG156" s="3">
        <v>0</v>
      </c>
      <c r="AH156" s="3">
        <v>0.271604938271604</v>
      </c>
      <c r="AI156" s="3">
        <v>2.62795</v>
      </c>
      <c r="AJ156" s="3" t="s">
        <v>870</v>
      </c>
    </row>
    <row r="157" spans="1:36">
      <c r="A157" s="5">
        <v>43336</v>
      </c>
      <c r="B157" s="3" t="s">
        <v>1244</v>
      </c>
      <c r="C157" s="3" t="s">
        <v>1245</v>
      </c>
      <c r="D157" s="3" t="s">
        <v>1245</v>
      </c>
      <c r="E157" s="3" t="s">
        <v>1246</v>
      </c>
      <c r="F157" s="3" t="s">
        <v>867</v>
      </c>
      <c r="G157" s="3">
        <v>17</v>
      </c>
      <c r="H157" s="3">
        <v>0</v>
      </c>
      <c r="I157" s="3">
        <v>0</v>
      </c>
      <c r="J157" s="3">
        <v>17</v>
      </c>
      <c r="K157" s="3">
        <v>0</v>
      </c>
      <c r="L157" s="3">
        <v>0</v>
      </c>
      <c r="M157" s="3">
        <v>0</v>
      </c>
      <c r="N157" s="3" t="s">
        <v>868</v>
      </c>
      <c r="O157" s="3">
        <v>16</v>
      </c>
      <c r="P157" s="3">
        <v>3.37</v>
      </c>
      <c r="Q157" s="3">
        <v>0</v>
      </c>
      <c r="R157" s="3">
        <v>0</v>
      </c>
      <c r="S157" s="3">
        <v>0</v>
      </c>
      <c r="T157" s="3">
        <v>0</v>
      </c>
      <c r="U157" s="3">
        <v>7</v>
      </c>
      <c r="V157" s="3">
        <v>7</v>
      </c>
      <c r="W157" s="3" t="s">
        <v>871</v>
      </c>
      <c r="X157" s="3">
        <v>24.98</v>
      </c>
      <c r="Y157" s="3">
        <v>24.98</v>
      </c>
      <c r="Z157" s="3">
        <v>24.98</v>
      </c>
      <c r="AA157" s="3">
        <v>0</v>
      </c>
      <c r="AB157" s="3" t="s">
        <v>869</v>
      </c>
      <c r="AC157" s="3">
        <v>17</v>
      </c>
      <c r="AD157" s="3">
        <v>24.98</v>
      </c>
      <c r="AE157" s="3">
        <v>0</v>
      </c>
      <c r="AF157" s="3">
        <v>0</v>
      </c>
      <c r="AG157" s="3">
        <v>0</v>
      </c>
      <c r="AH157" s="3">
        <v>0.413793103448275</v>
      </c>
      <c r="AI157" s="3">
        <v>1.037204</v>
      </c>
      <c r="AJ157" s="3" t="s">
        <v>870</v>
      </c>
    </row>
    <row r="158" spans="1:36">
      <c r="A158" s="5">
        <v>43336</v>
      </c>
      <c r="B158" s="3" t="s">
        <v>1247</v>
      </c>
      <c r="C158" s="3" t="s">
        <v>1248</v>
      </c>
      <c r="D158" s="3" t="s">
        <v>1248</v>
      </c>
      <c r="E158" s="3" t="s">
        <v>1249</v>
      </c>
      <c r="F158" s="3" t="s">
        <v>867</v>
      </c>
      <c r="G158" s="3">
        <v>3</v>
      </c>
      <c r="H158" s="3">
        <v>0</v>
      </c>
      <c r="I158" s="3">
        <v>0</v>
      </c>
      <c r="J158" s="3">
        <v>3</v>
      </c>
      <c r="K158" s="3">
        <v>0</v>
      </c>
      <c r="L158" s="3">
        <v>0</v>
      </c>
      <c r="M158" s="3">
        <v>0</v>
      </c>
      <c r="N158" s="3" t="s">
        <v>868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3</v>
      </c>
      <c r="V158" s="3">
        <v>5</v>
      </c>
      <c r="W158" s="3" t="s">
        <v>871</v>
      </c>
      <c r="X158" s="3">
        <v>45.98</v>
      </c>
      <c r="Y158" s="3">
        <v>27.98</v>
      </c>
      <c r="Z158" s="3">
        <v>25.98</v>
      </c>
      <c r="AA158" s="3">
        <v>0</v>
      </c>
      <c r="AB158" s="3" t="s">
        <v>883</v>
      </c>
      <c r="AC158" s="3">
        <v>3</v>
      </c>
      <c r="AD158" s="3">
        <v>25.98</v>
      </c>
      <c r="AE158" s="3">
        <v>0</v>
      </c>
      <c r="AF158" s="3">
        <v>0</v>
      </c>
      <c r="AG158" s="3">
        <v>0</v>
      </c>
      <c r="AH158" s="3">
        <v>1.04347826086956</v>
      </c>
      <c r="AI158" s="3">
        <v>0.345843</v>
      </c>
      <c r="AJ158" s="3" t="s">
        <v>870</v>
      </c>
    </row>
    <row r="159" spans="1:36">
      <c r="A159" s="5">
        <v>43336</v>
      </c>
      <c r="B159" s="3" t="s">
        <v>1250</v>
      </c>
      <c r="C159" s="3" t="s">
        <v>1251</v>
      </c>
      <c r="D159" s="3" t="s">
        <v>1252</v>
      </c>
      <c r="E159" s="3" t="s">
        <v>1253</v>
      </c>
      <c r="F159" s="3" t="s">
        <v>867</v>
      </c>
      <c r="G159" s="3">
        <v>6</v>
      </c>
      <c r="H159" s="3">
        <v>0</v>
      </c>
      <c r="I159" s="3">
        <v>6</v>
      </c>
      <c r="J159" s="3">
        <v>0</v>
      </c>
      <c r="K159" s="3">
        <v>0</v>
      </c>
      <c r="L159" s="3">
        <v>0</v>
      </c>
      <c r="M159" s="3">
        <v>0</v>
      </c>
      <c r="N159" s="3" t="s">
        <v>868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871</v>
      </c>
      <c r="X159" s="3">
        <v>17.99</v>
      </c>
      <c r="Y159" s="3">
        <v>17.99</v>
      </c>
      <c r="Z159" s="3">
        <v>17.99</v>
      </c>
      <c r="AA159" s="3">
        <v>0</v>
      </c>
      <c r="AB159" s="3" t="s">
        <v>869</v>
      </c>
      <c r="AC159" s="3">
        <v>0</v>
      </c>
      <c r="AD159" s="3">
        <v>17.99</v>
      </c>
      <c r="AE159" s="3">
        <v>63</v>
      </c>
      <c r="AF159" s="3">
        <v>0</v>
      </c>
      <c r="AG159" s="3">
        <v>147.984819</v>
      </c>
      <c r="AH159" s="3">
        <v>0</v>
      </c>
      <c r="AI159" s="3">
        <v>1.288128</v>
      </c>
      <c r="AJ159" s="3" t="s">
        <v>925</v>
      </c>
    </row>
    <row r="160" spans="1:36">
      <c r="A160" s="5">
        <v>43336</v>
      </c>
      <c r="B160" s="3" t="s">
        <v>1254</v>
      </c>
      <c r="C160" s="3" t="s">
        <v>1255</v>
      </c>
      <c r="D160" s="3" t="s">
        <v>1256</v>
      </c>
      <c r="E160" s="3" t="s">
        <v>1257</v>
      </c>
      <c r="F160" s="3" t="s">
        <v>867</v>
      </c>
      <c r="G160" s="3">
        <v>1</v>
      </c>
      <c r="H160" s="3">
        <v>0</v>
      </c>
      <c r="I160" s="3">
        <v>1</v>
      </c>
      <c r="J160" s="3">
        <v>0</v>
      </c>
      <c r="K160" s="3">
        <v>0</v>
      </c>
      <c r="L160" s="3">
        <v>0</v>
      </c>
      <c r="M160" s="3">
        <v>0</v>
      </c>
      <c r="N160" s="3" t="s">
        <v>868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871</v>
      </c>
      <c r="X160" s="3">
        <v>23.98</v>
      </c>
      <c r="Y160" s="3">
        <v>24.98</v>
      </c>
      <c r="Z160" s="3">
        <v>24.98</v>
      </c>
      <c r="AA160" s="3">
        <v>0</v>
      </c>
      <c r="AB160" s="3" t="s">
        <v>869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0.411764705882352</v>
      </c>
      <c r="AI160" s="3">
        <v>0.198435</v>
      </c>
      <c r="AJ160" s="3" t="s">
        <v>870</v>
      </c>
    </row>
    <row r="161" spans="1:36">
      <c r="A161" s="5">
        <v>43336</v>
      </c>
      <c r="B161" s="3" t="s">
        <v>195</v>
      </c>
      <c r="C161" s="3" t="s">
        <v>196</v>
      </c>
      <c r="D161" s="3" t="s">
        <v>197</v>
      </c>
      <c r="E161" s="3" t="s">
        <v>198</v>
      </c>
      <c r="F161" s="3" t="s">
        <v>867</v>
      </c>
      <c r="G161" s="3">
        <v>36</v>
      </c>
      <c r="H161" s="3">
        <v>0</v>
      </c>
      <c r="I161" s="3">
        <v>36</v>
      </c>
      <c r="J161" s="3">
        <v>0</v>
      </c>
      <c r="K161" s="3">
        <v>0</v>
      </c>
      <c r="L161" s="3">
        <v>0</v>
      </c>
      <c r="M161" s="3">
        <v>0</v>
      </c>
      <c r="N161" s="3" t="s">
        <v>868</v>
      </c>
      <c r="O161" s="3">
        <v>0</v>
      </c>
      <c r="P161" s="3">
        <v>0</v>
      </c>
      <c r="Q161" s="3">
        <v>0</v>
      </c>
      <c r="R161" s="3">
        <v>0</v>
      </c>
      <c r="S161" s="3">
        <v>18</v>
      </c>
      <c r="T161" s="3">
        <v>58</v>
      </c>
      <c r="U161" s="3">
        <v>98</v>
      </c>
      <c r="V161" s="3">
        <v>98</v>
      </c>
      <c r="W161" s="3"/>
      <c r="X161" s="3">
        <v>23.98</v>
      </c>
      <c r="Y161" s="3">
        <v>23.98</v>
      </c>
      <c r="Z161" s="3">
        <v>23.98</v>
      </c>
      <c r="AA161" s="3">
        <v>0</v>
      </c>
      <c r="AB161" s="3" t="s">
        <v>869</v>
      </c>
      <c r="AC161" s="3">
        <v>40</v>
      </c>
      <c r="AD161" s="3">
        <v>23.98</v>
      </c>
      <c r="AE161" s="3">
        <v>0</v>
      </c>
      <c r="AF161" s="3">
        <v>0</v>
      </c>
      <c r="AG161" s="3">
        <v>0</v>
      </c>
      <c r="AH161" s="3">
        <v>3.5</v>
      </c>
      <c r="AI161" s="3">
        <v>1.639044</v>
      </c>
      <c r="AJ161" s="3" t="s">
        <v>870</v>
      </c>
    </row>
    <row r="162" spans="1:36">
      <c r="A162" s="5">
        <v>43336</v>
      </c>
      <c r="B162" s="3" t="s">
        <v>1258</v>
      </c>
      <c r="C162" s="3" t="s">
        <v>1259</v>
      </c>
      <c r="D162" s="3" t="s">
        <v>1259</v>
      </c>
      <c r="E162" s="3" t="s">
        <v>1260</v>
      </c>
      <c r="F162" s="3" t="s">
        <v>867</v>
      </c>
      <c r="G162" s="3">
        <v>1</v>
      </c>
      <c r="H162" s="3">
        <v>0</v>
      </c>
      <c r="I162" s="3">
        <v>0</v>
      </c>
      <c r="J162" s="3">
        <v>1</v>
      </c>
      <c r="K162" s="3">
        <v>0</v>
      </c>
      <c r="L162" s="3">
        <v>0</v>
      </c>
      <c r="M162" s="3">
        <v>0</v>
      </c>
      <c r="N162" s="3" t="s">
        <v>868</v>
      </c>
      <c r="O162" s="3">
        <v>0</v>
      </c>
      <c r="P162" s="3">
        <v>0</v>
      </c>
      <c r="Q162" s="3">
        <v>0</v>
      </c>
      <c r="R162" s="3">
        <v>0</v>
      </c>
      <c r="S162" s="3">
        <v>2</v>
      </c>
      <c r="T162" s="3">
        <v>4</v>
      </c>
      <c r="U162" s="3">
        <v>4</v>
      </c>
      <c r="V162" s="3">
        <v>4</v>
      </c>
      <c r="W162" s="3"/>
      <c r="X162" s="3">
        <v>23.98</v>
      </c>
      <c r="Y162" s="3">
        <v>23.98</v>
      </c>
      <c r="Z162" s="3">
        <v>23.98</v>
      </c>
      <c r="AA162" s="3">
        <v>0</v>
      </c>
      <c r="AB162" s="3" t="s">
        <v>869</v>
      </c>
      <c r="AC162" s="3">
        <v>2</v>
      </c>
      <c r="AD162" s="3">
        <v>23.98</v>
      </c>
      <c r="AE162" s="3">
        <v>0</v>
      </c>
      <c r="AF162" s="3">
        <v>0</v>
      </c>
      <c r="AG162" s="3">
        <v>0</v>
      </c>
      <c r="AH162" s="3">
        <v>0.262295081967213</v>
      </c>
      <c r="AI162" s="3">
        <v>0.198435</v>
      </c>
      <c r="AJ162" s="3" t="s">
        <v>870</v>
      </c>
    </row>
    <row r="163" spans="1:36">
      <c r="A163" s="5">
        <v>43336</v>
      </c>
      <c r="B163" s="3" t="s">
        <v>1261</v>
      </c>
      <c r="C163" s="3" t="s">
        <v>1262</v>
      </c>
      <c r="D163" s="3" t="s">
        <v>1262</v>
      </c>
      <c r="E163" s="3" t="s">
        <v>1263</v>
      </c>
      <c r="F163" s="3" t="s">
        <v>867</v>
      </c>
      <c r="G163" s="3">
        <v>14</v>
      </c>
      <c r="H163" s="3">
        <v>0</v>
      </c>
      <c r="I163" s="3">
        <v>6</v>
      </c>
      <c r="J163" s="3">
        <v>8</v>
      </c>
      <c r="K163" s="3">
        <v>0</v>
      </c>
      <c r="L163" s="3">
        <v>0</v>
      </c>
      <c r="M163" s="3">
        <v>0</v>
      </c>
      <c r="N163" s="3" t="s">
        <v>868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4</v>
      </c>
      <c r="U163" s="3">
        <v>4</v>
      </c>
      <c r="V163" s="3">
        <v>8</v>
      </c>
      <c r="W163" s="3"/>
      <c r="X163" s="3">
        <v>23.98</v>
      </c>
      <c r="Y163" s="3">
        <v>23.98</v>
      </c>
      <c r="Z163" s="3">
        <v>23.98</v>
      </c>
      <c r="AA163" s="3">
        <v>0</v>
      </c>
      <c r="AB163" s="3" t="s">
        <v>869</v>
      </c>
      <c r="AC163" s="3">
        <v>14</v>
      </c>
      <c r="AD163" s="3">
        <v>23.98</v>
      </c>
      <c r="AE163" s="3">
        <v>0</v>
      </c>
      <c r="AF163" s="3">
        <v>0</v>
      </c>
      <c r="AG163" s="3">
        <v>0</v>
      </c>
      <c r="AH163" s="3">
        <v>0.484848484848484</v>
      </c>
      <c r="AI163" s="3">
        <v>2.345588</v>
      </c>
      <c r="AJ163" s="3" t="s">
        <v>870</v>
      </c>
    </row>
    <row r="164" spans="1:36">
      <c r="A164" s="5">
        <v>43336</v>
      </c>
      <c r="B164" s="3" t="s">
        <v>1264</v>
      </c>
      <c r="C164" s="3" t="s">
        <v>1265</v>
      </c>
      <c r="D164" s="3" t="s">
        <v>1265</v>
      </c>
      <c r="E164" s="3" t="s">
        <v>1266</v>
      </c>
      <c r="F164" s="3" t="s">
        <v>867</v>
      </c>
      <c r="G164" s="3">
        <v>1</v>
      </c>
      <c r="H164" s="3">
        <v>0</v>
      </c>
      <c r="I164" s="3">
        <v>0</v>
      </c>
      <c r="J164" s="3">
        <v>1</v>
      </c>
      <c r="K164" s="3">
        <v>0</v>
      </c>
      <c r="L164" s="3">
        <v>0</v>
      </c>
      <c r="M164" s="3">
        <v>0</v>
      </c>
      <c r="N164" s="3" t="s">
        <v>868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871</v>
      </c>
      <c r="X164" s="3">
        <v>22.99</v>
      </c>
      <c r="Y164" s="3">
        <v>22.99</v>
      </c>
      <c r="Z164" s="3">
        <v>22.99</v>
      </c>
      <c r="AA164" s="3">
        <v>0</v>
      </c>
      <c r="AB164" s="3" t="s">
        <v>883</v>
      </c>
      <c r="AC164" s="3">
        <v>0</v>
      </c>
      <c r="AD164" s="3">
        <v>18.38</v>
      </c>
      <c r="AE164" s="3">
        <v>63</v>
      </c>
      <c r="AF164" s="3">
        <v>0</v>
      </c>
      <c r="AG164" s="3">
        <v>19.588661</v>
      </c>
      <c r="AH164" s="3">
        <v>0</v>
      </c>
      <c r="AI164" s="3">
        <v>0.145901</v>
      </c>
      <c r="AJ164" s="3" t="s">
        <v>870</v>
      </c>
    </row>
    <row r="165" spans="1:36">
      <c r="A165" s="5">
        <v>43336</v>
      </c>
      <c r="B165" s="3" t="s">
        <v>361</v>
      </c>
      <c r="C165" s="3" t="s">
        <v>362</v>
      </c>
      <c r="D165" s="3" t="s">
        <v>363</v>
      </c>
      <c r="E165" s="3" t="s">
        <v>364</v>
      </c>
      <c r="F165" s="3" t="s">
        <v>867</v>
      </c>
      <c r="G165" s="3">
        <v>6</v>
      </c>
      <c r="H165" s="3">
        <v>0</v>
      </c>
      <c r="I165" s="3">
        <v>6</v>
      </c>
      <c r="J165" s="3">
        <v>0</v>
      </c>
      <c r="K165" s="3">
        <v>0</v>
      </c>
      <c r="L165" s="3">
        <v>0</v>
      </c>
      <c r="M165" s="3">
        <v>0</v>
      </c>
      <c r="N165" s="3" t="s">
        <v>868</v>
      </c>
      <c r="O165" s="3">
        <v>0</v>
      </c>
      <c r="P165" s="3">
        <v>0</v>
      </c>
      <c r="Q165" s="3">
        <v>0</v>
      </c>
      <c r="R165" s="3">
        <v>0</v>
      </c>
      <c r="S165" s="3">
        <v>14</v>
      </c>
      <c r="T165" s="3">
        <v>58</v>
      </c>
      <c r="U165" s="3">
        <v>97</v>
      </c>
      <c r="V165" s="3">
        <v>97</v>
      </c>
      <c r="W165" s="3"/>
      <c r="X165" s="3">
        <v>23.98</v>
      </c>
      <c r="Y165" s="3">
        <v>23.98</v>
      </c>
      <c r="Z165" s="3">
        <v>23.98</v>
      </c>
      <c r="AA165" s="3">
        <v>0</v>
      </c>
      <c r="AB165" s="3" t="s">
        <v>869</v>
      </c>
      <c r="AC165" s="3">
        <v>12</v>
      </c>
      <c r="AD165" s="3">
        <v>23.98</v>
      </c>
      <c r="AE165" s="3">
        <v>0</v>
      </c>
      <c r="AF165" s="3">
        <v>0</v>
      </c>
      <c r="AG165" s="3">
        <v>0</v>
      </c>
      <c r="AH165" s="3">
        <v>5.36111111111111</v>
      </c>
      <c r="AI165" s="3">
        <v>0.273174</v>
      </c>
      <c r="AJ165" s="3" t="s">
        <v>870</v>
      </c>
    </row>
    <row r="166" spans="1:36">
      <c r="A166" s="5">
        <v>43336</v>
      </c>
      <c r="B166" s="3" t="s">
        <v>191</v>
      </c>
      <c r="C166" s="3" t="s">
        <v>192</v>
      </c>
      <c r="D166" s="3" t="s">
        <v>193</v>
      </c>
      <c r="E166" s="3" t="s">
        <v>194</v>
      </c>
      <c r="F166" s="3" t="s">
        <v>867</v>
      </c>
      <c r="G166" s="3">
        <v>5</v>
      </c>
      <c r="H166" s="3">
        <v>0</v>
      </c>
      <c r="I166" s="3">
        <v>5</v>
      </c>
      <c r="J166" s="3">
        <v>0</v>
      </c>
      <c r="K166" s="3">
        <v>0</v>
      </c>
      <c r="L166" s="3">
        <v>0</v>
      </c>
      <c r="M166" s="3">
        <v>0</v>
      </c>
      <c r="N166" s="3" t="s">
        <v>868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3</v>
      </c>
      <c r="U166" s="3">
        <v>3</v>
      </c>
      <c r="V166" s="3">
        <v>3</v>
      </c>
      <c r="W166" s="3"/>
      <c r="X166" s="3">
        <v>22.99</v>
      </c>
      <c r="Y166" s="3">
        <v>22.99</v>
      </c>
      <c r="Z166" s="3">
        <v>22.99</v>
      </c>
      <c r="AA166" s="3">
        <v>0</v>
      </c>
      <c r="AB166" s="3" t="s">
        <v>869</v>
      </c>
      <c r="AC166" s="3">
        <v>5</v>
      </c>
      <c r="AD166" s="3">
        <v>22.98</v>
      </c>
      <c r="AE166" s="3">
        <v>0</v>
      </c>
      <c r="AF166" s="3">
        <v>0</v>
      </c>
      <c r="AG166" s="3">
        <v>0</v>
      </c>
      <c r="AH166" s="3">
        <v>2.15384615384615</v>
      </c>
      <c r="AI166" s="3">
        <v>0.651215</v>
      </c>
      <c r="AJ166" s="3" t="s">
        <v>870</v>
      </c>
    </row>
    <row r="167" spans="1:36">
      <c r="A167" s="5">
        <v>43336</v>
      </c>
      <c r="B167" s="3" t="s">
        <v>1267</v>
      </c>
      <c r="C167" s="3" t="s">
        <v>1268</v>
      </c>
      <c r="D167" s="3" t="s">
        <v>1268</v>
      </c>
      <c r="E167" s="3" t="s">
        <v>1269</v>
      </c>
      <c r="F167" s="3" t="s">
        <v>867</v>
      </c>
      <c r="G167" s="3">
        <v>4</v>
      </c>
      <c r="H167" s="3">
        <v>0</v>
      </c>
      <c r="I167" s="3">
        <v>0</v>
      </c>
      <c r="J167" s="3">
        <v>4</v>
      </c>
      <c r="K167" s="3">
        <v>0</v>
      </c>
      <c r="L167" s="3">
        <v>0</v>
      </c>
      <c r="M167" s="3">
        <v>0</v>
      </c>
      <c r="N167" s="3" t="s">
        <v>868</v>
      </c>
      <c r="O167" s="3">
        <v>2</v>
      </c>
      <c r="P167" s="3">
        <v>0.8</v>
      </c>
      <c r="Q167" s="3">
        <v>0</v>
      </c>
      <c r="R167" s="3">
        <v>0</v>
      </c>
      <c r="S167" s="3">
        <v>1</v>
      </c>
      <c r="T167" s="3">
        <v>1</v>
      </c>
      <c r="U167" s="3">
        <v>1</v>
      </c>
      <c r="V167" s="3">
        <v>1</v>
      </c>
      <c r="W167" s="3"/>
      <c r="X167" s="3">
        <v>25.98</v>
      </c>
      <c r="Y167" s="3">
        <v>25.98</v>
      </c>
      <c r="Z167" s="3">
        <v>25.98</v>
      </c>
      <c r="AA167" s="3">
        <v>0</v>
      </c>
      <c r="AB167" s="3" t="s">
        <v>869</v>
      </c>
      <c r="AC167" s="3">
        <v>5</v>
      </c>
      <c r="AD167" s="3">
        <v>25.98</v>
      </c>
      <c r="AE167" s="3">
        <v>0</v>
      </c>
      <c r="AF167" s="3">
        <v>0</v>
      </c>
      <c r="AG167" s="3">
        <v>0</v>
      </c>
      <c r="AH167" s="3">
        <v>0.224719101123595</v>
      </c>
      <c r="AI167" s="3">
        <v>0.461124</v>
      </c>
      <c r="AJ167" s="3" t="s">
        <v>870</v>
      </c>
    </row>
    <row r="168" spans="1:36">
      <c r="A168" s="5">
        <v>43336</v>
      </c>
      <c r="B168" s="3" t="s">
        <v>1270</v>
      </c>
      <c r="C168" s="3" t="s">
        <v>1271</v>
      </c>
      <c r="D168" s="3" t="s">
        <v>1271</v>
      </c>
      <c r="E168" s="3" t="s">
        <v>1272</v>
      </c>
      <c r="F168" s="3" t="s">
        <v>867</v>
      </c>
      <c r="G168" s="3">
        <v>5</v>
      </c>
      <c r="H168" s="3">
        <v>0</v>
      </c>
      <c r="I168" s="3">
        <v>0</v>
      </c>
      <c r="J168" s="3">
        <v>5</v>
      </c>
      <c r="K168" s="3">
        <v>0</v>
      </c>
      <c r="L168" s="3">
        <v>0</v>
      </c>
      <c r="M168" s="3">
        <v>0</v>
      </c>
      <c r="N168" s="3" t="s">
        <v>868</v>
      </c>
      <c r="O168" s="3">
        <v>5</v>
      </c>
      <c r="P168" s="3">
        <v>2.85</v>
      </c>
      <c r="Q168" s="3">
        <v>0</v>
      </c>
      <c r="R168" s="3">
        <v>0</v>
      </c>
      <c r="S168" s="3">
        <v>2</v>
      </c>
      <c r="T168" s="3">
        <v>2</v>
      </c>
      <c r="U168" s="3">
        <v>2</v>
      </c>
      <c r="V168" s="3">
        <v>2</v>
      </c>
      <c r="W168" s="3"/>
      <c r="X168" s="3">
        <v>25.98</v>
      </c>
      <c r="Y168" s="3">
        <v>25.98</v>
      </c>
      <c r="Z168" s="3">
        <v>25.98</v>
      </c>
      <c r="AA168" s="3">
        <v>0</v>
      </c>
      <c r="AB168" s="3" t="s">
        <v>883</v>
      </c>
      <c r="AC168" s="3">
        <v>1</v>
      </c>
      <c r="AD168" s="3">
        <v>24.05</v>
      </c>
      <c r="AE168" s="3">
        <v>91</v>
      </c>
      <c r="AF168" s="3">
        <v>0</v>
      </c>
      <c r="AG168" s="3">
        <v>229.645048</v>
      </c>
      <c r="AH168" s="3">
        <v>0.0930232558139534</v>
      </c>
      <c r="AI168" s="3">
        <v>0.82469</v>
      </c>
      <c r="AJ168" s="3" t="s">
        <v>870</v>
      </c>
    </row>
    <row r="169" spans="1:36">
      <c r="A169" s="5">
        <v>43336</v>
      </c>
      <c r="B169" s="3" t="s">
        <v>1273</v>
      </c>
      <c r="C169" s="3" t="s">
        <v>1274</v>
      </c>
      <c r="D169" s="3" t="s">
        <v>1274</v>
      </c>
      <c r="E169" s="3" t="s">
        <v>1275</v>
      </c>
      <c r="F169" s="3" t="s">
        <v>867</v>
      </c>
      <c r="G169" s="3">
        <v>24</v>
      </c>
      <c r="H169" s="3">
        <v>0</v>
      </c>
      <c r="I169" s="3">
        <v>4</v>
      </c>
      <c r="J169" s="3">
        <v>20</v>
      </c>
      <c r="K169" s="3">
        <v>0</v>
      </c>
      <c r="L169" s="3">
        <v>0</v>
      </c>
      <c r="M169" s="3">
        <v>0</v>
      </c>
      <c r="N169" s="3" t="s">
        <v>868</v>
      </c>
      <c r="O169" s="3">
        <v>0</v>
      </c>
      <c r="P169" s="3">
        <v>0</v>
      </c>
      <c r="Q169" s="3">
        <v>0</v>
      </c>
      <c r="R169" s="3">
        <v>0</v>
      </c>
      <c r="S169" s="3">
        <v>3</v>
      </c>
      <c r="T169" s="3">
        <v>9</v>
      </c>
      <c r="U169" s="3">
        <v>11</v>
      </c>
      <c r="V169" s="3">
        <v>18</v>
      </c>
      <c r="W169" s="3" t="s">
        <v>871</v>
      </c>
      <c r="X169" s="3">
        <v>23.98</v>
      </c>
      <c r="Y169" s="3">
        <v>23.98</v>
      </c>
      <c r="Z169" s="3">
        <v>23.98</v>
      </c>
      <c r="AA169" s="3">
        <v>0</v>
      </c>
      <c r="AB169" s="3" t="s">
        <v>869</v>
      </c>
      <c r="AC169" s="3">
        <v>24</v>
      </c>
      <c r="AD169" s="3">
        <v>23.98</v>
      </c>
      <c r="AE169" s="3">
        <v>0</v>
      </c>
      <c r="AF169" s="3">
        <v>0</v>
      </c>
      <c r="AG169" s="3">
        <v>0</v>
      </c>
      <c r="AH169" s="3">
        <v>0.553846153846153</v>
      </c>
      <c r="AI169" s="3">
        <v>2.712192</v>
      </c>
      <c r="AJ169" s="3" t="s">
        <v>870</v>
      </c>
    </row>
    <row r="170" spans="1:36">
      <c r="A170" s="5">
        <v>43336</v>
      </c>
      <c r="B170" s="3" t="s">
        <v>1276</v>
      </c>
      <c r="C170" s="3" t="s">
        <v>1277</v>
      </c>
      <c r="D170" s="3" t="s">
        <v>1277</v>
      </c>
      <c r="E170" s="3" t="s">
        <v>1278</v>
      </c>
      <c r="F170" s="3" t="s">
        <v>867</v>
      </c>
      <c r="G170" s="3">
        <v>3</v>
      </c>
      <c r="H170" s="3">
        <v>0</v>
      </c>
      <c r="I170" s="3">
        <v>0</v>
      </c>
      <c r="J170" s="3">
        <v>3</v>
      </c>
      <c r="K170" s="3">
        <v>0</v>
      </c>
      <c r="L170" s="3">
        <v>0</v>
      </c>
      <c r="M170" s="3">
        <v>0</v>
      </c>
      <c r="N170" s="3" t="s">
        <v>868</v>
      </c>
      <c r="O170" s="3">
        <v>0</v>
      </c>
      <c r="P170" s="3">
        <v>0</v>
      </c>
      <c r="Q170" s="3">
        <v>0</v>
      </c>
      <c r="R170" s="3">
        <v>0</v>
      </c>
      <c r="S170" s="3">
        <v>1</v>
      </c>
      <c r="T170" s="3">
        <v>2</v>
      </c>
      <c r="U170" s="3">
        <v>7</v>
      </c>
      <c r="V170" s="3">
        <v>8</v>
      </c>
      <c r="W170" s="3" t="s">
        <v>871</v>
      </c>
      <c r="X170" s="3">
        <v>22.98</v>
      </c>
      <c r="Y170" s="3">
        <v>22.98</v>
      </c>
      <c r="Z170" s="3">
        <v>22.98</v>
      </c>
      <c r="AA170" s="3">
        <v>0</v>
      </c>
      <c r="AB170" s="3" t="s">
        <v>869</v>
      </c>
      <c r="AC170" s="3">
        <v>3</v>
      </c>
      <c r="AD170" s="3">
        <v>22.98</v>
      </c>
      <c r="AE170" s="3">
        <v>0</v>
      </c>
      <c r="AF170" s="3">
        <v>0</v>
      </c>
      <c r="AG170" s="3">
        <v>0</v>
      </c>
      <c r="AH170" s="3">
        <v>1.10344827586206</v>
      </c>
      <c r="AI170" s="3">
        <v>0.210138</v>
      </c>
      <c r="AJ170" s="3" t="s">
        <v>870</v>
      </c>
    </row>
    <row r="171" spans="1:36">
      <c r="A171" s="5">
        <v>43336</v>
      </c>
      <c r="B171" s="3" t="s">
        <v>187</v>
      </c>
      <c r="C171" s="3" t="s">
        <v>188</v>
      </c>
      <c r="D171" s="3" t="s">
        <v>189</v>
      </c>
      <c r="E171" s="3" t="s">
        <v>190</v>
      </c>
      <c r="F171" s="3" t="s">
        <v>867</v>
      </c>
      <c r="G171" s="3">
        <v>3</v>
      </c>
      <c r="H171" s="3">
        <v>0</v>
      </c>
      <c r="I171" s="3">
        <v>3</v>
      </c>
      <c r="J171" s="3">
        <v>0</v>
      </c>
      <c r="K171" s="3">
        <v>0</v>
      </c>
      <c r="L171" s="3">
        <v>0</v>
      </c>
      <c r="M171" s="3">
        <v>0</v>
      </c>
      <c r="N171" s="3" t="s">
        <v>868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871</v>
      </c>
      <c r="X171" s="3">
        <v>49.98</v>
      </c>
      <c r="Y171" s="3">
        <v>25.98</v>
      </c>
      <c r="Z171" s="3">
        <v>25.98</v>
      </c>
      <c r="AA171" s="3">
        <v>0</v>
      </c>
      <c r="AB171" s="3" t="s">
        <v>869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0.933333333333333</v>
      </c>
      <c r="AI171" s="3">
        <v>0.183035999999999</v>
      </c>
      <c r="AJ171" s="3" t="s">
        <v>870</v>
      </c>
    </row>
    <row r="172" spans="1:36">
      <c r="A172" s="5">
        <v>43336</v>
      </c>
      <c r="B172" s="3" t="s">
        <v>1279</v>
      </c>
      <c r="C172" s="3" t="s">
        <v>1280</v>
      </c>
      <c r="D172" s="3" t="s">
        <v>1280</v>
      </c>
      <c r="E172" s="3" t="s">
        <v>1281</v>
      </c>
      <c r="F172" s="3" t="s">
        <v>867</v>
      </c>
      <c r="G172" s="3">
        <v>11</v>
      </c>
      <c r="H172" s="3">
        <v>0</v>
      </c>
      <c r="I172" s="3">
        <v>11</v>
      </c>
      <c r="J172" s="3">
        <v>0</v>
      </c>
      <c r="K172" s="3">
        <v>0</v>
      </c>
      <c r="L172" s="3">
        <v>0</v>
      </c>
      <c r="M172" s="3">
        <v>0</v>
      </c>
      <c r="N172" s="3" t="s">
        <v>868</v>
      </c>
      <c r="O172" s="3">
        <v>0</v>
      </c>
      <c r="P172" s="3">
        <v>0</v>
      </c>
      <c r="Q172" s="3">
        <v>0</v>
      </c>
      <c r="R172" s="3">
        <v>0</v>
      </c>
      <c r="S172" s="3">
        <v>1</v>
      </c>
      <c r="T172" s="3">
        <v>6</v>
      </c>
      <c r="U172" s="3">
        <v>9</v>
      </c>
      <c r="V172" s="3">
        <v>20</v>
      </c>
      <c r="W172" s="3"/>
      <c r="X172" s="3">
        <v>22.98</v>
      </c>
      <c r="Y172" s="3">
        <v>22.98</v>
      </c>
      <c r="Z172" s="3">
        <v>22.98</v>
      </c>
      <c r="AA172" s="3">
        <v>0</v>
      </c>
      <c r="AB172" s="3" t="s">
        <v>869</v>
      </c>
      <c r="AC172" s="3">
        <v>11</v>
      </c>
      <c r="AD172" s="3">
        <v>22.98</v>
      </c>
      <c r="AE172" s="3">
        <v>0</v>
      </c>
      <c r="AF172" s="3">
        <v>0</v>
      </c>
      <c r="AG172" s="3">
        <v>0</v>
      </c>
      <c r="AH172" s="3">
        <v>1.49152542372881</v>
      </c>
      <c r="AI172" s="3">
        <v>0.919192999999999</v>
      </c>
      <c r="AJ172" s="3" t="s">
        <v>870</v>
      </c>
    </row>
    <row r="173" spans="1:36">
      <c r="A173" s="5">
        <v>43336</v>
      </c>
      <c r="B173" s="3" t="s">
        <v>1282</v>
      </c>
      <c r="C173" s="3" t="s">
        <v>1283</v>
      </c>
      <c r="D173" s="3" t="s">
        <v>1284</v>
      </c>
      <c r="E173" s="3" t="s">
        <v>1285</v>
      </c>
      <c r="F173" s="3" t="s">
        <v>867</v>
      </c>
      <c r="G173" s="3">
        <v>4</v>
      </c>
      <c r="H173" s="3">
        <v>0</v>
      </c>
      <c r="I173" s="3">
        <v>4</v>
      </c>
      <c r="J173" s="3">
        <v>0</v>
      </c>
      <c r="K173" s="3">
        <v>0</v>
      </c>
      <c r="L173" s="3">
        <v>0</v>
      </c>
      <c r="M173" s="3">
        <v>0</v>
      </c>
      <c r="N173" s="3" t="s">
        <v>868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1</v>
      </c>
      <c r="V173" s="3">
        <v>1</v>
      </c>
      <c r="W173" s="3" t="s">
        <v>871</v>
      </c>
      <c r="X173" s="3">
        <v>20.98</v>
      </c>
      <c r="Y173" s="3">
        <v>20.98</v>
      </c>
      <c r="Z173" s="3">
        <v>20.98</v>
      </c>
      <c r="AA173" s="3">
        <v>0</v>
      </c>
      <c r="AB173" s="3" t="s">
        <v>869</v>
      </c>
      <c r="AC173" s="3">
        <v>4</v>
      </c>
      <c r="AD173" s="3">
        <v>20.98</v>
      </c>
      <c r="AE173" s="3">
        <v>0</v>
      </c>
      <c r="AF173" s="3">
        <v>0</v>
      </c>
      <c r="AG173" s="3">
        <v>0</v>
      </c>
      <c r="AH173" s="3">
        <v>2</v>
      </c>
      <c r="AI173" s="3">
        <v>0.334252</v>
      </c>
      <c r="AJ173" s="3" t="s">
        <v>870</v>
      </c>
    </row>
    <row r="174" spans="1:36">
      <c r="A174" s="5">
        <v>43336</v>
      </c>
      <c r="B174" s="3" t="s">
        <v>116</v>
      </c>
      <c r="C174" s="3" t="s">
        <v>117</v>
      </c>
      <c r="D174" s="3" t="s">
        <v>118</v>
      </c>
      <c r="E174" s="3" t="s">
        <v>119</v>
      </c>
      <c r="F174" s="3" t="s">
        <v>867</v>
      </c>
      <c r="G174" s="3">
        <v>5</v>
      </c>
      <c r="H174" s="3">
        <v>0</v>
      </c>
      <c r="I174" s="3">
        <v>5</v>
      </c>
      <c r="J174" s="3">
        <v>0</v>
      </c>
      <c r="K174" s="3">
        <v>0</v>
      </c>
      <c r="L174" s="3">
        <v>0</v>
      </c>
      <c r="M174" s="3">
        <v>0</v>
      </c>
      <c r="N174" s="3" t="s">
        <v>868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871</v>
      </c>
      <c r="X174" s="3">
        <v>22.98</v>
      </c>
      <c r="Y174" s="3">
        <v>22.98</v>
      </c>
      <c r="Z174" s="3">
        <v>22.98</v>
      </c>
      <c r="AA174" s="3">
        <v>0</v>
      </c>
      <c r="AB174" s="3" t="s">
        <v>883</v>
      </c>
      <c r="AC174" s="3">
        <v>0</v>
      </c>
      <c r="AD174" s="3">
        <v>18.38</v>
      </c>
      <c r="AE174" s="3">
        <v>63</v>
      </c>
      <c r="AF174" s="3">
        <v>0</v>
      </c>
      <c r="AG174" s="3">
        <v>79.253898</v>
      </c>
      <c r="AH174" s="3">
        <v>0</v>
      </c>
      <c r="AI174" s="3">
        <v>0.69051</v>
      </c>
      <c r="AJ174" s="3" t="s">
        <v>870</v>
      </c>
    </row>
    <row r="175" spans="1:36">
      <c r="A175" s="5">
        <v>43336</v>
      </c>
      <c r="B175" s="3" t="s">
        <v>1286</v>
      </c>
      <c r="C175" s="3" t="s">
        <v>1287</v>
      </c>
      <c r="D175" s="3" t="s">
        <v>1287</v>
      </c>
      <c r="E175" s="3" t="s">
        <v>1288</v>
      </c>
      <c r="F175" s="3" t="s">
        <v>867</v>
      </c>
      <c r="G175" s="3">
        <v>1</v>
      </c>
      <c r="H175" s="3">
        <v>0</v>
      </c>
      <c r="I175" s="3">
        <v>1</v>
      </c>
      <c r="J175" s="3">
        <v>0</v>
      </c>
      <c r="K175" s="3">
        <v>0</v>
      </c>
      <c r="L175" s="3">
        <v>0</v>
      </c>
      <c r="M175" s="3">
        <v>0</v>
      </c>
      <c r="N175" s="3" t="s">
        <v>868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3</v>
      </c>
      <c r="U175" s="3">
        <v>4</v>
      </c>
      <c r="V175" s="3">
        <v>31</v>
      </c>
      <c r="W175" s="3" t="s">
        <v>871</v>
      </c>
      <c r="X175" s="3">
        <v>21.99</v>
      </c>
      <c r="Y175" s="3">
        <v>21.99</v>
      </c>
      <c r="Z175" s="3">
        <v>21.99</v>
      </c>
      <c r="AA175" s="3">
        <v>0</v>
      </c>
      <c r="AB175" s="3" t="s">
        <v>869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5.63636363636363</v>
      </c>
      <c r="AI175" s="3">
        <v>0.072049</v>
      </c>
      <c r="AJ175" s="3" t="s">
        <v>870</v>
      </c>
    </row>
    <row r="176" spans="1:36">
      <c r="A176" s="5">
        <v>43336</v>
      </c>
      <c r="B176" s="3" t="s">
        <v>357</v>
      </c>
      <c r="C176" s="3" t="s">
        <v>358</v>
      </c>
      <c r="D176" s="3" t="s">
        <v>359</v>
      </c>
      <c r="E176" s="3" t="s">
        <v>360</v>
      </c>
      <c r="F176" s="3" t="s">
        <v>867</v>
      </c>
      <c r="G176" s="3">
        <v>112</v>
      </c>
      <c r="H176" s="3">
        <v>0</v>
      </c>
      <c r="I176" s="3">
        <v>112</v>
      </c>
      <c r="J176" s="3">
        <v>0</v>
      </c>
      <c r="K176" s="3">
        <v>0</v>
      </c>
      <c r="L176" s="3">
        <v>0</v>
      </c>
      <c r="M176" s="3">
        <v>0</v>
      </c>
      <c r="N176" s="3" t="s">
        <v>868</v>
      </c>
      <c r="O176" s="3">
        <v>0</v>
      </c>
      <c r="P176" s="3">
        <v>0</v>
      </c>
      <c r="Q176" s="3">
        <v>0</v>
      </c>
      <c r="R176" s="3">
        <v>0</v>
      </c>
      <c r="S176" s="3">
        <v>22</v>
      </c>
      <c r="T176" s="3">
        <v>109</v>
      </c>
      <c r="U176" s="3">
        <v>134</v>
      </c>
      <c r="V176" s="3">
        <v>134</v>
      </c>
      <c r="W176" s="3"/>
      <c r="X176" s="3">
        <v>23.98</v>
      </c>
      <c r="Y176" s="3">
        <v>23.98</v>
      </c>
      <c r="Z176" s="3">
        <v>23.98</v>
      </c>
      <c r="AA176" s="3">
        <v>0</v>
      </c>
      <c r="AB176" s="3" t="s">
        <v>869</v>
      </c>
      <c r="AC176" s="3">
        <v>124</v>
      </c>
      <c r="AD176" s="3">
        <v>23.98</v>
      </c>
      <c r="AE176" s="3">
        <v>0</v>
      </c>
      <c r="AF176" s="3">
        <v>0</v>
      </c>
      <c r="AG176" s="3">
        <v>0</v>
      </c>
      <c r="AH176" s="3">
        <v>4.390625</v>
      </c>
      <c r="AI176" s="3">
        <v>5.099248</v>
      </c>
      <c r="AJ176" s="3" t="s">
        <v>870</v>
      </c>
    </row>
    <row r="177" spans="1:36">
      <c r="A177" s="5">
        <v>43336</v>
      </c>
      <c r="B177" s="3" t="s">
        <v>1289</v>
      </c>
      <c r="C177" s="3" t="s">
        <v>1290</v>
      </c>
      <c r="D177" s="3" t="s">
        <v>1290</v>
      </c>
      <c r="E177" s="3" t="s">
        <v>1291</v>
      </c>
      <c r="F177" s="3" t="s">
        <v>867</v>
      </c>
      <c r="G177" s="3">
        <v>5</v>
      </c>
      <c r="H177" s="3">
        <v>0</v>
      </c>
      <c r="I177" s="3">
        <v>1</v>
      </c>
      <c r="J177" s="3">
        <v>4</v>
      </c>
      <c r="K177" s="3">
        <v>0</v>
      </c>
      <c r="L177" s="3">
        <v>0</v>
      </c>
      <c r="M177" s="3">
        <v>0</v>
      </c>
      <c r="N177" s="3" t="s">
        <v>868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2</v>
      </c>
      <c r="U177" s="3">
        <v>2</v>
      </c>
      <c r="V177" s="3">
        <v>3</v>
      </c>
      <c r="W177" s="3" t="s">
        <v>871</v>
      </c>
      <c r="X177" s="3">
        <v>23.98</v>
      </c>
      <c r="Y177" s="3">
        <v>23.98</v>
      </c>
      <c r="Z177" s="3">
        <v>23.98</v>
      </c>
      <c r="AA177" s="3">
        <v>0</v>
      </c>
      <c r="AB177" s="3" t="s">
        <v>869</v>
      </c>
      <c r="AC177" s="3">
        <v>5</v>
      </c>
      <c r="AD177" s="3">
        <v>23.98</v>
      </c>
      <c r="AE177" s="3">
        <v>0</v>
      </c>
      <c r="AF177" s="3">
        <v>0</v>
      </c>
      <c r="AG177" s="3">
        <v>0</v>
      </c>
      <c r="AH177" s="3">
        <v>0.272727272727272</v>
      </c>
      <c r="AI177" s="3">
        <v>0.522154999999999</v>
      </c>
      <c r="AJ177" s="3" t="s">
        <v>870</v>
      </c>
    </row>
    <row r="178" spans="1:36">
      <c r="A178" s="5">
        <v>43336</v>
      </c>
      <c r="B178" s="3" t="s">
        <v>1292</v>
      </c>
      <c r="C178" s="3" t="s">
        <v>1293</v>
      </c>
      <c r="D178" s="3" t="s">
        <v>1293</v>
      </c>
      <c r="E178" s="3" t="s">
        <v>1294</v>
      </c>
      <c r="F178" s="3" t="s">
        <v>867</v>
      </c>
      <c r="G178" s="3">
        <v>2</v>
      </c>
      <c r="H178" s="3">
        <v>0</v>
      </c>
      <c r="I178" s="3">
        <v>1</v>
      </c>
      <c r="J178" s="3">
        <v>1</v>
      </c>
      <c r="K178" s="3">
        <v>0</v>
      </c>
      <c r="L178" s="3">
        <v>0</v>
      </c>
      <c r="M178" s="3">
        <v>0</v>
      </c>
      <c r="N178" s="3" t="s">
        <v>868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/>
      <c r="X178" s="3"/>
      <c r="Y178" s="3"/>
      <c r="Z178" s="3">
        <v>-1</v>
      </c>
      <c r="AA178" s="3">
        <v>-1</v>
      </c>
      <c r="AB178" s="3" t="s">
        <v>891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0</v>
      </c>
      <c r="AI178" s="3">
        <v>0.230562</v>
      </c>
      <c r="AJ178" s="3" t="s">
        <v>870</v>
      </c>
    </row>
    <row r="179" spans="1:36">
      <c r="A179" s="5">
        <v>43336</v>
      </c>
      <c r="B179" s="3" t="s">
        <v>1295</v>
      </c>
      <c r="C179" s="3" t="s">
        <v>1296</v>
      </c>
      <c r="D179" s="3" t="s">
        <v>1296</v>
      </c>
      <c r="E179" s="3" t="s">
        <v>1297</v>
      </c>
      <c r="F179" s="3" t="s">
        <v>867</v>
      </c>
      <c r="G179" s="3">
        <v>1</v>
      </c>
      <c r="H179" s="3">
        <v>0</v>
      </c>
      <c r="I179" s="3">
        <v>0</v>
      </c>
      <c r="J179" s="3">
        <v>1</v>
      </c>
      <c r="K179" s="3">
        <v>0</v>
      </c>
      <c r="L179" s="3">
        <v>0</v>
      </c>
      <c r="M179" s="3">
        <v>0</v>
      </c>
      <c r="N179" s="3" t="s">
        <v>868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936</v>
      </c>
      <c r="X179" s="3">
        <v>23.98</v>
      </c>
      <c r="Y179" s="3">
        <v>23.98</v>
      </c>
      <c r="Z179" s="3">
        <v>23.98</v>
      </c>
      <c r="AA179" s="3">
        <v>0</v>
      </c>
      <c r="AB179" s="3" t="s">
        <v>937</v>
      </c>
      <c r="AC179" s="3">
        <v>0</v>
      </c>
      <c r="AD179" s="3">
        <v>21.61</v>
      </c>
      <c r="AE179" s="3">
        <v>35</v>
      </c>
      <c r="AF179" s="3">
        <v>0</v>
      </c>
      <c r="AG179" s="3">
        <v>20.960886</v>
      </c>
      <c r="AH179" s="3">
        <v>0</v>
      </c>
      <c r="AI179" s="3">
        <v>0.087712</v>
      </c>
      <c r="AJ179" s="3" t="s">
        <v>870</v>
      </c>
    </row>
    <row r="180" spans="1:36">
      <c r="A180" s="5">
        <v>43336</v>
      </c>
      <c r="B180" s="3" t="s">
        <v>1298</v>
      </c>
      <c r="C180" s="3" t="s">
        <v>1299</v>
      </c>
      <c r="D180" s="3" t="s">
        <v>1299</v>
      </c>
      <c r="E180" s="3" t="s">
        <v>1300</v>
      </c>
      <c r="F180" s="3" t="s">
        <v>867</v>
      </c>
      <c r="G180" s="3">
        <v>33</v>
      </c>
      <c r="H180" s="3">
        <v>0</v>
      </c>
      <c r="I180" s="3">
        <v>3</v>
      </c>
      <c r="J180" s="3">
        <v>30</v>
      </c>
      <c r="K180" s="3">
        <v>0</v>
      </c>
      <c r="L180" s="3">
        <v>0</v>
      </c>
      <c r="M180" s="3">
        <v>0</v>
      </c>
      <c r="N180" s="3" t="s">
        <v>868</v>
      </c>
      <c r="O180" s="3">
        <v>0</v>
      </c>
      <c r="P180" s="3">
        <v>0</v>
      </c>
      <c r="Q180" s="3">
        <v>0</v>
      </c>
      <c r="R180" s="3">
        <v>0</v>
      </c>
      <c r="S180" s="3">
        <v>1</v>
      </c>
      <c r="T180" s="3">
        <v>7</v>
      </c>
      <c r="U180" s="3">
        <v>8</v>
      </c>
      <c r="V180" s="3">
        <v>9</v>
      </c>
      <c r="W180" s="3"/>
      <c r="X180" s="3">
        <v>39.98</v>
      </c>
      <c r="Y180" s="3">
        <v>22.98</v>
      </c>
      <c r="Z180" s="3">
        <v>22.98</v>
      </c>
      <c r="AA180" s="3">
        <v>0</v>
      </c>
      <c r="AB180" s="3" t="s">
        <v>869</v>
      </c>
      <c r="AC180" s="3">
        <v>34</v>
      </c>
      <c r="AD180" s="3">
        <v>22.98</v>
      </c>
      <c r="AE180" s="3">
        <v>0</v>
      </c>
      <c r="AF180" s="3">
        <v>0</v>
      </c>
      <c r="AG180" s="3">
        <v>0</v>
      </c>
      <c r="AH180" s="3">
        <v>0.229299363057324</v>
      </c>
      <c r="AI180" s="3">
        <v>7.036194</v>
      </c>
      <c r="AJ180" s="3" t="s">
        <v>870</v>
      </c>
    </row>
    <row r="181" spans="1:36">
      <c r="A181" s="5">
        <v>43336</v>
      </c>
      <c r="B181" s="3" t="s">
        <v>1301</v>
      </c>
      <c r="C181" s="3" t="s">
        <v>1302</v>
      </c>
      <c r="D181" s="3" t="s">
        <v>1302</v>
      </c>
      <c r="E181" s="3" t="s">
        <v>1303</v>
      </c>
      <c r="F181" s="3" t="s">
        <v>867</v>
      </c>
      <c r="G181" s="3">
        <v>2</v>
      </c>
      <c r="H181" s="3">
        <v>0</v>
      </c>
      <c r="I181" s="3">
        <v>0</v>
      </c>
      <c r="J181" s="3">
        <v>0</v>
      </c>
      <c r="K181" s="3">
        <v>2</v>
      </c>
      <c r="L181" s="3">
        <v>0</v>
      </c>
      <c r="M181" s="3">
        <v>0</v>
      </c>
      <c r="N181" s="3" t="s">
        <v>868</v>
      </c>
      <c r="O181" s="3">
        <v>2</v>
      </c>
      <c r="P181" s="3">
        <v>0.34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936</v>
      </c>
      <c r="X181" s="3">
        <v>21.98</v>
      </c>
      <c r="Y181" s="3">
        <v>21.98</v>
      </c>
      <c r="Z181" s="3">
        <v>21.98</v>
      </c>
      <c r="AA181" s="3">
        <v>0</v>
      </c>
      <c r="AB181" s="3" t="s">
        <v>937</v>
      </c>
      <c r="AC181" s="3">
        <v>2</v>
      </c>
      <c r="AD181" s="3">
        <v>21.98</v>
      </c>
      <c r="AE181" s="3">
        <v>0</v>
      </c>
      <c r="AF181" s="3">
        <v>0</v>
      </c>
      <c r="AG181" s="3">
        <v>0</v>
      </c>
      <c r="AH181" s="3">
        <v>0</v>
      </c>
      <c r="AI181" s="3">
        <v>0.10069</v>
      </c>
      <c r="AJ181" s="3" t="s">
        <v>870</v>
      </c>
    </row>
    <row r="182" spans="1:36">
      <c r="A182" s="5">
        <v>43336</v>
      </c>
      <c r="B182" s="3" t="s">
        <v>1304</v>
      </c>
      <c r="C182" s="3" t="s">
        <v>1305</v>
      </c>
      <c r="D182" s="3" t="s">
        <v>1306</v>
      </c>
      <c r="E182" s="3" t="s">
        <v>1307</v>
      </c>
      <c r="F182" s="3" t="s">
        <v>867</v>
      </c>
      <c r="G182" s="3">
        <v>9</v>
      </c>
      <c r="H182" s="3">
        <v>0</v>
      </c>
      <c r="I182" s="3">
        <v>9</v>
      </c>
      <c r="J182" s="3">
        <v>0</v>
      </c>
      <c r="K182" s="3">
        <v>0</v>
      </c>
      <c r="L182" s="3">
        <v>0</v>
      </c>
      <c r="M182" s="3">
        <v>0</v>
      </c>
      <c r="N182" s="3" t="s">
        <v>868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1</v>
      </c>
      <c r="U182" s="3">
        <v>1</v>
      </c>
      <c r="V182" s="3">
        <v>1</v>
      </c>
      <c r="W182" s="3"/>
      <c r="X182" s="3">
        <v>20.98</v>
      </c>
      <c r="Y182" s="3">
        <v>20.98</v>
      </c>
      <c r="Z182" s="3">
        <v>20.98</v>
      </c>
      <c r="AA182" s="3">
        <v>0</v>
      </c>
      <c r="AB182" s="3" t="s">
        <v>869</v>
      </c>
      <c r="AC182" s="3">
        <v>9</v>
      </c>
      <c r="AD182" s="3">
        <v>20.98</v>
      </c>
      <c r="AE182" s="3">
        <v>0</v>
      </c>
      <c r="AF182" s="3">
        <v>0</v>
      </c>
      <c r="AG182" s="3">
        <v>0</v>
      </c>
      <c r="AH182" s="3">
        <v>0.903225806451612</v>
      </c>
      <c r="AI182" s="3">
        <v>0.949373999999999</v>
      </c>
      <c r="AJ182" s="3" t="s">
        <v>870</v>
      </c>
    </row>
    <row r="183" spans="1:36">
      <c r="A183" s="5">
        <v>43336</v>
      </c>
      <c r="B183" s="3" t="s">
        <v>645</v>
      </c>
      <c r="C183" s="3" t="s">
        <v>646</v>
      </c>
      <c r="D183" s="3" t="s">
        <v>647</v>
      </c>
      <c r="E183" s="3" t="s">
        <v>648</v>
      </c>
      <c r="F183" s="3" t="s">
        <v>867</v>
      </c>
      <c r="G183" s="3">
        <v>36</v>
      </c>
      <c r="H183" s="3">
        <v>0</v>
      </c>
      <c r="I183" s="3">
        <v>36</v>
      </c>
      <c r="J183" s="3">
        <v>0</v>
      </c>
      <c r="K183" s="3">
        <v>0</v>
      </c>
      <c r="L183" s="3">
        <v>0</v>
      </c>
      <c r="M183" s="3">
        <v>0</v>
      </c>
      <c r="N183" s="3" t="s">
        <v>868</v>
      </c>
      <c r="O183" s="3">
        <v>0</v>
      </c>
      <c r="P183" s="3">
        <v>0</v>
      </c>
      <c r="Q183" s="3">
        <v>0</v>
      </c>
      <c r="R183" s="3">
        <v>0</v>
      </c>
      <c r="S183" s="3">
        <v>2</v>
      </c>
      <c r="T183" s="3">
        <v>13</v>
      </c>
      <c r="U183" s="3">
        <v>19</v>
      </c>
      <c r="V183" s="3">
        <v>29</v>
      </c>
      <c r="W183" s="3"/>
      <c r="X183" s="3">
        <v>23.98</v>
      </c>
      <c r="Y183" s="3">
        <v>23.98</v>
      </c>
      <c r="Z183" s="3">
        <v>23.98</v>
      </c>
      <c r="AA183" s="3">
        <v>0</v>
      </c>
      <c r="AB183" s="3" t="s">
        <v>869</v>
      </c>
      <c r="AC183" s="3">
        <v>37</v>
      </c>
      <c r="AD183" s="3">
        <v>23.98</v>
      </c>
      <c r="AE183" s="3">
        <v>0</v>
      </c>
      <c r="AF183" s="3">
        <v>0</v>
      </c>
      <c r="AG183" s="3">
        <v>0</v>
      </c>
      <c r="AH183" s="3">
        <v>1.55357142857142</v>
      </c>
      <c r="AI183" s="3">
        <v>6.25158</v>
      </c>
      <c r="AJ183" s="3" t="s">
        <v>870</v>
      </c>
    </row>
    <row r="184" spans="1:36">
      <c r="A184" s="5">
        <v>43336</v>
      </c>
      <c r="B184" s="3" t="s">
        <v>373</v>
      </c>
      <c r="C184" s="3" t="s">
        <v>374</v>
      </c>
      <c r="D184" s="3" t="s">
        <v>375</v>
      </c>
      <c r="E184" s="3" t="s">
        <v>376</v>
      </c>
      <c r="F184" s="3" t="s">
        <v>867</v>
      </c>
      <c r="G184" s="3">
        <v>47</v>
      </c>
      <c r="H184" s="3">
        <v>0</v>
      </c>
      <c r="I184" s="3">
        <v>47</v>
      </c>
      <c r="J184" s="3">
        <v>0</v>
      </c>
      <c r="K184" s="3">
        <v>0</v>
      </c>
      <c r="L184" s="3">
        <v>0</v>
      </c>
      <c r="M184" s="3">
        <v>0</v>
      </c>
      <c r="N184" s="3" t="s">
        <v>868</v>
      </c>
      <c r="O184" s="3">
        <v>0</v>
      </c>
      <c r="P184" s="3">
        <v>0</v>
      </c>
      <c r="Q184" s="3">
        <v>0</v>
      </c>
      <c r="R184" s="3">
        <v>0</v>
      </c>
      <c r="S184" s="3">
        <v>13</v>
      </c>
      <c r="T184" s="3">
        <v>40</v>
      </c>
      <c r="U184" s="3">
        <v>78</v>
      </c>
      <c r="V184" s="3">
        <v>78</v>
      </c>
      <c r="W184" s="3"/>
      <c r="X184" s="3">
        <v>23.98</v>
      </c>
      <c r="Y184" s="3">
        <v>23.98</v>
      </c>
      <c r="Z184" s="3">
        <v>23.98</v>
      </c>
      <c r="AA184" s="3">
        <v>0</v>
      </c>
      <c r="AB184" s="3" t="s">
        <v>869</v>
      </c>
      <c r="AC184" s="3">
        <v>47</v>
      </c>
      <c r="AD184" s="3">
        <v>23.98</v>
      </c>
      <c r="AE184" s="3">
        <v>0</v>
      </c>
      <c r="AF184" s="3">
        <v>0</v>
      </c>
      <c r="AG184" s="3">
        <v>0</v>
      </c>
      <c r="AH184" s="3">
        <v>4.88888888888888</v>
      </c>
      <c r="AI184" s="3">
        <v>2.139863</v>
      </c>
      <c r="AJ184" s="3" t="s">
        <v>870</v>
      </c>
    </row>
    <row r="185" spans="1:36">
      <c r="A185" s="5">
        <v>43336</v>
      </c>
      <c r="B185" s="3" t="s">
        <v>491</v>
      </c>
      <c r="C185" s="3" t="s">
        <v>492</v>
      </c>
      <c r="D185" s="3" t="s">
        <v>492</v>
      </c>
      <c r="E185" s="3" t="s">
        <v>493</v>
      </c>
      <c r="F185" s="3" t="s">
        <v>867</v>
      </c>
      <c r="G185" s="3">
        <v>3</v>
      </c>
      <c r="H185" s="3">
        <v>0</v>
      </c>
      <c r="I185" s="3">
        <v>1</v>
      </c>
      <c r="J185" s="3">
        <v>2</v>
      </c>
      <c r="K185" s="3">
        <v>0</v>
      </c>
      <c r="L185" s="3">
        <v>0</v>
      </c>
      <c r="M185" s="3">
        <v>0</v>
      </c>
      <c r="N185" s="3" t="s">
        <v>868</v>
      </c>
      <c r="O185" s="3">
        <v>0</v>
      </c>
      <c r="P185" s="3">
        <v>0</v>
      </c>
      <c r="Q185" s="3">
        <v>0</v>
      </c>
      <c r="R185" s="3">
        <v>0</v>
      </c>
      <c r="S185" s="3">
        <v>1</v>
      </c>
      <c r="T185" s="3">
        <v>3</v>
      </c>
      <c r="U185" s="3">
        <v>4</v>
      </c>
      <c r="V185" s="3">
        <v>6</v>
      </c>
      <c r="W185" s="3"/>
      <c r="X185" s="3">
        <v>22.99</v>
      </c>
      <c r="Y185" s="3">
        <v>22.99</v>
      </c>
      <c r="Z185" s="3">
        <v>22.99</v>
      </c>
      <c r="AA185" s="3">
        <v>0</v>
      </c>
      <c r="AB185" s="3" t="s">
        <v>869</v>
      </c>
      <c r="AC185" s="3">
        <v>3</v>
      </c>
      <c r="AD185" s="3">
        <v>22.98</v>
      </c>
      <c r="AE185" s="3">
        <v>0</v>
      </c>
      <c r="AF185" s="3">
        <v>0</v>
      </c>
      <c r="AG185" s="3">
        <v>0</v>
      </c>
      <c r="AH185" s="3">
        <v>1</v>
      </c>
      <c r="AI185" s="3">
        <v>0.437703</v>
      </c>
      <c r="AJ185" s="3" t="s">
        <v>870</v>
      </c>
    </row>
    <row r="186" spans="1:36">
      <c r="A186" s="5">
        <v>43336</v>
      </c>
      <c r="B186" s="3" t="s">
        <v>1308</v>
      </c>
      <c r="C186" s="3" t="s">
        <v>1309</v>
      </c>
      <c r="D186" s="3" t="s">
        <v>1309</v>
      </c>
      <c r="E186" s="3" t="s">
        <v>1310</v>
      </c>
      <c r="F186" s="3" t="s">
        <v>867</v>
      </c>
      <c r="G186" s="3">
        <v>2</v>
      </c>
      <c r="H186" s="3">
        <v>0</v>
      </c>
      <c r="I186" s="3">
        <v>1</v>
      </c>
      <c r="J186" s="3">
        <v>1</v>
      </c>
      <c r="K186" s="3">
        <v>0</v>
      </c>
      <c r="L186" s="3">
        <v>0</v>
      </c>
      <c r="M186" s="3">
        <v>0</v>
      </c>
      <c r="N186" s="3" t="s">
        <v>868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1</v>
      </c>
      <c r="V186" s="3">
        <v>6</v>
      </c>
      <c r="W186" s="3" t="s">
        <v>871</v>
      </c>
      <c r="X186" s="3">
        <v>16.99</v>
      </c>
      <c r="Y186" s="3">
        <v>16.99</v>
      </c>
      <c r="Z186" s="3">
        <v>16.99</v>
      </c>
      <c r="AA186" s="3">
        <v>0</v>
      </c>
      <c r="AB186" s="3" t="s">
        <v>883</v>
      </c>
      <c r="AC186" s="3">
        <v>0</v>
      </c>
      <c r="AD186" s="3">
        <v>15.91</v>
      </c>
      <c r="AE186" s="3">
        <v>42</v>
      </c>
      <c r="AF186" s="3">
        <v>0</v>
      </c>
      <c r="AG186" s="3">
        <v>62.373048</v>
      </c>
      <c r="AH186" s="3">
        <v>0.180451127819548</v>
      </c>
      <c r="AI186" s="3">
        <v>0.562552</v>
      </c>
      <c r="AJ186" s="3" t="s">
        <v>870</v>
      </c>
    </row>
    <row r="187" spans="1:36">
      <c r="A187" s="5">
        <v>43336</v>
      </c>
      <c r="B187" s="3" t="s">
        <v>653</v>
      </c>
      <c r="C187" s="3" t="s">
        <v>654</v>
      </c>
      <c r="D187" s="3" t="s">
        <v>655</v>
      </c>
      <c r="E187" s="3" t="s">
        <v>656</v>
      </c>
      <c r="F187" s="3" t="s">
        <v>867</v>
      </c>
      <c r="G187" s="3">
        <v>29</v>
      </c>
      <c r="H187" s="3">
        <v>0</v>
      </c>
      <c r="I187" s="3">
        <v>29</v>
      </c>
      <c r="J187" s="3">
        <v>0</v>
      </c>
      <c r="K187" s="3">
        <v>0</v>
      </c>
      <c r="L187" s="3">
        <v>0</v>
      </c>
      <c r="M187" s="3">
        <v>0</v>
      </c>
      <c r="N187" s="3" t="s">
        <v>868</v>
      </c>
      <c r="O187" s="3">
        <v>0</v>
      </c>
      <c r="P187" s="3">
        <v>0</v>
      </c>
      <c r="Q187" s="3">
        <v>0</v>
      </c>
      <c r="R187" s="3">
        <v>0</v>
      </c>
      <c r="S187" s="3">
        <v>8</v>
      </c>
      <c r="T187" s="3">
        <v>32</v>
      </c>
      <c r="U187" s="3">
        <v>73</v>
      </c>
      <c r="V187" s="3">
        <v>90</v>
      </c>
      <c r="W187" s="3"/>
      <c r="X187" s="3">
        <v>69.9</v>
      </c>
      <c r="Y187" s="3">
        <v>25.98</v>
      </c>
      <c r="Z187" s="3">
        <v>25.98</v>
      </c>
      <c r="AA187" s="3">
        <v>0</v>
      </c>
      <c r="AB187" s="3" t="s">
        <v>869</v>
      </c>
      <c r="AC187" s="3">
        <v>31</v>
      </c>
      <c r="AD187" s="3">
        <v>25.98</v>
      </c>
      <c r="AE187" s="3">
        <v>0</v>
      </c>
      <c r="AF187" s="3">
        <v>0</v>
      </c>
      <c r="AG187" s="3">
        <v>0</v>
      </c>
      <c r="AH187" s="3">
        <v>6.58536585365853</v>
      </c>
      <c r="AI187" s="3">
        <v>5.035995</v>
      </c>
      <c r="AJ187" s="3" t="s">
        <v>870</v>
      </c>
    </row>
    <row r="188" spans="1:36">
      <c r="A188" s="5">
        <v>43336</v>
      </c>
      <c r="B188" s="3" t="s">
        <v>1311</v>
      </c>
      <c r="C188" s="3" t="s">
        <v>1312</v>
      </c>
      <c r="D188" s="3" t="s">
        <v>1313</v>
      </c>
      <c r="E188" s="3" t="s">
        <v>1314</v>
      </c>
      <c r="F188" s="3" t="s">
        <v>867</v>
      </c>
      <c r="G188" s="3">
        <v>18</v>
      </c>
      <c r="H188" s="3">
        <v>0</v>
      </c>
      <c r="I188" s="3">
        <v>18</v>
      </c>
      <c r="J188" s="3">
        <v>0</v>
      </c>
      <c r="K188" s="3">
        <v>0</v>
      </c>
      <c r="L188" s="3">
        <v>0</v>
      </c>
      <c r="M188" s="3">
        <v>0</v>
      </c>
      <c r="N188" s="3" t="s">
        <v>868</v>
      </c>
      <c r="O188" s="3">
        <v>0</v>
      </c>
      <c r="P188" s="3">
        <v>0</v>
      </c>
      <c r="Q188" s="3">
        <v>0</v>
      </c>
      <c r="R188" s="3">
        <v>0</v>
      </c>
      <c r="S188" s="3">
        <v>3</v>
      </c>
      <c r="T188" s="3">
        <v>8</v>
      </c>
      <c r="U188" s="3">
        <v>11</v>
      </c>
      <c r="V188" s="3">
        <v>11</v>
      </c>
      <c r="W188" s="3"/>
      <c r="X188" s="3">
        <v>25.98</v>
      </c>
      <c r="Y188" s="3">
        <v>25.98</v>
      </c>
      <c r="Z188" s="3">
        <v>25.98</v>
      </c>
      <c r="AA188" s="3">
        <v>0</v>
      </c>
      <c r="AB188" s="3" t="s">
        <v>869</v>
      </c>
      <c r="AC188" s="3">
        <v>18</v>
      </c>
      <c r="AD188" s="3">
        <v>25.98</v>
      </c>
      <c r="AE188" s="3">
        <v>0</v>
      </c>
      <c r="AF188" s="3">
        <v>0</v>
      </c>
      <c r="AG188" s="3">
        <v>0</v>
      </c>
      <c r="AH188" s="3">
        <v>0.511627906976744</v>
      </c>
      <c r="AI188" s="3">
        <v>3.12579</v>
      </c>
      <c r="AJ188" s="3" t="s">
        <v>870</v>
      </c>
    </row>
    <row r="189" spans="1:36">
      <c r="A189" s="5">
        <v>43336</v>
      </c>
      <c r="B189" s="3" t="s">
        <v>1315</v>
      </c>
      <c r="C189" s="3" t="s">
        <v>1316</v>
      </c>
      <c r="D189" s="3" t="s">
        <v>1316</v>
      </c>
      <c r="E189" s="3" t="s">
        <v>1317</v>
      </c>
      <c r="F189" s="3" t="s">
        <v>867</v>
      </c>
      <c r="G189" s="3">
        <v>2</v>
      </c>
      <c r="H189" s="3">
        <v>0</v>
      </c>
      <c r="I189" s="3">
        <v>0</v>
      </c>
      <c r="J189" s="3">
        <v>2</v>
      </c>
      <c r="K189" s="3">
        <v>0</v>
      </c>
      <c r="L189" s="3">
        <v>0</v>
      </c>
      <c r="M189" s="3">
        <v>0</v>
      </c>
      <c r="N189" s="3" t="s">
        <v>868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1</v>
      </c>
      <c r="U189" s="3">
        <v>1</v>
      </c>
      <c r="V189" s="3">
        <v>1</v>
      </c>
      <c r="W189" s="3" t="s">
        <v>871</v>
      </c>
      <c r="X189" s="3">
        <v>23.98</v>
      </c>
      <c r="Y189" s="3">
        <v>23.98</v>
      </c>
      <c r="Z189" s="3">
        <v>23.98</v>
      </c>
      <c r="AA189" s="3">
        <v>0</v>
      </c>
      <c r="AB189" s="3" t="s">
        <v>869</v>
      </c>
      <c r="AC189" s="3">
        <v>2</v>
      </c>
      <c r="AD189" s="3">
        <v>23.98</v>
      </c>
      <c r="AE189" s="3">
        <v>0</v>
      </c>
      <c r="AF189" s="3">
        <v>0</v>
      </c>
      <c r="AG189" s="3">
        <v>0</v>
      </c>
      <c r="AH189" s="3">
        <v>0.363636363636363</v>
      </c>
      <c r="AI189" s="3">
        <v>0.176466</v>
      </c>
      <c r="AJ189" s="3" t="s">
        <v>870</v>
      </c>
    </row>
    <row r="190" spans="1:36">
      <c r="A190" s="5">
        <v>43336</v>
      </c>
      <c r="B190" s="3" t="s">
        <v>1318</v>
      </c>
      <c r="C190" s="3" t="s">
        <v>449</v>
      </c>
      <c r="D190" s="3" t="s">
        <v>449</v>
      </c>
      <c r="E190" s="3" t="s">
        <v>1110</v>
      </c>
      <c r="F190" s="3" t="s">
        <v>867</v>
      </c>
      <c r="G190" s="3">
        <v>4</v>
      </c>
      <c r="H190" s="3">
        <v>0</v>
      </c>
      <c r="I190" s="3">
        <v>3</v>
      </c>
      <c r="J190" s="3">
        <v>1</v>
      </c>
      <c r="K190" s="3">
        <v>0</v>
      </c>
      <c r="L190" s="3">
        <v>0</v>
      </c>
      <c r="M190" s="3">
        <v>0</v>
      </c>
      <c r="N190" s="3" t="s">
        <v>868</v>
      </c>
      <c r="O190" s="3">
        <v>0</v>
      </c>
      <c r="P190" s="3">
        <v>0</v>
      </c>
      <c r="Q190" s="3">
        <v>0</v>
      </c>
      <c r="R190" s="3">
        <v>0</v>
      </c>
      <c r="S190" s="3">
        <v>6</v>
      </c>
      <c r="T190" s="3">
        <v>9</v>
      </c>
      <c r="U190" s="3">
        <v>14</v>
      </c>
      <c r="V190" s="3">
        <v>23</v>
      </c>
      <c r="W190" s="3"/>
      <c r="X190" s="3">
        <v>23.98</v>
      </c>
      <c r="Y190" s="3">
        <v>23.98</v>
      </c>
      <c r="Z190" s="3">
        <v>19.98</v>
      </c>
      <c r="AA190" s="3">
        <v>0</v>
      </c>
      <c r="AB190" s="3" t="s">
        <v>869</v>
      </c>
      <c r="AC190" s="3">
        <v>9</v>
      </c>
      <c r="AD190" s="3">
        <v>23.98</v>
      </c>
      <c r="AE190" s="3">
        <v>0</v>
      </c>
      <c r="AF190" s="3">
        <v>0</v>
      </c>
      <c r="AG190" s="3">
        <v>0</v>
      </c>
      <c r="AH190" s="3">
        <v>1.39393939393939</v>
      </c>
      <c r="AI190" s="3">
        <v>0.114584</v>
      </c>
      <c r="AJ190" s="3" t="s">
        <v>870</v>
      </c>
    </row>
    <row r="191" spans="1:36">
      <c r="A191" s="5">
        <v>43336</v>
      </c>
      <c r="B191" s="3" t="s">
        <v>574</v>
      </c>
      <c r="C191" s="3" t="s">
        <v>363</v>
      </c>
      <c r="D191" s="3" t="s">
        <v>363</v>
      </c>
      <c r="E191" s="3" t="s">
        <v>364</v>
      </c>
      <c r="F191" s="3" t="s">
        <v>867</v>
      </c>
      <c r="G191" s="3">
        <v>24</v>
      </c>
      <c r="H191" s="3">
        <v>0</v>
      </c>
      <c r="I191" s="3">
        <v>24</v>
      </c>
      <c r="J191" s="3">
        <v>0</v>
      </c>
      <c r="K191" s="3">
        <v>0</v>
      </c>
      <c r="L191" s="3">
        <v>0</v>
      </c>
      <c r="M191" s="3">
        <v>0</v>
      </c>
      <c r="N191" s="3" t="s">
        <v>868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27</v>
      </c>
      <c r="V191" s="3">
        <v>96</v>
      </c>
      <c r="W191" s="3" t="s">
        <v>871</v>
      </c>
      <c r="X191" s="3">
        <v>24.98</v>
      </c>
      <c r="Y191" s="3">
        <v>24.98</v>
      </c>
      <c r="Z191" s="3">
        <v>23.98</v>
      </c>
      <c r="AA191" s="3">
        <v>0</v>
      </c>
      <c r="AB191" s="3" t="s">
        <v>869</v>
      </c>
      <c r="AC191" s="3">
        <v>24</v>
      </c>
      <c r="AD191" s="3">
        <v>24.98</v>
      </c>
      <c r="AE191" s="3">
        <v>0</v>
      </c>
      <c r="AF191" s="3">
        <v>0</v>
      </c>
      <c r="AG191" s="3">
        <v>0</v>
      </c>
      <c r="AH191" s="3">
        <v>5.36111111111111</v>
      </c>
      <c r="AI191" s="3">
        <v>1.092696</v>
      </c>
      <c r="AJ191" s="3" t="s">
        <v>870</v>
      </c>
    </row>
    <row r="192" spans="1:36">
      <c r="A192" s="5">
        <v>43336</v>
      </c>
      <c r="B192" s="3" t="s">
        <v>1319</v>
      </c>
      <c r="C192" s="3" t="s">
        <v>1320</v>
      </c>
      <c r="D192" s="3" t="s">
        <v>1321</v>
      </c>
      <c r="E192" s="3" t="s">
        <v>1322</v>
      </c>
      <c r="F192" s="3" t="s">
        <v>867</v>
      </c>
      <c r="G192" s="3">
        <v>10</v>
      </c>
      <c r="H192" s="3">
        <v>0</v>
      </c>
      <c r="I192" s="3">
        <v>10</v>
      </c>
      <c r="J192" s="3">
        <v>0</v>
      </c>
      <c r="K192" s="3">
        <v>0</v>
      </c>
      <c r="L192" s="3">
        <v>0</v>
      </c>
      <c r="M192" s="3">
        <v>0</v>
      </c>
      <c r="N192" s="3" t="s">
        <v>868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 t="s">
        <v>871</v>
      </c>
      <c r="X192" s="3">
        <v>22.98</v>
      </c>
      <c r="Y192" s="3">
        <v>22.98</v>
      </c>
      <c r="Z192" s="3">
        <v>22.98</v>
      </c>
      <c r="AA192" s="3">
        <v>0</v>
      </c>
      <c r="AB192" s="3" t="s">
        <v>869</v>
      </c>
      <c r="AC192" s="3">
        <v>10</v>
      </c>
      <c r="AD192" s="3">
        <v>22.98</v>
      </c>
      <c r="AE192" s="3">
        <v>0</v>
      </c>
      <c r="AF192" s="3">
        <v>0</v>
      </c>
      <c r="AG192" s="3">
        <v>0</v>
      </c>
      <c r="AH192" s="3">
        <v>1.82608695652173</v>
      </c>
      <c r="AI192" s="3">
        <v>0.83563</v>
      </c>
      <c r="AJ192" s="3" t="s">
        <v>870</v>
      </c>
    </row>
    <row r="193" spans="1:36">
      <c r="A193" s="5">
        <v>43336</v>
      </c>
      <c r="B193" s="3" t="s">
        <v>1323</v>
      </c>
      <c r="C193" s="3" t="s">
        <v>1324</v>
      </c>
      <c r="D193" s="3" t="s">
        <v>1325</v>
      </c>
      <c r="E193" s="3" t="s">
        <v>1326</v>
      </c>
      <c r="F193" s="3" t="s">
        <v>867</v>
      </c>
      <c r="G193" s="3">
        <v>9</v>
      </c>
      <c r="H193" s="3">
        <v>0</v>
      </c>
      <c r="I193" s="3">
        <v>9</v>
      </c>
      <c r="J193" s="3">
        <v>0</v>
      </c>
      <c r="K193" s="3">
        <v>0</v>
      </c>
      <c r="L193" s="3">
        <v>0</v>
      </c>
      <c r="M193" s="3">
        <v>0</v>
      </c>
      <c r="N193" s="3" t="s">
        <v>868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1</v>
      </c>
      <c r="V193" s="3">
        <v>1</v>
      </c>
      <c r="W193" s="3"/>
      <c r="X193" s="3">
        <v>22.98</v>
      </c>
      <c r="Y193" s="3">
        <v>22.98</v>
      </c>
      <c r="Z193" s="3">
        <v>22.98</v>
      </c>
      <c r="AA193" s="3">
        <v>0</v>
      </c>
      <c r="AB193" s="3" t="s">
        <v>869</v>
      </c>
      <c r="AC193" s="3">
        <v>9</v>
      </c>
      <c r="AD193" s="3">
        <v>22.98</v>
      </c>
      <c r="AE193" s="3">
        <v>0</v>
      </c>
      <c r="AF193" s="3">
        <v>0</v>
      </c>
      <c r="AG193" s="3">
        <v>0</v>
      </c>
      <c r="AH193" s="3">
        <v>0.64516129032258</v>
      </c>
      <c r="AI193" s="3">
        <v>1.05790499999999</v>
      </c>
      <c r="AJ193" s="3" t="s">
        <v>870</v>
      </c>
    </row>
    <row r="194" spans="1:36">
      <c r="A194" s="5">
        <v>43336</v>
      </c>
      <c r="B194" s="3" t="s">
        <v>526</v>
      </c>
      <c r="C194" s="3" t="s">
        <v>527</v>
      </c>
      <c r="D194" s="3" t="s">
        <v>527</v>
      </c>
      <c r="E194" s="3" t="s">
        <v>528</v>
      </c>
      <c r="F194" s="3" t="s">
        <v>867</v>
      </c>
      <c r="G194" s="3">
        <v>7</v>
      </c>
      <c r="H194" s="3">
        <v>0</v>
      </c>
      <c r="I194" s="3">
        <v>7</v>
      </c>
      <c r="J194" s="3">
        <v>0</v>
      </c>
      <c r="K194" s="3">
        <v>0</v>
      </c>
      <c r="L194" s="3">
        <v>0</v>
      </c>
      <c r="M194" s="3">
        <v>0</v>
      </c>
      <c r="N194" s="3" t="s">
        <v>868</v>
      </c>
      <c r="O194" s="3">
        <v>0</v>
      </c>
      <c r="P194" s="3">
        <v>0</v>
      </c>
      <c r="Q194" s="3">
        <v>0</v>
      </c>
      <c r="R194" s="3">
        <v>0</v>
      </c>
      <c r="S194" s="3">
        <v>4</v>
      </c>
      <c r="T194" s="3">
        <v>8</v>
      </c>
      <c r="U194" s="3">
        <v>21</v>
      </c>
      <c r="V194" s="3">
        <v>39</v>
      </c>
      <c r="W194" s="3"/>
      <c r="X194" s="3">
        <v>23.99</v>
      </c>
      <c r="Y194" s="3">
        <v>21.98</v>
      </c>
      <c r="Z194" s="3">
        <v>21.98</v>
      </c>
      <c r="AA194" s="3">
        <v>0</v>
      </c>
      <c r="AB194" s="3" t="s">
        <v>869</v>
      </c>
      <c r="AC194" s="3">
        <v>8</v>
      </c>
      <c r="AD194" s="3">
        <v>21.98</v>
      </c>
      <c r="AE194" s="3">
        <v>0</v>
      </c>
      <c r="AF194" s="3">
        <v>0</v>
      </c>
      <c r="AG194" s="3">
        <v>0</v>
      </c>
      <c r="AH194" s="3">
        <v>2.36363636363636</v>
      </c>
      <c r="AI194" s="3">
        <v>1.04785099999999</v>
      </c>
      <c r="AJ194" s="3" t="s">
        <v>870</v>
      </c>
    </row>
    <row r="195" spans="1:36">
      <c r="A195" s="5">
        <v>43336</v>
      </c>
      <c r="B195" s="3" t="s">
        <v>517</v>
      </c>
      <c r="C195" s="3" t="s">
        <v>518</v>
      </c>
      <c r="D195" s="3" t="s">
        <v>518</v>
      </c>
      <c r="E195" s="3" t="s">
        <v>519</v>
      </c>
      <c r="F195" s="3" t="s">
        <v>867</v>
      </c>
      <c r="G195" s="3">
        <v>37</v>
      </c>
      <c r="H195" s="3">
        <v>0</v>
      </c>
      <c r="I195" s="3">
        <v>9</v>
      </c>
      <c r="J195" s="3">
        <v>28</v>
      </c>
      <c r="K195" s="3">
        <v>0</v>
      </c>
      <c r="L195" s="3">
        <v>0</v>
      </c>
      <c r="M195" s="3">
        <v>0</v>
      </c>
      <c r="N195" s="3" t="s">
        <v>868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3</v>
      </c>
      <c r="W195" s="3" t="s">
        <v>871</v>
      </c>
      <c r="X195" s="3">
        <v>22.98</v>
      </c>
      <c r="Y195" s="3">
        <v>22.98</v>
      </c>
      <c r="Z195" s="3">
        <v>22.98</v>
      </c>
      <c r="AA195" s="3">
        <v>0</v>
      </c>
      <c r="AB195" s="3" t="s">
        <v>883</v>
      </c>
      <c r="AC195" s="3">
        <v>0</v>
      </c>
      <c r="AD195" s="3">
        <v>17.67</v>
      </c>
      <c r="AE195" s="3">
        <v>343</v>
      </c>
      <c r="AF195" s="3">
        <v>0</v>
      </c>
      <c r="AG195" s="3">
        <v>896.912598</v>
      </c>
      <c r="AH195" s="3">
        <v>0.0845070422535211</v>
      </c>
      <c r="AI195" s="3">
        <v>5.007284</v>
      </c>
      <c r="AJ195" s="3" t="s">
        <v>870</v>
      </c>
    </row>
    <row r="196" spans="1:36">
      <c r="A196" s="5">
        <v>43336</v>
      </c>
      <c r="B196" s="3" t="s">
        <v>1327</v>
      </c>
      <c r="C196" s="3" t="s">
        <v>1328</v>
      </c>
      <c r="D196" s="3" t="s">
        <v>1328</v>
      </c>
      <c r="E196" s="3" t="s">
        <v>1329</v>
      </c>
      <c r="F196" s="3" t="s">
        <v>867</v>
      </c>
      <c r="G196" s="3">
        <v>19</v>
      </c>
      <c r="H196" s="3">
        <v>0</v>
      </c>
      <c r="I196" s="3">
        <v>0</v>
      </c>
      <c r="J196" s="3">
        <v>19</v>
      </c>
      <c r="K196" s="3">
        <v>0</v>
      </c>
      <c r="L196" s="3">
        <v>0</v>
      </c>
      <c r="M196" s="3">
        <v>0</v>
      </c>
      <c r="N196" s="3" t="s">
        <v>868</v>
      </c>
      <c r="O196" s="3">
        <v>0</v>
      </c>
      <c r="P196" s="3">
        <v>0</v>
      </c>
      <c r="Q196" s="3">
        <v>0</v>
      </c>
      <c r="R196" s="3">
        <v>0</v>
      </c>
      <c r="S196" s="3">
        <v>3</v>
      </c>
      <c r="T196" s="3">
        <v>3</v>
      </c>
      <c r="U196" s="3">
        <v>3</v>
      </c>
      <c r="V196" s="3">
        <v>3</v>
      </c>
      <c r="W196" s="3" t="s">
        <v>871</v>
      </c>
      <c r="X196" s="3">
        <v>23.99</v>
      </c>
      <c r="Y196" s="3">
        <v>23.99</v>
      </c>
      <c r="Z196" s="3">
        <v>23.99</v>
      </c>
      <c r="AA196" s="3">
        <v>0</v>
      </c>
      <c r="AB196" s="3" t="s">
        <v>883</v>
      </c>
      <c r="AC196" s="3">
        <v>7</v>
      </c>
      <c r="AD196" s="3">
        <v>22.45</v>
      </c>
      <c r="AE196" s="3">
        <v>56</v>
      </c>
      <c r="AF196" s="3">
        <v>0</v>
      </c>
      <c r="AG196" s="3">
        <v>800.577666</v>
      </c>
      <c r="AH196" s="3">
        <v>0.141176470588235</v>
      </c>
      <c r="AI196" s="3">
        <v>3.97613</v>
      </c>
      <c r="AJ196" s="3" t="s">
        <v>870</v>
      </c>
    </row>
    <row r="197" spans="1:36">
      <c r="A197" s="5">
        <v>43336</v>
      </c>
      <c r="B197" s="3" t="s">
        <v>1330</v>
      </c>
      <c r="C197" s="3" t="s">
        <v>1331</v>
      </c>
      <c r="D197" s="3" t="s">
        <v>1331</v>
      </c>
      <c r="E197" s="3" t="s">
        <v>1332</v>
      </c>
      <c r="F197" s="3" t="s">
        <v>867</v>
      </c>
      <c r="G197" s="3">
        <v>2</v>
      </c>
      <c r="H197" s="3">
        <v>0</v>
      </c>
      <c r="I197" s="3">
        <v>1</v>
      </c>
      <c r="J197" s="3">
        <v>1</v>
      </c>
      <c r="K197" s="3">
        <v>0</v>
      </c>
      <c r="L197" s="3">
        <v>0</v>
      </c>
      <c r="M197" s="3">
        <v>0</v>
      </c>
      <c r="N197" s="3" t="s">
        <v>868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2</v>
      </c>
      <c r="U197" s="3">
        <v>3</v>
      </c>
      <c r="V197" s="3">
        <v>4</v>
      </c>
      <c r="W197" s="3"/>
      <c r="X197" s="3">
        <v>24.98</v>
      </c>
      <c r="Y197" s="3">
        <v>24.98</v>
      </c>
      <c r="Z197" s="3">
        <v>24.98</v>
      </c>
      <c r="AA197" s="3">
        <v>0</v>
      </c>
      <c r="AB197" s="3" t="s">
        <v>869</v>
      </c>
      <c r="AC197" s="3">
        <v>2</v>
      </c>
      <c r="AD197" s="3">
        <v>24.98</v>
      </c>
      <c r="AE197" s="3">
        <v>0</v>
      </c>
      <c r="AF197" s="3">
        <v>0</v>
      </c>
      <c r="AG197" s="3">
        <v>0</v>
      </c>
      <c r="AH197" s="3">
        <v>1.06666666666666</v>
      </c>
      <c r="AI197" s="3">
        <v>0.274502</v>
      </c>
      <c r="AJ197" s="3" t="s">
        <v>870</v>
      </c>
    </row>
    <row r="198" spans="1:36">
      <c r="A198" s="5">
        <v>43336</v>
      </c>
      <c r="B198" s="3" t="s">
        <v>1333</v>
      </c>
      <c r="C198" s="3" t="s">
        <v>1334</v>
      </c>
      <c r="D198" s="3" t="s">
        <v>1334</v>
      </c>
      <c r="E198" s="3" t="s">
        <v>1335</v>
      </c>
      <c r="F198" s="3" t="s">
        <v>867</v>
      </c>
      <c r="G198" s="3">
        <v>8</v>
      </c>
      <c r="H198" s="3">
        <v>0</v>
      </c>
      <c r="I198" s="3">
        <v>0</v>
      </c>
      <c r="J198" s="3">
        <v>8</v>
      </c>
      <c r="K198" s="3">
        <v>0</v>
      </c>
      <c r="L198" s="3">
        <v>0</v>
      </c>
      <c r="M198" s="3">
        <v>0</v>
      </c>
      <c r="N198" s="3" t="s">
        <v>868</v>
      </c>
      <c r="O198" s="3">
        <v>0</v>
      </c>
      <c r="P198" s="3">
        <v>0</v>
      </c>
      <c r="Q198" s="3">
        <v>0</v>
      </c>
      <c r="R198" s="3">
        <v>0</v>
      </c>
      <c r="S198" s="3">
        <v>6</v>
      </c>
      <c r="T198" s="3">
        <v>9</v>
      </c>
      <c r="U198" s="3">
        <v>12</v>
      </c>
      <c r="V198" s="3">
        <v>15</v>
      </c>
      <c r="W198" s="3"/>
      <c r="X198" s="3">
        <v>22.99</v>
      </c>
      <c r="Y198" s="3">
        <v>22.99</v>
      </c>
      <c r="Z198" s="3">
        <v>22.99</v>
      </c>
      <c r="AA198" s="3">
        <v>0</v>
      </c>
      <c r="AB198" s="3" t="s">
        <v>869</v>
      </c>
      <c r="AC198" s="3">
        <v>8</v>
      </c>
      <c r="AD198" s="3">
        <v>22.98</v>
      </c>
      <c r="AE198" s="3">
        <v>0</v>
      </c>
      <c r="AF198" s="3">
        <v>0</v>
      </c>
      <c r="AG198" s="3">
        <v>0</v>
      </c>
      <c r="AH198" s="3">
        <v>0.88235294117647</v>
      </c>
      <c r="AI198" s="3">
        <v>1.167208</v>
      </c>
      <c r="AJ198" s="3" t="s">
        <v>870</v>
      </c>
    </row>
    <row r="199" spans="1:36">
      <c r="A199" s="5">
        <v>43336</v>
      </c>
      <c r="B199" s="3" t="s">
        <v>1336</v>
      </c>
      <c r="C199" s="3" t="s">
        <v>1337</v>
      </c>
      <c r="D199" s="3" t="s">
        <v>1337</v>
      </c>
      <c r="E199" s="3" t="s">
        <v>1338</v>
      </c>
      <c r="F199" s="3" t="s">
        <v>867</v>
      </c>
      <c r="G199" s="3">
        <v>3</v>
      </c>
      <c r="H199" s="3">
        <v>0</v>
      </c>
      <c r="I199" s="3">
        <v>2</v>
      </c>
      <c r="J199" s="3">
        <v>1</v>
      </c>
      <c r="K199" s="3">
        <v>0</v>
      </c>
      <c r="L199" s="3">
        <v>0</v>
      </c>
      <c r="M199" s="3">
        <v>0</v>
      </c>
      <c r="N199" s="3" t="s">
        <v>868</v>
      </c>
      <c r="O199" s="3">
        <v>0</v>
      </c>
      <c r="P199" s="3">
        <v>0</v>
      </c>
      <c r="Q199" s="3">
        <v>0</v>
      </c>
      <c r="R199" s="3">
        <v>0</v>
      </c>
      <c r="S199" s="3">
        <v>3</v>
      </c>
      <c r="T199" s="3">
        <v>11</v>
      </c>
      <c r="U199" s="3">
        <v>14</v>
      </c>
      <c r="V199" s="3">
        <v>14</v>
      </c>
      <c r="W199" s="3"/>
      <c r="X199" s="3">
        <v>22.99</v>
      </c>
      <c r="Y199" s="3">
        <v>22.99</v>
      </c>
      <c r="Z199" s="3">
        <v>22.99</v>
      </c>
      <c r="AA199" s="3">
        <v>0</v>
      </c>
      <c r="AB199" s="3" t="s">
        <v>869</v>
      </c>
      <c r="AC199" s="3">
        <v>3</v>
      </c>
      <c r="AD199" s="3">
        <v>22.99</v>
      </c>
      <c r="AE199" s="3">
        <v>0</v>
      </c>
      <c r="AF199" s="3">
        <v>0</v>
      </c>
      <c r="AG199" s="3">
        <v>0</v>
      </c>
      <c r="AH199" s="3">
        <v>0.788732394366197</v>
      </c>
      <c r="AI199" s="3">
        <v>0.302142</v>
      </c>
      <c r="AJ199" s="3" t="s">
        <v>870</v>
      </c>
    </row>
    <row r="200" spans="1:36">
      <c r="A200" s="5">
        <v>43336</v>
      </c>
      <c r="B200" s="3" t="s">
        <v>1339</v>
      </c>
      <c r="C200" s="3" t="s">
        <v>339</v>
      </c>
      <c r="D200" s="3" t="s">
        <v>339</v>
      </c>
      <c r="E200" s="3" t="s">
        <v>340</v>
      </c>
      <c r="F200" s="3" t="s">
        <v>867</v>
      </c>
      <c r="G200" s="3">
        <v>1</v>
      </c>
      <c r="H200" s="3">
        <v>0</v>
      </c>
      <c r="I200" s="3">
        <v>1</v>
      </c>
      <c r="J200" s="3">
        <v>0</v>
      </c>
      <c r="K200" s="3">
        <v>0</v>
      </c>
      <c r="L200" s="3">
        <v>0</v>
      </c>
      <c r="M200" s="3">
        <v>0</v>
      </c>
      <c r="N200" s="3" t="s">
        <v>868</v>
      </c>
      <c r="O200" s="3">
        <v>0</v>
      </c>
      <c r="P200" s="3">
        <v>0</v>
      </c>
      <c r="Q200" s="3">
        <v>0</v>
      </c>
      <c r="R200" s="3">
        <v>0</v>
      </c>
      <c r="S200" s="3">
        <v>1</v>
      </c>
      <c r="T200" s="3">
        <v>1</v>
      </c>
      <c r="U200" s="3">
        <v>2</v>
      </c>
      <c r="V200" s="3">
        <v>6</v>
      </c>
      <c r="W200" s="3" t="s">
        <v>871</v>
      </c>
      <c r="X200" s="3">
        <v>22.99</v>
      </c>
      <c r="Y200" s="3">
        <v>22.99</v>
      </c>
      <c r="Z200" s="3">
        <v>22.99</v>
      </c>
      <c r="AA200" s="3">
        <v>0</v>
      </c>
      <c r="AB200" s="3" t="s">
        <v>883</v>
      </c>
      <c r="AC200" s="3">
        <v>2</v>
      </c>
      <c r="AD200" s="3">
        <v>22.98</v>
      </c>
      <c r="AE200" s="3">
        <v>0</v>
      </c>
      <c r="AF200" s="3">
        <v>0</v>
      </c>
      <c r="AG200" s="3">
        <v>0</v>
      </c>
      <c r="AH200" s="3">
        <v>0.8</v>
      </c>
      <c r="AI200" s="3">
        <v>0.20215</v>
      </c>
      <c r="AJ200" s="3" t="s">
        <v>870</v>
      </c>
    </row>
    <row r="201" spans="1:36">
      <c r="A201" s="5">
        <v>43336</v>
      </c>
      <c r="B201" s="3" t="s">
        <v>1340</v>
      </c>
      <c r="C201" s="3" t="s">
        <v>1341</v>
      </c>
      <c r="D201" s="3" t="s">
        <v>1341</v>
      </c>
      <c r="E201" s="3" t="s">
        <v>1342</v>
      </c>
      <c r="F201" s="3" t="s">
        <v>867</v>
      </c>
      <c r="G201" s="3">
        <v>2</v>
      </c>
      <c r="H201" s="3">
        <v>0</v>
      </c>
      <c r="I201" s="3">
        <v>0</v>
      </c>
      <c r="J201" s="3">
        <v>2</v>
      </c>
      <c r="K201" s="3">
        <v>0</v>
      </c>
      <c r="L201" s="3">
        <v>0</v>
      </c>
      <c r="M201" s="3">
        <v>0</v>
      </c>
      <c r="N201" s="3" t="s">
        <v>868</v>
      </c>
      <c r="O201" s="3">
        <v>0</v>
      </c>
      <c r="P201" s="3">
        <v>0</v>
      </c>
      <c r="Q201" s="3">
        <v>0</v>
      </c>
      <c r="R201" s="3">
        <v>0</v>
      </c>
      <c r="S201" s="3">
        <v>1</v>
      </c>
      <c r="T201" s="3">
        <v>1</v>
      </c>
      <c r="U201" s="3">
        <v>1</v>
      </c>
      <c r="V201" s="3">
        <v>1</v>
      </c>
      <c r="W201" s="3"/>
      <c r="X201" s="3">
        <v>23.98</v>
      </c>
      <c r="Y201" s="3">
        <v>23.98</v>
      </c>
      <c r="Z201" s="3">
        <v>23.98</v>
      </c>
      <c r="AA201" s="3">
        <v>0</v>
      </c>
      <c r="AB201" s="3" t="s">
        <v>883</v>
      </c>
      <c r="AC201" s="3">
        <v>0</v>
      </c>
      <c r="AD201" s="3">
        <v>22.01</v>
      </c>
      <c r="AE201" s="3">
        <v>168</v>
      </c>
      <c r="AF201" s="3">
        <v>0</v>
      </c>
      <c r="AG201" s="3">
        <v>34.727253</v>
      </c>
      <c r="AH201" s="3">
        <v>0.363636363636363</v>
      </c>
      <c r="AI201" s="3">
        <v>0.122024</v>
      </c>
      <c r="AJ201" s="3" t="s">
        <v>870</v>
      </c>
    </row>
    <row r="202" spans="1:36">
      <c r="A202" s="5">
        <v>43336</v>
      </c>
      <c r="B202" s="3" t="s">
        <v>585</v>
      </c>
      <c r="C202" s="3" t="s">
        <v>224</v>
      </c>
      <c r="D202" s="3" t="s">
        <v>224</v>
      </c>
      <c r="E202" s="3" t="s">
        <v>225</v>
      </c>
      <c r="F202" s="3" t="s">
        <v>867</v>
      </c>
      <c r="G202" s="3">
        <v>16</v>
      </c>
      <c r="H202" s="3">
        <v>0</v>
      </c>
      <c r="I202" s="3">
        <v>16</v>
      </c>
      <c r="J202" s="3">
        <v>0</v>
      </c>
      <c r="K202" s="3">
        <v>0</v>
      </c>
      <c r="L202" s="3">
        <v>0</v>
      </c>
      <c r="M202" s="3">
        <v>0</v>
      </c>
      <c r="N202" s="3" t="s">
        <v>868</v>
      </c>
      <c r="O202" s="3">
        <v>0</v>
      </c>
      <c r="P202" s="3">
        <v>0</v>
      </c>
      <c r="Q202" s="3">
        <v>0</v>
      </c>
      <c r="R202" s="3">
        <v>0</v>
      </c>
      <c r="S202" s="3">
        <v>6</v>
      </c>
      <c r="T202" s="3">
        <v>28</v>
      </c>
      <c r="U202" s="3">
        <v>76</v>
      </c>
      <c r="V202" s="3">
        <v>128</v>
      </c>
      <c r="W202" s="3"/>
      <c r="X202" s="3">
        <v>23.98</v>
      </c>
      <c r="Y202" s="3">
        <v>23.98</v>
      </c>
      <c r="Z202" s="3">
        <v>23.98</v>
      </c>
      <c r="AA202" s="3">
        <v>0</v>
      </c>
      <c r="AB202" s="3" t="s">
        <v>869</v>
      </c>
      <c r="AC202" s="3">
        <v>16</v>
      </c>
      <c r="AD202" s="3">
        <v>23.98</v>
      </c>
      <c r="AE202" s="3">
        <v>0</v>
      </c>
      <c r="AF202" s="3">
        <v>0</v>
      </c>
      <c r="AG202" s="3">
        <v>0</v>
      </c>
      <c r="AH202" s="3">
        <v>5.568</v>
      </c>
      <c r="AI202" s="3">
        <v>1.901104</v>
      </c>
      <c r="AJ202" s="3" t="s">
        <v>870</v>
      </c>
    </row>
    <row r="203" spans="1:36">
      <c r="A203" s="5">
        <v>43336</v>
      </c>
      <c r="B203" s="3" t="s">
        <v>515</v>
      </c>
      <c r="C203" s="3" t="s">
        <v>516</v>
      </c>
      <c r="D203" s="3" t="s">
        <v>516</v>
      </c>
      <c r="E203" s="3" t="s">
        <v>131</v>
      </c>
      <c r="F203" s="3" t="s">
        <v>867</v>
      </c>
      <c r="G203" s="3">
        <v>18</v>
      </c>
      <c r="H203" s="3">
        <v>0</v>
      </c>
      <c r="I203" s="3">
        <v>0</v>
      </c>
      <c r="J203" s="3">
        <v>16</v>
      </c>
      <c r="K203" s="3">
        <v>2</v>
      </c>
      <c r="L203" s="3">
        <v>0</v>
      </c>
      <c r="M203" s="3">
        <v>0</v>
      </c>
      <c r="N203" s="3" t="s">
        <v>868</v>
      </c>
      <c r="O203" s="3">
        <v>17</v>
      </c>
      <c r="P203" s="3">
        <v>11.64</v>
      </c>
      <c r="Q203" s="3">
        <v>0</v>
      </c>
      <c r="R203" s="3">
        <v>0</v>
      </c>
      <c r="S203" s="3">
        <v>1</v>
      </c>
      <c r="T203" s="3">
        <v>2</v>
      </c>
      <c r="U203" s="3">
        <v>3</v>
      </c>
      <c r="V203" s="3">
        <v>3</v>
      </c>
      <c r="W203" s="3" t="s">
        <v>871</v>
      </c>
      <c r="X203" s="3">
        <v>23.99</v>
      </c>
      <c r="Y203" s="3">
        <v>23.99</v>
      </c>
      <c r="Z203" s="3">
        <v>23.99</v>
      </c>
      <c r="AA203" s="3">
        <v>0</v>
      </c>
      <c r="AB203" s="3" t="s">
        <v>883</v>
      </c>
      <c r="AC203" s="3">
        <v>16</v>
      </c>
      <c r="AD203" s="3">
        <v>22.69</v>
      </c>
      <c r="AE203" s="3">
        <v>42</v>
      </c>
      <c r="AF203" s="3">
        <v>0</v>
      </c>
      <c r="AG203" s="3">
        <v>0.327175</v>
      </c>
      <c r="AH203" s="3">
        <v>0.15</v>
      </c>
      <c r="AI203" s="3">
        <v>3.57183</v>
      </c>
      <c r="AJ203" s="3" t="s">
        <v>870</v>
      </c>
    </row>
    <row r="204" spans="1:36">
      <c r="A204" s="5">
        <v>43336</v>
      </c>
      <c r="B204" s="3" t="s">
        <v>1343</v>
      </c>
      <c r="C204" s="3" t="s">
        <v>1344</v>
      </c>
      <c r="D204" s="3" t="s">
        <v>1345</v>
      </c>
      <c r="E204" s="3" t="s">
        <v>1346</v>
      </c>
      <c r="F204" s="3" t="s">
        <v>867</v>
      </c>
      <c r="G204" s="3">
        <v>3</v>
      </c>
      <c r="H204" s="3">
        <v>0</v>
      </c>
      <c r="I204" s="3">
        <v>3</v>
      </c>
      <c r="J204" s="3">
        <v>0</v>
      </c>
      <c r="K204" s="3">
        <v>0</v>
      </c>
      <c r="L204" s="3">
        <v>0</v>
      </c>
      <c r="M204" s="3">
        <v>0</v>
      </c>
      <c r="N204" s="3" t="s">
        <v>868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871</v>
      </c>
      <c r="X204" s="3">
        <v>24.98</v>
      </c>
      <c r="Y204" s="3">
        <v>24.98</v>
      </c>
      <c r="Z204" s="3">
        <v>24.98</v>
      </c>
      <c r="AA204" s="3">
        <v>0</v>
      </c>
      <c r="AB204" s="3" t="s">
        <v>883</v>
      </c>
      <c r="AC204" s="3">
        <v>0</v>
      </c>
      <c r="AD204" s="3">
        <v>19.98</v>
      </c>
      <c r="AE204" s="3">
        <v>63</v>
      </c>
      <c r="AF204" s="3">
        <v>0</v>
      </c>
      <c r="AG204" s="3">
        <v>48.457446</v>
      </c>
      <c r="AH204" s="3">
        <v>1.33333333333333</v>
      </c>
      <c r="AI204" s="3">
        <v>0.352635</v>
      </c>
      <c r="AJ204" s="3" t="s">
        <v>870</v>
      </c>
    </row>
    <row r="205" spans="1:36">
      <c r="A205" s="5">
        <v>43336</v>
      </c>
      <c r="B205" s="3" t="s">
        <v>397</v>
      </c>
      <c r="C205" s="3" t="s">
        <v>12</v>
      </c>
      <c r="D205" s="3" t="s">
        <v>12</v>
      </c>
      <c r="E205" s="3" t="s">
        <v>13</v>
      </c>
      <c r="F205" s="3" t="s">
        <v>867</v>
      </c>
      <c r="G205" s="3">
        <v>3</v>
      </c>
      <c r="H205" s="3">
        <v>0</v>
      </c>
      <c r="I205" s="3">
        <v>0</v>
      </c>
      <c r="J205" s="3">
        <v>3</v>
      </c>
      <c r="K205" s="3">
        <v>0</v>
      </c>
      <c r="L205" s="3">
        <v>0</v>
      </c>
      <c r="M205" s="3">
        <v>0</v>
      </c>
      <c r="N205" s="3" t="s">
        <v>868</v>
      </c>
      <c r="O205" s="3">
        <v>2</v>
      </c>
      <c r="P205" s="3">
        <v>1.4</v>
      </c>
      <c r="Q205" s="3">
        <v>0</v>
      </c>
      <c r="R205" s="3">
        <v>0</v>
      </c>
      <c r="S205" s="3">
        <v>0</v>
      </c>
      <c r="T205" s="3">
        <v>3</v>
      </c>
      <c r="U205" s="3">
        <v>6</v>
      </c>
      <c r="V205" s="3">
        <v>10</v>
      </c>
      <c r="W205" s="3"/>
      <c r="X205" s="3">
        <v>22.99</v>
      </c>
      <c r="Y205" s="3">
        <v>22.99</v>
      </c>
      <c r="Z205" s="3">
        <v>22.99</v>
      </c>
      <c r="AA205" s="3">
        <v>0</v>
      </c>
      <c r="AB205" s="3" t="s">
        <v>869</v>
      </c>
      <c r="AC205" s="3">
        <v>3</v>
      </c>
      <c r="AD205" s="3">
        <v>22.98</v>
      </c>
      <c r="AE205" s="3">
        <v>0</v>
      </c>
      <c r="AF205" s="3">
        <v>0</v>
      </c>
      <c r="AG205" s="3">
        <v>0</v>
      </c>
      <c r="AH205" s="3">
        <v>0.816326530612244</v>
      </c>
      <c r="AI205" s="3">
        <v>0.606449999999999</v>
      </c>
      <c r="AJ205" s="3" t="s">
        <v>870</v>
      </c>
    </row>
    <row r="206" spans="1:36">
      <c r="A206" s="5">
        <v>43336</v>
      </c>
      <c r="B206" s="3" t="s">
        <v>1347</v>
      </c>
      <c r="C206" s="3" t="s">
        <v>1348</v>
      </c>
      <c r="D206" s="3" t="s">
        <v>1348</v>
      </c>
      <c r="E206" s="3" t="s">
        <v>1349</v>
      </c>
      <c r="F206" s="3" t="s">
        <v>867</v>
      </c>
      <c r="G206" s="3">
        <v>10</v>
      </c>
      <c r="H206" s="3">
        <v>0</v>
      </c>
      <c r="I206" s="3">
        <v>10</v>
      </c>
      <c r="J206" s="3">
        <v>0</v>
      </c>
      <c r="K206" s="3">
        <v>0</v>
      </c>
      <c r="L206" s="3">
        <v>0</v>
      </c>
      <c r="M206" s="3">
        <v>0</v>
      </c>
      <c r="N206" s="3" t="s">
        <v>868</v>
      </c>
      <c r="O206" s="3">
        <v>0</v>
      </c>
      <c r="P206" s="3">
        <v>0</v>
      </c>
      <c r="Q206" s="3">
        <v>0</v>
      </c>
      <c r="R206" s="3">
        <v>0</v>
      </c>
      <c r="S206" s="3">
        <v>2</v>
      </c>
      <c r="T206" s="3">
        <v>7</v>
      </c>
      <c r="U206" s="3">
        <v>9</v>
      </c>
      <c r="V206" s="3">
        <v>11</v>
      </c>
      <c r="W206" s="3"/>
      <c r="X206" s="3">
        <v>22.98</v>
      </c>
      <c r="Y206" s="3">
        <v>22.98</v>
      </c>
      <c r="Z206" s="3">
        <v>22.98</v>
      </c>
      <c r="AA206" s="3">
        <v>0</v>
      </c>
      <c r="AB206" s="3" t="s">
        <v>869</v>
      </c>
      <c r="AC206" s="3">
        <v>9</v>
      </c>
      <c r="AD206" s="3">
        <v>22.98</v>
      </c>
      <c r="AE206" s="3">
        <v>0</v>
      </c>
      <c r="AF206" s="3">
        <v>0</v>
      </c>
      <c r="AG206" s="3">
        <v>0</v>
      </c>
      <c r="AH206" s="3">
        <v>0.814814814814814</v>
      </c>
      <c r="AI206" s="3">
        <v>0.66725</v>
      </c>
      <c r="AJ206" s="3" t="s">
        <v>870</v>
      </c>
    </row>
    <row r="207" spans="1:36">
      <c r="A207" s="5">
        <v>43336</v>
      </c>
      <c r="B207" s="3" t="s">
        <v>1350</v>
      </c>
      <c r="C207" s="3" t="s">
        <v>1351</v>
      </c>
      <c r="D207" s="3" t="s">
        <v>1351</v>
      </c>
      <c r="E207" s="3" t="s">
        <v>1352</v>
      </c>
      <c r="F207" s="3" t="s">
        <v>867</v>
      </c>
      <c r="G207" s="3">
        <v>18</v>
      </c>
      <c r="H207" s="3">
        <v>0</v>
      </c>
      <c r="I207" s="3">
        <v>0</v>
      </c>
      <c r="J207" s="3">
        <v>18</v>
      </c>
      <c r="K207" s="3">
        <v>0</v>
      </c>
      <c r="L207" s="3">
        <v>0</v>
      </c>
      <c r="M207" s="3">
        <v>0</v>
      </c>
      <c r="N207" s="3" t="s">
        <v>868</v>
      </c>
      <c r="O207" s="3">
        <v>0</v>
      </c>
      <c r="P207" s="3">
        <v>0</v>
      </c>
      <c r="Q207" s="3">
        <v>0</v>
      </c>
      <c r="R207" s="3">
        <v>0</v>
      </c>
      <c r="S207" s="3">
        <v>1</v>
      </c>
      <c r="T207" s="3">
        <v>3</v>
      </c>
      <c r="U207" s="3">
        <v>4</v>
      </c>
      <c r="V207" s="3">
        <v>6</v>
      </c>
      <c r="W207" s="3"/>
      <c r="X207" s="3">
        <v>22.98</v>
      </c>
      <c r="Y207" s="3">
        <v>22.98</v>
      </c>
      <c r="Z207" s="3">
        <v>22.98</v>
      </c>
      <c r="AA207" s="3">
        <v>0</v>
      </c>
      <c r="AB207" s="3" t="s">
        <v>883</v>
      </c>
      <c r="AC207" s="3">
        <v>0</v>
      </c>
      <c r="AD207" s="3">
        <v>20.06</v>
      </c>
      <c r="AE207" s="3">
        <v>301</v>
      </c>
      <c r="AF207" s="3">
        <v>0</v>
      </c>
      <c r="AG207" s="3">
        <v>446.844472</v>
      </c>
      <c r="AH207" s="3">
        <v>0.28235294117647</v>
      </c>
      <c r="AI207" s="3">
        <v>2.435976</v>
      </c>
      <c r="AJ207" s="3" t="s">
        <v>870</v>
      </c>
    </row>
    <row r="208" spans="1:36">
      <c r="A208" s="5">
        <v>43336</v>
      </c>
      <c r="B208" s="3" t="s">
        <v>455</v>
      </c>
      <c r="C208" s="3" t="s">
        <v>456</v>
      </c>
      <c r="D208" s="3" t="s">
        <v>457</v>
      </c>
      <c r="E208" s="3" t="s">
        <v>458</v>
      </c>
      <c r="F208" s="3" t="s">
        <v>867</v>
      </c>
      <c r="G208" s="3">
        <v>5</v>
      </c>
      <c r="H208" s="3">
        <v>0</v>
      </c>
      <c r="I208" s="3">
        <v>5</v>
      </c>
      <c r="J208" s="3">
        <v>0</v>
      </c>
      <c r="K208" s="3">
        <v>0</v>
      </c>
      <c r="L208" s="3">
        <v>0</v>
      </c>
      <c r="M208" s="3">
        <v>0</v>
      </c>
      <c r="N208" s="3" t="s">
        <v>868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 t="s">
        <v>936</v>
      </c>
      <c r="X208" s="3">
        <v>19.98</v>
      </c>
      <c r="Y208" s="3">
        <v>19.98</v>
      </c>
      <c r="Z208" s="3">
        <v>19.98</v>
      </c>
      <c r="AA208" s="3">
        <v>0</v>
      </c>
      <c r="AB208" s="3" t="s">
        <v>937</v>
      </c>
      <c r="AC208" s="3">
        <v>0</v>
      </c>
      <c r="AD208" s="3">
        <v>15.98</v>
      </c>
      <c r="AE208" s="3">
        <v>63</v>
      </c>
      <c r="AF208" s="3">
        <v>0</v>
      </c>
      <c r="AG208" s="3">
        <v>12.11785</v>
      </c>
      <c r="AH208" s="3">
        <v>0</v>
      </c>
      <c r="AI208" s="3">
        <v>0.00520999999999999</v>
      </c>
      <c r="AJ208" s="3" t="s">
        <v>870</v>
      </c>
    </row>
    <row r="209" spans="1:36">
      <c r="A209" s="5">
        <v>43336</v>
      </c>
      <c r="B209" s="3" t="s">
        <v>1353</v>
      </c>
      <c r="C209" s="3" t="s">
        <v>1354</v>
      </c>
      <c r="D209" s="3" t="s">
        <v>1355</v>
      </c>
      <c r="E209" s="3" t="s">
        <v>1356</v>
      </c>
      <c r="F209" s="3" t="s">
        <v>867</v>
      </c>
      <c r="G209" s="3">
        <v>6</v>
      </c>
      <c r="H209" s="3">
        <v>0</v>
      </c>
      <c r="I209" s="3">
        <v>6</v>
      </c>
      <c r="J209" s="3">
        <v>0</v>
      </c>
      <c r="K209" s="3">
        <v>0</v>
      </c>
      <c r="L209" s="3">
        <v>0</v>
      </c>
      <c r="M209" s="3">
        <v>0</v>
      </c>
      <c r="N209" s="3" t="s">
        <v>868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936</v>
      </c>
      <c r="X209" s="3">
        <v>22.99</v>
      </c>
      <c r="Y209" s="3">
        <v>22.99</v>
      </c>
      <c r="Z209" s="3">
        <v>22.99</v>
      </c>
      <c r="AA209" s="3">
        <v>0</v>
      </c>
      <c r="AB209" s="3" t="s">
        <v>937</v>
      </c>
      <c r="AC209" s="3">
        <v>0</v>
      </c>
      <c r="AD209" s="3">
        <v>18.99</v>
      </c>
      <c r="AE209" s="3">
        <v>63</v>
      </c>
      <c r="AF209" s="3">
        <v>0</v>
      </c>
      <c r="AG209" s="3">
        <v>100.294543</v>
      </c>
      <c r="AH209" s="3">
        <v>0</v>
      </c>
      <c r="AI209" s="3">
        <v>0.759606</v>
      </c>
      <c r="AJ209" s="3" t="s">
        <v>925</v>
      </c>
    </row>
    <row r="210" spans="1:36">
      <c r="A210" s="5">
        <v>43336</v>
      </c>
      <c r="B210" s="3" t="s">
        <v>1357</v>
      </c>
      <c r="C210" s="3" t="s">
        <v>1358</v>
      </c>
      <c r="D210" s="3" t="s">
        <v>1358</v>
      </c>
      <c r="E210" s="3" t="s">
        <v>1359</v>
      </c>
      <c r="F210" s="3" t="s">
        <v>867</v>
      </c>
      <c r="G210" s="3">
        <v>11</v>
      </c>
      <c r="H210" s="3">
        <v>0</v>
      </c>
      <c r="I210" s="3">
        <v>2</v>
      </c>
      <c r="J210" s="3">
        <v>9</v>
      </c>
      <c r="K210" s="3">
        <v>0</v>
      </c>
      <c r="L210" s="3">
        <v>0</v>
      </c>
      <c r="M210" s="3">
        <v>0</v>
      </c>
      <c r="N210" s="3" t="s">
        <v>868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2</v>
      </c>
      <c r="U210" s="3">
        <v>5</v>
      </c>
      <c r="V210" s="3">
        <v>9</v>
      </c>
      <c r="W210" s="3"/>
      <c r="X210" s="3">
        <v>22.98</v>
      </c>
      <c r="Y210" s="3">
        <v>22.98</v>
      </c>
      <c r="Z210" s="3">
        <v>22.98</v>
      </c>
      <c r="AA210" s="3">
        <v>0</v>
      </c>
      <c r="AB210" s="3" t="s">
        <v>869</v>
      </c>
      <c r="AC210" s="3">
        <v>10</v>
      </c>
      <c r="AD210" s="3">
        <v>22.98</v>
      </c>
      <c r="AE210" s="3">
        <v>0</v>
      </c>
      <c r="AF210" s="3">
        <v>0</v>
      </c>
      <c r="AG210" s="3">
        <v>0</v>
      </c>
      <c r="AH210" s="3">
        <v>0.666666666666666</v>
      </c>
      <c r="AI210" s="3">
        <v>1.519122</v>
      </c>
      <c r="AJ210" s="3" t="s">
        <v>870</v>
      </c>
    </row>
    <row r="211" spans="1:36">
      <c r="A211" s="5">
        <v>43336</v>
      </c>
      <c r="B211" s="3" t="s">
        <v>1360</v>
      </c>
      <c r="C211" s="3" t="s">
        <v>1361</v>
      </c>
      <c r="D211" s="3" t="s">
        <v>1361</v>
      </c>
      <c r="E211" s="3" t="s">
        <v>1362</v>
      </c>
      <c r="F211" s="3" t="s">
        <v>867</v>
      </c>
      <c r="G211" s="3">
        <v>1</v>
      </c>
      <c r="H211" s="3">
        <v>0</v>
      </c>
      <c r="I211" s="3">
        <v>0</v>
      </c>
      <c r="J211" s="3">
        <v>1</v>
      </c>
      <c r="K211" s="3">
        <v>0</v>
      </c>
      <c r="L211" s="3">
        <v>0</v>
      </c>
      <c r="M211" s="3">
        <v>0</v>
      </c>
      <c r="N211" s="3" t="s">
        <v>868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936</v>
      </c>
      <c r="X211" s="3">
        <v>62.98</v>
      </c>
      <c r="Y211" s="3">
        <v>62.98</v>
      </c>
      <c r="Z211" s="3">
        <v>62.98</v>
      </c>
      <c r="AA211" s="3">
        <v>0</v>
      </c>
      <c r="AB211" s="3" t="s">
        <v>937</v>
      </c>
      <c r="AC211" s="3">
        <v>0</v>
      </c>
      <c r="AD211" s="3">
        <v>58.77</v>
      </c>
      <c r="AE211" s="3">
        <v>70</v>
      </c>
      <c r="AF211" s="3">
        <v>0</v>
      </c>
      <c r="AG211" s="3">
        <v>88.428481</v>
      </c>
      <c r="AH211" s="3">
        <v>0</v>
      </c>
      <c r="AI211" s="3">
        <v>0.542062</v>
      </c>
      <c r="AJ211" s="3" t="s">
        <v>870</v>
      </c>
    </row>
    <row r="212" spans="1:36">
      <c r="A212" s="5">
        <v>43336</v>
      </c>
      <c r="B212" s="3" t="s">
        <v>1363</v>
      </c>
      <c r="C212" s="3" t="s">
        <v>1364</v>
      </c>
      <c r="D212" s="3" t="s">
        <v>1364</v>
      </c>
      <c r="E212" s="3" t="s">
        <v>1365</v>
      </c>
      <c r="F212" s="3" t="s">
        <v>867</v>
      </c>
      <c r="G212" s="3">
        <v>2</v>
      </c>
      <c r="H212" s="3">
        <v>0</v>
      </c>
      <c r="I212" s="3">
        <v>2</v>
      </c>
      <c r="J212" s="3">
        <v>0</v>
      </c>
      <c r="K212" s="3">
        <v>0</v>
      </c>
      <c r="L212" s="3">
        <v>0</v>
      </c>
      <c r="M212" s="3">
        <v>0</v>
      </c>
      <c r="N212" s="3" t="s">
        <v>868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4</v>
      </c>
      <c r="U212" s="3">
        <v>5</v>
      </c>
      <c r="V212" s="3">
        <v>6</v>
      </c>
      <c r="W212" s="3"/>
      <c r="X212" s="3">
        <v>22.98</v>
      </c>
      <c r="Y212" s="3">
        <v>22.98</v>
      </c>
      <c r="Z212" s="3">
        <v>22.98</v>
      </c>
      <c r="AA212" s="3">
        <v>0</v>
      </c>
      <c r="AB212" s="3" t="s">
        <v>869</v>
      </c>
      <c r="AC212" s="3">
        <v>2</v>
      </c>
      <c r="AD212" s="3">
        <v>22.98</v>
      </c>
      <c r="AE212" s="3">
        <v>0</v>
      </c>
      <c r="AF212" s="3">
        <v>0</v>
      </c>
      <c r="AG212" s="3">
        <v>0</v>
      </c>
      <c r="AH212" s="3">
        <v>1.39130434782608</v>
      </c>
      <c r="AI212" s="3">
        <v>0.180976</v>
      </c>
      <c r="AJ212" s="3" t="s">
        <v>870</v>
      </c>
    </row>
    <row r="213" spans="1:36">
      <c r="A213" s="5">
        <v>43336</v>
      </c>
      <c r="B213" s="3" t="s">
        <v>1366</v>
      </c>
      <c r="C213" s="3" t="s">
        <v>1367</v>
      </c>
      <c r="D213" s="3" t="s">
        <v>1368</v>
      </c>
      <c r="E213" s="3" t="s">
        <v>1369</v>
      </c>
      <c r="F213" s="3" t="s">
        <v>867</v>
      </c>
      <c r="G213" s="3">
        <v>1</v>
      </c>
      <c r="H213" s="3">
        <v>0</v>
      </c>
      <c r="I213" s="3">
        <v>1</v>
      </c>
      <c r="J213" s="3">
        <v>0</v>
      </c>
      <c r="K213" s="3">
        <v>0</v>
      </c>
      <c r="L213" s="3">
        <v>0</v>
      </c>
      <c r="M213" s="3">
        <v>0</v>
      </c>
      <c r="N213" s="3" t="s">
        <v>868</v>
      </c>
      <c r="O213" s="3">
        <v>0</v>
      </c>
      <c r="P213" s="3">
        <v>0</v>
      </c>
      <c r="Q213" s="3">
        <v>0</v>
      </c>
      <c r="R213" s="3">
        <v>0</v>
      </c>
      <c r="S213" s="3">
        <v>1</v>
      </c>
      <c r="T213" s="3">
        <v>1</v>
      </c>
      <c r="U213" s="3">
        <v>1</v>
      </c>
      <c r="V213" s="3">
        <v>1</v>
      </c>
      <c r="W213" s="3"/>
      <c r="X213" s="3">
        <v>27.98</v>
      </c>
      <c r="Y213" s="3">
        <v>27.98</v>
      </c>
      <c r="Z213" s="3">
        <v>27.98</v>
      </c>
      <c r="AA213" s="3">
        <v>0</v>
      </c>
      <c r="AB213" s="3" t="s">
        <v>869</v>
      </c>
      <c r="AC213" s="3">
        <v>2</v>
      </c>
      <c r="AD213" s="3">
        <v>27.98</v>
      </c>
      <c r="AE213" s="3">
        <v>0</v>
      </c>
      <c r="AF213" s="3">
        <v>0</v>
      </c>
      <c r="AG213" s="3">
        <v>0</v>
      </c>
      <c r="AH213" s="3">
        <v>1.28735632183908</v>
      </c>
      <c r="AI213" s="3">
        <v>0.092678</v>
      </c>
      <c r="AJ213" s="3" t="s">
        <v>870</v>
      </c>
    </row>
    <row r="214" spans="1:36">
      <c r="A214" s="5">
        <v>43336</v>
      </c>
      <c r="B214" s="3" t="s">
        <v>1370</v>
      </c>
      <c r="C214" s="3" t="s">
        <v>311</v>
      </c>
      <c r="D214" s="3" t="s">
        <v>311</v>
      </c>
      <c r="E214" s="3" t="s">
        <v>312</v>
      </c>
      <c r="F214" s="3" t="s">
        <v>867</v>
      </c>
      <c r="G214" s="3">
        <v>2</v>
      </c>
      <c r="H214" s="3">
        <v>0</v>
      </c>
      <c r="I214" s="3">
        <v>2</v>
      </c>
      <c r="J214" s="3">
        <v>0</v>
      </c>
      <c r="K214" s="3">
        <v>0</v>
      </c>
      <c r="L214" s="3">
        <v>0</v>
      </c>
      <c r="M214" s="3">
        <v>0</v>
      </c>
      <c r="N214" s="3" t="s">
        <v>868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5</v>
      </c>
      <c r="U214" s="3">
        <v>18</v>
      </c>
      <c r="V214" s="3">
        <v>18</v>
      </c>
      <c r="W214" s="3"/>
      <c r="X214" s="3"/>
      <c r="Y214" s="3"/>
      <c r="Z214" s="3">
        <v>23.98</v>
      </c>
      <c r="AA214" s="3">
        <v>-1</v>
      </c>
      <c r="AB214" s="3" t="s">
        <v>891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5.53571428571428</v>
      </c>
      <c r="AI214" s="3">
        <v>0.091058</v>
      </c>
      <c r="AJ214" s="3" t="s">
        <v>870</v>
      </c>
    </row>
    <row r="215" spans="1:36">
      <c r="A215" s="5">
        <v>43336</v>
      </c>
      <c r="B215" s="3" t="s">
        <v>39</v>
      </c>
      <c r="C215" s="3" t="s">
        <v>40</v>
      </c>
      <c r="D215" s="3" t="s">
        <v>41</v>
      </c>
      <c r="E215" s="3" t="s">
        <v>42</v>
      </c>
      <c r="F215" s="3" t="s">
        <v>867</v>
      </c>
      <c r="G215" s="3">
        <v>17</v>
      </c>
      <c r="H215" s="3">
        <v>0</v>
      </c>
      <c r="I215" s="3">
        <v>17</v>
      </c>
      <c r="J215" s="3">
        <v>0</v>
      </c>
      <c r="K215" s="3">
        <v>0</v>
      </c>
      <c r="L215" s="3">
        <v>0</v>
      </c>
      <c r="M215" s="3">
        <v>0</v>
      </c>
      <c r="N215" s="3" t="s">
        <v>868</v>
      </c>
      <c r="O215" s="3">
        <v>0</v>
      </c>
      <c r="P215" s="3">
        <v>0</v>
      </c>
      <c r="Q215" s="3">
        <v>0</v>
      </c>
      <c r="R215" s="3">
        <v>0</v>
      </c>
      <c r="S215" s="3">
        <v>4</v>
      </c>
      <c r="T215" s="3">
        <v>24</v>
      </c>
      <c r="U215" s="3">
        <v>32</v>
      </c>
      <c r="V215" s="3">
        <v>32</v>
      </c>
      <c r="W215" s="3"/>
      <c r="X215" s="3">
        <v>22.98</v>
      </c>
      <c r="Y215" s="3">
        <v>22.98</v>
      </c>
      <c r="Z215" s="3">
        <v>22.98</v>
      </c>
      <c r="AA215" s="3">
        <v>0</v>
      </c>
      <c r="AB215" s="3" t="s">
        <v>869</v>
      </c>
      <c r="AC215" s="3">
        <v>17</v>
      </c>
      <c r="AD215" s="3">
        <v>22.98</v>
      </c>
      <c r="AE215" s="3">
        <v>0</v>
      </c>
      <c r="AF215" s="3">
        <v>0</v>
      </c>
      <c r="AG215" s="3">
        <v>0</v>
      </c>
      <c r="AH215" s="3">
        <v>4.5090909090909</v>
      </c>
      <c r="AI215" s="3">
        <v>1.134325</v>
      </c>
      <c r="AJ215" s="3" t="s">
        <v>870</v>
      </c>
    </row>
    <row r="216" spans="1:36">
      <c r="A216" s="5">
        <v>43336</v>
      </c>
      <c r="B216" s="3" t="s">
        <v>1371</v>
      </c>
      <c r="C216" s="3" t="s">
        <v>1372</v>
      </c>
      <c r="D216" s="3" t="s">
        <v>1372</v>
      </c>
      <c r="E216" s="3" t="s">
        <v>1373</v>
      </c>
      <c r="F216" s="3" t="s">
        <v>867</v>
      </c>
      <c r="G216" s="3">
        <v>17</v>
      </c>
      <c r="H216" s="3">
        <v>0</v>
      </c>
      <c r="I216" s="3">
        <v>17</v>
      </c>
      <c r="J216" s="3">
        <v>0</v>
      </c>
      <c r="K216" s="3">
        <v>0</v>
      </c>
      <c r="L216" s="3">
        <v>0</v>
      </c>
      <c r="M216" s="3">
        <v>0</v>
      </c>
      <c r="N216" s="3" t="s">
        <v>868</v>
      </c>
      <c r="O216" s="3">
        <v>0</v>
      </c>
      <c r="P216" s="3">
        <v>0</v>
      </c>
      <c r="Q216" s="3">
        <v>0</v>
      </c>
      <c r="R216" s="3">
        <v>0</v>
      </c>
      <c r="S216" s="3">
        <v>5</v>
      </c>
      <c r="T216" s="3">
        <v>16</v>
      </c>
      <c r="U216" s="3">
        <v>26</v>
      </c>
      <c r="V216" s="3">
        <v>34</v>
      </c>
      <c r="W216" s="3"/>
      <c r="X216" s="3">
        <v>22.98</v>
      </c>
      <c r="Y216" s="3">
        <v>22.98</v>
      </c>
      <c r="Z216" s="3">
        <v>22.98</v>
      </c>
      <c r="AA216" s="3">
        <v>0</v>
      </c>
      <c r="AB216" s="3" t="s">
        <v>869</v>
      </c>
      <c r="AC216" s="3">
        <v>19</v>
      </c>
      <c r="AD216" s="3">
        <v>22.98</v>
      </c>
      <c r="AE216" s="3">
        <v>0</v>
      </c>
      <c r="AF216" s="3">
        <v>0</v>
      </c>
      <c r="AG216" s="3">
        <v>0</v>
      </c>
      <c r="AH216" s="3">
        <v>1.17241379310344</v>
      </c>
      <c r="AI216" s="3">
        <v>2.544781</v>
      </c>
      <c r="AJ216" s="3" t="s">
        <v>870</v>
      </c>
    </row>
    <row r="217" spans="1:36">
      <c r="A217" s="5">
        <v>43336</v>
      </c>
      <c r="B217" s="3" t="s">
        <v>203</v>
      </c>
      <c r="C217" s="3" t="s">
        <v>204</v>
      </c>
      <c r="D217" s="3" t="s">
        <v>205</v>
      </c>
      <c r="E217" s="3" t="s">
        <v>206</v>
      </c>
      <c r="F217" s="3" t="s">
        <v>867</v>
      </c>
      <c r="G217" s="3">
        <v>5</v>
      </c>
      <c r="H217" s="3">
        <v>0</v>
      </c>
      <c r="I217" s="3">
        <v>5</v>
      </c>
      <c r="J217" s="3">
        <v>0</v>
      </c>
      <c r="K217" s="3">
        <v>0</v>
      </c>
      <c r="L217" s="3">
        <v>0</v>
      </c>
      <c r="M217" s="3">
        <v>0</v>
      </c>
      <c r="N217" s="3" t="s">
        <v>868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871</v>
      </c>
      <c r="X217" s="3">
        <v>22.99</v>
      </c>
      <c r="Y217" s="3">
        <v>22.98</v>
      </c>
      <c r="Z217" s="3">
        <v>22.98</v>
      </c>
      <c r="AA217" s="3">
        <v>0</v>
      </c>
      <c r="AB217" s="3" t="s">
        <v>883</v>
      </c>
      <c r="AC217" s="3">
        <v>0</v>
      </c>
      <c r="AD217" s="3">
        <v>18.38</v>
      </c>
      <c r="AE217" s="3">
        <v>63</v>
      </c>
      <c r="AF217" s="3">
        <v>0</v>
      </c>
      <c r="AG217" s="3">
        <v>124.37264</v>
      </c>
      <c r="AH217" s="3">
        <v>0</v>
      </c>
      <c r="AI217" s="3">
        <v>1.120905</v>
      </c>
      <c r="AJ217" s="3" t="s">
        <v>870</v>
      </c>
    </row>
    <row r="218" spans="1:36">
      <c r="A218" s="5">
        <v>43336</v>
      </c>
      <c r="B218" s="3" t="s">
        <v>1374</v>
      </c>
      <c r="C218" s="3" t="s">
        <v>1375</v>
      </c>
      <c r="D218" s="3" t="s">
        <v>1376</v>
      </c>
      <c r="E218" s="3" t="s">
        <v>1377</v>
      </c>
      <c r="F218" s="3" t="s">
        <v>867</v>
      </c>
      <c r="G218" s="3">
        <v>5</v>
      </c>
      <c r="H218" s="3">
        <v>0</v>
      </c>
      <c r="I218" s="3">
        <v>5</v>
      </c>
      <c r="J218" s="3">
        <v>0</v>
      </c>
      <c r="K218" s="3">
        <v>0</v>
      </c>
      <c r="L218" s="3">
        <v>0</v>
      </c>
      <c r="M218" s="3">
        <v>0</v>
      </c>
      <c r="N218" s="3" t="s">
        <v>868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 t="s">
        <v>871</v>
      </c>
      <c r="X218" s="3">
        <v>22.98</v>
      </c>
      <c r="Y218" s="3">
        <v>22.98</v>
      </c>
      <c r="Z218" s="3">
        <v>22.98</v>
      </c>
      <c r="AA218" s="3">
        <v>0</v>
      </c>
      <c r="AB218" s="3" t="s">
        <v>883</v>
      </c>
      <c r="AC218" s="3">
        <v>0</v>
      </c>
      <c r="AD218" s="3">
        <v>18.38</v>
      </c>
      <c r="AE218" s="3">
        <v>63</v>
      </c>
      <c r="AF218" s="3">
        <v>0</v>
      </c>
      <c r="AG218" s="3">
        <v>57.459017</v>
      </c>
      <c r="AH218" s="3">
        <v>1.71428571428571</v>
      </c>
      <c r="AI218" s="3">
        <v>0.407744999999999</v>
      </c>
      <c r="AJ218" s="3" t="s">
        <v>870</v>
      </c>
    </row>
    <row r="219" spans="1:36">
      <c r="A219" s="5">
        <v>43336</v>
      </c>
      <c r="B219" s="3" t="s">
        <v>1378</v>
      </c>
      <c r="C219" s="3" t="s">
        <v>1379</v>
      </c>
      <c r="D219" s="3" t="s">
        <v>1379</v>
      </c>
      <c r="E219" s="3" t="s">
        <v>1380</v>
      </c>
      <c r="F219" s="3" t="s">
        <v>867</v>
      </c>
      <c r="G219" s="3">
        <v>14</v>
      </c>
      <c r="H219" s="3">
        <v>0</v>
      </c>
      <c r="I219" s="3">
        <v>7</v>
      </c>
      <c r="J219" s="3">
        <v>7</v>
      </c>
      <c r="K219" s="3">
        <v>0</v>
      </c>
      <c r="L219" s="3">
        <v>0</v>
      </c>
      <c r="M219" s="3">
        <v>0</v>
      </c>
      <c r="N219" s="3" t="s">
        <v>868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1</v>
      </c>
      <c r="U219" s="3">
        <v>1</v>
      </c>
      <c r="V219" s="3">
        <v>2</v>
      </c>
      <c r="W219" s="3"/>
      <c r="X219" s="3">
        <v>23.98</v>
      </c>
      <c r="Y219" s="3">
        <v>23.98</v>
      </c>
      <c r="Z219" s="3">
        <v>23.98</v>
      </c>
      <c r="AA219" s="3">
        <v>0</v>
      </c>
      <c r="AB219" s="3" t="s">
        <v>869</v>
      </c>
      <c r="AC219" s="3">
        <v>14</v>
      </c>
      <c r="AD219" s="3">
        <v>23.98</v>
      </c>
      <c r="AE219" s="3">
        <v>0</v>
      </c>
      <c r="AF219" s="3">
        <v>0</v>
      </c>
      <c r="AG219" s="3">
        <v>0</v>
      </c>
      <c r="AH219" s="3">
        <v>0.150943396226415</v>
      </c>
      <c r="AI219" s="3">
        <v>2.345588</v>
      </c>
      <c r="AJ219" s="3" t="s">
        <v>870</v>
      </c>
    </row>
    <row r="220" spans="1:36">
      <c r="A220" s="5">
        <v>43336</v>
      </c>
      <c r="B220" s="3" t="s">
        <v>1381</v>
      </c>
      <c r="C220" s="3" t="s">
        <v>268</v>
      </c>
      <c r="D220" s="3" t="s">
        <v>268</v>
      </c>
      <c r="E220" s="3" t="s">
        <v>269</v>
      </c>
      <c r="F220" s="3" t="s">
        <v>867</v>
      </c>
      <c r="G220" s="3">
        <v>8</v>
      </c>
      <c r="H220" s="3">
        <v>0</v>
      </c>
      <c r="I220" s="3">
        <v>8</v>
      </c>
      <c r="J220" s="3">
        <v>0</v>
      </c>
      <c r="K220" s="3">
        <v>0</v>
      </c>
      <c r="L220" s="3">
        <v>0</v>
      </c>
      <c r="M220" s="3">
        <v>0</v>
      </c>
      <c r="N220" s="3" t="s">
        <v>868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2</v>
      </c>
      <c r="U220" s="3">
        <v>8</v>
      </c>
      <c r="V220" s="3">
        <v>8</v>
      </c>
      <c r="W220" s="3"/>
      <c r="X220" s="3">
        <v>22.98</v>
      </c>
      <c r="Y220" s="3">
        <v>22.98</v>
      </c>
      <c r="Z220" s="3">
        <v>17.98</v>
      </c>
      <c r="AA220" s="3">
        <v>0</v>
      </c>
      <c r="AB220" s="3" t="s">
        <v>869</v>
      </c>
      <c r="AC220" s="3">
        <v>8</v>
      </c>
      <c r="AD220" s="3">
        <v>22.98</v>
      </c>
      <c r="AE220" s="3">
        <v>0</v>
      </c>
      <c r="AF220" s="3">
        <v>0</v>
      </c>
      <c r="AG220" s="3">
        <v>0</v>
      </c>
      <c r="AH220" s="3">
        <v>0.933333333333333</v>
      </c>
      <c r="AI220" s="3">
        <v>0.364232</v>
      </c>
      <c r="AJ220" s="3" t="s">
        <v>870</v>
      </c>
    </row>
    <row r="221" spans="1:36">
      <c r="A221" s="5">
        <v>43336</v>
      </c>
      <c r="B221" s="3" t="s">
        <v>1382</v>
      </c>
      <c r="C221" s="3" t="s">
        <v>1383</v>
      </c>
      <c r="D221" s="3" t="s">
        <v>1383</v>
      </c>
      <c r="E221" s="3" t="s">
        <v>1384</v>
      </c>
      <c r="F221" s="3" t="s">
        <v>867</v>
      </c>
      <c r="G221" s="3">
        <v>2</v>
      </c>
      <c r="H221" s="3">
        <v>0</v>
      </c>
      <c r="I221" s="3">
        <v>0</v>
      </c>
      <c r="J221" s="3">
        <v>1</v>
      </c>
      <c r="K221" s="3">
        <v>1</v>
      </c>
      <c r="L221" s="3">
        <v>0</v>
      </c>
      <c r="M221" s="3">
        <v>0</v>
      </c>
      <c r="N221" s="3" t="s">
        <v>868</v>
      </c>
      <c r="O221" s="3">
        <v>1</v>
      </c>
      <c r="P221" s="3">
        <v>0.46</v>
      </c>
      <c r="Q221" s="3">
        <v>0</v>
      </c>
      <c r="R221" s="3">
        <v>0</v>
      </c>
      <c r="S221" s="3">
        <v>0</v>
      </c>
      <c r="T221" s="3">
        <v>0</v>
      </c>
      <c r="U221" s="3">
        <v>1</v>
      </c>
      <c r="V221" s="3">
        <v>1</v>
      </c>
      <c r="W221" s="3" t="s">
        <v>871</v>
      </c>
      <c r="X221" s="3">
        <v>26.98</v>
      </c>
      <c r="Y221" s="3">
        <v>26.98</v>
      </c>
      <c r="Z221" s="3">
        <v>26.98</v>
      </c>
      <c r="AA221" s="3">
        <v>0</v>
      </c>
      <c r="AB221" s="3" t="s">
        <v>869</v>
      </c>
      <c r="AC221" s="3">
        <v>2</v>
      </c>
      <c r="AD221" s="3">
        <v>26.98</v>
      </c>
      <c r="AE221" s="3">
        <v>0</v>
      </c>
      <c r="AF221" s="3">
        <v>0</v>
      </c>
      <c r="AG221" s="3">
        <v>0</v>
      </c>
      <c r="AH221" s="3">
        <v>0.4</v>
      </c>
      <c r="AI221" s="3">
        <v>0.264652</v>
      </c>
      <c r="AJ221" s="3" t="s">
        <v>870</v>
      </c>
    </row>
    <row r="222" spans="1:36">
      <c r="A222" s="5">
        <v>43336</v>
      </c>
      <c r="B222" s="3" t="s">
        <v>1385</v>
      </c>
      <c r="C222" s="3" t="s">
        <v>1386</v>
      </c>
      <c r="D222" s="3" t="s">
        <v>1386</v>
      </c>
      <c r="E222" s="3" t="s">
        <v>1387</v>
      </c>
      <c r="F222" s="3" t="s">
        <v>867</v>
      </c>
      <c r="G222" s="3">
        <v>14</v>
      </c>
      <c r="H222" s="3">
        <v>0</v>
      </c>
      <c r="I222" s="3">
        <v>14</v>
      </c>
      <c r="J222" s="3">
        <v>0</v>
      </c>
      <c r="K222" s="3">
        <v>0</v>
      </c>
      <c r="L222" s="3">
        <v>0</v>
      </c>
      <c r="M222" s="3">
        <v>0</v>
      </c>
      <c r="N222" s="3" t="s">
        <v>868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2</v>
      </c>
      <c r="U222" s="3">
        <v>2</v>
      </c>
      <c r="V222" s="3">
        <v>9</v>
      </c>
      <c r="W222" s="3"/>
      <c r="X222" s="3">
        <v>20.98</v>
      </c>
      <c r="Y222" s="3">
        <v>20.98</v>
      </c>
      <c r="Z222" s="3">
        <v>20.98</v>
      </c>
      <c r="AA222" s="3">
        <v>0</v>
      </c>
      <c r="AB222" s="3" t="s">
        <v>869</v>
      </c>
      <c r="AC222" s="3">
        <v>14</v>
      </c>
      <c r="AD222" s="3">
        <v>20.98</v>
      </c>
      <c r="AE222" s="3">
        <v>0</v>
      </c>
      <c r="AF222" s="3">
        <v>0</v>
      </c>
      <c r="AG222" s="3">
        <v>0</v>
      </c>
      <c r="AH222" s="3">
        <v>0.827586206896551</v>
      </c>
      <c r="AI222" s="3">
        <v>1.16988199999999</v>
      </c>
      <c r="AJ222" s="3" t="s">
        <v>870</v>
      </c>
    </row>
    <row r="223" spans="1:36">
      <c r="A223" s="5">
        <v>43336</v>
      </c>
      <c r="B223" s="3" t="s">
        <v>506</v>
      </c>
      <c r="C223" s="3" t="s">
        <v>507</v>
      </c>
      <c r="D223" s="3" t="s">
        <v>507</v>
      </c>
      <c r="E223" s="3" t="s">
        <v>508</v>
      </c>
      <c r="F223" s="3" t="s">
        <v>867</v>
      </c>
      <c r="G223" s="3">
        <v>4</v>
      </c>
      <c r="H223" s="3">
        <v>0</v>
      </c>
      <c r="I223" s="3">
        <v>0</v>
      </c>
      <c r="J223" s="3">
        <v>3</v>
      </c>
      <c r="K223" s="3">
        <v>1</v>
      </c>
      <c r="L223" s="3">
        <v>0</v>
      </c>
      <c r="M223" s="3">
        <v>0</v>
      </c>
      <c r="N223" s="3" t="s">
        <v>868</v>
      </c>
      <c r="O223" s="3">
        <v>1</v>
      </c>
      <c r="P223" s="3">
        <v>0.5</v>
      </c>
      <c r="Q223" s="3">
        <v>0</v>
      </c>
      <c r="R223" s="3">
        <v>0</v>
      </c>
      <c r="S223" s="3">
        <v>0</v>
      </c>
      <c r="T223" s="3">
        <v>2</v>
      </c>
      <c r="U223" s="3">
        <v>2</v>
      </c>
      <c r="V223" s="3">
        <v>3</v>
      </c>
      <c r="W223" s="3" t="s">
        <v>871</v>
      </c>
      <c r="X223" s="3">
        <v>22.99</v>
      </c>
      <c r="Y223" s="3">
        <v>22.99</v>
      </c>
      <c r="Z223" s="3">
        <v>22.99</v>
      </c>
      <c r="AA223" s="3">
        <v>0</v>
      </c>
      <c r="AB223" s="3" t="s">
        <v>883</v>
      </c>
      <c r="AC223" s="3">
        <v>4</v>
      </c>
      <c r="AD223" s="3">
        <v>22.98</v>
      </c>
      <c r="AE223" s="3">
        <v>0</v>
      </c>
      <c r="AF223" s="3">
        <v>0</v>
      </c>
      <c r="AG223" s="3">
        <v>0</v>
      </c>
      <c r="AH223" s="3">
        <v>0.521739130434782</v>
      </c>
      <c r="AI223" s="3">
        <v>0.583604</v>
      </c>
      <c r="AJ223" s="3" t="s">
        <v>870</v>
      </c>
    </row>
    <row r="224" spans="1:36">
      <c r="A224" s="5">
        <v>43336</v>
      </c>
      <c r="B224" s="3" t="s">
        <v>1388</v>
      </c>
      <c r="C224" s="3" t="s">
        <v>1389</v>
      </c>
      <c r="D224" s="3" t="s">
        <v>1389</v>
      </c>
      <c r="E224" s="3" t="s">
        <v>1390</v>
      </c>
      <c r="F224" s="3" t="s">
        <v>867</v>
      </c>
      <c r="G224" s="3">
        <v>13</v>
      </c>
      <c r="H224" s="3">
        <v>0</v>
      </c>
      <c r="I224" s="3">
        <v>13</v>
      </c>
      <c r="J224" s="3">
        <v>0</v>
      </c>
      <c r="K224" s="3">
        <v>0</v>
      </c>
      <c r="L224" s="3">
        <v>0</v>
      </c>
      <c r="M224" s="3">
        <v>0</v>
      </c>
      <c r="N224" s="3" t="s">
        <v>868</v>
      </c>
      <c r="O224" s="3">
        <v>0</v>
      </c>
      <c r="P224" s="3">
        <v>0</v>
      </c>
      <c r="Q224" s="3">
        <v>0</v>
      </c>
      <c r="R224" s="3">
        <v>0</v>
      </c>
      <c r="S224" s="3">
        <v>3</v>
      </c>
      <c r="T224" s="3">
        <v>8</v>
      </c>
      <c r="U224" s="3">
        <v>19</v>
      </c>
      <c r="V224" s="3">
        <v>25</v>
      </c>
      <c r="W224" s="3"/>
      <c r="X224" s="3">
        <v>23.99</v>
      </c>
      <c r="Y224" s="3">
        <v>21.98</v>
      </c>
      <c r="Z224" s="3">
        <v>21.98</v>
      </c>
      <c r="AA224" s="3">
        <v>0</v>
      </c>
      <c r="AB224" s="3" t="s">
        <v>869</v>
      </c>
      <c r="AC224" s="3">
        <v>14</v>
      </c>
      <c r="AD224" s="3">
        <v>21.98</v>
      </c>
      <c r="AE224" s="3">
        <v>0</v>
      </c>
      <c r="AF224" s="3">
        <v>0</v>
      </c>
      <c r="AG224" s="3">
        <v>0</v>
      </c>
      <c r="AH224" s="3">
        <v>1.14942528735632</v>
      </c>
      <c r="AI224" s="3">
        <v>1.94600899999999</v>
      </c>
      <c r="AJ224" s="3" t="s">
        <v>870</v>
      </c>
    </row>
    <row r="225" spans="1:36">
      <c r="A225" s="5">
        <v>43336</v>
      </c>
      <c r="B225" s="3" t="s">
        <v>1391</v>
      </c>
      <c r="C225" s="3" t="s">
        <v>1392</v>
      </c>
      <c r="D225" s="3" t="s">
        <v>1393</v>
      </c>
      <c r="E225" s="3" t="s">
        <v>1394</v>
      </c>
      <c r="F225" s="3" t="s">
        <v>867</v>
      </c>
      <c r="G225" s="3">
        <v>6</v>
      </c>
      <c r="H225" s="3">
        <v>0</v>
      </c>
      <c r="I225" s="3">
        <v>6</v>
      </c>
      <c r="J225" s="3">
        <v>0</v>
      </c>
      <c r="K225" s="3">
        <v>0</v>
      </c>
      <c r="L225" s="3">
        <v>0</v>
      </c>
      <c r="M225" s="3">
        <v>0</v>
      </c>
      <c r="N225" s="3" t="s">
        <v>868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5</v>
      </c>
      <c r="U225" s="3">
        <v>13</v>
      </c>
      <c r="V225" s="3">
        <v>13</v>
      </c>
      <c r="W225" s="3"/>
      <c r="X225" s="3">
        <v>19.98</v>
      </c>
      <c r="Y225" s="3">
        <v>19.98</v>
      </c>
      <c r="Z225" s="3">
        <v>19.98</v>
      </c>
      <c r="AA225" s="3">
        <v>0</v>
      </c>
      <c r="AB225" s="3" t="s">
        <v>869</v>
      </c>
      <c r="AC225" s="3">
        <v>6</v>
      </c>
      <c r="AD225" s="3">
        <v>19.98</v>
      </c>
      <c r="AE225" s="3">
        <v>0</v>
      </c>
      <c r="AF225" s="3">
        <v>0</v>
      </c>
      <c r="AG225" s="3">
        <v>0</v>
      </c>
      <c r="AH225" s="3">
        <v>2.22222222222222</v>
      </c>
      <c r="AI225" s="3">
        <v>0.542928</v>
      </c>
      <c r="AJ225" s="3" t="s">
        <v>870</v>
      </c>
    </row>
    <row r="226" spans="1:36">
      <c r="A226" s="5">
        <v>43336</v>
      </c>
      <c r="B226" s="3" t="s">
        <v>1395</v>
      </c>
      <c r="C226" s="3" t="s">
        <v>1396</v>
      </c>
      <c r="D226" s="3" t="s">
        <v>1397</v>
      </c>
      <c r="E226" s="3" t="s">
        <v>1398</v>
      </c>
      <c r="F226" s="3" t="s">
        <v>867</v>
      </c>
      <c r="G226" s="3">
        <v>6</v>
      </c>
      <c r="H226" s="3">
        <v>0</v>
      </c>
      <c r="I226" s="3">
        <v>6</v>
      </c>
      <c r="J226" s="3">
        <v>0</v>
      </c>
      <c r="K226" s="3">
        <v>0</v>
      </c>
      <c r="L226" s="3">
        <v>0</v>
      </c>
      <c r="M226" s="3">
        <v>0</v>
      </c>
      <c r="N226" s="3" t="s">
        <v>868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871</v>
      </c>
      <c r="X226" s="3">
        <v>19.99</v>
      </c>
      <c r="Y226" s="3">
        <v>19.99</v>
      </c>
      <c r="Z226" s="3">
        <v>19.99</v>
      </c>
      <c r="AA226" s="3">
        <v>0</v>
      </c>
      <c r="AB226" s="3" t="s">
        <v>869</v>
      </c>
      <c r="AC226" s="3">
        <v>0</v>
      </c>
      <c r="AD226" s="3">
        <v>19.99</v>
      </c>
      <c r="AE226" s="3">
        <v>63</v>
      </c>
      <c r="AF226" s="3">
        <v>0</v>
      </c>
      <c r="AG226" s="3">
        <v>100.883198</v>
      </c>
      <c r="AH226" s="3">
        <v>0</v>
      </c>
      <c r="AI226" s="3">
        <v>0.840402</v>
      </c>
      <c r="AJ226" s="3" t="s">
        <v>925</v>
      </c>
    </row>
    <row r="227" spans="1:36">
      <c r="A227" s="5">
        <v>43336</v>
      </c>
      <c r="B227" s="3" t="s">
        <v>1399</v>
      </c>
      <c r="C227" s="3" t="s">
        <v>1400</v>
      </c>
      <c r="D227" s="3" t="s">
        <v>1400</v>
      </c>
      <c r="E227" s="3" t="s">
        <v>1401</v>
      </c>
      <c r="F227" s="3" t="s">
        <v>867</v>
      </c>
      <c r="G227" s="3">
        <v>4</v>
      </c>
      <c r="H227" s="3">
        <v>0</v>
      </c>
      <c r="I227" s="3">
        <v>4</v>
      </c>
      <c r="J227" s="3">
        <v>0</v>
      </c>
      <c r="K227" s="3">
        <v>0</v>
      </c>
      <c r="L227" s="3">
        <v>0</v>
      </c>
      <c r="M227" s="3">
        <v>0</v>
      </c>
      <c r="N227" s="3" t="s">
        <v>868</v>
      </c>
      <c r="O227" s="3">
        <v>0</v>
      </c>
      <c r="P227" s="3">
        <v>0</v>
      </c>
      <c r="Q227" s="3">
        <v>0</v>
      </c>
      <c r="R227" s="3">
        <v>0</v>
      </c>
      <c r="S227" s="3">
        <v>1</v>
      </c>
      <c r="T227" s="3">
        <v>4</v>
      </c>
      <c r="U227" s="3">
        <v>5</v>
      </c>
      <c r="V227" s="3">
        <v>7</v>
      </c>
      <c r="W227" s="3"/>
      <c r="X227" s="3">
        <v>20.98</v>
      </c>
      <c r="Y227" s="3">
        <v>20.98</v>
      </c>
      <c r="Z227" s="3">
        <v>20.98</v>
      </c>
      <c r="AA227" s="3">
        <v>0</v>
      </c>
      <c r="AB227" s="3" t="s">
        <v>869</v>
      </c>
      <c r="AC227" s="3">
        <v>3</v>
      </c>
      <c r="AD227" s="3">
        <v>20.98</v>
      </c>
      <c r="AE227" s="3">
        <v>0</v>
      </c>
      <c r="AF227" s="3">
        <v>0</v>
      </c>
      <c r="AG227" s="3">
        <v>0</v>
      </c>
      <c r="AH227" s="3">
        <v>1.27272727272727</v>
      </c>
      <c r="AI227" s="3">
        <v>0.334252</v>
      </c>
      <c r="AJ227" s="3" t="s">
        <v>870</v>
      </c>
    </row>
    <row r="228" spans="1:36">
      <c r="A228" s="5">
        <v>43336</v>
      </c>
      <c r="B228" s="3" t="s">
        <v>393</v>
      </c>
      <c r="C228" s="3" t="s">
        <v>394</v>
      </c>
      <c r="D228" s="3" t="s">
        <v>395</v>
      </c>
      <c r="E228" s="3" t="s">
        <v>396</v>
      </c>
      <c r="F228" s="3" t="s">
        <v>867</v>
      </c>
      <c r="G228" s="3">
        <v>58</v>
      </c>
      <c r="H228" s="3">
        <v>0</v>
      </c>
      <c r="I228" s="3">
        <v>58</v>
      </c>
      <c r="J228" s="3">
        <v>0</v>
      </c>
      <c r="K228" s="3">
        <v>0</v>
      </c>
      <c r="L228" s="3">
        <v>0</v>
      </c>
      <c r="M228" s="3">
        <v>0</v>
      </c>
      <c r="N228" s="3" t="s">
        <v>868</v>
      </c>
      <c r="O228" s="3">
        <v>0</v>
      </c>
      <c r="P228" s="3">
        <v>0</v>
      </c>
      <c r="Q228" s="3">
        <v>0</v>
      </c>
      <c r="R228" s="3">
        <v>0</v>
      </c>
      <c r="S228" s="3">
        <v>16</v>
      </c>
      <c r="T228" s="3">
        <v>32</v>
      </c>
      <c r="U228" s="3">
        <v>32</v>
      </c>
      <c r="V228" s="3">
        <v>32</v>
      </c>
      <c r="W228" s="3"/>
      <c r="X228" s="3">
        <v>23.98</v>
      </c>
      <c r="Y228" s="3">
        <v>23.98</v>
      </c>
      <c r="Z228" s="3">
        <v>22.98</v>
      </c>
      <c r="AA228" s="3">
        <v>0</v>
      </c>
      <c r="AB228" s="3" t="s">
        <v>869</v>
      </c>
      <c r="AC228" s="3">
        <v>61</v>
      </c>
      <c r="AD228" s="3">
        <v>23.98</v>
      </c>
      <c r="AE228" s="3">
        <v>0</v>
      </c>
      <c r="AF228" s="3">
        <v>0</v>
      </c>
      <c r="AG228" s="3">
        <v>0</v>
      </c>
      <c r="AH228" s="3">
        <v>3.72477064220183</v>
      </c>
      <c r="AI228" s="3">
        <v>6.643726</v>
      </c>
      <c r="AJ228" s="3" t="s">
        <v>870</v>
      </c>
    </row>
    <row r="229" spans="1:36">
      <c r="A229" s="5">
        <v>43336</v>
      </c>
      <c r="B229" s="3" t="s">
        <v>1402</v>
      </c>
      <c r="C229" s="3" t="s">
        <v>1403</v>
      </c>
      <c r="D229" s="3" t="s">
        <v>1404</v>
      </c>
      <c r="E229" s="3" t="s">
        <v>1405</v>
      </c>
      <c r="F229" s="3" t="s">
        <v>867</v>
      </c>
      <c r="G229" s="3">
        <v>2</v>
      </c>
      <c r="H229" s="3">
        <v>0</v>
      </c>
      <c r="I229" s="3">
        <v>2</v>
      </c>
      <c r="J229" s="3">
        <v>0</v>
      </c>
      <c r="K229" s="3">
        <v>0</v>
      </c>
      <c r="L229" s="3">
        <v>0</v>
      </c>
      <c r="M229" s="3">
        <v>0</v>
      </c>
      <c r="N229" s="3" t="s">
        <v>868</v>
      </c>
      <c r="O229" s="3">
        <v>0</v>
      </c>
      <c r="P229" s="3">
        <v>0</v>
      </c>
      <c r="Q229" s="3">
        <v>0</v>
      </c>
      <c r="R229" s="3">
        <v>0</v>
      </c>
      <c r="S229" s="3">
        <v>1</v>
      </c>
      <c r="T229" s="3">
        <v>1</v>
      </c>
      <c r="U229" s="3">
        <v>1</v>
      </c>
      <c r="V229" s="3">
        <v>1</v>
      </c>
      <c r="W229" s="3"/>
      <c r="X229" s="3">
        <v>23.98</v>
      </c>
      <c r="Y229" s="3">
        <v>23.98</v>
      </c>
      <c r="Z229" s="3">
        <v>23.98</v>
      </c>
      <c r="AA229" s="3">
        <v>0</v>
      </c>
      <c r="AB229" s="3" t="s">
        <v>869</v>
      </c>
      <c r="AC229" s="3">
        <v>2</v>
      </c>
      <c r="AD229" s="3">
        <v>23.98</v>
      </c>
      <c r="AE229" s="3">
        <v>0</v>
      </c>
      <c r="AF229" s="3">
        <v>0</v>
      </c>
      <c r="AG229" s="3">
        <v>0</v>
      </c>
      <c r="AH229" s="3">
        <v>1.2</v>
      </c>
      <c r="AI229" s="3">
        <v>0.2</v>
      </c>
      <c r="AJ229" s="3" t="s">
        <v>870</v>
      </c>
    </row>
    <row r="230" spans="1:36">
      <c r="A230" s="5">
        <v>43336</v>
      </c>
      <c r="B230" s="3" t="s">
        <v>1406</v>
      </c>
      <c r="C230" s="3" t="s">
        <v>1407</v>
      </c>
      <c r="D230" s="3" t="s">
        <v>1407</v>
      </c>
      <c r="E230" s="3" t="s">
        <v>1408</v>
      </c>
      <c r="F230" s="3" t="s">
        <v>867</v>
      </c>
      <c r="G230" s="3">
        <v>19</v>
      </c>
      <c r="H230" s="3">
        <v>0</v>
      </c>
      <c r="I230" s="3">
        <v>2</v>
      </c>
      <c r="J230" s="3">
        <v>17</v>
      </c>
      <c r="K230" s="3">
        <v>0</v>
      </c>
      <c r="L230" s="3">
        <v>0</v>
      </c>
      <c r="M230" s="3">
        <v>0</v>
      </c>
      <c r="N230" s="3" t="s">
        <v>868</v>
      </c>
      <c r="O230" s="3">
        <v>0</v>
      </c>
      <c r="P230" s="3">
        <v>0</v>
      </c>
      <c r="Q230" s="3">
        <v>0</v>
      </c>
      <c r="R230" s="3">
        <v>0</v>
      </c>
      <c r="S230" s="3">
        <v>2</v>
      </c>
      <c r="T230" s="3">
        <v>3</v>
      </c>
      <c r="U230" s="3">
        <v>4</v>
      </c>
      <c r="V230" s="3">
        <v>7</v>
      </c>
      <c r="W230" s="3"/>
      <c r="X230" s="3">
        <v>22.99</v>
      </c>
      <c r="Y230" s="3">
        <v>22.99</v>
      </c>
      <c r="Z230" s="3">
        <v>22.99</v>
      </c>
      <c r="AA230" s="3">
        <v>0</v>
      </c>
      <c r="AB230" s="3" t="s">
        <v>869</v>
      </c>
      <c r="AC230" s="3">
        <v>19</v>
      </c>
      <c r="AD230" s="3">
        <v>22.98</v>
      </c>
      <c r="AE230" s="3">
        <v>0</v>
      </c>
      <c r="AF230" s="3">
        <v>0</v>
      </c>
      <c r="AG230" s="3">
        <v>0</v>
      </c>
      <c r="AH230" s="3">
        <v>0.318181818181818</v>
      </c>
      <c r="AI230" s="3">
        <v>2.772119</v>
      </c>
      <c r="AJ230" s="3" t="s">
        <v>870</v>
      </c>
    </row>
    <row r="231" spans="1:36">
      <c r="A231" s="5">
        <v>43336</v>
      </c>
      <c r="B231" s="3" t="s">
        <v>1409</v>
      </c>
      <c r="C231" s="3" t="s">
        <v>1410</v>
      </c>
      <c r="D231" s="3" t="s">
        <v>1411</v>
      </c>
      <c r="E231" s="3" t="s">
        <v>1412</v>
      </c>
      <c r="F231" s="3" t="s">
        <v>867</v>
      </c>
      <c r="G231" s="3">
        <v>3</v>
      </c>
      <c r="H231" s="3">
        <v>0</v>
      </c>
      <c r="I231" s="3">
        <v>3</v>
      </c>
      <c r="J231" s="3">
        <v>0</v>
      </c>
      <c r="K231" s="3">
        <v>0</v>
      </c>
      <c r="L231" s="3">
        <v>0</v>
      </c>
      <c r="M231" s="3">
        <v>0</v>
      </c>
      <c r="N231" s="3" t="s">
        <v>868</v>
      </c>
      <c r="O231" s="3">
        <v>0</v>
      </c>
      <c r="P231" s="3">
        <v>0</v>
      </c>
      <c r="Q231" s="3">
        <v>0</v>
      </c>
      <c r="R231" s="3">
        <v>0</v>
      </c>
      <c r="S231" s="3">
        <v>2</v>
      </c>
      <c r="T231" s="3">
        <v>2</v>
      </c>
      <c r="U231" s="3">
        <v>2</v>
      </c>
      <c r="V231" s="3">
        <v>2</v>
      </c>
      <c r="W231" s="3"/>
      <c r="X231" s="3">
        <v>26.98</v>
      </c>
      <c r="Y231" s="3">
        <v>26.98</v>
      </c>
      <c r="Z231" s="3">
        <v>26.98</v>
      </c>
      <c r="AA231" s="3">
        <v>0</v>
      </c>
      <c r="AB231" s="3" t="s">
        <v>869</v>
      </c>
      <c r="AC231" s="3">
        <v>3</v>
      </c>
      <c r="AD231" s="3">
        <v>26.98</v>
      </c>
      <c r="AE231" s="3">
        <v>0</v>
      </c>
      <c r="AF231" s="3">
        <v>0</v>
      </c>
      <c r="AG231" s="3">
        <v>0</v>
      </c>
      <c r="AH231" s="3">
        <v>2.4</v>
      </c>
      <c r="AI231" s="3">
        <v>0.396978</v>
      </c>
      <c r="AJ231" s="3" t="s">
        <v>870</v>
      </c>
    </row>
    <row r="232" spans="1:36">
      <c r="A232" s="5">
        <v>43336</v>
      </c>
      <c r="B232" s="3" t="s">
        <v>1413</v>
      </c>
      <c r="C232" s="3" t="s">
        <v>1414</v>
      </c>
      <c r="D232" s="3" t="s">
        <v>1414</v>
      </c>
      <c r="E232" s="3" t="s">
        <v>1415</v>
      </c>
      <c r="F232" s="3" t="s">
        <v>867</v>
      </c>
      <c r="G232" s="3">
        <v>1</v>
      </c>
      <c r="H232" s="3">
        <v>0</v>
      </c>
      <c r="I232" s="3">
        <v>1</v>
      </c>
      <c r="J232" s="3">
        <v>0</v>
      </c>
      <c r="K232" s="3">
        <v>0</v>
      </c>
      <c r="L232" s="3">
        <v>0</v>
      </c>
      <c r="M232" s="3">
        <v>0</v>
      </c>
      <c r="N232" s="3" t="s">
        <v>868</v>
      </c>
      <c r="O232" s="3">
        <v>0</v>
      </c>
      <c r="P232" s="3">
        <v>0</v>
      </c>
      <c r="Q232" s="3">
        <v>0</v>
      </c>
      <c r="R232" s="3">
        <v>0</v>
      </c>
      <c r="S232" s="3">
        <v>1</v>
      </c>
      <c r="T232" s="3">
        <v>5</v>
      </c>
      <c r="U232" s="3">
        <v>8</v>
      </c>
      <c r="V232" s="3">
        <v>10</v>
      </c>
      <c r="W232" s="3"/>
      <c r="X232" s="3">
        <v>22.99</v>
      </c>
      <c r="Y232" s="3">
        <v>22.99</v>
      </c>
      <c r="Z232" s="3">
        <v>22.99</v>
      </c>
      <c r="AA232" s="3">
        <v>0</v>
      </c>
      <c r="AB232" s="3" t="s">
        <v>869</v>
      </c>
      <c r="AC232" s="3">
        <v>1</v>
      </c>
      <c r="AD232" s="3">
        <v>22.98</v>
      </c>
      <c r="AE232" s="3">
        <v>0</v>
      </c>
      <c r="AF232" s="3">
        <v>0</v>
      </c>
      <c r="AG232" s="3">
        <v>0</v>
      </c>
      <c r="AH232" s="3">
        <v>0.493827160493827</v>
      </c>
      <c r="AI232" s="3">
        <v>0.162512</v>
      </c>
      <c r="AJ232" s="3" t="s">
        <v>870</v>
      </c>
    </row>
    <row r="233" spans="1:36">
      <c r="A233" s="5">
        <v>43336</v>
      </c>
      <c r="B233" s="3" t="s">
        <v>1416</v>
      </c>
      <c r="C233" s="3" t="s">
        <v>1417</v>
      </c>
      <c r="D233" s="3" t="s">
        <v>1417</v>
      </c>
      <c r="E233" s="3" t="s">
        <v>1418</v>
      </c>
      <c r="F233" s="3" t="s">
        <v>867</v>
      </c>
      <c r="G233" s="3">
        <v>1</v>
      </c>
      <c r="H233" s="3">
        <v>0</v>
      </c>
      <c r="I233" s="3">
        <v>0</v>
      </c>
      <c r="J233" s="3">
        <v>1</v>
      </c>
      <c r="K233" s="3">
        <v>0</v>
      </c>
      <c r="L233" s="3">
        <v>0</v>
      </c>
      <c r="M233" s="3">
        <v>0</v>
      </c>
      <c r="N233" s="3" t="s">
        <v>868</v>
      </c>
      <c r="O233" s="3">
        <v>0</v>
      </c>
      <c r="P233" s="3">
        <v>0</v>
      </c>
      <c r="Q233" s="3">
        <v>0</v>
      </c>
      <c r="R233" s="3">
        <v>0</v>
      </c>
      <c r="S233" s="3">
        <v>1</v>
      </c>
      <c r="T233" s="3">
        <v>3</v>
      </c>
      <c r="U233" s="3">
        <v>3</v>
      </c>
      <c r="V233" s="3">
        <v>5</v>
      </c>
      <c r="W233" s="3"/>
      <c r="X233" s="3">
        <v>22.98</v>
      </c>
      <c r="Y233" s="3">
        <v>22.98</v>
      </c>
      <c r="Z233" s="3">
        <v>22.98</v>
      </c>
      <c r="AA233" s="3">
        <v>0</v>
      </c>
      <c r="AB233" s="3" t="s">
        <v>869</v>
      </c>
      <c r="AC233" s="3">
        <v>1</v>
      </c>
      <c r="AD233" s="3">
        <v>22.98</v>
      </c>
      <c r="AE233" s="3">
        <v>0</v>
      </c>
      <c r="AF233" s="3">
        <v>0</v>
      </c>
      <c r="AG233" s="3">
        <v>0</v>
      </c>
      <c r="AH233" s="3">
        <v>1.25</v>
      </c>
      <c r="AI233" s="3">
        <v>0.138102</v>
      </c>
      <c r="AJ233" s="3" t="s">
        <v>870</v>
      </c>
    </row>
    <row r="234" spans="1:36">
      <c r="A234" s="5">
        <v>43336</v>
      </c>
      <c r="B234" s="3" t="s">
        <v>1419</v>
      </c>
      <c r="C234" s="3" t="s">
        <v>1420</v>
      </c>
      <c r="D234" s="3" t="s">
        <v>1420</v>
      </c>
      <c r="E234" s="3" t="s">
        <v>1421</v>
      </c>
      <c r="F234" s="3" t="s">
        <v>867</v>
      </c>
      <c r="G234" s="3">
        <v>1</v>
      </c>
      <c r="H234" s="3">
        <v>0</v>
      </c>
      <c r="I234" s="3">
        <v>0</v>
      </c>
      <c r="J234" s="3">
        <v>1</v>
      </c>
      <c r="K234" s="3">
        <v>0</v>
      </c>
      <c r="L234" s="3">
        <v>0</v>
      </c>
      <c r="M234" s="3">
        <v>0</v>
      </c>
      <c r="N234" s="3" t="s">
        <v>868</v>
      </c>
      <c r="O234" s="3">
        <v>0</v>
      </c>
      <c r="P234" s="3">
        <v>0</v>
      </c>
      <c r="Q234" s="3">
        <v>0</v>
      </c>
      <c r="R234" s="3">
        <v>0</v>
      </c>
      <c r="S234" s="3">
        <v>1</v>
      </c>
      <c r="T234" s="3">
        <v>4</v>
      </c>
      <c r="U234" s="3">
        <v>14</v>
      </c>
      <c r="V234" s="3">
        <v>18</v>
      </c>
      <c r="W234" s="3"/>
      <c r="X234" s="3">
        <v>22.99</v>
      </c>
      <c r="Y234" s="3">
        <v>22.99</v>
      </c>
      <c r="Z234" s="3">
        <v>22.99</v>
      </c>
      <c r="AA234" s="3">
        <v>0</v>
      </c>
      <c r="AB234" s="3" t="s">
        <v>869</v>
      </c>
      <c r="AC234" s="3">
        <v>0</v>
      </c>
      <c r="AD234" s="3">
        <v>0</v>
      </c>
      <c r="AE234" s="3">
        <v>0</v>
      </c>
      <c r="AF234" s="3">
        <v>0</v>
      </c>
      <c r="AG234" s="3">
        <v>0</v>
      </c>
      <c r="AH234" s="3">
        <v>0.371134020618556</v>
      </c>
      <c r="AI234" s="3">
        <v>0.166277</v>
      </c>
      <c r="AJ234" s="3" t="s">
        <v>870</v>
      </c>
    </row>
    <row r="235" spans="1:36">
      <c r="A235" s="5">
        <v>43336</v>
      </c>
      <c r="B235" s="3" t="s">
        <v>1422</v>
      </c>
      <c r="C235" s="3" t="s">
        <v>1423</v>
      </c>
      <c r="D235" s="3" t="s">
        <v>1423</v>
      </c>
      <c r="E235" s="3" t="s">
        <v>1424</v>
      </c>
      <c r="F235" s="3" t="s">
        <v>867</v>
      </c>
      <c r="G235" s="3">
        <v>1</v>
      </c>
      <c r="H235" s="3">
        <v>0</v>
      </c>
      <c r="I235" s="3">
        <v>1</v>
      </c>
      <c r="J235" s="3">
        <v>0</v>
      </c>
      <c r="K235" s="3">
        <v>0</v>
      </c>
      <c r="L235" s="3">
        <v>0</v>
      </c>
      <c r="M235" s="3">
        <v>0</v>
      </c>
      <c r="N235" s="3" t="s">
        <v>868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1</v>
      </c>
      <c r="W235" s="3"/>
      <c r="X235" s="3"/>
      <c r="Y235" s="3"/>
      <c r="Z235" s="3">
        <v>-1</v>
      </c>
      <c r="AA235" s="3">
        <v>-1</v>
      </c>
      <c r="AB235" s="3" t="s">
        <v>891</v>
      </c>
      <c r="AC235" s="3">
        <v>1</v>
      </c>
      <c r="AD235" s="3">
        <v>23.98</v>
      </c>
      <c r="AE235" s="3">
        <v>0</v>
      </c>
      <c r="AF235" s="3">
        <v>0</v>
      </c>
      <c r="AG235" s="3">
        <v>0</v>
      </c>
      <c r="AH235" s="3">
        <v>1</v>
      </c>
      <c r="AI235" s="3">
        <v>0.088233</v>
      </c>
      <c r="AJ235" s="3" t="s">
        <v>870</v>
      </c>
    </row>
    <row r="236" spans="1:36">
      <c r="A236" s="5">
        <v>43336</v>
      </c>
      <c r="B236" s="3" t="s">
        <v>1425</v>
      </c>
      <c r="C236" s="3" t="s">
        <v>1426</v>
      </c>
      <c r="D236" s="3" t="s">
        <v>1427</v>
      </c>
      <c r="E236" s="3" t="s">
        <v>1428</v>
      </c>
      <c r="F236" s="3" t="s">
        <v>867</v>
      </c>
      <c r="G236" s="3">
        <v>7</v>
      </c>
      <c r="H236" s="3">
        <v>0</v>
      </c>
      <c r="I236" s="3">
        <v>7</v>
      </c>
      <c r="J236" s="3">
        <v>0</v>
      </c>
      <c r="K236" s="3">
        <v>0</v>
      </c>
      <c r="L236" s="3">
        <v>0</v>
      </c>
      <c r="M236" s="3">
        <v>0</v>
      </c>
      <c r="N236" s="3" t="s">
        <v>868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871</v>
      </c>
      <c r="X236" s="3">
        <v>27.98</v>
      </c>
      <c r="Y236" s="3">
        <v>27.98</v>
      </c>
      <c r="Z236" s="3">
        <v>27.98</v>
      </c>
      <c r="AA236" s="3">
        <v>0</v>
      </c>
      <c r="AB236" s="3" t="s">
        <v>869</v>
      </c>
      <c r="AC236" s="3">
        <v>7</v>
      </c>
      <c r="AD236" s="3">
        <v>27.98</v>
      </c>
      <c r="AE236" s="3">
        <v>0</v>
      </c>
      <c r="AF236" s="3">
        <v>0</v>
      </c>
      <c r="AG236" s="3">
        <v>0</v>
      </c>
      <c r="AH236" s="3">
        <v>0.588235294117647</v>
      </c>
      <c r="AI236" s="3">
        <v>1.18349</v>
      </c>
      <c r="AJ236" s="3" t="s">
        <v>870</v>
      </c>
    </row>
    <row r="237" spans="1:36">
      <c r="A237" s="5">
        <v>43336</v>
      </c>
      <c r="B237" s="3" t="s">
        <v>661</v>
      </c>
      <c r="C237" s="3" t="s">
        <v>662</v>
      </c>
      <c r="D237" s="3" t="s">
        <v>663</v>
      </c>
      <c r="E237" s="3" t="s">
        <v>664</v>
      </c>
      <c r="F237" s="3" t="s">
        <v>867</v>
      </c>
      <c r="G237" s="3">
        <v>4</v>
      </c>
      <c r="H237" s="3">
        <v>0</v>
      </c>
      <c r="I237" s="3">
        <v>4</v>
      </c>
      <c r="J237" s="3">
        <v>0</v>
      </c>
      <c r="K237" s="3">
        <v>0</v>
      </c>
      <c r="L237" s="3">
        <v>0</v>
      </c>
      <c r="M237" s="3">
        <v>0</v>
      </c>
      <c r="N237" s="3" t="s">
        <v>868</v>
      </c>
      <c r="O237" s="3">
        <v>0</v>
      </c>
      <c r="P237" s="3">
        <v>0</v>
      </c>
      <c r="Q237" s="3">
        <v>0</v>
      </c>
      <c r="R237" s="3">
        <v>0</v>
      </c>
      <c r="S237" s="3">
        <v>1</v>
      </c>
      <c r="T237" s="3">
        <v>1</v>
      </c>
      <c r="U237" s="3">
        <v>1</v>
      </c>
      <c r="V237" s="3">
        <v>1</v>
      </c>
      <c r="W237" s="3"/>
      <c r="X237" s="3">
        <v>22.98</v>
      </c>
      <c r="Y237" s="3">
        <v>22.98</v>
      </c>
      <c r="Z237" s="3">
        <v>22.98</v>
      </c>
      <c r="AA237" s="3">
        <v>0</v>
      </c>
      <c r="AB237" s="3" t="s">
        <v>883</v>
      </c>
      <c r="AC237" s="3">
        <v>0</v>
      </c>
      <c r="AD237" s="3">
        <v>18.38</v>
      </c>
      <c r="AE237" s="3">
        <v>63</v>
      </c>
      <c r="AF237" s="3">
        <v>0</v>
      </c>
      <c r="AG237" s="3">
        <v>80.183597</v>
      </c>
      <c r="AH237" s="3">
        <v>2.28571428571428</v>
      </c>
      <c r="AI237" s="3">
        <v>0.47018</v>
      </c>
      <c r="AJ237" s="3" t="s">
        <v>870</v>
      </c>
    </row>
    <row r="238" spans="1:36">
      <c r="A238" s="5">
        <v>43336</v>
      </c>
      <c r="B238" s="3" t="s">
        <v>398</v>
      </c>
      <c r="C238" s="3" t="s">
        <v>15</v>
      </c>
      <c r="D238" s="3" t="s">
        <v>15</v>
      </c>
      <c r="E238" s="3" t="s">
        <v>16</v>
      </c>
      <c r="F238" s="3" t="s">
        <v>867</v>
      </c>
      <c r="G238" s="3">
        <v>17</v>
      </c>
      <c r="H238" s="3">
        <v>0</v>
      </c>
      <c r="I238" s="3">
        <v>0</v>
      </c>
      <c r="J238" s="3">
        <v>17</v>
      </c>
      <c r="K238" s="3">
        <v>0</v>
      </c>
      <c r="L238" s="3">
        <v>0</v>
      </c>
      <c r="M238" s="3">
        <v>0</v>
      </c>
      <c r="N238" s="3" t="s">
        <v>868</v>
      </c>
      <c r="O238" s="3">
        <v>0</v>
      </c>
      <c r="P238" s="3">
        <v>0</v>
      </c>
      <c r="Q238" s="3">
        <v>0</v>
      </c>
      <c r="R238" s="3">
        <v>0</v>
      </c>
      <c r="S238" s="3">
        <v>4</v>
      </c>
      <c r="T238" s="3">
        <v>10</v>
      </c>
      <c r="U238" s="3">
        <v>16</v>
      </c>
      <c r="V238" s="3">
        <v>21</v>
      </c>
      <c r="W238" s="3"/>
      <c r="X238" s="3">
        <v>22.99</v>
      </c>
      <c r="Y238" s="3">
        <v>22.99</v>
      </c>
      <c r="Z238" s="3">
        <v>22.99</v>
      </c>
      <c r="AA238" s="3">
        <v>0</v>
      </c>
      <c r="AB238" s="3" t="s">
        <v>869</v>
      </c>
      <c r="AC238" s="3">
        <v>19</v>
      </c>
      <c r="AD238" s="3">
        <v>22.98</v>
      </c>
      <c r="AE238" s="3">
        <v>0</v>
      </c>
      <c r="AF238" s="3">
        <v>0</v>
      </c>
      <c r="AG238" s="3">
        <v>0</v>
      </c>
      <c r="AH238" s="3">
        <v>0.730434782608695</v>
      </c>
      <c r="AI238" s="3">
        <v>1.884603</v>
      </c>
      <c r="AJ238" s="3" t="s">
        <v>870</v>
      </c>
    </row>
    <row r="239" spans="1:36">
      <c r="A239" s="5">
        <v>43336</v>
      </c>
      <c r="B239" s="3" t="s">
        <v>1429</v>
      </c>
      <c r="C239" s="3" t="s">
        <v>1430</v>
      </c>
      <c r="D239" s="3" t="s">
        <v>1430</v>
      </c>
      <c r="E239" s="3" t="s">
        <v>1431</v>
      </c>
      <c r="F239" s="3" t="s">
        <v>867</v>
      </c>
      <c r="G239" s="3">
        <v>6</v>
      </c>
      <c r="H239" s="3">
        <v>0</v>
      </c>
      <c r="I239" s="3">
        <v>6</v>
      </c>
      <c r="J239" s="3">
        <v>0</v>
      </c>
      <c r="K239" s="3">
        <v>0</v>
      </c>
      <c r="L239" s="3">
        <v>0</v>
      </c>
      <c r="M239" s="3">
        <v>0</v>
      </c>
      <c r="N239" s="3" t="s">
        <v>868</v>
      </c>
      <c r="O239" s="3">
        <v>0</v>
      </c>
      <c r="P239" s="3">
        <v>0</v>
      </c>
      <c r="Q239" s="3">
        <v>0</v>
      </c>
      <c r="R239" s="3">
        <v>0</v>
      </c>
      <c r="S239" s="3">
        <v>1</v>
      </c>
      <c r="T239" s="3">
        <v>1</v>
      </c>
      <c r="U239" s="3">
        <v>2</v>
      </c>
      <c r="V239" s="3">
        <v>2</v>
      </c>
      <c r="W239" s="3"/>
      <c r="X239" s="3">
        <v>27.98</v>
      </c>
      <c r="Y239" s="3">
        <v>27.98</v>
      </c>
      <c r="Z239" s="3">
        <v>27.98</v>
      </c>
      <c r="AA239" s="3">
        <v>0</v>
      </c>
      <c r="AB239" s="3" t="s">
        <v>883</v>
      </c>
      <c r="AC239" s="3">
        <v>5</v>
      </c>
      <c r="AD239" s="3">
        <v>26.55</v>
      </c>
      <c r="AE239" s="3">
        <v>7</v>
      </c>
      <c r="AF239" s="3">
        <v>0</v>
      </c>
      <c r="AG239" s="3">
        <v>213.614107</v>
      </c>
      <c r="AH239" s="3">
        <v>0.285714285714285</v>
      </c>
      <c r="AI239" s="3">
        <v>1.01441999999999</v>
      </c>
      <c r="AJ239" s="3" t="s">
        <v>870</v>
      </c>
    </row>
    <row r="240" spans="1:36">
      <c r="A240" s="5">
        <v>43336</v>
      </c>
      <c r="B240" s="3" t="s">
        <v>1432</v>
      </c>
      <c r="C240" s="3" t="s">
        <v>1433</v>
      </c>
      <c r="D240" s="3" t="s">
        <v>1433</v>
      </c>
      <c r="E240" s="3" t="s">
        <v>1434</v>
      </c>
      <c r="F240" s="3" t="s">
        <v>867</v>
      </c>
      <c r="G240" s="3">
        <v>24</v>
      </c>
      <c r="H240" s="3">
        <v>0</v>
      </c>
      <c r="I240" s="3">
        <v>4</v>
      </c>
      <c r="J240" s="3">
        <v>20</v>
      </c>
      <c r="K240" s="3">
        <v>0</v>
      </c>
      <c r="L240" s="3">
        <v>0</v>
      </c>
      <c r="M240" s="3">
        <v>0</v>
      </c>
      <c r="N240" s="3" t="s">
        <v>868</v>
      </c>
      <c r="O240" s="3">
        <v>0</v>
      </c>
      <c r="P240" s="3">
        <v>0</v>
      </c>
      <c r="Q240" s="3">
        <v>0</v>
      </c>
      <c r="R240" s="3">
        <v>0</v>
      </c>
      <c r="S240" s="3">
        <v>3</v>
      </c>
      <c r="T240" s="3">
        <v>5</v>
      </c>
      <c r="U240" s="3">
        <v>6</v>
      </c>
      <c r="V240" s="3">
        <v>14</v>
      </c>
      <c r="W240" s="3"/>
      <c r="X240" s="3">
        <v>22.98</v>
      </c>
      <c r="Y240" s="3">
        <v>22.98</v>
      </c>
      <c r="Z240" s="3">
        <v>22.98</v>
      </c>
      <c r="AA240" s="3">
        <v>0</v>
      </c>
      <c r="AB240" s="3" t="s">
        <v>883</v>
      </c>
      <c r="AC240" s="3">
        <v>15</v>
      </c>
      <c r="AD240" s="3">
        <v>20.72</v>
      </c>
      <c r="AE240" s="3">
        <v>168</v>
      </c>
      <c r="AF240" s="3">
        <v>0</v>
      </c>
      <c r="AG240" s="3">
        <v>3.215262</v>
      </c>
      <c r="AH240" s="3">
        <v>0.47457627118644</v>
      </c>
      <c r="AI240" s="3">
        <v>3.314448</v>
      </c>
      <c r="AJ240" s="3" t="s">
        <v>870</v>
      </c>
    </row>
    <row r="241" spans="1:36">
      <c r="A241" s="5">
        <v>43336</v>
      </c>
      <c r="B241" s="3" t="s">
        <v>1435</v>
      </c>
      <c r="C241" s="3" t="s">
        <v>1436</v>
      </c>
      <c r="D241" s="3" t="s">
        <v>1436</v>
      </c>
      <c r="E241" s="3" t="s">
        <v>1437</v>
      </c>
      <c r="F241" s="3" t="s">
        <v>867</v>
      </c>
      <c r="G241" s="3">
        <v>2</v>
      </c>
      <c r="H241" s="3">
        <v>0</v>
      </c>
      <c r="I241" s="3">
        <v>0</v>
      </c>
      <c r="J241" s="3">
        <v>0</v>
      </c>
      <c r="K241" s="3">
        <v>0</v>
      </c>
      <c r="L241" s="3">
        <v>2</v>
      </c>
      <c r="M241" s="3">
        <v>0</v>
      </c>
      <c r="N241" s="3" t="s">
        <v>868</v>
      </c>
      <c r="O241" s="3">
        <v>2</v>
      </c>
      <c r="P241" s="3">
        <v>0.38</v>
      </c>
      <c r="Q241" s="3">
        <v>0</v>
      </c>
      <c r="R241" s="3">
        <v>0</v>
      </c>
      <c r="S241" s="3">
        <v>1</v>
      </c>
      <c r="T241" s="3">
        <v>1</v>
      </c>
      <c r="U241" s="3">
        <v>1</v>
      </c>
      <c r="V241" s="3">
        <v>1</v>
      </c>
      <c r="W241" s="3" t="s">
        <v>936</v>
      </c>
      <c r="X241" s="3">
        <v>15</v>
      </c>
      <c r="Y241" s="3">
        <v>15</v>
      </c>
      <c r="Z241" s="3">
        <v>15</v>
      </c>
      <c r="AA241" s="3">
        <v>0</v>
      </c>
      <c r="AB241" s="3" t="s">
        <v>883</v>
      </c>
      <c r="AC241" s="3">
        <v>0</v>
      </c>
      <c r="AD241" s="3">
        <v>12</v>
      </c>
      <c r="AE241" s="3">
        <v>63</v>
      </c>
      <c r="AF241" s="3">
        <v>0</v>
      </c>
      <c r="AG241" s="3">
        <v>20.854231</v>
      </c>
      <c r="AH241" s="3">
        <v>0.363636363636363</v>
      </c>
      <c r="AI241" s="3">
        <v>0.111112</v>
      </c>
      <c r="AJ241" s="3" t="s">
        <v>898</v>
      </c>
    </row>
    <row r="242" spans="1:36">
      <c r="A242" s="5">
        <v>43336</v>
      </c>
      <c r="B242" s="3" t="s">
        <v>1438</v>
      </c>
      <c r="C242" s="3" t="s">
        <v>1439</v>
      </c>
      <c r="D242" s="3" t="s">
        <v>1439</v>
      </c>
      <c r="E242" s="3" t="s">
        <v>1440</v>
      </c>
      <c r="F242" s="3" t="s">
        <v>867</v>
      </c>
      <c r="G242" s="3">
        <v>22</v>
      </c>
      <c r="H242" s="3">
        <v>0</v>
      </c>
      <c r="I242" s="3">
        <v>13</v>
      </c>
      <c r="J242" s="3">
        <v>9</v>
      </c>
      <c r="K242" s="3">
        <v>0</v>
      </c>
      <c r="L242" s="3">
        <v>0</v>
      </c>
      <c r="M242" s="3">
        <v>0</v>
      </c>
      <c r="N242" s="3" t="s">
        <v>868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1</v>
      </c>
      <c r="U242" s="3">
        <v>3</v>
      </c>
      <c r="V242" s="3">
        <v>3</v>
      </c>
      <c r="W242" s="3"/>
      <c r="X242" s="3">
        <v>22.98</v>
      </c>
      <c r="Y242" s="3">
        <v>22.98</v>
      </c>
      <c r="Z242" s="3">
        <v>22.98</v>
      </c>
      <c r="AA242" s="3">
        <v>0</v>
      </c>
      <c r="AB242" s="3" t="s">
        <v>869</v>
      </c>
      <c r="AC242" s="3">
        <v>22</v>
      </c>
      <c r="AD242" s="3">
        <v>22.98</v>
      </c>
      <c r="AE242" s="3">
        <v>0</v>
      </c>
      <c r="AF242" s="3">
        <v>0</v>
      </c>
      <c r="AG242" s="3">
        <v>0</v>
      </c>
      <c r="AH242" s="3">
        <v>0.146341463414634</v>
      </c>
      <c r="AI242" s="3">
        <v>1.83838599999999</v>
      </c>
      <c r="AJ242" s="3" t="s">
        <v>870</v>
      </c>
    </row>
    <row r="243" spans="1:36">
      <c r="A243" s="5">
        <v>43336</v>
      </c>
      <c r="B243" s="3" t="s">
        <v>1441</v>
      </c>
      <c r="C243" s="3" t="s">
        <v>1442</v>
      </c>
      <c r="D243" s="3" t="s">
        <v>1443</v>
      </c>
      <c r="E243" s="3" t="s">
        <v>1132</v>
      </c>
      <c r="F243" s="3" t="s">
        <v>867</v>
      </c>
      <c r="G243" s="3">
        <v>2</v>
      </c>
      <c r="H243" s="3">
        <v>0</v>
      </c>
      <c r="I243" s="3">
        <v>2</v>
      </c>
      <c r="J243" s="3">
        <v>0</v>
      </c>
      <c r="K243" s="3">
        <v>0</v>
      </c>
      <c r="L243" s="3">
        <v>0</v>
      </c>
      <c r="M243" s="3">
        <v>0</v>
      </c>
      <c r="N243" s="3" t="s">
        <v>868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18</v>
      </c>
      <c r="U243" s="3">
        <v>23</v>
      </c>
      <c r="V243" s="3">
        <v>23</v>
      </c>
      <c r="W243" s="3"/>
      <c r="X243" s="3">
        <v>39.98</v>
      </c>
      <c r="Y243" s="3">
        <v>22.98</v>
      </c>
      <c r="Z243" s="3">
        <v>22.98</v>
      </c>
      <c r="AA243" s="3">
        <v>0</v>
      </c>
      <c r="AB243" s="3" t="s">
        <v>869</v>
      </c>
      <c r="AC243" s="3">
        <v>2</v>
      </c>
      <c r="AD243" s="3">
        <v>22.98</v>
      </c>
      <c r="AE243" s="3">
        <v>0</v>
      </c>
      <c r="AF243" s="3">
        <v>0</v>
      </c>
      <c r="AG243" s="3">
        <v>0</v>
      </c>
      <c r="AH243" s="3">
        <v>5.75</v>
      </c>
      <c r="AI243" s="3">
        <v>0.091058</v>
      </c>
      <c r="AJ243" s="3" t="s">
        <v>870</v>
      </c>
    </row>
    <row r="244" spans="1:36">
      <c r="A244" s="5">
        <v>43336</v>
      </c>
      <c r="B244" s="3" t="s">
        <v>48</v>
      </c>
      <c r="C244" s="3" t="s">
        <v>49</v>
      </c>
      <c r="D244" s="3" t="s">
        <v>50</v>
      </c>
      <c r="E244" s="3" t="s">
        <v>51</v>
      </c>
      <c r="F244" s="3" t="s">
        <v>867</v>
      </c>
      <c r="G244" s="3">
        <v>21</v>
      </c>
      <c r="H244" s="3">
        <v>0</v>
      </c>
      <c r="I244" s="3">
        <v>21</v>
      </c>
      <c r="J244" s="3">
        <v>0</v>
      </c>
      <c r="K244" s="3">
        <v>0</v>
      </c>
      <c r="L244" s="3">
        <v>0</v>
      </c>
      <c r="M244" s="3">
        <v>0</v>
      </c>
      <c r="N244" s="3" t="s">
        <v>868</v>
      </c>
      <c r="O244" s="3">
        <v>0</v>
      </c>
      <c r="P244" s="3">
        <v>0</v>
      </c>
      <c r="Q244" s="3">
        <v>0</v>
      </c>
      <c r="R244" s="3">
        <v>0</v>
      </c>
      <c r="S244" s="3">
        <v>8</v>
      </c>
      <c r="T244" s="3">
        <v>33</v>
      </c>
      <c r="U244" s="3">
        <v>51</v>
      </c>
      <c r="V244" s="3">
        <v>51</v>
      </c>
      <c r="W244" s="3"/>
      <c r="X244" s="3">
        <v>22.98</v>
      </c>
      <c r="Y244" s="3">
        <v>22.98</v>
      </c>
      <c r="Z244" s="3">
        <v>22.98</v>
      </c>
      <c r="AA244" s="3">
        <v>0</v>
      </c>
      <c r="AB244" s="3" t="s">
        <v>869</v>
      </c>
      <c r="AC244" s="3">
        <v>22</v>
      </c>
      <c r="AD244" s="3">
        <v>22.98</v>
      </c>
      <c r="AE244" s="3">
        <v>0</v>
      </c>
      <c r="AF244" s="3">
        <v>0</v>
      </c>
      <c r="AG244" s="3">
        <v>0</v>
      </c>
      <c r="AH244" s="3">
        <v>5.44827586206896</v>
      </c>
      <c r="AI244" s="3">
        <v>1.401225</v>
      </c>
      <c r="AJ244" s="3" t="s">
        <v>870</v>
      </c>
    </row>
    <row r="245" spans="1:36">
      <c r="A245" s="5">
        <v>43336</v>
      </c>
      <c r="B245" s="3" t="s">
        <v>1444</v>
      </c>
      <c r="C245" s="3" t="s">
        <v>1445</v>
      </c>
      <c r="D245" s="3" t="s">
        <v>1446</v>
      </c>
      <c r="E245" s="3" t="s">
        <v>1447</v>
      </c>
      <c r="F245" s="3" t="s">
        <v>867</v>
      </c>
      <c r="G245" s="3">
        <v>6</v>
      </c>
      <c r="H245" s="3">
        <v>0</v>
      </c>
      <c r="I245" s="3">
        <v>6</v>
      </c>
      <c r="J245" s="3">
        <v>0</v>
      </c>
      <c r="K245" s="3">
        <v>0</v>
      </c>
      <c r="L245" s="3">
        <v>0</v>
      </c>
      <c r="M245" s="3">
        <v>0</v>
      </c>
      <c r="N245" s="3" t="s">
        <v>868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 t="s">
        <v>936</v>
      </c>
      <c r="X245" s="3">
        <v>22.99</v>
      </c>
      <c r="Y245" s="3">
        <v>22.99</v>
      </c>
      <c r="Z245" s="3">
        <v>22.99</v>
      </c>
      <c r="AA245" s="3">
        <v>0</v>
      </c>
      <c r="AB245" s="3" t="s">
        <v>937</v>
      </c>
      <c r="AC245" s="3">
        <v>6</v>
      </c>
      <c r="AD245" s="3">
        <v>22.99</v>
      </c>
      <c r="AE245" s="3">
        <v>0</v>
      </c>
      <c r="AF245" s="3">
        <v>0</v>
      </c>
      <c r="AG245" s="3">
        <v>0</v>
      </c>
      <c r="AH245" s="3">
        <v>0</v>
      </c>
      <c r="AI245" s="3">
        <v>0.859374</v>
      </c>
      <c r="AJ245" s="3" t="s">
        <v>925</v>
      </c>
    </row>
    <row r="246" spans="1:36">
      <c r="A246" s="5">
        <v>43336</v>
      </c>
      <c r="B246" s="3" t="s">
        <v>1448</v>
      </c>
      <c r="C246" s="3" t="s">
        <v>1449</v>
      </c>
      <c r="D246" s="3" t="s">
        <v>1449</v>
      </c>
      <c r="E246" s="3" t="s">
        <v>1450</v>
      </c>
      <c r="F246" s="3" t="s">
        <v>867</v>
      </c>
      <c r="G246" s="3">
        <v>7</v>
      </c>
      <c r="H246" s="3">
        <v>0</v>
      </c>
      <c r="I246" s="3">
        <v>1</v>
      </c>
      <c r="J246" s="3">
        <v>3</v>
      </c>
      <c r="K246" s="3">
        <v>3</v>
      </c>
      <c r="L246" s="3">
        <v>0</v>
      </c>
      <c r="M246" s="3">
        <v>0</v>
      </c>
      <c r="N246" s="3" t="s">
        <v>868</v>
      </c>
      <c r="O246" s="3">
        <v>3</v>
      </c>
      <c r="P246" s="3">
        <v>1.43</v>
      </c>
      <c r="Q246" s="3">
        <v>0</v>
      </c>
      <c r="R246" s="3">
        <v>0</v>
      </c>
      <c r="S246" s="3">
        <v>2</v>
      </c>
      <c r="T246" s="3">
        <v>3</v>
      </c>
      <c r="U246" s="3">
        <v>4</v>
      </c>
      <c r="V246" s="3">
        <v>4</v>
      </c>
      <c r="W246" s="3" t="s">
        <v>871</v>
      </c>
      <c r="X246" s="3">
        <v>22.98</v>
      </c>
      <c r="Y246" s="3">
        <v>22.98</v>
      </c>
      <c r="Z246" s="3">
        <v>22.98</v>
      </c>
      <c r="AA246" s="3">
        <v>0</v>
      </c>
      <c r="AB246" s="3" t="s">
        <v>883</v>
      </c>
      <c r="AC246" s="3">
        <v>0</v>
      </c>
      <c r="AD246" s="3">
        <v>20.4</v>
      </c>
      <c r="AE246" s="3">
        <v>196</v>
      </c>
      <c r="AF246" s="3">
        <v>0</v>
      </c>
      <c r="AG246" s="3">
        <v>232.197217</v>
      </c>
      <c r="AH246" s="3">
        <v>0.421052631578947</v>
      </c>
      <c r="AI246" s="3">
        <v>0.966714</v>
      </c>
      <c r="AJ246" s="3" t="s">
        <v>870</v>
      </c>
    </row>
    <row r="247" spans="1:36">
      <c r="A247" s="5">
        <v>43336</v>
      </c>
      <c r="B247" s="3" t="s">
        <v>1451</v>
      </c>
      <c r="C247" s="3" t="s">
        <v>1452</v>
      </c>
      <c r="D247" s="3" t="s">
        <v>1452</v>
      </c>
      <c r="E247" s="3" t="s">
        <v>1453</v>
      </c>
      <c r="F247" s="3" t="s">
        <v>867</v>
      </c>
      <c r="G247" s="3">
        <v>1</v>
      </c>
      <c r="H247" s="3">
        <v>0</v>
      </c>
      <c r="I247" s="3">
        <v>0</v>
      </c>
      <c r="J247" s="3">
        <v>0</v>
      </c>
      <c r="K247" s="3">
        <v>1</v>
      </c>
      <c r="L247" s="3">
        <v>0</v>
      </c>
      <c r="M247" s="3">
        <v>0</v>
      </c>
      <c r="N247" s="3" t="s">
        <v>868</v>
      </c>
      <c r="O247" s="3">
        <v>1</v>
      </c>
      <c r="P247" s="3">
        <v>0.16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/>
      <c r="X247" s="3"/>
      <c r="Y247" s="3"/>
      <c r="Z247" s="3">
        <v>-1</v>
      </c>
      <c r="AA247" s="3">
        <v>-1</v>
      </c>
      <c r="AB247" s="3" t="s">
        <v>891</v>
      </c>
      <c r="AC247" s="3">
        <v>0</v>
      </c>
      <c r="AD247" s="3">
        <v>0</v>
      </c>
      <c r="AE247" s="3">
        <v>0</v>
      </c>
      <c r="AF247" s="3">
        <v>0</v>
      </c>
      <c r="AG247" s="3">
        <v>0</v>
      </c>
      <c r="AH247" s="3">
        <v>0</v>
      </c>
      <c r="AI247" s="3">
        <v>0.045529</v>
      </c>
      <c r="AJ247" s="3" t="s">
        <v>870</v>
      </c>
    </row>
    <row r="248" spans="1:36">
      <c r="A248" s="5">
        <v>43336</v>
      </c>
      <c r="B248" s="3" t="s">
        <v>1454</v>
      </c>
      <c r="C248" s="3" t="s">
        <v>1455</v>
      </c>
      <c r="D248" s="3" t="s">
        <v>1455</v>
      </c>
      <c r="E248" s="3" t="s">
        <v>1456</v>
      </c>
      <c r="F248" s="3" t="s">
        <v>867</v>
      </c>
      <c r="G248" s="3">
        <v>9</v>
      </c>
      <c r="H248" s="3">
        <v>0</v>
      </c>
      <c r="I248" s="3">
        <v>4</v>
      </c>
      <c r="J248" s="3">
        <v>5</v>
      </c>
      <c r="K248" s="3">
        <v>0</v>
      </c>
      <c r="L248" s="3">
        <v>0</v>
      </c>
      <c r="M248" s="3">
        <v>0</v>
      </c>
      <c r="N248" s="3" t="s">
        <v>868</v>
      </c>
      <c r="O248" s="3">
        <v>3</v>
      </c>
      <c r="P248" s="3">
        <v>1.16</v>
      </c>
      <c r="Q248" s="3">
        <v>0</v>
      </c>
      <c r="R248" s="3">
        <v>0</v>
      </c>
      <c r="S248" s="3">
        <v>0</v>
      </c>
      <c r="T248" s="3">
        <v>2</v>
      </c>
      <c r="U248" s="3">
        <v>7</v>
      </c>
      <c r="V248" s="3">
        <v>11</v>
      </c>
      <c r="W248" s="3" t="s">
        <v>871</v>
      </c>
      <c r="X248" s="3">
        <v>23.98</v>
      </c>
      <c r="Y248" s="3">
        <v>23.98</v>
      </c>
      <c r="Z248" s="3">
        <v>23.98</v>
      </c>
      <c r="AA248" s="3">
        <v>0</v>
      </c>
      <c r="AB248" s="3" t="s">
        <v>869</v>
      </c>
      <c r="AC248" s="3">
        <v>8</v>
      </c>
      <c r="AD248" s="3">
        <v>23.98</v>
      </c>
      <c r="AE248" s="3">
        <v>0</v>
      </c>
      <c r="AF248" s="3">
        <v>0</v>
      </c>
      <c r="AG248" s="3">
        <v>0</v>
      </c>
      <c r="AH248" s="3">
        <v>0.431372549019607</v>
      </c>
      <c r="AI248" s="3">
        <v>1.005543</v>
      </c>
      <c r="AJ248" s="3" t="s">
        <v>870</v>
      </c>
    </row>
    <row r="249" spans="1:36">
      <c r="A249" s="5">
        <v>43336</v>
      </c>
      <c r="B249" s="3" t="s">
        <v>1457</v>
      </c>
      <c r="C249" s="3" t="s">
        <v>1458</v>
      </c>
      <c r="D249" s="3" t="s">
        <v>1458</v>
      </c>
      <c r="E249" s="3" t="s">
        <v>1459</v>
      </c>
      <c r="F249" s="3" t="s">
        <v>867</v>
      </c>
      <c r="G249" s="3">
        <v>1</v>
      </c>
      <c r="H249" s="3">
        <v>0</v>
      </c>
      <c r="I249" s="3">
        <v>1</v>
      </c>
      <c r="J249" s="3">
        <v>0</v>
      </c>
      <c r="K249" s="3">
        <v>0</v>
      </c>
      <c r="L249" s="3">
        <v>0</v>
      </c>
      <c r="M249" s="3">
        <v>0</v>
      </c>
      <c r="N249" s="3" t="s">
        <v>868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6</v>
      </c>
      <c r="V249" s="3">
        <v>8</v>
      </c>
      <c r="W249" s="3" t="s">
        <v>871</v>
      </c>
      <c r="X249" s="3">
        <v>22.98</v>
      </c>
      <c r="Y249" s="3">
        <v>22.98</v>
      </c>
      <c r="Z249" s="3">
        <v>22.98</v>
      </c>
      <c r="AA249" s="3">
        <v>0</v>
      </c>
      <c r="AB249" s="3" t="s">
        <v>869</v>
      </c>
      <c r="AC249" s="3">
        <v>1</v>
      </c>
      <c r="AD249" s="3">
        <v>22.98</v>
      </c>
      <c r="AE249" s="3">
        <v>0</v>
      </c>
      <c r="AF249" s="3">
        <v>0</v>
      </c>
      <c r="AG249" s="3">
        <v>0</v>
      </c>
      <c r="AH249" s="3">
        <v>1.75</v>
      </c>
      <c r="AI249" s="3">
        <v>0.090488</v>
      </c>
      <c r="AJ249" s="3" t="s">
        <v>870</v>
      </c>
    </row>
    <row r="250" spans="1:36">
      <c r="A250" s="5">
        <v>43336</v>
      </c>
      <c r="B250" s="3" t="s">
        <v>1460</v>
      </c>
      <c r="C250" s="3" t="s">
        <v>1461</v>
      </c>
      <c r="D250" s="3" t="s">
        <v>1461</v>
      </c>
      <c r="E250" s="3" t="s">
        <v>1462</v>
      </c>
      <c r="F250" s="3" t="s">
        <v>867</v>
      </c>
      <c r="G250" s="3">
        <v>6</v>
      </c>
      <c r="H250" s="3">
        <v>0</v>
      </c>
      <c r="I250" s="3">
        <v>6</v>
      </c>
      <c r="J250" s="3">
        <v>0</v>
      </c>
      <c r="K250" s="3">
        <v>0</v>
      </c>
      <c r="L250" s="3">
        <v>0</v>
      </c>
      <c r="M250" s="3">
        <v>0</v>
      </c>
      <c r="N250" s="3" t="s">
        <v>868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1</v>
      </c>
      <c r="U250" s="3">
        <v>3</v>
      </c>
      <c r="V250" s="3">
        <v>8</v>
      </c>
      <c r="W250" s="3"/>
      <c r="X250" s="3">
        <v>20.98</v>
      </c>
      <c r="Y250" s="3">
        <v>20.98</v>
      </c>
      <c r="Z250" s="3">
        <v>20.98</v>
      </c>
      <c r="AA250" s="3">
        <v>0</v>
      </c>
      <c r="AB250" s="3" t="s">
        <v>869</v>
      </c>
      <c r="AC250" s="3">
        <v>6</v>
      </c>
      <c r="AD250" s="3">
        <v>20.98</v>
      </c>
      <c r="AE250" s="3">
        <v>0</v>
      </c>
      <c r="AF250" s="3">
        <v>0</v>
      </c>
      <c r="AG250" s="3">
        <v>0</v>
      </c>
      <c r="AH250" s="3">
        <v>0.705882352941176</v>
      </c>
      <c r="AI250" s="3">
        <v>0.501378</v>
      </c>
      <c r="AJ250" s="3" t="s">
        <v>870</v>
      </c>
    </row>
    <row r="251" spans="1:36">
      <c r="A251" s="5">
        <v>43336</v>
      </c>
      <c r="B251" s="3" t="s">
        <v>341</v>
      </c>
      <c r="C251" s="3" t="s">
        <v>342</v>
      </c>
      <c r="D251" s="3" t="s">
        <v>343</v>
      </c>
      <c r="E251" s="3" t="s">
        <v>344</v>
      </c>
      <c r="F251" s="3" t="s">
        <v>867</v>
      </c>
      <c r="G251" s="3">
        <v>14</v>
      </c>
      <c r="H251" s="3">
        <v>0</v>
      </c>
      <c r="I251" s="3">
        <v>14</v>
      </c>
      <c r="J251" s="3">
        <v>0</v>
      </c>
      <c r="K251" s="3">
        <v>0</v>
      </c>
      <c r="L251" s="3">
        <v>0</v>
      </c>
      <c r="M251" s="3">
        <v>0</v>
      </c>
      <c r="N251" s="3" t="s">
        <v>868</v>
      </c>
      <c r="O251" s="3">
        <v>0</v>
      </c>
      <c r="P251" s="3">
        <v>0</v>
      </c>
      <c r="Q251" s="3">
        <v>0</v>
      </c>
      <c r="R251" s="3">
        <v>0</v>
      </c>
      <c r="S251" s="3">
        <v>17</v>
      </c>
      <c r="T251" s="3">
        <v>36</v>
      </c>
      <c r="U251" s="3">
        <v>49</v>
      </c>
      <c r="V251" s="3">
        <v>49</v>
      </c>
      <c r="W251" s="3"/>
      <c r="X251" s="3">
        <v>23.98</v>
      </c>
      <c r="Y251" s="3">
        <v>23.98</v>
      </c>
      <c r="Z251" s="3">
        <v>23.98</v>
      </c>
      <c r="AA251" s="3">
        <v>0</v>
      </c>
      <c r="AB251" s="3" t="s">
        <v>869</v>
      </c>
      <c r="AC251" s="3">
        <v>19</v>
      </c>
      <c r="AD251" s="3">
        <v>23.98</v>
      </c>
      <c r="AE251" s="3">
        <v>0</v>
      </c>
      <c r="AF251" s="3">
        <v>0</v>
      </c>
      <c r="AG251" s="3">
        <v>0</v>
      </c>
      <c r="AH251" s="3">
        <v>6.8433734939759</v>
      </c>
      <c r="AI251" s="3">
        <v>0.637406</v>
      </c>
      <c r="AJ251" s="3" t="s">
        <v>870</v>
      </c>
    </row>
    <row r="252" spans="1:36">
      <c r="A252" s="5">
        <v>43336</v>
      </c>
      <c r="B252" s="3" t="s">
        <v>1463</v>
      </c>
      <c r="C252" s="3" t="s">
        <v>1464</v>
      </c>
      <c r="D252" s="3" t="s">
        <v>1464</v>
      </c>
      <c r="E252" s="3" t="s">
        <v>1465</v>
      </c>
      <c r="F252" s="3" t="s">
        <v>867</v>
      </c>
      <c r="G252" s="3">
        <v>4</v>
      </c>
      <c r="H252" s="3">
        <v>0</v>
      </c>
      <c r="I252" s="3">
        <v>0</v>
      </c>
      <c r="J252" s="3">
        <v>0</v>
      </c>
      <c r="K252" s="3">
        <v>4</v>
      </c>
      <c r="L252" s="3">
        <v>0</v>
      </c>
      <c r="M252" s="3">
        <v>0</v>
      </c>
      <c r="N252" s="3" t="s">
        <v>868</v>
      </c>
      <c r="O252" s="3">
        <v>4</v>
      </c>
      <c r="P252" s="3">
        <v>2.01</v>
      </c>
      <c r="Q252" s="3">
        <v>0</v>
      </c>
      <c r="R252" s="3">
        <v>0</v>
      </c>
      <c r="S252" s="3">
        <v>0</v>
      </c>
      <c r="T252" s="3">
        <v>1</v>
      </c>
      <c r="U252" s="3">
        <v>2</v>
      </c>
      <c r="V252" s="3">
        <v>2</v>
      </c>
      <c r="W252" s="3"/>
      <c r="X252" s="3">
        <v>22.99</v>
      </c>
      <c r="Y252" s="3">
        <v>22.99</v>
      </c>
      <c r="Z252" s="3">
        <v>22.99</v>
      </c>
      <c r="AA252" s="3">
        <v>0</v>
      </c>
      <c r="AB252" s="3" t="s">
        <v>883</v>
      </c>
      <c r="AC252" s="3">
        <v>0</v>
      </c>
      <c r="AD252" s="3">
        <v>21.18</v>
      </c>
      <c r="AE252" s="3">
        <v>105</v>
      </c>
      <c r="AF252" s="3">
        <v>0</v>
      </c>
      <c r="AG252" s="3">
        <v>107.51498</v>
      </c>
      <c r="AH252" s="3">
        <v>0.38095238095238</v>
      </c>
      <c r="AI252" s="3">
        <v>0.583604</v>
      </c>
      <c r="AJ252" s="3" t="s">
        <v>870</v>
      </c>
    </row>
    <row r="253" spans="1:36">
      <c r="A253" s="5">
        <v>43336</v>
      </c>
      <c r="B253" s="3" t="s">
        <v>1466</v>
      </c>
      <c r="C253" s="3" t="s">
        <v>1467</v>
      </c>
      <c r="D253" s="3" t="s">
        <v>1467</v>
      </c>
      <c r="E253" s="3" t="s">
        <v>1468</v>
      </c>
      <c r="F253" s="3" t="s">
        <v>867</v>
      </c>
      <c r="G253" s="3">
        <v>21</v>
      </c>
      <c r="H253" s="3">
        <v>0</v>
      </c>
      <c r="I253" s="3">
        <v>0</v>
      </c>
      <c r="J253" s="3">
        <v>20</v>
      </c>
      <c r="K253" s="3">
        <v>1</v>
      </c>
      <c r="L253" s="3">
        <v>0</v>
      </c>
      <c r="M253" s="3">
        <v>0</v>
      </c>
      <c r="N253" s="3" t="s">
        <v>868</v>
      </c>
      <c r="O253" s="3">
        <v>1</v>
      </c>
      <c r="P253" s="3">
        <v>0.24</v>
      </c>
      <c r="Q253" s="3">
        <v>0</v>
      </c>
      <c r="R253" s="3">
        <v>0</v>
      </c>
      <c r="S253" s="3">
        <v>0</v>
      </c>
      <c r="T253" s="3">
        <v>0</v>
      </c>
      <c r="U253" s="3">
        <v>1</v>
      </c>
      <c r="V253" s="3">
        <v>2</v>
      </c>
      <c r="W253" s="3" t="s">
        <v>871</v>
      </c>
      <c r="X253" s="3">
        <v>22.98</v>
      </c>
      <c r="Y253" s="3">
        <v>22.98</v>
      </c>
      <c r="Z253" s="3">
        <v>22.98</v>
      </c>
      <c r="AA253" s="3">
        <v>0</v>
      </c>
      <c r="AB253" s="3" t="s">
        <v>883</v>
      </c>
      <c r="AC253" s="3">
        <v>0</v>
      </c>
      <c r="AD253" s="3">
        <v>16.39</v>
      </c>
      <c r="AE253" s="3">
        <v>364</v>
      </c>
      <c r="AF253" s="3">
        <v>0</v>
      </c>
      <c r="AG253" s="3">
        <v>280.729511</v>
      </c>
      <c r="AH253" s="3">
        <v>0.0919540229885057</v>
      </c>
      <c r="AI253" s="3">
        <v>1.470966</v>
      </c>
      <c r="AJ253" s="3" t="s">
        <v>870</v>
      </c>
    </row>
    <row r="254" spans="1:36">
      <c r="A254" s="5">
        <v>43336</v>
      </c>
      <c r="B254" s="3" t="s">
        <v>1469</v>
      </c>
      <c r="C254" s="3" t="s">
        <v>1470</v>
      </c>
      <c r="D254" s="3" t="s">
        <v>1470</v>
      </c>
      <c r="E254" s="3" t="s">
        <v>1471</v>
      </c>
      <c r="F254" s="3" t="s">
        <v>867</v>
      </c>
      <c r="G254" s="3">
        <v>3</v>
      </c>
      <c r="H254" s="3">
        <v>0</v>
      </c>
      <c r="I254" s="3">
        <v>3</v>
      </c>
      <c r="J254" s="3">
        <v>0</v>
      </c>
      <c r="K254" s="3">
        <v>0</v>
      </c>
      <c r="L254" s="3">
        <v>0</v>
      </c>
      <c r="M254" s="3">
        <v>0</v>
      </c>
      <c r="N254" s="3" t="s">
        <v>868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7</v>
      </c>
      <c r="U254" s="3">
        <v>19</v>
      </c>
      <c r="V254" s="3">
        <v>23</v>
      </c>
      <c r="W254" s="3"/>
      <c r="X254" s="3">
        <v>23.98</v>
      </c>
      <c r="Y254" s="3">
        <v>23.98</v>
      </c>
      <c r="Z254" s="3">
        <v>23.98</v>
      </c>
      <c r="AA254" s="3">
        <v>0</v>
      </c>
      <c r="AB254" s="3" t="s">
        <v>869</v>
      </c>
      <c r="AC254" s="3">
        <v>2</v>
      </c>
      <c r="AD254" s="3">
        <v>23.98</v>
      </c>
      <c r="AE254" s="3">
        <v>0</v>
      </c>
      <c r="AF254" s="3">
        <v>0</v>
      </c>
      <c r="AG254" s="3">
        <v>0</v>
      </c>
      <c r="AH254" s="3">
        <v>2.64285714285714</v>
      </c>
      <c r="AI254" s="3">
        <v>0.200175</v>
      </c>
      <c r="AJ254" s="3" t="s">
        <v>870</v>
      </c>
    </row>
    <row r="255" spans="1:36">
      <c r="A255" s="5">
        <v>43336</v>
      </c>
      <c r="B255" s="3" t="s">
        <v>1472</v>
      </c>
      <c r="C255" s="3" t="s">
        <v>1268</v>
      </c>
      <c r="D255" s="3" t="s">
        <v>1268</v>
      </c>
      <c r="E255" s="3" t="s">
        <v>1269</v>
      </c>
      <c r="F255" s="3" t="s">
        <v>867</v>
      </c>
      <c r="G255" s="3">
        <v>4</v>
      </c>
      <c r="H255" s="3">
        <v>0</v>
      </c>
      <c r="I255" s="3">
        <v>0</v>
      </c>
      <c r="J255" s="3">
        <v>4</v>
      </c>
      <c r="K255" s="3">
        <v>0</v>
      </c>
      <c r="L255" s="3">
        <v>0</v>
      </c>
      <c r="M255" s="3">
        <v>0</v>
      </c>
      <c r="N255" s="3" t="s">
        <v>868</v>
      </c>
      <c r="O255" s="3">
        <v>2</v>
      </c>
      <c r="P255" s="3">
        <v>0.8</v>
      </c>
      <c r="Q255" s="3">
        <v>0</v>
      </c>
      <c r="R255" s="3">
        <v>0</v>
      </c>
      <c r="S255" s="3">
        <v>1</v>
      </c>
      <c r="T255" s="3">
        <v>3</v>
      </c>
      <c r="U255" s="3">
        <v>3</v>
      </c>
      <c r="V255" s="3">
        <v>4</v>
      </c>
      <c r="W255" s="3"/>
      <c r="X255" s="3">
        <v>25.98</v>
      </c>
      <c r="Y255" s="3">
        <v>25.98</v>
      </c>
      <c r="Z255" s="3">
        <v>25.98</v>
      </c>
      <c r="AA255" s="3">
        <v>0</v>
      </c>
      <c r="AB255" s="3" t="s">
        <v>869</v>
      </c>
      <c r="AC255" s="3">
        <v>5</v>
      </c>
      <c r="AD255" s="3">
        <v>25.98</v>
      </c>
      <c r="AE255" s="3">
        <v>0</v>
      </c>
      <c r="AF255" s="3">
        <v>0</v>
      </c>
      <c r="AG255" s="3">
        <v>0</v>
      </c>
      <c r="AH255" s="3">
        <v>0.224719101123595</v>
      </c>
      <c r="AI255" s="3">
        <v>0.461124</v>
      </c>
      <c r="AJ255" s="3" t="s">
        <v>870</v>
      </c>
    </row>
    <row r="256" spans="1:36">
      <c r="A256" s="5">
        <v>43336</v>
      </c>
      <c r="B256" s="3" t="s">
        <v>1473</v>
      </c>
      <c r="C256" s="3" t="s">
        <v>1474</v>
      </c>
      <c r="D256" s="3" t="s">
        <v>1475</v>
      </c>
      <c r="E256" s="3" t="s">
        <v>1476</v>
      </c>
      <c r="F256" s="3" t="s">
        <v>867</v>
      </c>
      <c r="G256" s="3">
        <v>33</v>
      </c>
      <c r="H256" s="3">
        <v>0</v>
      </c>
      <c r="I256" s="3">
        <v>33</v>
      </c>
      <c r="J256" s="3">
        <v>0</v>
      </c>
      <c r="K256" s="3">
        <v>0</v>
      </c>
      <c r="L256" s="3">
        <v>0</v>
      </c>
      <c r="M256" s="3">
        <v>0</v>
      </c>
      <c r="N256" s="3" t="s">
        <v>868</v>
      </c>
      <c r="O256" s="3">
        <v>0</v>
      </c>
      <c r="P256" s="3">
        <v>0</v>
      </c>
      <c r="Q256" s="3">
        <v>0</v>
      </c>
      <c r="R256" s="3">
        <v>0</v>
      </c>
      <c r="S256" s="3">
        <v>4</v>
      </c>
      <c r="T256" s="3">
        <v>29</v>
      </c>
      <c r="U256" s="3">
        <v>44</v>
      </c>
      <c r="V256" s="3">
        <v>50</v>
      </c>
      <c r="W256" s="3"/>
      <c r="X256" s="3">
        <v>22.98</v>
      </c>
      <c r="Y256" s="3">
        <v>22.98</v>
      </c>
      <c r="Z256" s="3">
        <v>22.98</v>
      </c>
      <c r="AA256" s="3">
        <v>0</v>
      </c>
      <c r="AB256" s="3" t="s">
        <v>869</v>
      </c>
      <c r="AC256" s="3">
        <v>34</v>
      </c>
      <c r="AD256" s="3">
        <v>22.98</v>
      </c>
      <c r="AE256" s="3">
        <v>0</v>
      </c>
      <c r="AF256" s="3">
        <v>0</v>
      </c>
      <c r="AG256" s="3">
        <v>0</v>
      </c>
      <c r="AH256" s="3">
        <v>2.94117647058823</v>
      </c>
      <c r="AI256" s="3">
        <v>5.730615</v>
      </c>
      <c r="AJ256" s="3" t="s">
        <v>870</v>
      </c>
    </row>
    <row r="257" spans="1:36">
      <c r="A257" s="5">
        <v>43336</v>
      </c>
      <c r="B257" s="3" t="s">
        <v>740</v>
      </c>
      <c r="C257" s="3" t="s">
        <v>741</v>
      </c>
      <c r="D257" s="3" t="s">
        <v>742</v>
      </c>
      <c r="E257" s="3" t="s">
        <v>743</v>
      </c>
      <c r="F257" s="3" t="s">
        <v>867</v>
      </c>
      <c r="G257" s="3">
        <v>6</v>
      </c>
      <c r="H257" s="3">
        <v>0</v>
      </c>
      <c r="I257" s="3">
        <v>6</v>
      </c>
      <c r="J257" s="3">
        <v>0</v>
      </c>
      <c r="K257" s="3">
        <v>0</v>
      </c>
      <c r="L257" s="3">
        <v>0</v>
      </c>
      <c r="M257" s="3">
        <v>0</v>
      </c>
      <c r="N257" s="3" t="s">
        <v>868</v>
      </c>
      <c r="O257" s="3">
        <v>0</v>
      </c>
      <c r="P257" s="3">
        <v>0</v>
      </c>
      <c r="Q257" s="3">
        <v>0</v>
      </c>
      <c r="R257" s="3">
        <v>0</v>
      </c>
      <c r="S257" s="3">
        <v>8</v>
      </c>
      <c r="T257" s="3">
        <v>10</v>
      </c>
      <c r="U257" s="3">
        <v>12</v>
      </c>
      <c r="V257" s="3">
        <v>12</v>
      </c>
      <c r="W257" s="3"/>
      <c r="X257" s="3">
        <v>22.98</v>
      </c>
      <c r="Y257" s="3">
        <v>22.98</v>
      </c>
      <c r="Z257" s="3">
        <v>22.98</v>
      </c>
      <c r="AA257" s="3">
        <v>0</v>
      </c>
      <c r="AB257" s="3" t="s">
        <v>869</v>
      </c>
      <c r="AC257" s="3">
        <v>3</v>
      </c>
      <c r="AD257" s="3">
        <v>22.98</v>
      </c>
      <c r="AE257" s="3">
        <v>0</v>
      </c>
      <c r="AF257" s="3">
        <v>0</v>
      </c>
      <c r="AG257" s="3">
        <v>0</v>
      </c>
      <c r="AH257" s="3">
        <v>5.6</v>
      </c>
      <c r="AI257" s="3">
        <v>0.501378</v>
      </c>
      <c r="AJ257" s="3" t="s">
        <v>870</v>
      </c>
    </row>
    <row r="258" spans="1:36">
      <c r="A258" s="5">
        <v>43336</v>
      </c>
      <c r="B258" s="3" t="s">
        <v>301</v>
      </c>
      <c r="C258" s="3" t="s">
        <v>302</v>
      </c>
      <c r="D258" s="3" t="s">
        <v>303</v>
      </c>
      <c r="E258" s="3" t="s">
        <v>304</v>
      </c>
      <c r="F258" s="3" t="s">
        <v>867</v>
      </c>
      <c r="G258" s="3">
        <v>10</v>
      </c>
      <c r="H258" s="3">
        <v>0</v>
      </c>
      <c r="I258" s="3">
        <v>10</v>
      </c>
      <c r="J258" s="3">
        <v>0</v>
      </c>
      <c r="K258" s="3">
        <v>0</v>
      </c>
      <c r="L258" s="3">
        <v>0</v>
      </c>
      <c r="M258" s="3">
        <v>0</v>
      </c>
      <c r="N258" s="3" t="s">
        <v>868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0</v>
      </c>
      <c r="W258" s="3" t="s">
        <v>871</v>
      </c>
      <c r="X258" s="3">
        <v>23.98</v>
      </c>
      <c r="Y258" s="3">
        <v>23.98</v>
      </c>
      <c r="Z258" s="3">
        <v>23.98</v>
      </c>
      <c r="AA258" s="3">
        <v>0</v>
      </c>
      <c r="AB258" s="3" t="s">
        <v>869</v>
      </c>
      <c r="AC258" s="3">
        <v>0</v>
      </c>
      <c r="AD258" s="3">
        <v>0</v>
      </c>
      <c r="AE258" s="3">
        <v>0</v>
      </c>
      <c r="AF258" s="3">
        <v>0</v>
      </c>
      <c r="AG258" s="3">
        <v>0</v>
      </c>
      <c r="AH258" s="3">
        <v>3.29629629629629</v>
      </c>
      <c r="AI258" s="3">
        <v>0.45529</v>
      </c>
      <c r="AJ258" s="3" t="s">
        <v>870</v>
      </c>
    </row>
    <row r="259" spans="1:36">
      <c r="A259" s="5">
        <v>43336</v>
      </c>
      <c r="B259" s="3" t="s">
        <v>1477</v>
      </c>
      <c r="C259" s="3" t="s">
        <v>1478</v>
      </c>
      <c r="D259" s="3" t="s">
        <v>1478</v>
      </c>
      <c r="E259" s="3" t="s">
        <v>1479</v>
      </c>
      <c r="F259" s="3" t="s">
        <v>867</v>
      </c>
      <c r="G259" s="3">
        <v>7</v>
      </c>
      <c r="H259" s="3">
        <v>0</v>
      </c>
      <c r="I259" s="3">
        <v>7</v>
      </c>
      <c r="J259" s="3">
        <v>0</v>
      </c>
      <c r="K259" s="3">
        <v>0</v>
      </c>
      <c r="L259" s="3">
        <v>0</v>
      </c>
      <c r="M259" s="3">
        <v>0</v>
      </c>
      <c r="N259" s="3" t="s">
        <v>868</v>
      </c>
      <c r="O259" s="3">
        <v>0</v>
      </c>
      <c r="P259" s="3">
        <v>0</v>
      </c>
      <c r="Q259" s="3">
        <v>0</v>
      </c>
      <c r="R259" s="3">
        <v>0</v>
      </c>
      <c r="S259" s="3">
        <v>1</v>
      </c>
      <c r="T259" s="3">
        <v>5</v>
      </c>
      <c r="U259" s="3">
        <v>17</v>
      </c>
      <c r="V259" s="3">
        <v>32</v>
      </c>
      <c r="W259" s="3"/>
      <c r="X259" s="3">
        <v>22.98</v>
      </c>
      <c r="Y259" s="3">
        <v>22.98</v>
      </c>
      <c r="Z259" s="3">
        <v>22.98</v>
      </c>
      <c r="AA259" s="3">
        <v>0</v>
      </c>
      <c r="AB259" s="3" t="s">
        <v>869</v>
      </c>
      <c r="AC259" s="3">
        <v>8</v>
      </c>
      <c r="AD259" s="3">
        <v>22.98</v>
      </c>
      <c r="AE259" s="3">
        <v>0</v>
      </c>
      <c r="AF259" s="3">
        <v>0</v>
      </c>
      <c r="AG259" s="3">
        <v>0</v>
      </c>
      <c r="AH259" s="3">
        <v>2.61224489795918</v>
      </c>
      <c r="AI259" s="3">
        <v>0.738892</v>
      </c>
      <c r="AJ259" s="3" t="s">
        <v>870</v>
      </c>
    </row>
    <row r="260" spans="1:36">
      <c r="A260" s="5">
        <v>43336</v>
      </c>
      <c r="B260" s="3" t="s">
        <v>1480</v>
      </c>
      <c r="C260" s="3" t="s">
        <v>1481</v>
      </c>
      <c r="D260" s="3" t="s">
        <v>1481</v>
      </c>
      <c r="E260" s="3" t="s">
        <v>1482</v>
      </c>
      <c r="F260" s="3" t="s">
        <v>867</v>
      </c>
      <c r="G260" s="3">
        <v>1</v>
      </c>
      <c r="H260" s="3">
        <v>0</v>
      </c>
      <c r="I260" s="3">
        <v>0</v>
      </c>
      <c r="J260" s="3">
        <v>1</v>
      </c>
      <c r="K260" s="3">
        <v>0</v>
      </c>
      <c r="L260" s="3">
        <v>0</v>
      </c>
      <c r="M260" s="3">
        <v>0</v>
      </c>
      <c r="N260" s="3" t="s">
        <v>868</v>
      </c>
      <c r="O260" s="3">
        <v>1</v>
      </c>
      <c r="P260" s="3">
        <v>2.43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936</v>
      </c>
      <c r="X260" s="3">
        <v>64.98</v>
      </c>
      <c r="Y260" s="3">
        <v>64.98</v>
      </c>
      <c r="Z260" s="3">
        <v>64.98</v>
      </c>
      <c r="AA260" s="3">
        <v>0</v>
      </c>
      <c r="AB260" s="3" t="s">
        <v>937</v>
      </c>
      <c r="AC260" s="3">
        <v>0</v>
      </c>
      <c r="AD260" s="3">
        <v>60.16</v>
      </c>
      <c r="AE260" s="3">
        <v>70</v>
      </c>
      <c r="AF260" s="3">
        <v>0</v>
      </c>
      <c r="AG260" s="3">
        <v>118.824598</v>
      </c>
      <c r="AH260" s="3">
        <v>0</v>
      </c>
      <c r="AI260" s="3">
        <v>0.70484</v>
      </c>
      <c r="AJ260" s="3" t="s">
        <v>870</v>
      </c>
    </row>
    <row r="261" spans="1:36">
      <c r="A261" s="5">
        <v>43336</v>
      </c>
      <c r="B261" s="3" t="s">
        <v>1483</v>
      </c>
      <c r="C261" s="3" t="s">
        <v>1484</v>
      </c>
      <c r="D261" s="3" t="s">
        <v>1484</v>
      </c>
      <c r="E261" s="3" t="s">
        <v>1342</v>
      </c>
      <c r="F261" s="3" t="s">
        <v>867</v>
      </c>
      <c r="G261" s="3">
        <v>6</v>
      </c>
      <c r="H261" s="3">
        <v>0</v>
      </c>
      <c r="I261" s="3">
        <v>1</v>
      </c>
      <c r="J261" s="3">
        <v>0</v>
      </c>
      <c r="K261" s="3">
        <v>5</v>
      </c>
      <c r="L261" s="3">
        <v>0</v>
      </c>
      <c r="M261" s="3">
        <v>0</v>
      </c>
      <c r="N261" s="3" t="s">
        <v>868</v>
      </c>
      <c r="O261" s="3">
        <v>5</v>
      </c>
      <c r="P261" s="3">
        <v>1.05</v>
      </c>
      <c r="Q261" s="3">
        <v>0</v>
      </c>
      <c r="R261" s="3">
        <v>0</v>
      </c>
      <c r="S261" s="3">
        <v>0</v>
      </c>
      <c r="T261" s="3">
        <v>2</v>
      </c>
      <c r="U261" s="3">
        <v>6</v>
      </c>
      <c r="V261" s="3">
        <v>8</v>
      </c>
      <c r="W261" s="3"/>
      <c r="X261" s="3">
        <v>26.98</v>
      </c>
      <c r="Y261" s="3">
        <v>26.98</v>
      </c>
      <c r="Z261" s="3">
        <v>26.98</v>
      </c>
      <c r="AA261" s="3">
        <v>0</v>
      </c>
      <c r="AB261" s="3" t="s">
        <v>869</v>
      </c>
      <c r="AC261" s="3">
        <v>6</v>
      </c>
      <c r="AD261" s="3">
        <v>26.98</v>
      </c>
      <c r="AE261" s="3">
        <v>0</v>
      </c>
      <c r="AF261" s="3">
        <v>0</v>
      </c>
      <c r="AG261" s="3">
        <v>0</v>
      </c>
      <c r="AH261" s="3">
        <v>0.864864864864864</v>
      </c>
      <c r="AI261" s="3">
        <v>0.366071999999999</v>
      </c>
      <c r="AJ261" s="3" t="s">
        <v>870</v>
      </c>
    </row>
    <row r="262" spans="1:36">
      <c r="A262" s="5">
        <v>43336</v>
      </c>
      <c r="B262" s="3" t="s">
        <v>1485</v>
      </c>
      <c r="C262" s="3" t="s">
        <v>1486</v>
      </c>
      <c r="D262" s="3" t="s">
        <v>1486</v>
      </c>
      <c r="E262" s="3" t="s">
        <v>1487</v>
      </c>
      <c r="F262" s="3" t="s">
        <v>867</v>
      </c>
      <c r="G262" s="3">
        <v>4</v>
      </c>
      <c r="H262" s="3">
        <v>0</v>
      </c>
      <c r="I262" s="3">
        <v>2</v>
      </c>
      <c r="J262" s="3">
        <v>0</v>
      </c>
      <c r="K262" s="3">
        <v>2</v>
      </c>
      <c r="L262" s="3">
        <v>0</v>
      </c>
      <c r="M262" s="3">
        <v>0</v>
      </c>
      <c r="N262" s="3" t="s">
        <v>868</v>
      </c>
      <c r="O262" s="3">
        <v>2</v>
      </c>
      <c r="P262" s="3">
        <v>1.12</v>
      </c>
      <c r="Q262" s="3">
        <v>0</v>
      </c>
      <c r="R262" s="3">
        <v>0</v>
      </c>
      <c r="S262" s="3">
        <v>0</v>
      </c>
      <c r="T262" s="3">
        <v>0</v>
      </c>
      <c r="U262" s="3">
        <v>1</v>
      </c>
      <c r="V262" s="3">
        <v>3</v>
      </c>
      <c r="W262" s="3" t="s">
        <v>871</v>
      </c>
      <c r="X262" s="3">
        <v>22.99</v>
      </c>
      <c r="Y262" s="3">
        <v>22.99</v>
      </c>
      <c r="Z262" s="3">
        <v>22.99</v>
      </c>
      <c r="AA262" s="3">
        <v>0</v>
      </c>
      <c r="AB262" s="3" t="s">
        <v>883</v>
      </c>
      <c r="AC262" s="3">
        <v>0</v>
      </c>
      <c r="AD262" s="3">
        <v>21.35</v>
      </c>
      <c r="AE262" s="3">
        <v>91</v>
      </c>
      <c r="AF262" s="3">
        <v>0</v>
      </c>
      <c r="AG262" s="3">
        <v>131.448221</v>
      </c>
      <c r="AH262" s="3">
        <v>0.260869565217391</v>
      </c>
      <c r="AI262" s="3">
        <v>0.650048</v>
      </c>
      <c r="AJ262" s="3" t="s">
        <v>870</v>
      </c>
    </row>
    <row r="263" spans="1:36">
      <c r="A263" s="5">
        <v>43336</v>
      </c>
      <c r="B263" s="3" t="s">
        <v>657</v>
      </c>
      <c r="C263" s="3" t="s">
        <v>658</v>
      </c>
      <c r="D263" s="3" t="s">
        <v>659</v>
      </c>
      <c r="E263" s="3" t="s">
        <v>660</v>
      </c>
      <c r="F263" s="3" t="s">
        <v>867</v>
      </c>
      <c r="G263" s="3">
        <v>3</v>
      </c>
      <c r="H263" s="3">
        <v>0</v>
      </c>
      <c r="I263" s="3">
        <v>3</v>
      </c>
      <c r="J263" s="3">
        <v>0</v>
      </c>
      <c r="K263" s="3">
        <v>0</v>
      </c>
      <c r="L263" s="3">
        <v>0</v>
      </c>
      <c r="M263" s="3">
        <v>0</v>
      </c>
      <c r="N263" s="3" t="s">
        <v>868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871</v>
      </c>
      <c r="X263" s="3">
        <v>22.98</v>
      </c>
      <c r="Y263" s="3">
        <v>22.98</v>
      </c>
      <c r="Z263" s="3">
        <v>22.98</v>
      </c>
      <c r="AA263" s="3">
        <v>0</v>
      </c>
      <c r="AB263" s="3" t="s">
        <v>869</v>
      </c>
      <c r="AC263" s="3">
        <v>3</v>
      </c>
      <c r="AD263" s="3">
        <v>22.98</v>
      </c>
      <c r="AE263" s="3">
        <v>0</v>
      </c>
      <c r="AF263" s="3">
        <v>0</v>
      </c>
      <c r="AG263" s="3">
        <v>0</v>
      </c>
      <c r="AH263" s="3">
        <v>1.14285714285714</v>
      </c>
      <c r="AI263" s="3">
        <v>0.352635</v>
      </c>
      <c r="AJ263" s="3" t="s">
        <v>870</v>
      </c>
    </row>
    <row r="264" spans="1:36">
      <c r="A264" s="5">
        <v>43336</v>
      </c>
      <c r="B264" s="3" t="s">
        <v>724</v>
      </c>
      <c r="C264" s="3" t="s">
        <v>725</v>
      </c>
      <c r="D264" s="3" t="s">
        <v>725</v>
      </c>
      <c r="E264" s="3" t="s">
        <v>726</v>
      </c>
      <c r="F264" s="3" t="s">
        <v>867</v>
      </c>
      <c r="G264" s="3">
        <v>2</v>
      </c>
      <c r="H264" s="3">
        <v>0</v>
      </c>
      <c r="I264" s="3">
        <v>1</v>
      </c>
      <c r="J264" s="3">
        <v>1</v>
      </c>
      <c r="K264" s="3">
        <v>0</v>
      </c>
      <c r="L264" s="3">
        <v>0</v>
      </c>
      <c r="M264" s="3">
        <v>0</v>
      </c>
      <c r="N264" s="3" t="s">
        <v>868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1</v>
      </c>
      <c r="U264" s="3">
        <v>1</v>
      </c>
      <c r="V264" s="3">
        <v>2</v>
      </c>
      <c r="W264" s="3" t="s">
        <v>871</v>
      </c>
      <c r="X264" s="3">
        <v>26.98</v>
      </c>
      <c r="Y264" s="3">
        <v>26.98</v>
      </c>
      <c r="Z264" s="3">
        <v>26.98</v>
      </c>
      <c r="AA264" s="3">
        <v>0</v>
      </c>
      <c r="AB264" s="3" t="s">
        <v>883</v>
      </c>
      <c r="AC264" s="3">
        <v>0</v>
      </c>
      <c r="AD264" s="3">
        <v>25</v>
      </c>
      <c r="AE264" s="3">
        <v>84</v>
      </c>
      <c r="AF264" s="3">
        <v>0</v>
      </c>
      <c r="AG264" s="3">
        <v>57.606252</v>
      </c>
      <c r="AH264" s="3">
        <v>0.727272727272727</v>
      </c>
      <c r="AI264" s="3">
        <v>0.264652</v>
      </c>
      <c r="AJ264" s="3" t="s">
        <v>870</v>
      </c>
    </row>
    <row r="265" spans="1:36">
      <c r="A265" s="5">
        <v>43336</v>
      </c>
      <c r="B265" s="3" t="s">
        <v>1488</v>
      </c>
      <c r="C265" s="3" t="s">
        <v>1489</v>
      </c>
      <c r="D265" s="3" t="s">
        <v>1489</v>
      </c>
      <c r="E265" s="3" t="s">
        <v>1490</v>
      </c>
      <c r="F265" s="3" t="s">
        <v>867</v>
      </c>
      <c r="G265" s="3">
        <v>7</v>
      </c>
      <c r="H265" s="3">
        <v>0</v>
      </c>
      <c r="I265" s="3">
        <v>5</v>
      </c>
      <c r="J265" s="3">
        <v>2</v>
      </c>
      <c r="K265" s="3">
        <v>0</v>
      </c>
      <c r="L265" s="3">
        <v>0</v>
      </c>
      <c r="M265" s="3">
        <v>0</v>
      </c>
      <c r="N265" s="3" t="s">
        <v>868</v>
      </c>
      <c r="O265" s="3">
        <v>0</v>
      </c>
      <c r="P265" s="3">
        <v>0</v>
      </c>
      <c r="Q265" s="3">
        <v>0</v>
      </c>
      <c r="R265" s="3">
        <v>0</v>
      </c>
      <c r="S265" s="3">
        <v>1</v>
      </c>
      <c r="T265" s="3">
        <v>1</v>
      </c>
      <c r="U265" s="3">
        <v>1</v>
      </c>
      <c r="V265" s="3">
        <v>1</v>
      </c>
      <c r="W265" s="3"/>
      <c r="X265" s="3">
        <v>27.98</v>
      </c>
      <c r="Y265" s="3">
        <v>27.98</v>
      </c>
      <c r="Z265" s="3">
        <v>27.98</v>
      </c>
      <c r="AA265" s="3">
        <v>0</v>
      </c>
      <c r="AB265" s="3" t="s">
        <v>883</v>
      </c>
      <c r="AC265" s="3">
        <v>0</v>
      </c>
      <c r="AD265" s="3">
        <v>25.03</v>
      </c>
      <c r="AE265" s="3">
        <v>168</v>
      </c>
      <c r="AF265" s="3">
        <v>0</v>
      </c>
      <c r="AG265" s="3">
        <v>263.556715</v>
      </c>
      <c r="AH265" s="3">
        <v>0.125</v>
      </c>
      <c r="AI265" s="3">
        <v>1.18349</v>
      </c>
      <c r="AJ265" s="3" t="s">
        <v>870</v>
      </c>
    </row>
    <row r="266" spans="1:36">
      <c r="A266" s="5">
        <v>43336</v>
      </c>
      <c r="B266" s="3" t="s">
        <v>1491</v>
      </c>
      <c r="C266" s="3" t="s">
        <v>1492</v>
      </c>
      <c r="D266" s="3" t="s">
        <v>1492</v>
      </c>
      <c r="E266" s="3" t="s">
        <v>1493</v>
      </c>
      <c r="F266" s="3" t="s">
        <v>867</v>
      </c>
      <c r="G266" s="3">
        <v>1</v>
      </c>
      <c r="H266" s="3">
        <v>0</v>
      </c>
      <c r="I266" s="3">
        <v>0</v>
      </c>
      <c r="J266" s="3">
        <v>0</v>
      </c>
      <c r="K266" s="3">
        <v>0</v>
      </c>
      <c r="L266" s="3">
        <v>1</v>
      </c>
      <c r="M266" s="3">
        <v>0</v>
      </c>
      <c r="N266" s="3" t="s">
        <v>868</v>
      </c>
      <c r="O266" s="3">
        <v>1</v>
      </c>
      <c r="P266" s="3">
        <v>0.19</v>
      </c>
      <c r="Q266" s="3">
        <v>0</v>
      </c>
      <c r="R266" s="3">
        <v>0</v>
      </c>
      <c r="S266" s="3">
        <v>0</v>
      </c>
      <c r="T266" s="3">
        <v>0</v>
      </c>
      <c r="U266" s="3">
        <v>1</v>
      </c>
      <c r="V266" s="3">
        <v>1</v>
      </c>
      <c r="W266" s="3" t="s">
        <v>936</v>
      </c>
      <c r="X266" s="3">
        <v>25</v>
      </c>
      <c r="Y266" s="3">
        <v>25</v>
      </c>
      <c r="Z266" s="3">
        <v>25</v>
      </c>
      <c r="AA266" s="3">
        <v>0</v>
      </c>
      <c r="AB266" s="3" t="s">
        <v>869</v>
      </c>
      <c r="AC266" s="3">
        <v>1</v>
      </c>
      <c r="AD266" s="3">
        <v>25</v>
      </c>
      <c r="AE266" s="3">
        <v>0</v>
      </c>
      <c r="AF266" s="3">
        <v>0</v>
      </c>
      <c r="AG266" s="3">
        <v>0</v>
      </c>
      <c r="AH266" s="3">
        <v>0.666666666666666</v>
      </c>
      <c r="AI266" s="3">
        <v>0.055556</v>
      </c>
      <c r="AJ266" s="3" t="s">
        <v>898</v>
      </c>
    </row>
    <row r="267" spans="1:36">
      <c r="A267" s="5">
        <v>43336</v>
      </c>
      <c r="B267" s="3" t="s">
        <v>1494</v>
      </c>
      <c r="C267" s="3" t="s">
        <v>1495</v>
      </c>
      <c r="D267" s="3" t="s">
        <v>1496</v>
      </c>
      <c r="E267" s="3" t="s">
        <v>1497</v>
      </c>
      <c r="F267" s="3" t="s">
        <v>867</v>
      </c>
      <c r="G267" s="3">
        <v>13</v>
      </c>
      <c r="H267" s="3">
        <v>0</v>
      </c>
      <c r="I267" s="3">
        <v>13</v>
      </c>
      <c r="J267" s="3">
        <v>0</v>
      </c>
      <c r="K267" s="3">
        <v>0</v>
      </c>
      <c r="L267" s="3">
        <v>0</v>
      </c>
      <c r="M267" s="3">
        <v>0</v>
      </c>
      <c r="N267" s="3" t="s">
        <v>868</v>
      </c>
      <c r="O267" s="3">
        <v>0</v>
      </c>
      <c r="P267" s="3">
        <v>0</v>
      </c>
      <c r="Q267" s="3">
        <v>0</v>
      </c>
      <c r="R267" s="3">
        <v>0</v>
      </c>
      <c r="S267" s="3">
        <v>1</v>
      </c>
      <c r="T267" s="3">
        <v>4</v>
      </c>
      <c r="U267" s="3">
        <v>4</v>
      </c>
      <c r="V267" s="3">
        <v>4</v>
      </c>
      <c r="W267" s="3"/>
      <c r="X267" s="3">
        <v>18.99</v>
      </c>
      <c r="Y267" s="3">
        <v>18.99</v>
      </c>
      <c r="Z267" s="3">
        <v>18.99</v>
      </c>
      <c r="AA267" s="3">
        <v>0</v>
      </c>
      <c r="AB267" s="3" t="s">
        <v>869</v>
      </c>
      <c r="AC267" s="3">
        <v>13</v>
      </c>
      <c r="AD267" s="3">
        <v>18.99</v>
      </c>
      <c r="AE267" s="3">
        <v>0</v>
      </c>
      <c r="AF267" s="3">
        <v>0</v>
      </c>
      <c r="AG267" s="3">
        <v>0</v>
      </c>
      <c r="AH267" s="3">
        <v>0.615384615384615</v>
      </c>
      <c r="AI267" s="3">
        <v>1.75654699999999</v>
      </c>
      <c r="AJ267" s="3" t="s">
        <v>925</v>
      </c>
    </row>
    <row r="268" spans="1:36">
      <c r="A268" s="5">
        <v>43336</v>
      </c>
      <c r="B268" s="3" t="s">
        <v>1498</v>
      </c>
      <c r="C268" s="3" t="s">
        <v>1499</v>
      </c>
      <c r="D268" s="3" t="s">
        <v>1500</v>
      </c>
      <c r="E268" s="3" t="s">
        <v>1501</v>
      </c>
      <c r="F268" s="3" t="s">
        <v>867</v>
      </c>
      <c r="G268" s="3">
        <v>2</v>
      </c>
      <c r="H268" s="3">
        <v>0</v>
      </c>
      <c r="I268" s="3">
        <v>2</v>
      </c>
      <c r="J268" s="3">
        <v>0</v>
      </c>
      <c r="K268" s="3">
        <v>0</v>
      </c>
      <c r="L268" s="3">
        <v>0</v>
      </c>
      <c r="M268" s="3">
        <v>0</v>
      </c>
      <c r="N268" s="3" t="s">
        <v>868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 t="s">
        <v>871</v>
      </c>
      <c r="X268" s="3">
        <v>24.98</v>
      </c>
      <c r="Y268" s="3">
        <v>24.98</v>
      </c>
      <c r="Z268" s="3">
        <v>24.98</v>
      </c>
      <c r="AA268" s="3">
        <v>0</v>
      </c>
      <c r="AB268" s="3" t="s">
        <v>883</v>
      </c>
      <c r="AC268" s="3">
        <v>0</v>
      </c>
      <c r="AD268" s="3">
        <v>19.98</v>
      </c>
      <c r="AE268" s="3">
        <v>63</v>
      </c>
      <c r="AF268" s="3">
        <v>0</v>
      </c>
      <c r="AG268" s="3">
        <v>37.301197</v>
      </c>
      <c r="AH268" s="3">
        <v>0.444444444444444</v>
      </c>
      <c r="AI268" s="3">
        <v>0.274502</v>
      </c>
      <c r="AJ268" s="3" t="s">
        <v>870</v>
      </c>
    </row>
    <row r="269" spans="1:36">
      <c r="A269" s="5">
        <v>43336</v>
      </c>
      <c r="B269" s="3" t="s">
        <v>1502</v>
      </c>
      <c r="C269" s="3" t="s">
        <v>1503</v>
      </c>
      <c r="D269" s="3" t="s">
        <v>1503</v>
      </c>
      <c r="E269" s="3" t="s">
        <v>1504</v>
      </c>
      <c r="F269" s="3" t="s">
        <v>867</v>
      </c>
      <c r="G269" s="3">
        <v>1</v>
      </c>
      <c r="H269" s="3">
        <v>0</v>
      </c>
      <c r="I269" s="3">
        <v>0</v>
      </c>
      <c r="J269" s="3">
        <v>1</v>
      </c>
      <c r="K269" s="3">
        <v>0</v>
      </c>
      <c r="L269" s="3">
        <v>0</v>
      </c>
      <c r="M269" s="3">
        <v>0</v>
      </c>
      <c r="N269" s="3" t="s">
        <v>868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/>
      <c r="X269" s="3"/>
      <c r="Y269" s="3"/>
      <c r="Z269" s="3">
        <v>-1</v>
      </c>
      <c r="AA269" s="3">
        <v>-1</v>
      </c>
      <c r="AB269" s="3" t="s">
        <v>891</v>
      </c>
      <c r="AC269" s="3">
        <v>0</v>
      </c>
      <c r="AD269" s="3">
        <v>0</v>
      </c>
      <c r="AE269" s="3">
        <v>0</v>
      </c>
      <c r="AF269" s="3">
        <v>0</v>
      </c>
      <c r="AG269" s="3">
        <v>0</v>
      </c>
      <c r="AH269" s="3">
        <v>0</v>
      </c>
      <c r="AI269" s="3">
        <v>0.050528</v>
      </c>
      <c r="AJ269" s="3" t="s">
        <v>870</v>
      </c>
    </row>
    <row r="270" spans="1:36">
      <c r="A270" s="5">
        <v>43336</v>
      </c>
      <c r="B270" s="3" t="s">
        <v>1505</v>
      </c>
      <c r="C270" s="3" t="s">
        <v>126</v>
      </c>
      <c r="D270" s="3" t="s">
        <v>126</v>
      </c>
      <c r="E270" s="3" t="s">
        <v>127</v>
      </c>
      <c r="F270" s="3" t="s">
        <v>867</v>
      </c>
      <c r="G270" s="3">
        <v>30</v>
      </c>
      <c r="H270" s="3">
        <v>0</v>
      </c>
      <c r="I270" s="3">
        <v>1</v>
      </c>
      <c r="J270" s="3">
        <v>29</v>
      </c>
      <c r="K270" s="3">
        <v>0</v>
      </c>
      <c r="L270" s="3">
        <v>0</v>
      </c>
      <c r="M270" s="3">
        <v>0</v>
      </c>
      <c r="N270" s="3" t="s">
        <v>868</v>
      </c>
      <c r="O270" s="3">
        <v>0</v>
      </c>
      <c r="P270" s="3">
        <v>0</v>
      </c>
      <c r="Q270" s="3">
        <v>0</v>
      </c>
      <c r="R270" s="3">
        <v>0</v>
      </c>
      <c r="S270" s="3">
        <v>1</v>
      </c>
      <c r="T270" s="3">
        <v>1</v>
      </c>
      <c r="U270" s="3">
        <v>3</v>
      </c>
      <c r="V270" s="3">
        <v>5</v>
      </c>
      <c r="W270" s="3" t="s">
        <v>871</v>
      </c>
      <c r="X270" s="3">
        <v>22.99</v>
      </c>
      <c r="Y270" s="3">
        <v>22.99</v>
      </c>
      <c r="Z270" s="3">
        <v>22.98</v>
      </c>
      <c r="AA270" s="3">
        <v>0</v>
      </c>
      <c r="AB270" s="3" t="s">
        <v>883</v>
      </c>
      <c r="AC270" s="3">
        <v>0</v>
      </c>
      <c r="AD270" s="3">
        <v>16.51</v>
      </c>
      <c r="AE270" s="3">
        <v>364</v>
      </c>
      <c r="AF270" s="3">
        <v>0</v>
      </c>
      <c r="AG270" s="3">
        <v>695.818395</v>
      </c>
      <c r="AH270" s="3">
        <v>0.157480314960629</v>
      </c>
      <c r="AI270" s="3">
        <v>4.37703</v>
      </c>
      <c r="AJ270" s="3" t="s">
        <v>870</v>
      </c>
    </row>
    <row r="271" spans="1:36">
      <c r="A271" s="5">
        <v>43336</v>
      </c>
      <c r="B271" s="3" t="s">
        <v>1506</v>
      </c>
      <c r="C271" s="3" t="s">
        <v>1507</v>
      </c>
      <c r="D271" s="3" t="s">
        <v>1507</v>
      </c>
      <c r="E271" s="3" t="s">
        <v>1508</v>
      </c>
      <c r="F271" s="3" t="s">
        <v>867</v>
      </c>
      <c r="G271" s="3">
        <v>12</v>
      </c>
      <c r="H271" s="3">
        <v>0</v>
      </c>
      <c r="I271" s="3">
        <v>10</v>
      </c>
      <c r="J271" s="3">
        <v>2</v>
      </c>
      <c r="K271" s="3">
        <v>0</v>
      </c>
      <c r="L271" s="3">
        <v>0</v>
      </c>
      <c r="M271" s="3">
        <v>0</v>
      </c>
      <c r="N271" s="3" t="s">
        <v>868</v>
      </c>
      <c r="O271" s="3">
        <v>0</v>
      </c>
      <c r="P271" s="3">
        <v>0</v>
      </c>
      <c r="Q271" s="3">
        <v>0</v>
      </c>
      <c r="R271" s="3">
        <v>0</v>
      </c>
      <c r="S271" s="3">
        <v>1</v>
      </c>
      <c r="T271" s="3">
        <v>4</v>
      </c>
      <c r="U271" s="3">
        <v>6</v>
      </c>
      <c r="V271" s="3">
        <v>7</v>
      </c>
      <c r="W271" s="3"/>
      <c r="X271" s="3">
        <v>22.98</v>
      </c>
      <c r="Y271" s="3">
        <v>22.98</v>
      </c>
      <c r="Z271" s="3">
        <v>22.98</v>
      </c>
      <c r="AA271" s="3">
        <v>0</v>
      </c>
      <c r="AB271" s="3" t="s">
        <v>869</v>
      </c>
      <c r="AC271" s="3">
        <v>12</v>
      </c>
      <c r="AD271" s="3">
        <v>22.98</v>
      </c>
      <c r="AE271" s="3">
        <v>0</v>
      </c>
      <c r="AF271" s="3">
        <v>0</v>
      </c>
      <c r="AG271" s="3">
        <v>0</v>
      </c>
      <c r="AH271" s="3">
        <v>0.509090909090909</v>
      </c>
      <c r="AI271" s="3">
        <v>1.002756</v>
      </c>
      <c r="AJ271" s="3" t="s">
        <v>870</v>
      </c>
    </row>
    <row r="272" spans="1:36">
      <c r="A272" s="5">
        <v>43336</v>
      </c>
      <c r="B272" s="3" t="s">
        <v>1509</v>
      </c>
      <c r="C272" s="3" t="s">
        <v>1510</v>
      </c>
      <c r="D272" s="3" t="s">
        <v>1510</v>
      </c>
      <c r="E272" s="3" t="s">
        <v>1511</v>
      </c>
      <c r="F272" s="3" t="s">
        <v>867</v>
      </c>
      <c r="G272" s="3">
        <v>34</v>
      </c>
      <c r="H272" s="3">
        <v>0</v>
      </c>
      <c r="I272" s="3">
        <v>5</v>
      </c>
      <c r="J272" s="3">
        <v>29</v>
      </c>
      <c r="K272" s="3">
        <v>0</v>
      </c>
      <c r="L272" s="3">
        <v>0</v>
      </c>
      <c r="M272" s="3">
        <v>0</v>
      </c>
      <c r="N272" s="3" t="s">
        <v>868</v>
      </c>
      <c r="O272" s="3">
        <v>0</v>
      </c>
      <c r="P272" s="3">
        <v>0</v>
      </c>
      <c r="Q272" s="3">
        <v>0</v>
      </c>
      <c r="R272" s="3">
        <v>0</v>
      </c>
      <c r="S272" s="3">
        <v>1</v>
      </c>
      <c r="T272" s="3">
        <v>1</v>
      </c>
      <c r="U272" s="3">
        <v>2</v>
      </c>
      <c r="V272" s="3">
        <v>2</v>
      </c>
      <c r="W272" s="3" t="s">
        <v>871</v>
      </c>
      <c r="X272" s="3">
        <v>39.98</v>
      </c>
      <c r="Y272" s="3">
        <v>22.98</v>
      </c>
      <c r="Z272" s="3">
        <v>22.98</v>
      </c>
      <c r="AA272" s="3">
        <v>0</v>
      </c>
      <c r="AB272" s="3" t="s">
        <v>883</v>
      </c>
      <c r="AC272" s="3">
        <v>0</v>
      </c>
      <c r="AD272" s="3">
        <v>17.32</v>
      </c>
      <c r="AE272" s="3">
        <v>350</v>
      </c>
      <c r="AF272" s="3">
        <v>0</v>
      </c>
      <c r="AG272" s="3">
        <v>1095.885679</v>
      </c>
      <c r="AH272" s="3">
        <v>0.0588235294117647</v>
      </c>
      <c r="AI272" s="3">
        <v>7.24941199999999</v>
      </c>
      <c r="AJ272" s="3" t="s">
        <v>870</v>
      </c>
    </row>
    <row r="273" spans="1:36">
      <c r="A273" s="5">
        <v>43336</v>
      </c>
      <c r="B273" s="3" t="s">
        <v>47</v>
      </c>
      <c r="C273" s="3" t="s">
        <v>30</v>
      </c>
      <c r="D273" s="3" t="s">
        <v>30</v>
      </c>
      <c r="E273" s="3" t="s">
        <v>31</v>
      </c>
      <c r="F273" s="3" t="s">
        <v>867</v>
      </c>
      <c r="G273" s="3">
        <v>13</v>
      </c>
      <c r="H273" s="3">
        <v>0</v>
      </c>
      <c r="I273" s="3">
        <v>1</v>
      </c>
      <c r="J273" s="3">
        <v>12</v>
      </c>
      <c r="K273" s="3">
        <v>0</v>
      </c>
      <c r="L273" s="3">
        <v>0</v>
      </c>
      <c r="M273" s="3">
        <v>0</v>
      </c>
      <c r="N273" s="3" t="s">
        <v>868</v>
      </c>
      <c r="O273" s="3">
        <v>12</v>
      </c>
      <c r="P273" s="3">
        <v>2.52</v>
      </c>
      <c r="Q273" s="3">
        <v>0</v>
      </c>
      <c r="R273" s="3">
        <v>0</v>
      </c>
      <c r="S273" s="3">
        <v>0</v>
      </c>
      <c r="T273" s="3">
        <v>1</v>
      </c>
      <c r="U273" s="3">
        <v>4</v>
      </c>
      <c r="V273" s="3">
        <v>9</v>
      </c>
      <c r="W273" s="3"/>
      <c r="X273" s="3">
        <v>24.98</v>
      </c>
      <c r="Y273" s="3">
        <v>24.98</v>
      </c>
      <c r="Z273" s="3">
        <v>24.98</v>
      </c>
      <c r="AA273" s="3">
        <v>0</v>
      </c>
      <c r="AB273" s="3" t="s">
        <v>869</v>
      </c>
      <c r="AC273" s="3">
        <v>13</v>
      </c>
      <c r="AD273" s="3">
        <v>24.98</v>
      </c>
      <c r="AE273" s="3">
        <v>0</v>
      </c>
      <c r="AF273" s="3">
        <v>0</v>
      </c>
      <c r="AG273" s="3">
        <v>0</v>
      </c>
      <c r="AH273" s="3">
        <v>0.448598130841121</v>
      </c>
      <c r="AI273" s="3">
        <v>0.793156</v>
      </c>
      <c r="AJ273" s="3" t="s">
        <v>870</v>
      </c>
    </row>
    <row r="274" spans="1:36">
      <c r="A274" s="5">
        <v>43336</v>
      </c>
      <c r="B274" s="3" t="s">
        <v>637</v>
      </c>
      <c r="C274" s="3" t="s">
        <v>638</v>
      </c>
      <c r="D274" s="3" t="s">
        <v>639</v>
      </c>
      <c r="E274" s="3" t="s">
        <v>640</v>
      </c>
      <c r="F274" s="3" t="s">
        <v>867</v>
      </c>
      <c r="G274" s="3">
        <v>22</v>
      </c>
      <c r="H274" s="3">
        <v>0</v>
      </c>
      <c r="I274" s="3">
        <v>22</v>
      </c>
      <c r="J274" s="3">
        <v>0</v>
      </c>
      <c r="K274" s="3">
        <v>0</v>
      </c>
      <c r="L274" s="3">
        <v>0</v>
      </c>
      <c r="M274" s="3">
        <v>0</v>
      </c>
      <c r="N274" s="3" t="s">
        <v>868</v>
      </c>
      <c r="O274" s="3">
        <v>0</v>
      </c>
      <c r="P274" s="3">
        <v>0</v>
      </c>
      <c r="Q274" s="3">
        <v>0</v>
      </c>
      <c r="R274" s="3">
        <v>0</v>
      </c>
      <c r="S274" s="3">
        <v>4</v>
      </c>
      <c r="T274" s="3">
        <v>20</v>
      </c>
      <c r="U274" s="3">
        <v>36</v>
      </c>
      <c r="V274" s="3">
        <v>43</v>
      </c>
      <c r="W274" s="3"/>
      <c r="X274" s="3">
        <v>23.98</v>
      </c>
      <c r="Y274" s="3">
        <v>23.98</v>
      </c>
      <c r="Z274" s="3">
        <v>23.98</v>
      </c>
      <c r="AA274" s="3">
        <v>0</v>
      </c>
      <c r="AB274" s="3" t="s">
        <v>869</v>
      </c>
      <c r="AC274" s="3">
        <v>21</v>
      </c>
      <c r="AD274" s="3">
        <v>23.98</v>
      </c>
      <c r="AE274" s="3">
        <v>0</v>
      </c>
      <c r="AF274" s="3">
        <v>0</v>
      </c>
      <c r="AG274" s="3">
        <v>0</v>
      </c>
      <c r="AH274" s="3">
        <v>4.03125</v>
      </c>
      <c r="AI274" s="3">
        <v>3.82041</v>
      </c>
      <c r="AJ274" s="3" t="s">
        <v>870</v>
      </c>
    </row>
    <row r="275" spans="1:36">
      <c r="A275" s="5">
        <v>43336</v>
      </c>
      <c r="B275" s="3" t="s">
        <v>1512</v>
      </c>
      <c r="C275" s="3" t="s">
        <v>1513</v>
      </c>
      <c r="D275" s="3" t="s">
        <v>1513</v>
      </c>
      <c r="E275" s="3" t="s">
        <v>1514</v>
      </c>
      <c r="F275" s="3" t="s">
        <v>867</v>
      </c>
      <c r="G275" s="3">
        <v>10</v>
      </c>
      <c r="H275" s="3">
        <v>0</v>
      </c>
      <c r="I275" s="3">
        <v>10</v>
      </c>
      <c r="J275" s="3">
        <v>0</v>
      </c>
      <c r="K275" s="3">
        <v>0</v>
      </c>
      <c r="L275" s="3">
        <v>0</v>
      </c>
      <c r="M275" s="3">
        <v>0</v>
      </c>
      <c r="N275" s="3" t="s">
        <v>868</v>
      </c>
      <c r="O275" s="3">
        <v>0</v>
      </c>
      <c r="P275" s="3">
        <v>0</v>
      </c>
      <c r="Q275" s="3">
        <v>0</v>
      </c>
      <c r="R275" s="3">
        <v>0</v>
      </c>
      <c r="S275" s="3">
        <v>1</v>
      </c>
      <c r="T275" s="3">
        <v>5</v>
      </c>
      <c r="U275" s="3">
        <v>5</v>
      </c>
      <c r="V275" s="3">
        <v>5</v>
      </c>
      <c r="W275" s="3"/>
      <c r="X275" s="3">
        <v>20.98</v>
      </c>
      <c r="Y275" s="3">
        <v>20.98</v>
      </c>
      <c r="Z275" s="3">
        <v>20.98</v>
      </c>
      <c r="AA275" s="3">
        <v>0</v>
      </c>
      <c r="AB275" s="3" t="s">
        <v>869</v>
      </c>
      <c r="AC275" s="3">
        <v>9</v>
      </c>
      <c r="AD275" s="3">
        <v>20.98</v>
      </c>
      <c r="AE275" s="3">
        <v>0</v>
      </c>
      <c r="AF275" s="3">
        <v>0</v>
      </c>
      <c r="AG275" s="3">
        <v>0</v>
      </c>
      <c r="AH275" s="3">
        <v>0.5</v>
      </c>
      <c r="AI275" s="3">
        <v>0.45529</v>
      </c>
      <c r="AJ275" s="3" t="s">
        <v>870</v>
      </c>
    </row>
    <row r="276" spans="1:36">
      <c r="A276" s="5">
        <v>43336</v>
      </c>
      <c r="B276" s="3" t="s">
        <v>1515</v>
      </c>
      <c r="C276" s="3" t="s">
        <v>1516</v>
      </c>
      <c r="D276" s="3" t="s">
        <v>1517</v>
      </c>
      <c r="E276" s="3" t="s">
        <v>1518</v>
      </c>
      <c r="F276" s="3" t="s">
        <v>867</v>
      </c>
      <c r="G276" s="3">
        <v>15</v>
      </c>
      <c r="H276" s="3">
        <v>0</v>
      </c>
      <c r="I276" s="3">
        <v>15</v>
      </c>
      <c r="J276" s="3">
        <v>0</v>
      </c>
      <c r="K276" s="3">
        <v>0</v>
      </c>
      <c r="L276" s="3">
        <v>0</v>
      </c>
      <c r="M276" s="3">
        <v>0</v>
      </c>
      <c r="N276" s="3" t="s">
        <v>868</v>
      </c>
      <c r="O276" s="3">
        <v>0</v>
      </c>
      <c r="P276" s="3">
        <v>0</v>
      </c>
      <c r="Q276" s="3">
        <v>0</v>
      </c>
      <c r="R276" s="3">
        <v>0</v>
      </c>
      <c r="S276" s="3">
        <v>1</v>
      </c>
      <c r="T276" s="3">
        <v>2</v>
      </c>
      <c r="U276" s="3">
        <v>7</v>
      </c>
      <c r="V276" s="3">
        <v>7</v>
      </c>
      <c r="W276" s="3"/>
      <c r="X276" s="3">
        <v>22.98</v>
      </c>
      <c r="Y276" s="3">
        <v>22.98</v>
      </c>
      <c r="Z276" s="3">
        <v>22.98</v>
      </c>
      <c r="AA276" s="3">
        <v>0</v>
      </c>
      <c r="AB276" s="3" t="s">
        <v>869</v>
      </c>
      <c r="AC276" s="3">
        <v>15</v>
      </c>
      <c r="AD276" s="3">
        <v>22.98</v>
      </c>
      <c r="AE276" s="3">
        <v>0</v>
      </c>
      <c r="AF276" s="3">
        <v>0</v>
      </c>
      <c r="AG276" s="3">
        <v>0</v>
      </c>
      <c r="AH276" s="3">
        <v>0.689655172413793</v>
      </c>
      <c r="AI276" s="3">
        <v>1.35732</v>
      </c>
      <c r="AJ276" s="3" t="s">
        <v>870</v>
      </c>
    </row>
    <row r="277" spans="1:36">
      <c r="A277" s="5">
        <v>43336</v>
      </c>
      <c r="B277" s="3" t="s">
        <v>1519</v>
      </c>
      <c r="C277" s="3" t="s">
        <v>1520</v>
      </c>
      <c r="D277" s="3" t="s">
        <v>1521</v>
      </c>
      <c r="E277" s="3" t="s">
        <v>1522</v>
      </c>
      <c r="F277" s="3" t="s">
        <v>867</v>
      </c>
      <c r="G277" s="3">
        <v>3</v>
      </c>
      <c r="H277" s="3">
        <v>0</v>
      </c>
      <c r="I277" s="3">
        <v>3</v>
      </c>
      <c r="J277" s="3">
        <v>0</v>
      </c>
      <c r="K277" s="3">
        <v>0</v>
      </c>
      <c r="L277" s="3">
        <v>0</v>
      </c>
      <c r="M277" s="3">
        <v>0</v>
      </c>
      <c r="N277" s="3" t="s">
        <v>868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1</v>
      </c>
      <c r="U277" s="3">
        <v>1</v>
      </c>
      <c r="V277" s="3">
        <v>1</v>
      </c>
      <c r="W277" s="3"/>
      <c r="X277" s="3">
        <v>20.98</v>
      </c>
      <c r="Y277" s="3">
        <v>20.98</v>
      </c>
      <c r="Z277" s="3">
        <v>20.98</v>
      </c>
      <c r="AA277" s="3">
        <v>0</v>
      </c>
      <c r="AB277" s="3" t="s">
        <v>869</v>
      </c>
      <c r="AC277" s="3">
        <v>2</v>
      </c>
      <c r="AD277" s="3">
        <v>20.98</v>
      </c>
      <c r="AE277" s="3">
        <v>0</v>
      </c>
      <c r="AF277" s="3">
        <v>0</v>
      </c>
      <c r="AG277" s="3">
        <v>0</v>
      </c>
      <c r="AH277" s="3">
        <v>2.33333333333333</v>
      </c>
      <c r="AI277" s="3">
        <v>0.250689</v>
      </c>
      <c r="AJ277" s="3" t="s">
        <v>870</v>
      </c>
    </row>
    <row r="278" spans="1:36">
      <c r="A278" s="5">
        <v>43336</v>
      </c>
      <c r="B278" s="3" t="s">
        <v>1523</v>
      </c>
      <c r="C278" s="3" t="s">
        <v>1524</v>
      </c>
      <c r="D278" s="3" t="s">
        <v>1525</v>
      </c>
      <c r="E278" s="3" t="s">
        <v>1526</v>
      </c>
      <c r="F278" s="3" t="s">
        <v>867</v>
      </c>
      <c r="G278" s="3">
        <v>6</v>
      </c>
      <c r="H278" s="3">
        <v>0</v>
      </c>
      <c r="I278" s="3">
        <v>6</v>
      </c>
      <c r="J278" s="3">
        <v>0</v>
      </c>
      <c r="K278" s="3">
        <v>0</v>
      </c>
      <c r="L278" s="3">
        <v>0</v>
      </c>
      <c r="M278" s="3">
        <v>0</v>
      </c>
      <c r="N278" s="3" t="s">
        <v>868</v>
      </c>
      <c r="O278" s="3">
        <v>0</v>
      </c>
      <c r="P278" s="3">
        <v>0</v>
      </c>
      <c r="Q278" s="3">
        <v>0</v>
      </c>
      <c r="R278" s="3">
        <v>0</v>
      </c>
      <c r="S278" s="3">
        <v>2</v>
      </c>
      <c r="T278" s="3">
        <v>4</v>
      </c>
      <c r="U278" s="3">
        <v>4</v>
      </c>
      <c r="V278" s="3">
        <v>4</v>
      </c>
      <c r="W278" s="3"/>
      <c r="X278" s="3">
        <v>27.98</v>
      </c>
      <c r="Y278" s="3">
        <v>27.98</v>
      </c>
      <c r="Z278" s="3">
        <v>27.98</v>
      </c>
      <c r="AA278" s="3">
        <v>0</v>
      </c>
      <c r="AB278" s="3" t="s">
        <v>869</v>
      </c>
      <c r="AC278" s="3">
        <v>7</v>
      </c>
      <c r="AD278" s="3">
        <v>27.98</v>
      </c>
      <c r="AE278" s="3">
        <v>0</v>
      </c>
      <c r="AF278" s="3">
        <v>0</v>
      </c>
      <c r="AG278" s="3">
        <v>0</v>
      </c>
      <c r="AH278" s="3">
        <v>3.23076923076923</v>
      </c>
      <c r="AI278" s="3">
        <v>0.989628</v>
      </c>
      <c r="AJ278" s="3" t="s">
        <v>870</v>
      </c>
    </row>
    <row r="279" spans="1:36">
      <c r="A279" s="5">
        <v>43336</v>
      </c>
      <c r="B279" s="3" t="s">
        <v>1527</v>
      </c>
      <c r="C279" s="3" t="s">
        <v>1528</v>
      </c>
      <c r="D279" s="3" t="s">
        <v>1528</v>
      </c>
      <c r="E279" s="3" t="s">
        <v>1529</v>
      </c>
      <c r="F279" s="3" t="s">
        <v>867</v>
      </c>
      <c r="G279" s="3">
        <v>1</v>
      </c>
      <c r="H279" s="3">
        <v>0</v>
      </c>
      <c r="I279" s="3">
        <v>1</v>
      </c>
      <c r="J279" s="3">
        <v>0</v>
      </c>
      <c r="K279" s="3">
        <v>0</v>
      </c>
      <c r="L279" s="3">
        <v>0</v>
      </c>
      <c r="M279" s="3">
        <v>0</v>
      </c>
      <c r="N279" s="3" t="s">
        <v>868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1</v>
      </c>
      <c r="U279" s="3">
        <v>3</v>
      </c>
      <c r="V279" s="3">
        <v>8</v>
      </c>
      <c r="W279" s="3"/>
      <c r="X279" s="3">
        <v>22.99</v>
      </c>
      <c r="Y279" s="3">
        <v>22.99</v>
      </c>
      <c r="Z279" s="3">
        <v>22.99</v>
      </c>
      <c r="AA279" s="3">
        <v>0</v>
      </c>
      <c r="AB279" s="3" t="s">
        <v>869</v>
      </c>
      <c r="AC279" s="3">
        <v>1</v>
      </c>
      <c r="AD279" s="3">
        <v>22.99</v>
      </c>
      <c r="AE279" s="3">
        <v>0</v>
      </c>
      <c r="AF279" s="3">
        <v>0</v>
      </c>
      <c r="AG279" s="3">
        <v>0</v>
      </c>
      <c r="AH279" s="3">
        <v>4</v>
      </c>
      <c r="AI279" s="3">
        <v>0.166277</v>
      </c>
      <c r="AJ279" s="3" t="s">
        <v>870</v>
      </c>
    </row>
    <row r="280" spans="1:36">
      <c r="A280" s="5">
        <v>43336</v>
      </c>
      <c r="B280" s="3" t="s">
        <v>1530</v>
      </c>
      <c r="C280" s="3" t="s">
        <v>1531</v>
      </c>
      <c r="D280" s="3" t="s">
        <v>1531</v>
      </c>
      <c r="E280" s="3" t="s">
        <v>1532</v>
      </c>
      <c r="F280" s="3" t="s">
        <v>867</v>
      </c>
      <c r="G280" s="3">
        <v>14</v>
      </c>
      <c r="H280" s="3">
        <v>0</v>
      </c>
      <c r="I280" s="3">
        <v>1</v>
      </c>
      <c r="J280" s="3">
        <v>13</v>
      </c>
      <c r="K280" s="3">
        <v>0</v>
      </c>
      <c r="L280" s="3">
        <v>0</v>
      </c>
      <c r="M280" s="3">
        <v>0</v>
      </c>
      <c r="N280" s="3" t="s">
        <v>868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6</v>
      </c>
      <c r="V280" s="3">
        <v>8</v>
      </c>
      <c r="W280" s="3" t="s">
        <v>871</v>
      </c>
      <c r="X280" s="3">
        <v>22.98</v>
      </c>
      <c r="Y280" s="3">
        <v>22.98</v>
      </c>
      <c r="Z280" s="3">
        <v>21.98</v>
      </c>
      <c r="AA280" s="3">
        <v>0</v>
      </c>
      <c r="AB280" s="3" t="s">
        <v>869</v>
      </c>
      <c r="AC280" s="3">
        <v>14</v>
      </c>
      <c r="AD280" s="3">
        <v>22.98</v>
      </c>
      <c r="AE280" s="3">
        <v>0</v>
      </c>
      <c r="AF280" s="3">
        <v>0</v>
      </c>
      <c r="AG280" s="3">
        <v>0</v>
      </c>
      <c r="AH280" s="3">
        <v>0.732394366197183</v>
      </c>
      <c r="AI280" s="3">
        <v>0.952</v>
      </c>
      <c r="AJ280" s="3" t="s">
        <v>870</v>
      </c>
    </row>
    <row r="281" spans="1:36">
      <c r="A281" s="5">
        <v>43336</v>
      </c>
      <c r="B281" s="3" t="s">
        <v>1533</v>
      </c>
      <c r="C281" s="3" t="s">
        <v>1534</v>
      </c>
      <c r="D281" s="3" t="s">
        <v>1534</v>
      </c>
      <c r="E281" s="3" t="s">
        <v>1535</v>
      </c>
      <c r="F281" s="3" t="s">
        <v>867</v>
      </c>
      <c r="G281" s="3">
        <v>9</v>
      </c>
      <c r="H281" s="3">
        <v>0</v>
      </c>
      <c r="I281" s="3">
        <v>4</v>
      </c>
      <c r="J281" s="3">
        <v>5</v>
      </c>
      <c r="K281" s="3">
        <v>0</v>
      </c>
      <c r="L281" s="3">
        <v>0</v>
      </c>
      <c r="M281" s="3">
        <v>0</v>
      </c>
      <c r="N281" s="3" t="s">
        <v>868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1</v>
      </c>
      <c r="V281" s="3">
        <v>1</v>
      </c>
      <c r="W281" s="3" t="s">
        <v>871</v>
      </c>
      <c r="X281" s="3">
        <v>27.98</v>
      </c>
      <c r="Y281" s="3">
        <v>27.98</v>
      </c>
      <c r="Z281" s="3">
        <v>27.98</v>
      </c>
      <c r="AA281" s="3">
        <v>0</v>
      </c>
      <c r="AB281" s="3" t="s">
        <v>883</v>
      </c>
      <c r="AC281" s="3">
        <v>5</v>
      </c>
      <c r="AD281" s="3">
        <v>25.42</v>
      </c>
      <c r="AE281" s="3">
        <v>133</v>
      </c>
      <c r="AF281" s="3">
        <v>0</v>
      </c>
      <c r="AG281" s="3">
        <v>1.674047</v>
      </c>
      <c r="AH281" s="3">
        <v>0.117647058823529</v>
      </c>
      <c r="AI281" s="3">
        <v>1.52163</v>
      </c>
      <c r="AJ281" s="3" t="s">
        <v>870</v>
      </c>
    </row>
    <row r="282" spans="1:36">
      <c r="A282" s="5">
        <v>43336</v>
      </c>
      <c r="B282" s="3" t="s">
        <v>429</v>
      </c>
      <c r="C282" s="3" t="s">
        <v>430</v>
      </c>
      <c r="D282" s="3" t="s">
        <v>431</v>
      </c>
      <c r="E282" s="3" t="s">
        <v>432</v>
      </c>
      <c r="F282" s="3" t="s">
        <v>867</v>
      </c>
      <c r="G282" s="3">
        <v>6</v>
      </c>
      <c r="H282" s="3">
        <v>0</v>
      </c>
      <c r="I282" s="3">
        <v>6</v>
      </c>
      <c r="J282" s="3">
        <v>0</v>
      </c>
      <c r="K282" s="3">
        <v>0</v>
      </c>
      <c r="L282" s="3">
        <v>0</v>
      </c>
      <c r="M282" s="3">
        <v>0</v>
      </c>
      <c r="N282" s="3" t="s">
        <v>868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871</v>
      </c>
      <c r="X282" s="3">
        <v>23.99</v>
      </c>
      <c r="Y282" s="3">
        <v>19.98</v>
      </c>
      <c r="Z282" s="3">
        <v>19.98</v>
      </c>
      <c r="AA282" s="3">
        <v>0</v>
      </c>
      <c r="AB282" s="3" t="s">
        <v>883</v>
      </c>
      <c r="AC282" s="3">
        <v>0</v>
      </c>
      <c r="AD282" s="3">
        <v>15.98</v>
      </c>
      <c r="AE282" s="3">
        <v>63</v>
      </c>
      <c r="AF282" s="3">
        <v>0</v>
      </c>
      <c r="AG282" s="3">
        <v>145.847971</v>
      </c>
      <c r="AH282" s="3">
        <v>0</v>
      </c>
      <c r="AI282" s="3">
        <v>1.25562</v>
      </c>
      <c r="AJ282" s="3" t="s">
        <v>870</v>
      </c>
    </row>
    <row r="283" spans="1:36">
      <c r="A283" s="5">
        <v>43336</v>
      </c>
      <c r="B283" s="3" t="s">
        <v>1536</v>
      </c>
      <c r="C283" s="3" t="s">
        <v>1537</v>
      </c>
      <c r="D283" s="3" t="s">
        <v>1538</v>
      </c>
      <c r="E283" s="3" t="s">
        <v>1539</v>
      </c>
      <c r="F283" s="3" t="s">
        <v>867</v>
      </c>
      <c r="G283" s="3">
        <v>3</v>
      </c>
      <c r="H283" s="3">
        <v>0</v>
      </c>
      <c r="I283" s="3">
        <v>3</v>
      </c>
      <c r="J283" s="3">
        <v>0</v>
      </c>
      <c r="K283" s="3">
        <v>0</v>
      </c>
      <c r="L283" s="3">
        <v>0</v>
      </c>
      <c r="M283" s="3">
        <v>0</v>
      </c>
      <c r="N283" s="3" t="s">
        <v>868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871</v>
      </c>
      <c r="X283" s="3">
        <v>24.98</v>
      </c>
      <c r="Y283" s="3">
        <v>24.98</v>
      </c>
      <c r="Z283" s="3">
        <v>24.98</v>
      </c>
      <c r="AA283" s="3">
        <v>0</v>
      </c>
      <c r="AB283" s="3" t="s">
        <v>883</v>
      </c>
      <c r="AC283" s="3">
        <v>0</v>
      </c>
      <c r="AD283" s="3">
        <v>19.98</v>
      </c>
      <c r="AE283" s="3">
        <v>63</v>
      </c>
      <c r="AF283" s="3">
        <v>0</v>
      </c>
      <c r="AG283" s="3">
        <v>48.457446</v>
      </c>
      <c r="AH283" s="3">
        <v>0</v>
      </c>
      <c r="AI283" s="3">
        <v>0.352635</v>
      </c>
      <c r="AJ283" s="3" t="s">
        <v>870</v>
      </c>
    </row>
    <row r="284" spans="1:36">
      <c r="A284" s="5">
        <v>43336</v>
      </c>
      <c r="B284" s="3" t="s">
        <v>532</v>
      </c>
      <c r="C284" s="3" t="s">
        <v>533</v>
      </c>
      <c r="D284" s="3" t="s">
        <v>533</v>
      </c>
      <c r="E284" s="3" t="s">
        <v>131</v>
      </c>
      <c r="F284" s="3" t="s">
        <v>867</v>
      </c>
      <c r="G284" s="3">
        <v>18</v>
      </c>
      <c r="H284" s="3">
        <v>0</v>
      </c>
      <c r="I284" s="3">
        <v>0</v>
      </c>
      <c r="J284" s="3">
        <v>18</v>
      </c>
      <c r="K284" s="3">
        <v>0</v>
      </c>
      <c r="L284" s="3">
        <v>0</v>
      </c>
      <c r="M284" s="3">
        <v>0</v>
      </c>
      <c r="N284" s="3" t="s">
        <v>868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4</v>
      </c>
      <c r="U284" s="3">
        <v>5</v>
      </c>
      <c r="V284" s="3">
        <v>8</v>
      </c>
      <c r="W284" s="3"/>
      <c r="X284" s="3">
        <v>16.98</v>
      </c>
      <c r="Y284" s="3">
        <v>16.98</v>
      </c>
      <c r="Z284" s="3">
        <v>16.98</v>
      </c>
      <c r="AA284" s="3">
        <v>0</v>
      </c>
      <c r="AB284" s="3" t="s">
        <v>869</v>
      </c>
      <c r="AC284" s="3">
        <v>18</v>
      </c>
      <c r="AD284" s="3">
        <v>16.98</v>
      </c>
      <c r="AE284" s="3">
        <v>0</v>
      </c>
      <c r="AF284" s="3">
        <v>0</v>
      </c>
      <c r="AG284" s="3">
        <v>0</v>
      </c>
      <c r="AH284" s="3">
        <v>0.359550561797752</v>
      </c>
      <c r="AI284" s="3">
        <v>3.57183</v>
      </c>
      <c r="AJ284" s="3" t="s">
        <v>870</v>
      </c>
    </row>
    <row r="285" spans="1:36">
      <c r="A285" s="5">
        <v>43336</v>
      </c>
      <c r="B285" s="3" t="s">
        <v>402</v>
      </c>
      <c r="C285" s="3" t="s">
        <v>403</v>
      </c>
      <c r="D285" s="3" t="s">
        <v>403</v>
      </c>
      <c r="E285" s="3" t="s">
        <v>404</v>
      </c>
      <c r="F285" s="3" t="s">
        <v>867</v>
      </c>
      <c r="G285" s="3">
        <v>30</v>
      </c>
      <c r="H285" s="3">
        <v>0</v>
      </c>
      <c r="I285" s="3">
        <v>2</v>
      </c>
      <c r="J285" s="3">
        <v>28</v>
      </c>
      <c r="K285" s="3">
        <v>0</v>
      </c>
      <c r="L285" s="3">
        <v>0</v>
      </c>
      <c r="M285" s="3">
        <v>0</v>
      </c>
      <c r="N285" s="3" t="s">
        <v>868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7</v>
      </c>
      <c r="U285" s="3">
        <v>13</v>
      </c>
      <c r="V285" s="3">
        <v>30</v>
      </c>
      <c r="W285" s="3"/>
      <c r="X285" s="3">
        <v>23.98</v>
      </c>
      <c r="Y285" s="3">
        <v>23.98</v>
      </c>
      <c r="Z285" s="3">
        <v>23.98</v>
      </c>
      <c r="AA285" s="3">
        <v>0</v>
      </c>
      <c r="AB285" s="3" t="s">
        <v>869</v>
      </c>
      <c r="AC285" s="3">
        <v>30</v>
      </c>
      <c r="AD285" s="3">
        <v>23.98</v>
      </c>
      <c r="AE285" s="3">
        <v>0</v>
      </c>
      <c r="AF285" s="3">
        <v>0</v>
      </c>
      <c r="AG285" s="3">
        <v>0</v>
      </c>
      <c r="AH285" s="3">
        <v>0.727272727272727</v>
      </c>
      <c r="AI285" s="3">
        <v>3.76689</v>
      </c>
      <c r="AJ285" s="3" t="s">
        <v>870</v>
      </c>
    </row>
    <row r="286" spans="1:36">
      <c r="A286" s="5">
        <v>43336</v>
      </c>
      <c r="B286" s="3" t="s">
        <v>612</v>
      </c>
      <c r="C286" s="3" t="s">
        <v>613</v>
      </c>
      <c r="D286" s="3" t="s">
        <v>613</v>
      </c>
      <c r="E286" s="3" t="s">
        <v>1540</v>
      </c>
      <c r="F286" s="3" t="s">
        <v>867</v>
      </c>
      <c r="G286" s="3">
        <v>6</v>
      </c>
      <c r="H286" s="3">
        <v>0</v>
      </c>
      <c r="I286" s="3">
        <v>2</v>
      </c>
      <c r="J286" s="3">
        <v>4</v>
      </c>
      <c r="K286" s="3">
        <v>0</v>
      </c>
      <c r="L286" s="3">
        <v>0</v>
      </c>
      <c r="M286" s="3">
        <v>0</v>
      </c>
      <c r="N286" s="3" t="s">
        <v>868</v>
      </c>
      <c r="O286" s="3">
        <v>0</v>
      </c>
      <c r="P286" s="3">
        <v>0</v>
      </c>
      <c r="Q286" s="3">
        <v>0</v>
      </c>
      <c r="R286" s="3">
        <v>0</v>
      </c>
      <c r="S286" s="3">
        <v>2</v>
      </c>
      <c r="T286" s="3">
        <v>18</v>
      </c>
      <c r="U286" s="3">
        <v>23</v>
      </c>
      <c r="V286" s="3">
        <v>32</v>
      </c>
      <c r="W286" s="3"/>
      <c r="X286" s="3">
        <v>23.98</v>
      </c>
      <c r="Y286" s="3">
        <v>23.98</v>
      </c>
      <c r="Z286" s="3">
        <v>23.98</v>
      </c>
      <c r="AA286" s="3">
        <v>0</v>
      </c>
      <c r="AB286" s="3" t="s">
        <v>869</v>
      </c>
      <c r="AC286" s="3">
        <v>8</v>
      </c>
      <c r="AD286" s="3">
        <v>23.98</v>
      </c>
      <c r="AE286" s="3">
        <v>0</v>
      </c>
      <c r="AF286" s="3">
        <v>0</v>
      </c>
      <c r="AG286" s="3">
        <v>0</v>
      </c>
      <c r="AH286" s="3">
        <v>1.26732673267326</v>
      </c>
      <c r="AI286" s="3">
        <v>1.23668999999999</v>
      </c>
      <c r="AJ286" s="3" t="s">
        <v>870</v>
      </c>
    </row>
    <row r="287" spans="1:36">
      <c r="A287" s="5">
        <v>43336</v>
      </c>
      <c r="B287" s="3" t="s">
        <v>1541</v>
      </c>
      <c r="C287" s="3" t="s">
        <v>1542</v>
      </c>
      <c r="D287" s="3" t="s">
        <v>1543</v>
      </c>
      <c r="E287" s="3" t="s">
        <v>1544</v>
      </c>
      <c r="F287" s="3" t="s">
        <v>867</v>
      </c>
      <c r="G287" s="3">
        <v>19</v>
      </c>
      <c r="H287" s="3">
        <v>0</v>
      </c>
      <c r="I287" s="3">
        <v>19</v>
      </c>
      <c r="J287" s="3">
        <v>0</v>
      </c>
      <c r="K287" s="3">
        <v>0</v>
      </c>
      <c r="L287" s="3">
        <v>0</v>
      </c>
      <c r="M287" s="3">
        <v>0</v>
      </c>
      <c r="N287" s="3" t="s">
        <v>868</v>
      </c>
      <c r="O287" s="3">
        <v>0</v>
      </c>
      <c r="P287" s="3">
        <v>0</v>
      </c>
      <c r="Q287" s="3">
        <v>0</v>
      </c>
      <c r="R287" s="3">
        <v>0</v>
      </c>
      <c r="S287" s="3">
        <v>1</v>
      </c>
      <c r="T287" s="3">
        <v>4</v>
      </c>
      <c r="U287" s="3">
        <v>6</v>
      </c>
      <c r="V287" s="3">
        <v>6</v>
      </c>
      <c r="W287" s="3" t="s">
        <v>871</v>
      </c>
      <c r="X287" s="3">
        <v>25.98</v>
      </c>
      <c r="Y287" s="3">
        <v>25.98</v>
      </c>
      <c r="Z287" s="3">
        <v>25.98</v>
      </c>
      <c r="AA287" s="3">
        <v>0</v>
      </c>
      <c r="AB287" s="3" t="s">
        <v>869</v>
      </c>
      <c r="AC287" s="3">
        <v>19</v>
      </c>
      <c r="AD287" s="3">
        <v>25.98</v>
      </c>
      <c r="AE287" s="3">
        <v>0</v>
      </c>
      <c r="AF287" s="3">
        <v>0</v>
      </c>
      <c r="AG287" s="3">
        <v>0</v>
      </c>
      <c r="AH287" s="3">
        <v>0.514285714285714</v>
      </c>
      <c r="AI287" s="3">
        <v>3.299445</v>
      </c>
      <c r="AJ287" s="3" t="s">
        <v>870</v>
      </c>
    </row>
    <row r="288" spans="1:36">
      <c r="A288" s="5">
        <v>43336</v>
      </c>
      <c r="B288" s="3" t="s">
        <v>1545</v>
      </c>
      <c r="C288" s="3" t="s">
        <v>1546</v>
      </c>
      <c r="D288" s="3" t="s">
        <v>1546</v>
      </c>
      <c r="E288" s="3" t="s">
        <v>1547</v>
      </c>
      <c r="F288" s="3" t="s">
        <v>867</v>
      </c>
      <c r="G288" s="3">
        <v>9</v>
      </c>
      <c r="H288" s="3">
        <v>0</v>
      </c>
      <c r="I288" s="3">
        <v>0</v>
      </c>
      <c r="J288" s="3">
        <v>0</v>
      </c>
      <c r="K288" s="3">
        <v>9</v>
      </c>
      <c r="L288" s="3">
        <v>0</v>
      </c>
      <c r="M288" s="3">
        <v>0</v>
      </c>
      <c r="N288" s="3" t="s">
        <v>868</v>
      </c>
      <c r="O288" s="3">
        <v>9</v>
      </c>
      <c r="P288" s="3">
        <v>2.75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 t="s">
        <v>871</v>
      </c>
      <c r="X288" s="3">
        <v>23.98</v>
      </c>
      <c r="Y288" s="3">
        <v>23.98</v>
      </c>
      <c r="Z288" s="3">
        <v>23.98</v>
      </c>
      <c r="AA288" s="3">
        <v>0</v>
      </c>
      <c r="AB288" s="3" t="s">
        <v>869</v>
      </c>
      <c r="AC288" s="3">
        <v>9</v>
      </c>
      <c r="AD288" s="3">
        <v>23.98</v>
      </c>
      <c r="AE288" s="3">
        <v>0</v>
      </c>
      <c r="AF288" s="3">
        <v>0</v>
      </c>
      <c r="AG288" s="3">
        <v>0</v>
      </c>
      <c r="AH288" s="3">
        <v>0</v>
      </c>
      <c r="AI288" s="3">
        <v>0.796248</v>
      </c>
      <c r="AJ288" s="3" t="s">
        <v>870</v>
      </c>
    </row>
    <row r="289" spans="1:36">
      <c r="A289" s="5">
        <v>43336</v>
      </c>
      <c r="B289" s="3" t="s">
        <v>625</v>
      </c>
      <c r="C289" s="3" t="s">
        <v>626</v>
      </c>
      <c r="D289" s="3" t="s">
        <v>626</v>
      </c>
      <c r="E289" s="3" t="s">
        <v>627</v>
      </c>
      <c r="F289" s="3" t="s">
        <v>867</v>
      </c>
      <c r="G289" s="3">
        <v>26</v>
      </c>
      <c r="H289" s="3">
        <v>0</v>
      </c>
      <c r="I289" s="3">
        <v>0</v>
      </c>
      <c r="J289" s="3">
        <v>26</v>
      </c>
      <c r="K289" s="3">
        <v>0</v>
      </c>
      <c r="L289" s="3">
        <v>0</v>
      </c>
      <c r="M289" s="3">
        <v>0</v>
      </c>
      <c r="N289" s="3" t="s">
        <v>868</v>
      </c>
      <c r="O289" s="3">
        <v>0</v>
      </c>
      <c r="P289" s="3">
        <v>0</v>
      </c>
      <c r="Q289" s="3">
        <v>0</v>
      </c>
      <c r="R289" s="3">
        <v>0</v>
      </c>
      <c r="S289" s="3">
        <v>2</v>
      </c>
      <c r="T289" s="3">
        <v>2</v>
      </c>
      <c r="U289" s="3">
        <v>2</v>
      </c>
      <c r="V289" s="3">
        <v>2</v>
      </c>
      <c r="W289" s="3" t="s">
        <v>871</v>
      </c>
      <c r="X289" s="3">
        <v>23.98</v>
      </c>
      <c r="Y289" s="3">
        <v>23.98</v>
      </c>
      <c r="Z289" s="3">
        <v>23.98</v>
      </c>
      <c r="AA289" s="3">
        <v>0</v>
      </c>
      <c r="AB289" s="3" t="s">
        <v>883</v>
      </c>
      <c r="AC289" s="3">
        <v>5</v>
      </c>
      <c r="AD289" s="3">
        <v>22.21</v>
      </c>
      <c r="AE289" s="3">
        <v>105</v>
      </c>
      <c r="AF289" s="3">
        <v>0</v>
      </c>
      <c r="AG289" s="3">
        <v>1031.851576</v>
      </c>
      <c r="AH289" s="3">
        <v>0.0677966101694915</v>
      </c>
      <c r="AI289" s="3">
        <v>5.44102</v>
      </c>
      <c r="AJ289" s="3" t="s">
        <v>870</v>
      </c>
    </row>
    <row r="290" spans="1:36">
      <c r="A290" s="5">
        <v>43336</v>
      </c>
      <c r="B290" s="3" t="s">
        <v>1548</v>
      </c>
      <c r="C290" s="3" t="s">
        <v>391</v>
      </c>
      <c r="D290" s="3" t="s">
        <v>391</v>
      </c>
      <c r="E290" s="3" t="s">
        <v>392</v>
      </c>
      <c r="F290" s="3" t="s">
        <v>867</v>
      </c>
      <c r="G290" s="3">
        <v>9</v>
      </c>
      <c r="H290" s="3">
        <v>0</v>
      </c>
      <c r="I290" s="3">
        <v>9</v>
      </c>
      <c r="J290" s="3">
        <v>0</v>
      </c>
      <c r="K290" s="3">
        <v>0</v>
      </c>
      <c r="L290" s="3">
        <v>0</v>
      </c>
      <c r="M290" s="3">
        <v>0</v>
      </c>
      <c r="N290" s="3" t="s">
        <v>868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3</v>
      </c>
      <c r="U290" s="3">
        <v>41</v>
      </c>
      <c r="V290" s="3">
        <v>111</v>
      </c>
      <c r="W290" s="3"/>
      <c r="X290" s="3">
        <v>24.98</v>
      </c>
      <c r="Y290" s="3">
        <v>24.98</v>
      </c>
      <c r="Z290" s="3">
        <v>23.98</v>
      </c>
      <c r="AA290" s="3">
        <v>0</v>
      </c>
      <c r="AB290" s="3" t="s">
        <v>869</v>
      </c>
      <c r="AC290" s="3">
        <v>9</v>
      </c>
      <c r="AD290" s="3">
        <v>24.98</v>
      </c>
      <c r="AE290" s="3">
        <v>0</v>
      </c>
      <c r="AF290" s="3">
        <v>0</v>
      </c>
      <c r="AG290" s="3">
        <v>0</v>
      </c>
      <c r="AH290" s="3">
        <v>2.86274509803921</v>
      </c>
      <c r="AI290" s="3">
        <v>0.409761</v>
      </c>
      <c r="AJ290" s="3" t="s">
        <v>870</v>
      </c>
    </row>
    <row r="291" spans="1:36">
      <c r="A291" s="5">
        <v>43336</v>
      </c>
      <c r="B291" s="3" t="s">
        <v>1549</v>
      </c>
      <c r="C291" s="3" t="s">
        <v>1550</v>
      </c>
      <c r="D291" s="3" t="s">
        <v>1550</v>
      </c>
      <c r="E291" s="3" t="s">
        <v>1551</v>
      </c>
      <c r="F291" s="3" t="s">
        <v>867</v>
      </c>
      <c r="G291" s="3">
        <v>1</v>
      </c>
      <c r="H291" s="3">
        <v>0</v>
      </c>
      <c r="I291" s="3">
        <v>0</v>
      </c>
      <c r="J291" s="3">
        <v>0</v>
      </c>
      <c r="K291" s="3">
        <v>1</v>
      </c>
      <c r="L291" s="3">
        <v>0</v>
      </c>
      <c r="M291" s="3">
        <v>0</v>
      </c>
      <c r="N291" s="3" t="s">
        <v>868</v>
      </c>
      <c r="O291" s="3">
        <v>1</v>
      </c>
      <c r="P291" s="3">
        <v>0.4</v>
      </c>
      <c r="Q291" s="3">
        <v>0</v>
      </c>
      <c r="R291" s="3">
        <v>0</v>
      </c>
      <c r="S291" s="3">
        <v>0</v>
      </c>
      <c r="T291" s="3">
        <v>0</v>
      </c>
      <c r="U291" s="3">
        <v>2</v>
      </c>
      <c r="V291" s="3">
        <v>3</v>
      </c>
      <c r="W291" s="3" t="s">
        <v>871</v>
      </c>
      <c r="X291" s="3">
        <v>27.98</v>
      </c>
      <c r="Y291" s="3">
        <v>27.98</v>
      </c>
      <c r="Z291" s="3">
        <v>27.98</v>
      </c>
      <c r="AA291" s="3">
        <v>0</v>
      </c>
      <c r="AB291" s="3" t="s">
        <v>869</v>
      </c>
      <c r="AC291" s="3">
        <v>1</v>
      </c>
      <c r="AD291" s="3">
        <v>27.98</v>
      </c>
      <c r="AE291" s="3">
        <v>0</v>
      </c>
      <c r="AF291" s="3">
        <v>0</v>
      </c>
      <c r="AG291" s="3">
        <v>0</v>
      </c>
      <c r="AH291" s="3">
        <v>1.33333333333333</v>
      </c>
      <c r="AI291" s="3">
        <v>0.115281</v>
      </c>
      <c r="AJ291" s="3" t="s">
        <v>870</v>
      </c>
    </row>
    <row r="292" spans="1:36">
      <c r="A292" s="5">
        <v>43336</v>
      </c>
      <c r="B292" s="3" t="s">
        <v>478</v>
      </c>
      <c r="C292" s="3" t="s">
        <v>479</v>
      </c>
      <c r="D292" s="3" t="s">
        <v>480</v>
      </c>
      <c r="E292" s="3" t="s">
        <v>481</v>
      </c>
      <c r="F292" s="3" t="s">
        <v>867</v>
      </c>
      <c r="G292" s="3">
        <v>6</v>
      </c>
      <c r="H292" s="3">
        <v>0</v>
      </c>
      <c r="I292" s="3">
        <v>6</v>
      </c>
      <c r="J292" s="3">
        <v>0</v>
      </c>
      <c r="K292" s="3">
        <v>0</v>
      </c>
      <c r="L292" s="3">
        <v>0</v>
      </c>
      <c r="M292" s="3">
        <v>0</v>
      </c>
      <c r="N292" s="3" t="s">
        <v>868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 t="s">
        <v>871</v>
      </c>
      <c r="X292" s="3">
        <v>23.99</v>
      </c>
      <c r="Y292" s="3">
        <v>23.99</v>
      </c>
      <c r="Z292" s="3">
        <v>23.99</v>
      </c>
      <c r="AA292" s="3">
        <v>0</v>
      </c>
      <c r="AB292" s="3" t="s">
        <v>883</v>
      </c>
      <c r="AC292" s="3">
        <v>5</v>
      </c>
      <c r="AD292" s="3">
        <v>19.98</v>
      </c>
      <c r="AE292" s="3">
        <v>0</v>
      </c>
      <c r="AF292" s="3">
        <v>0</v>
      </c>
      <c r="AG292" s="3">
        <v>0</v>
      </c>
      <c r="AH292" s="3">
        <v>1.25</v>
      </c>
      <c r="AI292" s="3">
        <v>0.63</v>
      </c>
      <c r="AJ292" s="3" t="s">
        <v>870</v>
      </c>
    </row>
    <row r="293" spans="1:36">
      <c r="A293" s="5">
        <v>43336</v>
      </c>
      <c r="B293" s="3" t="s">
        <v>1552</v>
      </c>
      <c r="C293" s="3" t="s">
        <v>1553</v>
      </c>
      <c r="D293" s="3" t="s">
        <v>1553</v>
      </c>
      <c r="E293" s="3" t="s">
        <v>1554</v>
      </c>
      <c r="F293" s="3" t="s">
        <v>867</v>
      </c>
      <c r="G293" s="3">
        <v>8</v>
      </c>
      <c r="H293" s="3">
        <v>0</v>
      </c>
      <c r="I293" s="3">
        <v>0</v>
      </c>
      <c r="J293" s="3">
        <v>8</v>
      </c>
      <c r="K293" s="3">
        <v>0</v>
      </c>
      <c r="L293" s="3">
        <v>0</v>
      </c>
      <c r="M293" s="3">
        <v>0</v>
      </c>
      <c r="N293" s="3" t="s">
        <v>868</v>
      </c>
      <c r="O293" s="3">
        <v>0</v>
      </c>
      <c r="P293" s="3">
        <v>0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 t="s">
        <v>936</v>
      </c>
      <c r="X293" s="3">
        <v>19.98</v>
      </c>
      <c r="Y293" s="3">
        <v>19.98</v>
      </c>
      <c r="Z293" s="3">
        <v>19.98</v>
      </c>
      <c r="AA293" s="3">
        <v>0</v>
      </c>
      <c r="AB293" s="3" t="s">
        <v>937</v>
      </c>
      <c r="AC293" s="3">
        <v>0</v>
      </c>
      <c r="AD293" s="3">
        <v>15.98</v>
      </c>
      <c r="AE293" s="3">
        <v>63</v>
      </c>
      <c r="AF293" s="3">
        <v>0</v>
      </c>
      <c r="AG293" s="3">
        <v>114.3844</v>
      </c>
      <c r="AH293" s="3">
        <v>0</v>
      </c>
      <c r="AI293" s="3">
        <v>0.84</v>
      </c>
      <c r="AJ293" s="3" t="s">
        <v>870</v>
      </c>
    </row>
    <row r="294" spans="1:36">
      <c r="A294" s="5">
        <v>43336</v>
      </c>
      <c r="B294" s="3" t="s">
        <v>1555</v>
      </c>
      <c r="C294" s="3" t="s">
        <v>1556</v>
      </c>
      <c r="D294" s="3" t="s">
        <v>1556</v>
      </c>
      <c r="E294" s="3" t="s">
        <v>1557</v>
      </c>
      <c r="F294" s="3" t="s">
        <v>867</v>
      </c>
      <c r="G294" s="3">
        <v>3</v>
      </c>
      <c r="H294" s="3">
        <v>0</v>
      </c>
      <c r="I294" s="3">
        <v>1</v>
      </c>
      <c r="J294" s="3">
        <v>2</v>
      </c>
      <c r="K294" s="3">
        <v>0</v>
      </c>
      <c r="L294" s="3">
        <v>0</v>
      </c>
      <c r="M294" s="3">
        <v>0</v>
      </c>
      <c r="N294" s="3" t="s">
        <v>868</v>
      </c>
      <c r="O294" s="3">
        <v>0</v>
      </c>
      <c r="P294" s="3">
        <v>0</v>
      </c>
      <c r="Q294" s="3">
        <v>0</v>
      </c>
      <c r="R294" s="3">
        <v>0</v>
      </c>
      <c r="S294" s="3">
        <v>1</v>
      </c>
      <c r="T294" s="3">
        <v>8</v>
      </c>
      <c r="U294" s="3">
        <v>15</v>
      </c>
      <c r="V294" s="3">
        <v>20</v>
      </c>
      <c r="W294" s="3"/>
      <c r="X294" s="3">
        <v>23.98</v>
      </c>
      <c r="Y294" s="3">
        <v>23.98</v>
      </c>
      <c r="Z294" s="3">
        <v>23.98</v>
      </c>
      <c r="AA294" s="3">
        <v>0</v>
      </c>
      <c r="AB294" s="3" t="s">
        <v>869</v>
      </c>
      <c r="AC294" s="3">
        <v>3</v>
      </c>
      <c r="AD294" s="3">
        <v>23.98</v>
      </c>
      <c r="AE294" s="3">
        <v>0</v>
      </c>
      <c r="AF294" s="3">
        <v>0</v>
      </c>
      <c r="AG294" s="3">
        <v>0</v>
      </c>
      <c r="AH294" s="3">
        <v>0.824742268041237</v>
      </c>
      <c r="AI294" s="3">
        <v>0.302913</v>
      </c>
      <c r="AJ294" s="3" t="s">
        <v>870</v>
      </c>
    </row>
    <row r="295" spans="1:36">
      <c r="A295" s="5">
        <v>43336</v>
      </c>
      <c r="B295" s="3" t="s">
        <v>1558</v>
      </c>
      <c r="C295" s="3" t="s">
        <v>1559</v>
      </c>
      <c r="D295" s="3" t="s">
        <v>1559</v>
      </c>
      <c r="E295" s="3" t="s">
        <v>1560</v>
      </c>
      <c r="F295" s="3" t="s">
        <v>867</v>
      </c>
      <c r="G295" s="3">
        <v>35</v>
      </c>
      <c r="H295" s="3">
        <v>0</v>
      </c>
      <c r="I295" s="3">
        <v>5</v>
      </c>
      <c r="J295" s="3">
        <v>30</v>
      </c>
      <c r="K295" s="3">
        <v>0</v>
      </c>
      <c r="L295" s="3">
        <v>0</v>
      </c>
      <c r="M295" s="3">
        <v>0</v>
      </c>
      <c r="N295" s="3" t="s">
        <v>868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2</v>
      </c>
      <c r="U295" s="3">
        <v>2</v>
      </c>
      <c r="V295" s="3">
        <v>2</v>
      </c>
      <c r="W295" s="3"/>
      <c r="X295" s="3">
        <v>39.98</v>
      </c>
      <c r="Y295" s="3">
        <v>22.98</v>
      </c>
      <c r="Z295" s="3">
        <v>22.98</v>
      </c>
      <c r="AA295" s="3">
        <v>0</v>
      </c>
      <c r="AB295" s="3" t="s">
        <v>883</v>
      </c>
      <c r="AC295" s="3">
        <v>11</v>
      </c>
      <c r="AD295" s="3">
        <v>18.38</v>
      </c>
      <c r="AE295" s="3">
        <v>287</v>
      </c>
      <c r="AF295" s="3">
        <v>0</v>
      </c>
      <c r="AG295" s="3">
        <v>72.35354</v>
      </c>
      <c r="AH295" s="3">
        <v>0.0567375886524822</v>
      </c>
      <c r="AI295" s="3">
        <v>7.46263</v>
      </c>
      <c r="AJ295" s="3" t="s">
        <v>870</v>
      </c>
    </row>
    <row r="296" spans="1:36">
      <c r="A296" s="5">
        <v>43336</v>
      </c>
      <c r="B296" s="3" t="s">
        <v>1561</v>
      </c>
      <c r="C296" s="3" t="s">
        <v>1562</v>
      </c>
      <c r="D296" s="3" t="s">
        <v>1562</v>
      </c>
      <c r="E296" s="3" t="s">
        <v>1563</v>
      </c>
      <c r="F296" s="3" t="s">
        <v>867</v>
      </c>
      <c r="G296" s="3">
        <v>2</v>
      </c>
      <c r="H296" s="3">
        <v>0</v>
      </c>
      <c r="I296" s="3">
        <v>2</v>
      </c>
      <c r="J296" s="3">
        <v>0</v>
      </c>
      <c r="K296" s="3">
        <v>0</v>
      </c>
      <c r="L296" s="3">
        <v>0</v>
      </c>
      <c r="M296" s="3">
        <v>0</v>
      </c>
      <c r="N296" s="3" t="s">
        <v>868</v>
      </c>
      <c r="O296" s="3">
        <v>0</v>
      </c>
      <c r="P296" s="3">
        <v>0</v>
      </c>
      <c r="Q296" s="3">
        <v>0</v>
      </c>
      <c r="R296" s="3">
        <v>0</v>
      </c>
      <c r="S296" s="3">
        <v>3</v>
      </c>
      <c r="T296" s="3">
        <v>11</v>
      </c>
      <c r="U296" s="3">
        <v>25</v>
      </c>
      <c r="V296" s="3">
        <v>38</v>
      </c>
      <c r="W296" s="3"/>
      <c r="X296" s="3">
        <v>21.98</v>
      </c>
      <c r="Y296" s="3">
        <v>21.98</v>
      </c>
      <c r="Z296" s="3">
        <v>21.98</v>
      </c>
      <c r="AA296" s="3">
        <v>0</v>
      </c>
      <c r="AB296" s="3" t="s">
        <v>869</v>
      </c>
      <c r="AC296" s="3">
        <v>2</v>
      </c>
      <c r="AD296" s="3">
        <v>21.98</v>
      </c>
      <c r="AE296" s="3">
        <v>0</v>
      </c>
      <c r="AF296" s="3">
        <v>0</v>
      </c>
      <c r="AG296" s="3">
        <v>0</v>
      </c>
      <c r="AH296" s="3">
        <v>1.78512396694214</v>
      </c>
      <c r="AI296" s="3">
        <v>0.237878</v>
      </c>
      <c r="AJ296" s="3" t="s">
        <v>870</v>
      </c>
    </row>
    <row r="297" spans="1:36">
      <c r="A297" s="5">
        <v>43336</v>
      </c>
      <c r="B297" s="3" t="s">
        <v>1564</v>
      </c>
      <c r="C297" s="3" t="s">
        <v>1565</v>
      </c>
      <c r="D297" s="3" t="s">
        <v>1565</v>
      </c>
      <c r="E297" s="3" t="s">
        <v>1566</v>
      </c>
      <c r="F297" s="3" t="s">
        <v>867</v>
      </c>
      <c r="G297" s="3">
        <v>12</v>
      </c>
      <c r="H297" s="3">
        <v>0</v>
      </c>
      <c r="I297" s="3">
        <v>3</v>
      </c>
      <c r="J297" s="3">
        <v>9</v>
      </c>
      <c r="K297" s="3">
        <v>0</v>
      </c>
      <c r="L297" s="3">
        <v>0</v>
      </c>
      <c r="M297" s="3">
        <v>0</v>
      </c>
      <c r="N297" s="3" t="s">
        <v>868</v>
      </c>
      <c r="O297" s="3">
        <v>0</v>
      </c>
      <c r="P297" s="3">
        <v>0</v>
      </c>
      <c r="Q297" s="3">
        <v>0</v>
      </c>
      <c r="R297" s="3">
        <v>0</v>
      </c>
      <c r="S297" s="3">
        <v>1</v>
      </c>
      <c r="T297" s="3">
        <v>7</v>
      </c>
      <c r="U297" s="3">
        <v>17</v>
      </c>
      <c r="V297" s="3">
        <v>23</v>
      </c>
      <c r="W297" s="3"/>
      <c r="X297" s="3">
        <v>22.99</v>
      </c>
      <c r="Y297" s="3">
        <v>22.99</v>
      </c>
      <c r="Z297" s="3">
        <v>22.99</v>
      </c>
      <c r="AA297" s="3">
        <v>0</v>
      </c>
      <c r="AB297" s="3" t="s">
        <v>869</v>
      </c>
      <c r="AC297" s="3">
        <v>12</v>
      </c>
      <c r="AD297" s="3">
        <v>22.98</v>
      </c>
      <c r="AE297" s="3">
        <v>0</v>
      </c>
      <c r="AF297" s="3">
        <v>0</v>
      </c>
      <c r="AG297" s="3">
        <v>0</v>
      </c>
      <c r="AH297" s="3">
        <v>1</v>
      </c>
      <c r="AI297" s="3">
        <v>2.242716</v>
      </c>
      <c r="AJ297" s="3" t="s">
        <v>870</v>
      </c>
    </row>
    <row r="298" spans="1:36">
      <c r="A298" s="5">
        <v>43336</v>
      </c>
      <c r="B298" s="3" t="s">
        <v>1567</v>
      </c>
      <c r="C298" s="3" t="s">
        <v>1568</v>
      </c>
      <c r="D298" s="3" t="s">
        <v>1156</v>
      </c>
      <c r="E298" s="3" t="s">
        <v>1157</v>
      </c>
      <c r="F298" s="3" t="s">
        <v>867</v>
      </c>
      <c r="G298" s="3">
        <v>1</v>
      </c>
      <c r="H298" s="3">
        <v>0</v>
      </c>
      <c r="I298" s="3">
        <v>1</v>
      </c>
      <c r="J298" s="3">
        <v>0</v>
      </c>
      <c r="K298" s="3">
        <v>0</v>
      </c>
      <c r="L298" s="3">
        <v>0</v>
      </c>
      <c r="M298" s="3">
        <v>0</v>
      </c>
      <c r="N298" s="3" t="s">
        <v>868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 t="s">
        <v>871</v>
      </c>
      <c r="X298" s="3">
        <v>22.98</v>
      </c>
      <c r="Y298" s="3">
        <v>22.98</v>
      </c>
      <c r="Z298" s="3">
        <v>22.98</v>
      </c>
      <c r="AA298" s="3">
        <v>0</v>
      </c>
      <c r="AB298" s="3" t="s">
        <v>869</v>
      </c>
      <c r="AC298" s="3">
        <v>0</v>
      </c>
      <c r="AD298" s="3">
        <v>0</v>
      </c>
      <c r="AE298" s="3">
        <v>0</v>
      </c>
      <c r="AF298" s="3">
        <v>0</v>
      </c>
      <c r="AG298" s="3">
        <v>0</v>
      </c>
      <c r="AH298" s="3">
        <v>0.503496503496503</v>
      </c>
      <c r="AI298" s="3">
        <v>0.093913</v>
      </c>
      <c r="AJ298" s="3" t="s">
        <v>870</v>
      </c>
    </row>
    <row r="299" spans="1:36">
      <c r="A299" s="5">
        <v>43336</v>
      </c>
      <c r="B299" s="3" t="s">
        <v>1569</v>
      </c>
      <c r="C299" s="3" t="s">
        <v>1570</v>
      </c>
      <c r="D299" s="3" t="s">
        <v>1570</v>
      </c>
      <c r="E299" s="3" t="s">
        <v>1571</v>
      </c>
      <c r="F299" s="3" t="s">
        <v>867</v>
      </c>
      <c r="G299" s="3">
        <v>1</v>
      </c>
      <c r="H299" s="3">
        <v>0</v>
      </c>
      <c r="I299" s="3">
        <v>0</v>
      </c>
      <c r="J299" s="3">
        <v>1</v>
      </c>
      <c r="K299" s="3">
        <v>0</v>
      </c>
      <c r="L299" s="3">
        <v>0</v>
      </c>
      <c r="M299" s="3">
        <v>0</v>
      </c>
      <c r="N299" s="3" t="s">
        <v>868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 t="s">
        <v>936</v>
      </c>
      <c r="X299" s="3">
        <v>62.98</v>
      </c>
      <c r="Y299" s="3">
        <v>62.98</v>
      </c>
      <c r="Z299" s="3">
        <v>62.98</v>
      </c>
      <c r="AA299" s="3">
        <v>0</v>
      </c>
      <c r="AB299" s="3" t="s">
        <v>937</v>
      </c>
      <c r="AC299" s="3">
        <v>1</v>
      </c>
      <c r="AD299" s="3">
        <v>62.98</v>
      </c>
      <c r="AE299" s="3">
        <v>0</v>
      </c>
      <c r="AF299" s="3">
        <v>0</v>
      </c>
      <c r="AG299" s="3">
        <v>0</v>
      </c>
      <c r="AH299" s="3">
        <v>0</v>
      </c>
      <c r="AI299" s="3">
        <v>0.441646</v>
      </c>
      <c r="AJ299" s="3" t="s">
        <v>870</v>
      </c>
    </row>
    <row r="300" spans="1:36">
      <c r="A300" s="5">
        <v>43336</v>
      </c>
      <c r="B300" s="3" t="s">
        <v>254</v>
      </c>
      <c r="C300" s="3" t="s">
        <v>255</v>
      </c>
      <c r="D300" s="3" t="s">
        <v>256</v>
      </c>
      <c r="E300" s="3" t="s">
        <v>257</v>
      </c>
      <c r="F300" s="3" t="s">
        <v>867</v>
      </c>
      <c r="G300" s="3">
        <v>43</v>
      </c>
      <c r="H300" s="3">
        <v>0</v>
      </c>
      <c r="I300" s="3">
        <v>43</v>
      </c>
      <c r="J300" s="3">
        <v>0</v>
      </c>
      <c r="K300" s="3">
        <v>0</v>
      </c>
      <c r="L300" s="3">
        <v>0</v>
      </c>
      <c r="M300" s="3">
        <v>0</v>
      </c>
      <c r="N300" s="3" t="s">
        <v>868</v>
      </c>
      <c r="O300" s="3">
        <v>0</v>
      </c>
      <c r="P300" s="3">
        <v>0</v>
      </c>
      <c r="Q300" s="3">
        <v>0</v>
      </c>
      <c r="R300" s="3">
        <v>0</v>
      </c>
      <c r="S300" s="3">
        <v>7</v>
      </c>
      <c r="T300" s="3">
        <v>32</v>
      </c>
      <c r="U300" s="3">
        <v>37</v>
      </c>
      <c r="V300" s="3">
        <v>37</v>
      </c>
      <c r="W300" s="3"/>
      <c r="X300" s="3">
        <v>23.98</v>
      </c>
      <c r="Y300" s="3">
        <v>23.98</v>
      </c>
      <c r="Z300" s="3">
        <v>23.98</v>
      </c>
      <c r="AA300" s="3">
        <v>0</v>
      </c>
      <c r="AB300" s="3" t="s">
        <v>869</v>
      </c>
      <c r="AC300" s="3">
        <v>44</v>
      </c>
      <c r="AD300" s="3">
        <v>23.98</v>
      </c>
      <c r="AE300" s="3">
        <v>0</v>
      </c>
      <c r="AF300" s="3">
        <v>0</v>
      </c>
      <c r="AG300" s="3">
        <v>0</v>
      </c>
      <c r="AH300" s="3">
        <v>4.03149606299212</v>
      </c>
      <c r="AI300" s="3">
        <v>1.957747</v>
      </c>
      <c r="AJ300" s="3" t="s">
        <v>870</v>
      </c>
    </row>
    <row r="301" spans="1:36">
      <c r="A301" s="5">
        <v>43336</v>
      </c>
      <c r="B301" s="3" t="s">
        <v>482</v>
      </c>
      <c r="C301" s="3" t="s">
        <v>483</v>
      </c>
      <c r="D301" s="3" t="s">
        <v>483</v>
      </c>
      <c r="E301" s="3" t="s">
        <v>484</v>
      </c>
      <c r="F301" s="3" t="s">
        <v>867</v>
      </c>
      <c r="G301" s="3">
        <v>4</v>
      </c>
      <c r="H301" s="3">
        <v>0</v>
      </c>
      <c r="I301" s="3">
        <v>0</v>
      </c>
      <c r="J301" s="3">
        <v>4</v>
      </c>
      <c r="K301" s="3">
        <v>0</v>
      </c>
      <c r="L301" s="3">
        <v>0</v>
      </c>
      <c r="M301" s="3">
        <v>0</v>
      </c>
      <c r="N301" s="3" t="s">
        <v>868</v>
      </c>
      <c r="O301" s="3">
        <v>0</v>
      </c>
      <c r="P301" s="3">
        <v>0</v>
      </c>
      <c r="Q301" s="3">
        <v>0</v>
      </c>
      <c r="R301" s="3">
        <v>0</v>
      </c>
      <c r="S301" s="3">
        <v>2</v>
      </c>
      <c r="T301" s="3">
        <v>3</v>
      </c>
      <c r="U301" s="3">
        <v>7</v>
      </c>
      <c r="V301" s="3">
        <v>9</v>
      </c>
      <c r="W301" s="3"/>
      <c r="X301" s="3">
        <v>22.98</v>
      </c>
      <c r="Y301" s="3">
        <v>22.98</v>
      </c>
      <c r="Z301" s="3">
        <v>22.98</v>
      </c>
      <c r="AA301" s="3">
        <v>0</v>
      </c>
      <c r="AB301" s="3" t="s">
        <v>869</v>
      </c>
      <c r="AC301" s="3">
        <v>6</v>
      </c>
      <c r="AD301" s="3">
        <v>22.98</v>
      </c>
      <c r="AE301" s="3">
        <v>0</v>
      </c>
      <c r="AF301" s="3">
        <v>0</v>
      </c>
      <c r="AG301" s="3">
        <v>0</v>
      </c>
      <c r="AH301" s="3">
        <v>1.02857142857142</v>
      </c>
      <c r="AI301" s="3">
        <v>0.552408</v>
      </c>
      <c r="AJ301" s="3" t="s">
        <v>870</v>
      </c>
    </row>
    <row r="302" spans="1:36">
      <c r="A302" s="5">
        <v>43336</v>
      </c>
      <c r="B302" s="3" t="s">
        <v>1572</v>
      </c>
      <c r="C302" s="3" t="s">
        <v>1573</v>
      </c>
      <c r="D302" s="3" t="s">
        <v>1573</v>
      </c>
      <c r="E302" s="3" t="s">
        <v>1574</v>
      </c>
      <c r="F302" s="3" t="s">
        <v>867</v>
      </c>
      <c r="G302" s="3">
        <v>1</v>
      </c>
      <c r="H302" s="3">
        <v>0</v>
      </c>
      <c r="I302" s="3">
        <v>1</v>
      </c>
      <c r="J302" s="3">
        <v>0</v>
      </c>
      <c r="K302" s="3">
        <v>0</v>
      </c>
      <c r="L302" s="3">
        <v>0</v>
      </c>
      <c r="M302" s="3">
        <v>0</v>
      </c>
      <c r="N302" s="3" t="s">
        <v>868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2</v>
      </c>
      <c r="W302" s="3" t="s">
        <v>936</v>
      </c>
      <c r="X302" s="3">
        <v>24.98</v>
      </c>
      <c r="Y302" s="3">
        <v>24.98</v>
      </c>
      <c r="Z302" s="3">
        <v>24.98</v>
      </c>
      <c r="AA302" s="3">
        <v>0</v>
      </c>
      <c r="AB302" s="3" t="s">
        <v>937</v>
      </c>
      <c r="AC302" s="3">
        <v>1</v>
      </c>
      <c r="AD302" s="3">
        <v>24.98</v>
      </c>
      <c r="AE302" s="3">
        <v>0</v>
      </c>
      <c r="AF302" s="3">
        <v>0</v>
      </c>
      <c r="AG302" s="3">
        <v>0</v>
      </c>
      <c r="AH302" s="3">
        <v>1.6</v>
      </c>
      <c r="AI302" s="3">
        <v>0.1484</v>
      </c>
      <c r="AJ302" s="3" t="s">
        <v>870</v>
      </c>
    </row>
    <row r="303" spans="1:36">
      <c r="A303" s="5">
        <v>43336</v>
      </c>
      <c r="B303" s="3" t="s">
        <v>1575</v>
      </c>
      <c r="C303" s="3" t="s">
        <v>1576</v>
      </c>
      <c r="D303" s="3" t="s">
        <v>1576</v>
      </c>
      <c r="E303" s="3" t="s">
        <v>1577</v>
      </c>
      <c r="F303" s="3" t="s">
        <v>867</v>
      </c>
      <c r="G303" s="3">
        <v>1</v>
      </c>
      <c r="H303" s="3">
        <v>0</v>
      </c>
      <c r="I303" s="3">
        <v>1</v>
      </c>
      <c r="J303" s="3">
        <v>0</v>
      </c>
      <c r="K303" s="3">
        <v>0</v>
      </c>
      <c r="L303" s="3">
        <v>0</v>
      </c>
      <c r="M303" s="3">
        <v>0</v>
      </c>
      <c r="N303" s="3" t="s">
        <v>868</v>
      </c>
      <c r="O303" s="3">
        <v>0</v>
      </c>
      <c r="P303" s="3">
        <v>0</v>
      </c>
      <c r="Q303" s="3">
        <v>0</v>
      </c>
      <c r="R303" s="3">
        <v>0</v>
      </c>
      <c r="S303" s="3">
        <v>1</v>
      </c>
      <c r="T303" s="3">
        <v>2</v>
      </c>
      <c r="U303" s="3">
        <v>4</v>
      </c>
      <c r="V303" s="3">
        <v>8</v>
      </c>
      <c r="W303" s="3"/>
      <c r="X303" s="3">
        <v>45.98</v>
      </c>
      <c r="Y303" s="3">
        <v>27.98</v>
      </c>
      <c r="Z303" s="3">
        <v>27.98</v>
      </c>
      <c r="AA303" s="3">
        <v>0</v>
      </c>
      <c r="AB303" s="3" t="s">
        <v>869</v>
      </c>
      <c r="AC303" s="3">
        <v>1</v>
      </c>
      <c r="AD303" s="3">
        <v>27.98</v>
      </c>
      <c r="AE303" s="3">
        <v>0</v>
      </c>
      <c r="AF303" s="3">
        <v>0</v>
      </c>
      <c r="AG303" s="3">
        <v>0</v>
      </c>
      <c r="AH303" s="3">
        <v>2.94736842105263</v>
      </c>
      <c r="AI303" s="3">
        <v>0.16907</v>
      </c>
      <c r="AJ303" s="3" t="s">
        <v>870</v>
      </c>
    </row>
    <row r="304" spans="1:36">
      <c r="A304" s="5">
        <v>43336</v>
      </c>
      <c r="B304" s="3" t="s">
        <v>1578</v>
      </c>
      <c r="C304" s="3" t="s">
        <v>1579</v>
      </c>
      <c r="D304" s="3" t="s">
        <v>970</v>
      </c>
      <c r="E304" s="3" t="s">
        <v>971</v>
      </c>
      <c r="F304" s="3" t="s">
        <v>867</v>
      </c>
      <c r="G304" s="3">
        <v>2</v>
      </c>
      <c r="H304" s="3">
        <v>0</v>
      </c>
      <c r="I304" s="3">
        <v>2</v>
      </c>
      <c r="J304" s="3">
        <v>0</v>
      </c>
      <c r="K304" s="3">
        <v>0</v>
      </c>
      <c r="L304" s="3">
        <v>0</v>
      </c>
      <c r="M304" s="3">
        <v>0</v>
      </c>
      <c r="N304" s="3" t="s">
        <v>868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 t="s">
        <v>871</v>
      </c>
      <c r="X304" s="3">
        <v>24.98</v>
      </c>
      <c r="Y304" s="3">
        <v>24.98</v>
      </c>
      <c r="Z304" s="3">
        <v>24.98</v>
      </c>
      <c r="AA304" s="3">
        <v>0</v>
      </c>
      <c r="AB304" s="3" t="s">
        <v>869</v>
      </c>
      <c r="AC304" s="3">
        <v>2</v>
      </c>
      <c r="AD304" s="3">
        <v>24.98</v>
      </c>
      <c r="AE304" s="3">
        <v>0</v>
      </c>
      <c r="AF304" s="3">
        <v>0</v>
      </c>
      <c r="AG304" s="3">
        <v>0</v>
      </c>
      <c r="AH304" s="3">
        <v>0.363636363636363</v>
      </c>
      <c r="AI304" s="3">
        <v>0.274502</v>
      </c>
      <c r="AJ304" s="3" t="s">
        <v>870</v>
      </c>
    </row>
    <row r="305" spans="1:36">
      <c r="A305" s="5">
        <v>43336</v>
      </c>
      <c r="B305" s="3" t="s">
        <v>1580</v>
      </c>
      <c r="C305" s="3" t="s">
        <v>1581</v>
      </c>
      <c r="D305" s="3" t="s">
        <v>1581</v>
      </c>
      <c r="E305" s="3" t="s">
        <v>1582</v>
      </c>
      <c r="F305" s="3" t="s">
        <v>867</v>
      </c>
      <c r="G305" s="3">
        <v>22</v>
      </c>
      <c r="H305" s="3">
        <v>0</v>
      </c>
      <c r="I305" s="3">
        <v>22</v>
      </c>
      <c r="J305" s="3">
        <v>0</v>
      </c>
      <c r="K305" s="3">
        <v>0</v>
      </c>
      <c r="L305" s="3">
        <v>0</v>
      </c>
      <c r="M305" s="3">
        <v>0</v>
      </c>
      <c r="N305" s="3" t="s">
        <v>868</v>
      </c>
      <c r="O305" s="3">
        <v>0</v>
      </c>
      <c r="P305" s="3">
        <v>0</v>
      </c>
      <c r="Q305" s="3">
        <v>0</v>
      </c>
      <c r="R305" s="3">
        <v>0</v>
      </c>
      <c r="S305" s="3">
        <v>1</v>
      </c>
      <c r="T305" s="3">
        <v>5</v>
      </c>
      <c r="U305" s="3">
        <v>10</v>
      </c>
      <c r="V305" s="3">
        <v>15</v>
      </c>
      <c r="W305" s="3"/>
      <c r="X305" s="3">
        <v>21.98</v>
      </c>
      <c r="Y305" s="3">
        <v>21.98</v>
      </c>
      <c r="Z305" s="3">
        <v>21.98</v>
      </c>
      <c r="AA305" s="3">
        <v>0</v>
      </c>
      <c r="AB305" s="3" t="s">
        <v>869</v>
      </c>
      <c r="AC305" s="3">
        <v>22</v>
      </c>
      <c r="AD305" s="3">
        <v>21.98</v>
      </c>
      <c r="AE305" s="3">
        <v>0</v>
      </c>
      <c r="AF305" s="3">
        <v>0</v>
      </c>
      <c r="AG305" s="3">
        <v>0</v>
      </c>
      <c r="AH305" s="3">
        <v>0.588235294117647</v>
      </c>
      <c r="AI305" s="3">
        <v>3.293246</v>
      </c>
      <c r="AJ305" s="3" t="s">
        <v>870</v>
      </c>
    </row>
    <row r="306" spans="1:36">
      <c r="A306" s="5">
        <v>43336</v>
      </c>
      <c r="B306" s="3" t="s">
        <v>1583</v>
      </c>
      <c r="C306" s="3" t="s">
        <v>1584</v>
      </c>
      <c r="D306" s="3" t="s">
        <v>1585</v>
      </c>
      <c r="E306" s="3" t="s">
        <v>1586</v>
      </c>
      <c r="F306" s="3" t="s">
        <v>867</v>
      </c>
      <c r="G306" s="3">
        <v>6</v>
      </c>
      <c r="H306" s="3">
        <v>0</v>
      </c>
      <c r="I306" s="3">
        <v>6</v>
      </c>
      <c r="J306" s="3">
        <v>0</v>
      </c>
      <c r="K306" s="3">
        <v>0</v>
      </c>
      <c r="L306" s="3">
        <v>0</v>
      </c>
      <c r="M306" s="3">
        <v>0</v>
      </c>
      <c r="N306" s="3" t="s">
        <v>868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936</v>
      </c>
      <c r="X306" s="3">
        <v>22.99</v>
      </c>
      <c r="Y306" s="3">
        <v>22.99</v>
      </c>
      <c r="Z306" s="3">
        <v>22.99</v>
      </c>
      <c r="AA306" s="3">
        <v>0</v>
      </c>
      <c r="AB306" s="3" t="s">
        <v>937</v>
      </c>
      <c r="AC306" s="3">
        <v>6</v>
      </c>
      <c r="AD306" s="3">
        <v>22.99</v>
      </c>
      <c r="AE306" s="3">
        <v>0</v>
      </c>
      <c r="AF306" s="3">
        <v>0</v>
      </c>
      <c r="AG306" s="3">
        <v>0</v>
      </c>
      <c r="AH306" s="3">
        <v>0</v>
      </c>
      <c r="AI306" s="3">
        <v>0.989586</v>
      </c>
      <c r="AJ306" s="3" t="s">
        <v>925</v>
      </c>
    </row>
    <row r="307" spans="1:36">
      <c r="A307" s="5">
        <v>43336</v>
      </c>
      <c r="B307" s="3" t="s">
        <v>1587</v>
      </c>
      <c r="C307" s="3" t="s">
        <v>1588</v>
      </c>
      <c r="D307" s="3" t="s">
        <v>1588</v>
      </c>
      <c r="E307" s="3" t="s">
        <v>1589</v>
      </c>
      <c r="F307" s="3" t="s">
        <v>867</v>
      </c>
      <c r="G307" s="3">
        <v>14</v>
      </c>
      <c r="H307" s="3">
        <v>0</v>
      </c>
      <c r="I307" s="3">
        <v>11</v>
      </c>
      <c r="J307" s="3">
        <v>3</v>
      </c>
      <c r="K307" s="3">
        <v>0</v>
      </c>
      <c r="L307" s="3">
        <v>0</v>
      </c>
      <c r="M307" s="3">
        <v>0</v>
      </c>
      <c r="N307" s="3" t="s">
        <v>868</v>
      </c>
      <c r="O307" s="3">
        <v>0</v>
      </c>
      <c r="P307" s="3">
        <v>0</v>
      </c>
      <c r="Q307" s="3">
        <v>0</v>
      </c>
      <c r="R307" s="3">
        <v>0</v>
      </c>
      <c r="S307" s="3">
        <v>3</v>
      </c>
      <c r="T307" s="3">
        <v>4</v>
      </c>
      <c r="U307" s="3">
        <v>11</v>
      </c>
      <c r="V307" s="3">
        <v>11</v>
      </c>
      <c r="W307" s="3"/>
      <c r="X307" s="3">
        <v>23.98</v>
      </c>
      <c r="Y307" s="3">
        <v>23.98</v>
      </c>
      <c r="Z307" s="3">
        <v>23.98</v>
      </c>
      <c r="AA307" s="3">
        <v>0</v>
      </c>
      <c r="AB307" s="3" t="s">
        <v>883</v>
      </c>
      <c r="AC307" s="3">
        <v>1</v>
      </c>
      <c r="AD307" s="3">
        <v>14.31</v>
      </c>
      <c r="AE307" s="3">
        <v>49</v>
      </c>
      <c r="AF307" s="3">
        <v>0</v>
      </c>
      <c r="AG307" s="3">
        <v>190.77011</v>
      </c>
      <c r="AH307" s="3">
        <v>0.637681159420289</v>
      </c>
      <c r="AI307" s="3">
        <v>1.395268</v>
      </c>
      <c r="AJ307" s="3" t="s">
        <v>870</v>
      </c>
    </row>
    <row r="308" spans="1:36">
      <c r="A308" s="5">
        <v>43336</v>
      </c>
      <c r="B308" s="3" t="s">
        <v>1590</v>
      </c>
      <c r="C308" s="3" t="s">
        <v>1591</v>
      </c>
      <c r="D308" s="3" t="s">
        <v>1591</v>
      </c>
      <c r="E308" s="3" t="s">
        <v>1592</v>
      </c>
      <c r="F308" s="3" t="s">
        <v>867</v>
      </c>
      <c r="G308" s="3">
        <v>16</v>
      </c>
      <c r="H308" s="3">
        <v>0</v>
      </c>
      <c r="I308" s="3">
        <v>1</v>
      </c>
      <c r="J308" s="3">
        <v>3</v>
      </c>
      <c r="K308" s="3">
        <v>1</v>
      </c>
      <c r="L308" s="3">
        <v>11</v>
      </c>
      <c r="M308" s="3">
        <v>0</v>
      </c>
      <c r="N308" s="3" t="s">
        <v>868</v>
      </c>
      <c r="O308" s="3">
        <v>12</v>
      </c>
      <c r="P308" s="3">
        <v>4.55</v>
      </c>
      <c r="Q308" s="3">
        <v>0</v>
      </c>
      <c r="R308" s="3">
        <v>0</v>
      </c>
      <c r="S308" s="3">
        <v>2</v>
      </c>
      <c r="T308" s="3">
        <v>12</v>
      </c>
      <c r="U308" s="3">
        <v>16</v>
      </c>
      <c r="V308" s="3">
        <v>16</v>
      </c>
      <c r="W308" s="3"/>
      <c r="X308" s="3">
        <v>16.99</v>
      </c>
      <c r="Y308" s="3">
        <v>16.99</v>
      </c>
      <c r="Z308" s="3">
        <v>16.99</v>
      </c>
      <c r="AA308" s="3">
        <v>0</v>
      </c>
      <c r="AB308" s="3" t="s">
        <v>869</v>
      </c>
      <c r="AC308" s="3">
        <v>16</v>
      </c>
      <c r="AD308" s="3">
        <v>16.99</v>
      </c>
      <c r="AE308" s="3">
        <v>0</v>
      </c>
      <c r="AF308" s="3">
        <v>0</v>
      </c>
      <c r="AG308" s="3">
        <v>0</v>
      </c>
      <c r="AH308" s="3">
        <v>0.598130841121495</v>
      </c>
      <c r="AI308" s="3">
        <v>1.755648</v>
      </c>
      <c r="AJ308" s="3" t="s">
        <v>870</v>
      </c>
    </row>
    <row r="309" spans="1:36">
      <c r="A309" s="5">
        <v>43336</v>
      </c>
      <c r="B309" s="3" t="s">
        <v>1593</v>
      </c>
      <c r="C309" s="3" t="s">
        <v>1594</v>
      </c>
      <c r="D309" s="3" t="s">
        <v>1594</v>
      </c>
      <c r="E309" s="3" t="s">
        <v>1595</v>
      </c>
      <c r="F309" s="3" t="s">
        <v>867</v>
      </c>
      <c r="G309" s="3">
        <v>3</v>
      </c>
      <c r="H309" s="3">
        <v>0</v>
      </c>
      <c r="I309" s="3">
        <v>3</v>
      </c>
      <c r="J309" s="3">
        <v>0</v>
      </c>
      <c r="K309" s="3">
        <v>0</v>
      </c>
      <c r="L309" s="3">
        <v>0</v>
      </c>
      <c r="M309" s="3">
        <v>0</v>
      </c>
      <c r="N309" s="3" t="s">
        <v>868</v>
      </c>
      <c r="O309" s="3">
        <v>0</v>
      </c>
      <c r="P309" s="3">
        <v>0</v>
      </c>
      <c r="Q309" s="3">
        <v>0</v>
      </c>
      <c r="R309" s="3">
        <v>0</v>
      </c>
      <c r="S309" s="3">
        <v>2</v>
      </c>
      <c r="T309" s="3">
        <v>3</v>
      </c>
      <c r="U309" s="3">
        <v>3</v>
      </c>
      <c r="V309" s="3">
        <v>3</v>
      </c>
      <c r="W309" s="3"/>
      <c r="X309" s="3">
        <v>22.98</v>
      </c>
      <c r="Y309" s="3">
        <v>22.98</v>
      </c>
      <c r="Z309" s="3">
        <v>22.98</v>
      </c>
      <c r="AA309" s="3">
        <v>0</v>
      </c>
      <c r="AB309" s="3" t="s">
        <v>869</v>
      </c>
      <c r="AC309" s="3">
        <v>5</v>
      </c>
      <c r="AD309" s="3">
        <v>22.98</v>
      </c>
      <c r="AE309" s="3">
        <v>0</v>
      </c>
      <c r="AF309" s="3">
        <v>0</v>
      </c>
      <c r="AG309" s="3">
        <v>0</v>
      </c>
      <c r="AH309" s="3">
        <v>0.6</v>
      </c>
      <c r="AI309" s="3">
        <v>0.136587</v>
      </c>
      <c r="AJ309" s="3" t="s">
        <v>870</v>
      </c>
    </row>
    <row r="310" spans="1:36">
      <c r="A310" s="5">
        <v>43336</v>
      </c>
      <c r="B310" s="3" t="s">
        <v>1596</v>
      </c>
      <c r="C310" s="3" t="s">
        <v>1597</v>
      </c>
      <c r="D310" s="3" t="s">
        <v>1597</v>
      </c>
      <c r="E310" s="3" t="s">
        <v>131</v>
      </c>
      <c r="F310" s="3" t="s">
        <v>867</v>
      </c>
      <c r="G310" s="3">
        <v>9</v>
      </c>
      <c r="H310" s="3">
        <v>0</v>
      </c>
      <c r="I310" s="3">
        <v>2</v>
      </c>
      <c r="J310" s="3">
        <v>7</v>
      </c>
      <c r="K310" s="3">
        <v>0</v>
      </c>
      <c r="L310" s="3">
        <v>0</v>
      </c>
      <c r="M310" s="3">
        <v>0</v>
      </c>
      <c r="N310" s="3" t="s">
        <v>868</v>
      </c>
      <c r="O310" s="3">
        <v>6</v>
      </c>
      <c r="P310" s="3">
        <v>4.11</v>
      </c>
      <c r="Q310" s="3">
        <v>0</v>
      </c>
      <c r="R310" s="3">
        <v>0</v>
      </c>
      <c r="S310" s="3">
        <v>5</v>
      </c>
      <c r="T310" s="3">
        <v>6</v>
      </c>
      <c r="U310" s="3">
        <v>9</v>
      </c>
      <c r="V310" s="3">
        <v>10</v>
      </c>
      <c r="W310" s="3"/>
      <c r="X310" s="3">
        <v>32.99</v>
      </c>
      <c r="Y310" s="3">
        <v>16.98</v>
      </c>
      <c r="Z310" s="3">
        <v>16.98</v>
      </c>
      <c r="AA310" s="3">
        <v>0</v>
      </c>
      <c r="AB310" s="3" t="s">
        <v>869</v>
      </c>
      <c r="AC310" s="3">
        <v>13</v>
      </c>
      <c r="AD310" s="3">
        <v>16.98</v>
      </c>
      <c r="AE310" s="3">
        <v>0</v>
      </c>
      <c r="AF310" s="3">
        <v>0</v>
      </c>
      <c r="AG310" s="3">
        <v>0</v>
      </c>
      <c r="AH310" s="3">
        <v>0.701754385964912</v>
      </c>
      <c r="AI310" s="3">
        <v>1.785915</v>
      </c>
      <c r="AJ310" s="3" t="s">
        <v>870</v>
      </c>
    </row>
    <row r="311" spans="1:36">
      <c r="A311" s="5">
        <v>43336</v>
      </c>
      <c r="B311" s="3" t="s">
        <v>1598</v>
      </c>
      <c r="C311" s="3" t="s">
        <v>1599</v>
      </c>
      <c r="D311" s="3" t="s">
        <v>1599</v>
      </c>
      <c r="E311" s="3" t="s">
        <v>1600</v>
      </c>
      <c r="F311" s="3" t="s">
        <v>867</v>
      </c>
      <c r="G311" s="3">
        <v>7</v>
      </c>
      <c r="H311" s="3">
        <v>0</v>
      </c>
      <c r="I311" s="3">
        <v>0</v>
      </c>
      <c r="J311" s="3">
        <v>7</v>
      </c>
      <c r="K311" s="3">
        <v>0</v>
      </c>
      <c r="L311" s="3">
        <v>0</v>
      </c>
      <c r="M311" s="3">
        <v>0</v>
      </c>
      <c r="N311" s="3" t="s">
        <v>868</v>
      </c>
      <c r="O311" s="3">
        <v>0</v>
      </c>
      <c r="P311" s="3">
        <v>0</v>
      </c>
      <c r="Q311" s="3">
        <v>0</v>
      </c>
      <c r="R311" s="3">
        <v>0</v>
      </c>
      <c r="S311" s="3">
        <v>2</v>
      </c>
      <c r="T311" s="3">
        <v>3</v>
      </c>
      <c r="U311" s="3">
        <v>8</v>
      </c>
      <c r="V311" s="3">
        <v>9</v>
      </c>
      <c r="W311" s="3"/>
      <c r="X311" s="3">
        <v>26.98</v>
      </c>
      <c r="Y311" s="3">
        <v>26.98</v>
      </c>
      <c r="Z311" s="3">
        <v>26.98</v>
      </c>
      <c r="AA311" s="3">
        <v>0</v>
      </c>
      <c r="AB311" s="3" t="s">
        <v>869</v>
      </c>
      <c r="AC311" s="3">
        <v>9</v>
      </c>
      <c r="AD311" s="3">
        <v>26.98</v>
      </c>
      <c r="AE311" s="3">
        <v>0</v>
      </c>
      <c r="AF311" s="3">
        <v>0</v>
      </c>
      <c r="AG311" s="3">
        <v>0</v>
      </c>
      <c r="AH311" s="3">
        <v>0.692307692307692</v>
      </c>
      <c r="AI311" s="3">
        <v>0.926282</v>
      </c>
      <c r="AJ311" s="3" t="s">
        <v>870</v>
      </c>
    </row>
    <row r="312" spans="1:36">
      <c r="A312" s="5">
        <v>43336</v>
      </c>
      <c r="B312" s="3" t="s">
        <v>199</v>
      </c>
      <c r="C312" s="3" t="s">
        <v>200</v>
      </c>
      <c r="D312" s="3" t="s">
        <v>201</v>
      </c>
      <c r="E312" s="3" t="s">
        <v>202</v>
      </c>
      <c r="F312" s="3" t="s">
        <v>867</v>
      </c>
      <c r="G312" s="3">
        <v>5</v>
      </c>
      <c r="H312" s="3">
        <v>0</v>
      </c>
      <c r="I312" s="3">
        <v>5</v>
      </c>
      <c r="J312" s="3">
        <v>0</v>
      </c>
      <c r="K312" s="3">
        <v>0</v>
      </c>
      <c r="L312" s="3">
        <v>0</v>
      </c>
      <c r="M312" s="3">
        <v>0</v>
      </c>
      <c r="N312" s="3" t="s">
        <v>868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 t="s">
        <v>871</v>
      </c>
      <c r="X312" s="3">
        <v>22.99</v>
      </c>
      <c r="Y312" s="3">
        <v>22.98</v>
      </c>
      <c r="Z312" s="3">
        <v>22.98</v>
      </c>
      <c r="AA312" s="3">
        <v>0</v>
      </c>
      <c r="AB312" s="3" t="s">
        <v>883</v>
      </c>
      <c r="AC312" s="3">
        <v>0</v>
      </c>
      <c r="AD312" s="3">
        <v>18.38</v>
      </c>
      <c r="AE312" s="3">
        <v>63</v>
      </c>
      <c r="AF312" s="3">
        <v>0</v>
      </c>
      <c r="AG312" s="3">
        <v>44.405295</v>
      </c>
      <c r="AH312" s="3">
        <v>2.18181818181818</v>
      </c>
      <c r="AI312" s="3">
        <v>0.359229999999999</v>
      </c>
      <c r="AJ312" s="3" t="s">
        <v>870</v>
      </c>
    </row>
    <row r="313" spans="1:36">
      <c r="A313" s="5">
        <v>43336</v>
      </c>
      <c r="B313" s="3" t="s">
        <v>1601</v>
      </c>
      <c r="C313" s="3" t="s">
        <v>1602</v>
      </c>
      <c r="D313" s="3" t="s">
        <v>1602</v>
      </c>
      <c r="E313" s="3" t="s">
        <v>1603</v>
      </c>
      <c r="F313" s="3" t="s">
        <v>867</v>
      </c>
      <c r="G313" s="3">
        <v>1</v>
      </c>
      <c r="H313" s="3">
        <v>0</v>
      </c>
      <c r="I313" s="3">
        <v>1</v>
      </c>
      <c r="J313" s="3">
        <v>0</v>
      </c>
      <c r="K313" s="3">
        <v>0</v>
      </c>
      <c r="L313" s="3">
        <v>0</v>
      </c>
      <c r="M313" s="3">
        <v>0</v>
      </c>
      <c r="N313" s="3" t="s">
        <v>868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 t="s">
        <v>871</v>
      </c>
      <c r="X313" s="3">
        <v>23.98</v>
      </c>
      <c r="Y313" s="3">
        <v>23.98</v>
      </c>
      <c r="Z313" s="3">
        <v>23.98</v>
      </c>
      <c r="AA313" s="3">
        <v>0</v>
      </c>
      <c r="AB313" s="3" t="s">
        <v>883</v>
      </c>
      <c r="AC313" s="3">
        <v>0</v>
      </c>
      <c r="AD313" s="3">
        <v>22.48</v>
      </c>
      <c r="AE313" s="3">
        <v>35</v>
      </c>
      <c r="AF313" s="3">
        <v>0</v>
      </c>
      <c r="AG313" s="3">
        <v>23.785106</v>
      </c>
      <c r="AH313" s="3">
        <v>0</v>
      </c>
      <c r="AI313" s="3">
        <v>0.105645</v>
      </c>
      <c r="AJ313" s="3" t="s">
        <v>870</v>
      </c>
    </row>
    <row r="314" spans="1:36">
      <c r="A314" s="5">
        <v>43336</v>
      </c>
      <c r="B314" s="3" t="s">
        <v>381</v>
      </c>
      <c r="C314" s="3" t="s">
        <v>382</v>
      </c>
      <c r="D314" s="3" t="s">
        <v>383</v>
      </c>
      <c r="E314" s="3" t="s">
        <v>384</v>
      </c>
      <c r="F314" s="3" t="s">
        <v>867</v>
      </c>
      <c r="G314" s="3">
        <v>31</v>
      </c>
      <c r="H314" s="3">
        <v>0</v>
      </c>
      <c r="I314" s="3">
        <v>31</v>
      </c>
      <c r="J314" s="3">
        <v>0</v>
      </c>
      <c r="K314" s="3">
        <v>0</v>
      </c>
      <c r="L314" s="3">
        <v>0</v>
      </c>
      <c r="M314" s="3">
        <v>0</v>
      </c>
      <c r="N314" s="3" t="s">
        <v>868</v>
      </c>
      <c r="O314" s="3">
        <v>0</v>
      </c>
      <c r="P314" s="3">
        <v>0</v>
      </c>
      <c r="Q314" s="3">
        <v>0</v>
      </c>
      <c r="R314" s="3">
        <v>0</v>
      </c>
      <c r="S314" s="3">
        <v>25</v>
      </c>
      <c r="T314" s="3">
        <v>88</v>
      </c>
      <c r="U314" s="3">
        <v>157</v>
      </c>
      <c r="V314" s="3">
        <v>157</v>
      </c>
      <c r="W314" s="3"/>
      <c r="X314" s="3">
        <v>23.98</v>
      </c>
      <c r="Y314" s="3">
        <v>23.98</v>
      </c>
      <c r="Z314" s="3">
        <v>23.98</v>
      </c>
      <c r="AA314" s="3">
        <v>0</v>
      </c>
      <c r="AB314" s="3" t="s">
        <v>869</v>
      </c>
      <c r="AC314" s="3">
        <v>16</v>
      </c>
      <c r="AD314" s="3">
        <v>23.98</v>
      </c>
      <c r="AE314" s="3">
        <v>0</v>
      </c>
      <c r="AF314" s="3">
        <v>0</v>
      </c>
      <c r="AG314" s="3">
        <v>0</v>
      </c>
      <c r="AH314" s="3">
        <v>11.4347826086956</v>
      </c>
      <c r="AI314" s="3">
        <v>1.411399</v>
      </c>
      <c r="AJ314" s="3" t="s">
        <v>870</v>
      </c>
    </row>
    <row r="315" spans="1:36">
      <c r="A315" s="5">
        <v>43336</v>
      </c>
      <c r="B315" s="3" t="s">
        <v>60</v>
      </c>
      <c r="C315" s="3" t="s">
        <v>61</v>
      </c>
      <c r="D315" s="3" t="s">
        <v>62</v>
      </c>
      <c r="E315" s="3" t="s">
        <v>63</v>
      </c>
      <c r="F315" s="3" t="s">
        <v>867</v>
      </c>
      <c r="G315" s="3">
        <v>28</v>
      </c>
      <c r="H315" s="3">
        <v>0</v>
      </c>
      <c r="I315" s="3">
        <v>28</v>
      </c>
      <c r="J315" s="3">
        <v>0</v>
      </c>
      <c r="K315" s="3">
        <v>0</v>
      </c>
      <c r="L315" s="3">
        <v>0</v>
      </c>
      <c r="M315" s="3">
        <v>0</v>
      </c>
      <c r="N315" s="3" t="s">
        <v>868</v>
      </c>
      <c r="O315" s="3">
        <v>0</v>
      </c>
      <c r="P315" s="3">
        <v>0</v>
      </c>
      <c r="Q315" s="3">
        <v>0</v>
      </c>
      <c r="R315" s="3">
        <v>0</v>
      </c>
      <c r="S315" s="3">
        <v>6</v>
      </c>
      <c r="T315" s="3">
        <v>34</v>
      </c>
      <c r="U315" s="3">
        <v>56</v>
      </c>
      <c r="V315" s="3">
        <v>56</v>
      </c>
      <c r="W315" s="3"/>
      <c r="X315" s="3">
        <v>22.98</v>
      </c>
      <c r="Y315" s="3">
        <v>22.98</v>
      </c>
      <c r="Z315" s="3">
        <v>22.98</v>
      </c>
      <c r="AA315" s="3">
        <v>0</v>
      </c>
      <c r="AB315" s="3" t="s">
        <v>869</v>
      </c>
      <c r="AC315" s="3">
        <v>31</v>
      </c>
      <c r="AD315" s="3">
        <v>22.98</v>
      </c>
      <c r="AE315" s="3">
        <v>0</v>
      </c>
      <c r="AF315" s="3">
        <v>0</v>
      </c>
      <c r="AG315" s="3">
        <v>0</v>
      </c>
      <c r="AH315" s="3">
        <v>3.62962962962962</v>
      </c>
      <c r="AI315" s="3">
        <v>1.8683</v>
      </c>
      <c r="AJ315" s="3" t="s">
        <v>870</v>
      </c>
    </row>
    <row r="316" spans="1:36">
      <c r="A316" s="5">
        <v>43336</v>
      </c>
      <c r="B316" s="3" t="s">
        <v>1604</v>
      </c>
      <c r="C316" s="3" t="s">
        <v>1605</v>
      </c>
      <c r="D316" s="3" t="s">
        <v>1605</v>
      </c>
      <c r="E316" s="3" t="s">
        <v>1606</v>
      </c>
      <c r="F316" s="3" t="s">
        <v>867</v>
      </c>
      <c r="G316" s="3">
        <v>4</v>
      </c>
      <c r="H316" s="3">
        <v>0</v>
      </c>
      <c r="I316" s="3">
        <v>0</v>
      </c>
      <c r="J316" s="3">
        <v>0</v>
      </c>
      <c r="K316" s="3">
        <v>4</v>
      </c>
      <c r="L316" s="3">
        <v>0</v>
      </c>
      <c r="M316" s="3">
        <v>0</v>
      </c>
      <c r="N316" s="3" t="s">
        <v>868</v>
      </c>
      <c r="O316" s="3">
        <v>4</v>
      </c>
      <c r="P316" s="3">
        <v>1.22</v>
      </c>
      <c r="Q316" s="3">
        <v>0</v>
      </c>
      <c r="R316" s="3">
        <v>0</v>
      </c>
      <c r="S316" s="3">
        <v>0</v>
      </c>
      <c r="T316" s="3">
        <v>0</v>
      </c>
      <c r="U316" s="3">
        <v>0</v>
      </c>
      <c r="V316" s="3">
        <v>0</v>
      </c>
      <c r="W316" s="3" t="s">
        <v>871</v>
      </c>
      <c r="X316" s="3">
        <v>23.98</v>
      </c>
      <c r="Y316" s="3">
        <v>23.98</v>
      </c>
      <c r="Z316" s="3">
        <v>23.98</v>
      </c>
      <c r="AA316" s="3">
        <v>0</v>
      </c>
      <c r="AB316" s="3" t="s">
        <v>869</v>
      </c>
      <c r="AC316" s="3">
        <v>4</v>
      </c>
      <c r="AD316" s="3">
        <v>23.98</v>
      </c>
      <c r="AE316" s="3">
        <v>0</v>
      </c>
      <c r="AF316" s="3">
        <v>0</v>
      </c>
      <c r="AG316" s="3">
        <v>0</v>
      </c>
      <c r="AH316" s="3">
        <v>0</v>
      </c>
      <c r="AI316" s="3">
        <v>0.352932</v>
      </c>
      <c r="AJ316" s="3" t="s">
        <v>870</v>
      </c>
    </row>
    <row r="317" spans="1:36">
      <c r="A317" s="5">
        <v>43336</v>
      </c>
      <c r="B317" s="3" t="s">
        <v>1607</v>
      </c>
      <c r="C317" s="3" t="s">
        <v>1608</v>
      </c>
      <c r="D317" s="3" t="s">
        <v>1609</v>
      </c>
      <c r="E317" s="3" t="s">
        <v>1610</v>
      </c>
      <c r="F317" s="3" t="s">
        <v>867</v>
      </c>
      <c r="G317" s="3">
        <v>17</v>
      </c>
      <c r="H317" s="3">
        <v>0</v>
      </c>
      <c r="I317" s="3">
        <v>17</v>
      </c>
      <c r="J317" s="3">
        <v>0</v>
      </c>
      <c r="K317" s="3">
        <v>0</v>
      </c>
      <c r="L317" s="3">
        <v>0</v>
      </c>
      <c r="M317" s="3">
        <v>0</v>
      </c>
      <c r="N317" s="3" t="s">
        <v>868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0</v>
      </c>
      <c r="V317" s="3">
        <v>0</v>
      </c>
      <c r="W317" s="3" t="s">
        <v>871</v>
      </c>
      <c r="X317" s="3">
        <v>27.98</v>
      </c>
      <c r="Y317" s="3">
        <v>27.98</v>
      </c>
      <c r="Z317" s="3">
        <v>27.98</v>
      </c>
      <c r="AA317" s="3">
        <v>0</v>
      </c>
      <c r="AB317" s="3" t="s">
        <v>883</v>
      </c>
      <c r="AC317" s="3">
        <v>0</v>
      </c>
      <c r="AD317" s="3">
        <v>22.38</v>
      </c>
      <c r="AE317" s="3">
        <v>63</v>
      </c>
      <c r="AF317" s="3">
        <v>0</v>
      </c>
      <c r="AG317" s="3">
        <v>349.2484</v>
      </c>
      <c r="AH317" s="3">
        <v>0.6</v>
      </c>
      <c r="AI317" s="3">
        <v>2.799696</v>
      </c>
      <c r="AJ317" s="3" t="s">
        <v>870</v>
      </c>
    </row>
    <row r="318" spans="1:36">
      <c r="A318" s="5">
        <v>43336</v>
      </c>
      <c r="B318" s="3" t="s">
        <v>593</v>
      </c>
      <c r="C318" s="3" t="s">
        <v>594</v>
      </c>
      <c r="D318" s="3" t="s">
        <v>594</v>
      </c>
      <c r="E318" s="3" t="s">
        <v>1611</v>
      </c>
      <c r="F318" s="3" t="s">
        <v>867</v>
      </c>
      <c r="G318" s="3">
        <v>6</v>
      </c>
      <c r="H318" s="3">
        <v>0</v>
      </c>
      <c r="I318" s="3">
        <v>4</v>
      </c>
      <c r="J318" s="3">
        <v>2</v>
      </c>
      <c r="K318" s="3">
        <v>0</v>
      </c>
      <c r="L318" s="3">
        <v>0</v>
      </c>
      <c r="M318" s="3">
        <v>0</v>
      </c>
      <c r="N318" s="3" t="s">
        <v>868</v>
      </c>
      <c r="O318" s="3">
        <v>0</v>
      </c>
      <c r="P318" s="3">
        <v>0</v>
      </c>
      <c r="Q318" s="3">
        <v>0</v>
      </c>
      <c r="R318" s="3">
        <v>0</v>
      </c>
      <c r="S318" s="3">
        <v>3</v>
      </c>
      <c r="T318" s="3">
        <v>6</v>
      </c>
      <c r="U318" s="3">
        <v>17</v>
      </c>
      <c r="V318" s="3">
        <v>26</v>
      </c>
      <c r="W318" s="3" t="s">
        <v>871</v>
      </c>
      <c r="X318" s="3">
        <v>23.98</v>
      </c>
      <c r="Y318" s="3">
        <v>23.98</v>
      </c>
      <c r="Z318" s="3">
        <v>23.98</v>
      </c>
      <c r="AA318" s="3">
        <v>0</v>
      </c>
      <c r="AB318" s="3" t="s">
        <v>869</v>
      </c>
      <c r="AC318" s="3">
        <v>7</v>
      </c>
      <c r="AD318" s="3">
        <v>23.98</v>
      </c>
      <c r="AE318" s="3">
        <v>0</v>
      </c>
      <c r="AF318" s="3">
        <v>0</v>
      </c>
      <c r="AG318" s="3">
        <v>0</v>
      </c>
      <c r="AH318" s="3">
        <v>1.50724637681159</v>
      </c>
      <c r="AI318" s="3">
        <v>0.778014</v>
      </c>
      <c r="AJ318" s="3" t="s">
        <v>870</v>
      </c>
    </row>
    <row r="319" spans="1:36">
      <c r="A319" s="5">
        <v>43336</v>
      </c>
      <c r="B319" s="3" t="s">
        <v>730</v>
      </c>
      <c r="C319" s="3" t="s">
        <v>731</v>
      </c>
      <c r="D319" s="3" t="s">
        <v>731</v>
      </c>
      <c r="E319" s="3" t="s">
        <v>732</v>
      </c>
      <c r="F319" s="3" t="s">
        <v>867</v>
      </c>
      <c r="G319" s="3">
        <v>2</v>
      </c>
      <c r="H319" s="3">
        <v>0</v>
      </c>
      <c r="I319" s="3">
        <v>1</v>
      </c>
      <c r="J319" s="3">
        <v>1</v>
      </c>
      <c r="K319" s="3">
        <v>0</v>
      </c>
      <c r="L319" s="3">
        <v>0</v>
      </c>
      <c r="M319" s="3">
        <v>0</v>
      </c>
      <c r="N319" s="3" t="s">
        <v>868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7</v>
      </c>
      <c r="U319" s="3">
        <v>13</v>
      </c>
      <c r="V319" s="3">
        <v>14</v>
      </c>
      <c r="W319" s="3"/>
      <c r="X319" s="3">
        <v>26.98</v>
      </c>
      <c r="Y319" s="3">
        <v>26.98</v>
      </c>
      <c r="Z319" s="3">
        <v>26.98</v>
      </c>
      <c r="AA319" s="3">
        <v>0</v>
      </c>
      <c r="AB319" s="3" t="s">
        <v>869</v>
      </c>
      <c r="AC319" s="3">
        <v>3</v>
      </c>
      <c r="AD319" s="3">
        <v>26.98</v>
      </c>
      <c r="AE319" s="3">
        <v>0</v>
      </c>
      <c r="AF319" s="3">
        <v>0</v>
      </c>
      <c r="AG319" s="3">
        <v>0</v>
      </c>
      <c r="AH319" s="3">
        <v>1.30232558139534</v>
      </c>
      <c r="AI319" s="3">
        <v>0.264652</v>
      </c>
      <c r="AJ319" s="3" t="s">
        <v>870</v>
      </c>
    </row>
    <row r="320" spans="1:36">
      <c r="A320" s="5">
        <v>43336</v>
      </c>
      <c r="B320" s="3" t="s">
        <v>603</v>
      </c>
      <c r="C320" s="3" t="s">
        <v>604</v>
      </c>
      <c r="D320" s="3" t="s">
        <v>604</v>
      </c>
      <c r="E320" s="3" t="s">
        <v>1612</v>
      </c>
      <c r="F320" s="3" t="s">
        <v>867</v>
      </c>
      <c r="G320" s="3">
        <v>12</v>
      </c>
      <c r="H320" s="3">
        <v>0</v>
      </c>
      <c r="I320" s="3">
        <v>5</v>
      </c>
      <c r="J320" s="3">
        <v>7</v>
      </c>
      <c r="K320" s="3">
        <v>0</v>
      </c>
      <c r="L320" s="3">
        <v>0</v>
      </c>
      <c r="M320" s="3">
        <v>0</v>
      </c>
      <c r="N320" s="3" t="s">
        <v>868</v>
      </c>
      <c r="O320" s="3">
        <v>0</v>
      </c>
      <c r="P320" s="3">
        <v>0</v>
      </c>
      <c r="Q320" s="3">
        <v>0</v>
      </c>
      <c r="R320" s="3">
        <v>0</v>
      </c>
      <c r="S320" s="3">
        <v>6</v>
      </c>
      <c r="T320" s="3">
        <v>13</v>
      </c>
      <c r="U320" s="3">
        <v>25</v>
      </c>
      <c r="V320" s="3">
        <v>33</v>
      </c>
      <c r="W320" s="3"/>
      <c r="X320" s="3">
        <v>23.98</v>
      </c>
      <c r="Y320" s="3">
        <v>23.98</v>
      </c>
      <c r="Z320" s="3">
        <v>23.98</v>
      </c>
      <c r="AA320" s="3">
        <v>0</v>
      </c>
      <c r="AB320" s="3" t="s">
        <v>869</v>
      </c>
      <c r="AC320" s="3">
        <v>13</v>
      </c>
      <c r="AD320" s="3">
        <v>23.98</v>
      </c>
      <c r="AE320" s="3">
        <v>0</v>
      </c>
      <c r="AF320" s="3">
        <v>0</v>
      </c>
      <c r="AG320" s="3">
        <v>0</v>
      </c>
      <c r="AH320" s="3">
        <v>1.13793103448275</v>
      </c>
      <c r="AI320" s="3">
        <v>0.592104</v>
      </c>
      <c r="AJ320" s="3" t="s">
        <v>870</v>
      </c>
    </row>
    <row r="321" spans="1:36">
      <c r="A321" s="5">
        <v>43336</v>
      </c>
      <c r="B321" s="3" t="s">
        <v>1613</v>
      </c>
      <c r="C321" s="3" t="s">
        <v>1614</v>
      </c>
      <c r="D321" s="3" t="s">
        <v>1614</v>
      </c>
      <c r="E321" s="3" t="s">
        <v>1615</v>
      </c>
      <c r="F321" s="3" t="s">
        <v>867</v>
      </c>
      <c r="G321" s="3">
        <v>29</v>
      </c>
      <c r="H321" s="3">
        <v>0</v>
      </c>
      <c r="I321" s="3">
        <v>5</v>
      </c>
      <c r="J321" s="3">
        <v>24</v>
      </c>
      <c r="K321" s="3">
        <v>0</v>
      </c>
      <c r="L321" s="3">
        <v>0</v>
      </c>
      <c r="M321" s="3">
        <v>0</v>
      </c>
      <c r="N321" s="3" t="s">
        <v>868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2</v>
      </c>
      <c r="W321" s="3" t="s">
        <v>871</v>
      </c>
      <c r="X321" s="3">
        <v>22.99</v>
      </c>
      <c r="Y321" s="3">
        <v>22.99</v>
      </c>
      <c r="Z321" s="3">
        <v>22.99</v>
      </c>
      <c r="AA321" s="3">
        <v>0</v>
      </c>
      <c r="AB321" s="3" t="s">
        <v>883</v>
      </c>
      <c r="AC321" s="3">
        <v>1</v>
      </c>
      <c r="AD321" s="3">
        <v>19.63</v>
      </c>
      <c r="AE321" s="3">
        <v>273</v>
      </c>
      <c r="AF321" s="3">
        <v>0</v>
      </c>
      <c r="AG321" s="3">
        <v>968.305924</v>
      </c>
      <c r="AH321" s="3">
        <v>0.072072072072072</v>
      </c>
      <c r="AI321" s="3">
        <v>5.636295</v>
      </c>
      <c r="AJ321" s="3" t="s">
        <v>870</v>
      </c>
    </row>
    <row r="322" spans="1:36">
      <c r="A322" s="5">
        <v>43336</v>
      </c>
      <c r="B322" s="3" t="s">
        <v>1616</v>
      </c>
      <c r="C322" s="3" t="s">
        <v>138</v>
      </c>
      <c r="D322" s="3" t="s">
        <v>138</v>
      </c>
      <c r="E322" s="3" t="s">
        <v>131</v>
      </c>
      <c r="F322" s="3" t="s">
        <v>867</v>
      </c>
      <c r="G322" s="3">
        <v>1</v>
      </c>
      <c r="H322" s="3">
        <v>0</v>
      </c>
      <c r="I322" s="3">
        <v>0</v>
      </c>
      <c r="J322" s="3">
        <v>1</v>
      </c>
      <c r="K322" s="3">
        <v>0</v>
      </c>
      <c r="L322" s="3">
        <v>0</v>
      </c>
      <c r="M322" s="3">
        <v>0</v>
      </c>
      <c r="N322" s="3" t="s">
        <v>868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2</v>
      </c>
      <c r="U322" s="3">
        <v>6</v>
      </c>
      <c r="V322" s="3">
        <v>9</v>
      </c>
      <c r="W322" s="3" t="s">
        <v>936</v>
      </c>
      <c r="X322" s="3">
        <v>24.99</v>
      </c>
      <c r="Y322" s="3">
        <v>24.99</v>
      </c>
      <c r="Z322" s="3">
        <v>24.99</v>
      </c>
      <c r="AA322" s="3">
        <v>0</v>
      </c>
      <c r="AB322" s="3" t="s">
        <v>985</v>
      </c>
      <c r="AC322" s="3">
        <v>1</v>
      </c>
      <c r="AD322" s="3">
        <v>24.99</v>
      </c>
      <c r="AE322" s="3">
        <v>0</v>
      </c>
      <c r="AF322" s="3">
        <v>0</v>
      </c>
      <c r="AG322" s="3">
        <v>0</v>
      </c>
      <c r="AH322" s="3">
        <v>1.71428571428571</v>
      </c>
      <c r="AI322" s="3">
        <v>0.198435</v>
      </c>
      <c r="AJ322" s="3" t="s">
        <v>870</v>
      </c>
    </row>
    <row r="323" spans="1:36">
      <c r="A323" s="5">
        <v>43336</v>
      </c>
      <c r="B323" s="3" t="s">
        <v>1617</v>
      </c>
      <c r="C323" s="3" t="s">
        <v>1618</v>
      </c>
      <c r="D323" s="3" t="s">
        <v>1619</v>
      </c>
      <c r="E323" s="3" t="s">
        <v>1620</v>
      </c>
      <c r="F323" s="3" t="s">
        <v>867</v>
      </c>
      <c r="G323" s="3">
        <v>13</v>
      </c>
      <c r="H323" s="3">
        <v>0</v>
      </c>
      <c r="I323" s="3">
        <v>13</v>
      </c>
      <c r="J323" s="3">
        <v>0</v>
      </c>
      <c r="K323" s="3">
        <v>0</v>
      </c>
      <c r="L323" s="3">
        <v>0</v>
      </c>
      <c r="M323" s="3">
        <v>0</v>
      </c>
      <c r="N323" s="3" t="s">
        <v>868</v>
      </c>
      <c r="O323" s="3">
        <v>0</v>
      </c>
      <c r="P323" s="3">
        <v>0</v>
      </c>
      <c r="Q323" s="3">
        <v>0</v>
      </c>
      <c r="R323" s="3">
        <v>0</v>
      </c>
      <c r="S323" s="3">
        <v>5</v>
      </c>
      <c r="T323" s="3">
        <v>7</v>
      </c>
      <c r="U323" s="3">
        <v>7</v>
      </c>
      <c r="V323" s="3">
        <v>7</v>
      </c>
      <c r="W323" s="3"/>
      <c r="X323" s="3">
        <v>23.98</v>
      </c>
      <c r="Y323" s="3">
        <v>23.98</v>
      </c>
      <c r="Z323" s="3">
        <v>23.98</v>
      </c>
      <c r="AA323" s="3">
        <v>0</v>
      </c>
      <c r="AB323" s="3" t="s">
        <v>869</v>
      </c>
      <c r="AC323" s="3">
        <v>14</v>
      </c>
      <c r="AD323" s="3">
        <v>23.98</v>
      </c>
      <c r="AE323" s="3">
        <v>0</v>
      </c>
      <c r="AF323" s="3">
        <v>0</v>
      </c>
      <c r="AG323" s="3">
        <v>0</v>
      </c>
      <c r="AH323" s="3">
        <v>6.94117647058823</v>
      </c>
      <c r="AI323" s="3">
        <v>0.591877</v>
      </c>
      <c r="AJ323" s="3" t="s">
        <v>870</v>
      </c>
    </row>
    <row r="324" spans="1:36">
      <c r="A324" s="5">
        <v>43336</v>
      </c>
      <c r="B324" s="3" t="s">
        <v>1621</v>
      </c>
      <c r="C324" s="3" t="s">
        <v>1622</v>
      </c>
      <c r="D324" s="3" t="s">
        <v>1622</v>
      </c>
      <c r="E324" s="3" t="s">
        <v>1623</v>
      </c>
      <c r="F324" s="3" t="s">
        <v>867</v>
      </c>
      <c r="G324" s="3">
        <v>2</v>
      </c>
      <c r="H324" s="3">
        <v>0</v>
      </c>
      <c r="I324" s="3">
        <v>2</v>
      </c>
      <c r="J324" s="3">
        <v>0</v>
      </c>
      <c r="K324" s="3">
        <v>0</v>
      </c>
      <c r="L324" s="3">
        <v>0</v>
      </c>
      <c r="M324" s="3">
        <v>0</v>
      </c>
      <c r="N324" s="3" t="s">
        <v>868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4</v>
      </c>
      <c r="U324" s="3">
        <v>8</v>
      </c>
      <c r="V324" s="3">
        <v>9</v>
      </c>
      <c r="W324" s="3"/>
      <c r="X324" s="3">
        <v>27.98</v>
      </c>
      <c r="Y324" s="3">
        <v>27.98</v>
      </c>
      <c r="Z324" s="3">
        <v>27.98</v>
      </c>
      <c r="AA324" s="3">
        <v>0</v>
      </c>
      <c r="AB324" s="3" t="s">
        <v>869</v>
      </c>
      <c r="AC324" s="3">
        <v>2</v>
      </c>
      <c r="AD324" s="3">
        <v>27.98</v>
      </c>
      <c r="AE324" s="3">
        <v>0</v>
      </c>
      <c r="AF324" s="3">
        <v>0</v>
      </c>
      <c r="AG324" s="3">
        <v>0</v>
      </c>
      <c r="AH324" s="3">
        <v>1.38461538461538</v>
      </c>
      <c r="AI324" s="3">
        <v>0.33814</v>
      </c>
      <c r="AJ324" s="3" t="s">
        <v>870</v>
      </c>
    </row>
    <row r="325" spans="1:36">
      <c r="A325" s="5">
        <v>43336</v>
      </c>
      <c r="B325" s="3" t="s">
        <v>1624</v>
      </c>
      <c r="C325" s="3" t="s">
        <v>1625</v>
      </c>
      <c r="D325" s="3" t="s">
        <v>1626</v>
      </c>
      <c r="E325" s="3" t="s">
        <v>1627</v>
      </c>
      <c r="F325" s="3" t="s">
        <v>867</v>
      </c>
      <c r="G325" s="3">
        <v>6</v>
      </c>
      <c r="H325" s="3">
        <v>0</v>
      </c>
      <c r="I325" s="3">
        <v>6</v>
      </c>
      <c r="J325" s="3">
        <v>0</v>
      </c>
      <c r="K325" s="3">
        <v>0</v>
      </c>
      <c r="L325" s="3">
        <v>0</v>
      </c>
      <c r="M325" s="3">
        <v>0</v>
      </c>
      <c r="N325" s="3" t="s">
        <v>868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871</v>
      </c>
      <c r="X325" s="3">
        <v>22.99</v>
      </c>
      <c r="Y325" s="3">
        <v>22.99</v>
      </c>
      <c r="Z325" s="3">
        <v>22.99</v>
      </c>
      <c r="AA325" s="3">
        <v>0</v>
      </c>
      <c r="AB325" s="3" t="s">
        <v>869</v>
      </c>
      <c r="AC325" s="3">
        <v>6</v>
      </c>
      <c r="AD325" s="3">
        <v>22.99</v>
      </c>
      <c r="AE325" s="3">
        <v>0</v>
      </c>
      <c r="AF325" s="3">
        <v>0</v>
      </c>
      <c r="AG325" s="3">
        <v>0</v>
      </c>
      <c r="AH325" s="3">
        <v>0</v>
      </c>
      <c r="AI325" s="3">
        <v>0.957</v>
      </c>
      <c r="AJ325" s="3" t="s">
        <v>925</v>
      </c>
    </row>
    <row r="326" spans="1:36">
      <c r="A326" s="5">
        <v>43336</v>
      </c>
      <c r="B326" s="3" t="s">
        <v>1628</v>
      </c>
      <c r="C326" s="3" t="s">
        <v>1629</v>
      </c>
      <c r="D326" s="3" t="s">
        <v>1629</v>
      </c>
      <c r="E326" s="3" t="s">
        <v>1630</v>
      </c>
      <c r="F326" s="3" t="s">
        <v>867</v>
      </c>
      <c r="G326" s="3">
        <v>3</v>
      </c>
      <c r="H326" s="3">
        <v>0</v>
      </c>
      <c r="I326" s="3">
        <v>1</v>
      </c>
      <c r="J326" s="3">
        <v>2</v>
      </c>
      <c r="K326" s="3">
        <v>0</v>
      </c>
      <c r="L326" s="3">
        <v>0</v>
      </c>
      <c r="M326" s="3">
        <v>0</v>
      </c>
      <c r="N326" s="3" t="s">
        <v>868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1</v>
      </c>
      <c r="U326" s="3">
        <v>7</v>
      </c>
      <c r="V326" s="3">
        <v>9</v>
      </c>
      <c r="W326" s="3" t="s">
        <v>871</v>
      </c>
      <c r="X326" s="3">
        <v>20.98</v>
      </c>
      <c r="Y326" s="3">
        <v>23.98</v>
      </c>
      <c r="Z326" s="3">
        <v>23.98</v>
      </c>
      <c r="AA326" s="3">
        <v>0</v>
      </c>
      <c r="AB326" s="3" t="s">
        <v>883</v>
      </c>
      <c r="AC326" s="3">
        <v>1</v>
      </c>
      <c r="AD326" s="3">
        <v>19.2</v>
      </c>
      <c r="AE326" s="3">
        <v>70</v>
      </c>
      <c r="AF326" s="3">
        <v>0</v>
      </c>
      <c r="AG326" s="3">
        <v>5.465012</v>
      </c>
      <c r="AH326" s="3">
        <v>0.4</v>
      </c>
      <c r="AI326" s="3">
        <v>0.314226</v>
      </c>
      <c r="AJ326" s="3" t="s">
        <v>870</v>
      </c>
    </row>
    <row r="327" spans="1:36">
      <c r="A327" s="5">
        <v>43336</v>
      </c>
      <c r="B327" s="3" t="s">
        <v>1631</v>
      </c>
      <c r="C327" s="3" t="s">
        <v>1632</v>
      </c>
      <c r="D327" s="3" t="s">
        <v>1562</v>
      </c>
      <c r="E327" s="3" t="s">
        <v>1563</v>
      </c>
      <c r="F327" s="3" t="s">
        <v>867</v>
      </c>
      <c r="G327" s="3">
        <v>25</v>
      </c>
      <c r="H327" s="3">
        <v>0</v>
      </c>
      <c r="I327" s="3">
        <v>25</v>
      </c>
      <c r="J327" s="3">
        <v>0</v>
      </c>
      <c r="K327" s="3">
        <v>0</v>
      </c>
      <c r="L327" s="3">
        <v>0</v>
      </c>
      <c r="M327" s="3">
        <v>0</v>
      </c>
      <c r="N327" s="3" t="s">
        <v>868</v>
      </c>
      <c r="O327" s="3">
        <v>0</v>
      </c>
      <c r="P327" s="3">
        <v>0</v>
      </c>
      <c r="Q327" s="3">
        <v>0</v>
      </c>
      <c r="R327" s="3">
        <v>0</v>
      </c>
      <c r="S327" s="3">
        <v>1</v>
      </c>
      <c r="T327" s="3">
        <v>5</v>
      </c>
      <c r="U327" s="3">
        <v>16</v>
      </c>
      <c r="V327" s="3">
        <v>16</v>
      </c>
      <c r="W327" s="3"/>
      <c r="X327" s="3">
        <v>21.98</v>
      </c>
      <c r="Y327" s="3">
        <v>21.98</v>
      </c>
      <c r="Z327" s="3">
        <v>21.98</v>
      </c>
      <c r="AA327" s="3">
        <v>0</v>
      </c>
      <c r="AB327" s="3" t="s">
        <v>869</v>
      </c>
      <c r="AC327" s="3">
        <v>25</v>
      </c>
      <c r="AD327" s="3">
        <v>21.98</v>
      </c>
      <c r="AE327" s="3">
        <v>0</v>
      </c>
      <c r="AF327" s="3">
        <v>0</v>
      </c>
      <c r="AG327" s="3">
        <v>0</v>
      </c>
      <c r="AH327" s="3">
        <v>1.78512396694214</v>
      </c>
      <c r="AI327" s="3">
        <v>2.973475</v>
      </c>
      <c r="AJ327" s="3" t="s">
        <v>870</v>
      </c>
    </row>
    <row r="328" spans="1:36">
      <c r="A328" s="5">
        <v>43336</v>
      </c>
      <c r="B328" s="3" t="s">
        <v>1633</v>
      </c>
      <c r="C328" s="3" t="s">
        <v>1634</v>
      </c>
      <c r="D328" s="3" t="s">
        <v>1634</v>
      </c>
      <c r="E328" s="3" t="s">
        <v>131</v>
      </c>
      <c r="F328" s="3" t="s">
        <v>867</v>
      </c>
      <c r="G328" s="3">
        <v>7</v>
      </c>
      <c r="H328" s="3">
        <v>0</v>
      </c>
      <c r="I328" s="3">
        <v>6</v>
      </c>
      <c r="J328" s="3">
        <v>1</v>
      </c>
      <c r="K328" s="3">
        <v>0</v>
      </c>
      <c r="L328" s="3">
        <v>0</v>
      </c>
      <c r="M328" s="3">
        <v>0</v>
      </c>
      <c r="N328" s="3" t="s">
        <v>868</v>
      </c>
      <c r="O328" s="3">
        <v>0</v>
      </c>
      <c r="P328" s="3">
        <v>0</v>
      </c>
      <c r="Q328" s="3">
        <v>0</v>
      </c>
      <c r="R328" s="3">
        <v>0</v>
      </c>
      <c r="S328" s="3">
        <v>3</v>
      </c>
      <c r="T328" s="3">
        <v>6</v>
      </c>
      <c r="U328" s="3">
        <v>14</v>
      </c>
      <c r="V328" s="3">
        <v>15</v>
      </c>
      <c r="W328" s="3"/>
      <c r="X328" s="3">
        <v>32.99</v>
      </c>
      <c r="Y328" s="3">
        <v>23.99</v>
      </c>
      <c r="Z328" s="3">
        <v>23.99</v>
      </c>
      <c r="AA328" s="3">
        <v>0</v>
      </c>
      <c r="AB328" s="3" t="s">
        <v>869</v>
      </c>
      <c r="AC328" s="3">
        <v>9</v>
      </c>
      <c r="AD328" s="3">
        <v>23.99</v>
      </c>
      <c r="AE328" s="3">
        <v>0</v>
      </c>
      <c r="AF328" s="3">
        <v>0</v>
      </c>
      <c r="AG328" s="3">
        <v>0</v>
      </c>
      <c r="AH328" s="3">
        <v>1.27659574468085</v>
      </c>
      <c r="AI328" s="3">
        <v>1.389045</v>
      </c>
      <c r="AJ328" s="3" t="s">
        <v>870</v>
      </c>
    </row>
    <row r="329" spans="1:36">
      <c r="A329" s="5">
        <v>43336</v>
      </c>
      <c r="B329" s="3" t="s">
        <v>1635</v>
      </c>
      <c r="C329" s="3" t="s">
        <v>1206</v>
      </c>
      <c r="D329" s="3" t="s">
        <v>1206</v>
      </c>
      <c r="E329" s="3" t="s">
        <v>1207</v>
      </c>
      <c r="F329" s="3" t="s">
        <v>867</v>
      </c>
      <c r="G329" s="3">
        <v>1</v>
      </c>
      <c r="H329" s="3">
        <v>0</v>
      </c>
      <c r="I329" s="3">
        <v>0</v>
      </c>
      <c r="J329" s="3">
        <v>0</v>
      </c>
      <c r="K329" s="3">
        <v>1</v>
      </c>
      <c r="L329" s="3">
        <v>0</v>
      </c>
      <c r="M329" s="3">
        <v>0</v>
      </c>
      <c r="N329" s="3" t="s">
        <v>868</v>
      </c>
      <c r="O329" s="3">
        <v>1</v>
      </c>
      <c r="P329" s="3">
        <v>0.47</v>
      </c>
      <c r="Q329" s="3">
        <v>0</v>
      </c>
      <c r="R329" s="3">
        <v>0</v>
      </c>
      <c r="S329" s="3">
        <v>0</v>
      </c>
      <c r="T329" s="3">
        <v>0</v>
      </c>
      <c r="U329" s="3">
        <v>1</v>
      </c>
      <c r="V329" s="3">
        <v>2</v>
      </c>
      <c r="W329" s="3" t="s">
        <v>871</v>
      </c>
      <c r="X329" s="3">
        <v>24.98</v>
      </c>
      <c r="Y329" s="3">
        <v>24.98</v>
      </c>
      <c r="Z329" s="3">
        <v>24.98</v>
      </c>
      <c r="AA329" s="3">
        <v>0</v>
      </c>
      <c r="AB329" s="3" t="s">
        <v>869</v>
      </c>
      <c r="AC329" s="3">
        <v>1</v>
      </c>
      <c r="AD329" s="3">
        <v>24.98</v>
      </c>
      <c r="AE329" s="3">
        <v>0</v>
      </c>
      <c r="AF329" s="3">
        <v>0</v>
      </c>
      <c r="AG329" s="3">
        <v>0</v>
      </c>
      <c r="AH329" s="3">
        <v>0.8</v>
      </c>
      <c r="AI329" s="3">
        <v>0.137251</v>
      </c>
      <c r="AJ329" s="3" t="s">
        <v>870</v>
      </c>
    </row>
    <row r="330" spans="1:36">
      <c r="A330" s="5">
        <v>43336</v>
      </c>
      <c r="B330" s="3" t="s">
        <v>559</v>
      </c>
      <c r="C330" s="3" t="s">
        <v>560</v>
      </c>
      <c r="D330" s="3" t="s">
        <v>560</v>
      </c>
      <c r="E330" s="3" t="s">
        <v>561</v>
      </c>
      <c r="F330" s="3" t="s">
        <v>867</v>
      </c>
      <c r="G330" s="3">
        <v>3</v>
      </c>
      <c r="H330" s="3">
        <v>0</v>
      </c>
      <c r="I330" s="3">
        <v>3</v>
      </c>
      <c r="J330" s="3">
        <v>0</v>
      </c>
      <c r="K330" s="3">
        <v>0</v>
      </c>
      <c r="L330" s="3">
        <v>0</v>
      </c>
      <c r="M330" s="3">
        <v>0</v>
      </c>
      <c r="N330" s="3" t="s">
        <v>868</v>
      </c>
      <c r="O330" s="3">
        <v>0</v>
      </c>
      <c r="P330" s="3">
        <v>0</v>
      </c>
      <c r="Q330" s="3">
        <v>0</v>
      </c>
      <c r="R330" s="3">
        <v>0</v>
      </c>
      <c r="S330" s="3">
        <v>3</v>
      </c>
      <c r="T330" s="3">
        <v>13</v>
      </c>
      <c r="U330" s="3">
        <v>21</v>
      </c>
      <c r="V330" s="3">
        <v>25</v>
      </c>
      <c r="W330" s="3"/>
      <c r="X330" s="3">
        <v>18.98</v>
      </c>
      <c r="Y330" s="3">
        <v>18.98</v>
      </c>
      <c r="Z330" s="3">
        <v>18.98</v>
      </c>
      <c r="AA330" s="3">
        <v>0</v>
      </c>
      <c r="AB330" s="3" t="s">
        <v>869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0.8</v>
      </c>
      <c r="AI330" s="3">
        <v>0.612534</v>
      </c>
      <c r="AJ330" s="3" t="s">
        <v>870</v>
      </c>
    </row>
    <row r="331" spans="1:36">
      <c r="A331" s="5">
        <v>43336</v>
      </c>
      <c r="B331" s="3" t="s">
        <v>1636</v>
      </c>
      <c r="C331" s="3" t="s">
        <v>1637</v>
      </c>
      <c r="D331" s="3" t="s">
        <v>1637</v>
      </c>
      <c r="E331" s="3" t="s">
        <v>1638</v>
      </c>
      <c r="F331" s="3" t="s">
        <v>867</v>
      </c>
      <c r="G331" s="3">
        <v>12</v>
      </c>
      <c r="H331" s="3">
        <v>0</v>
      </c>
      <c r="I331" s="3">
        <v>0</v>
      </c>
      <c r="J331" s="3">
        <v>0</v>
      </c>
      <c r="K331" s="3">
        <v>12</v>
      </c>
      <c r="L331" s="3">
        <v>0</v>
      </c>
      <c r="M331" s="3">
        <v>0</v>
      </c>
      <c r="N331" s="3" t="s">
        <v>868</v>
      </c>
      <c r="O331" s="3">
        <v>12</v>
      </c>
      <c r="P331" s="3">
        <v>2.9</v>
      </c>
      <c r="Q331" s="3">
        <v>0</v>
      </c>
      <c r="R331" s="3">
        <v>0</v>
      </c>
      <c r="S331" s="3">
        <v>0</v>
      </c>
      <c r="T331" s="3">
        <v>1</v>
      </c>
      <c r="U331" s="3">
        <v>1</v>
      </c>
      <c r="V331" s="3">
        <v>1</v>
      </c>
      <c r="W331" s="3" t="s">
        <v>871</v>
      </c>
      <c r="X331" s="3">
        <v>22.98</v>
      </c>
      <c r="Y331" s="3">
        <v>22.98</v>
      </c>
      <c r="Z331" s="3">
        <v>22.98</v>
      </c>
      <c r="AA331" s="3">
        <v>0</v>
      </c>
      <c r="AB331" s="3" t="s">
        <v>869</v>
      </c>
      <c r="AC331" s="3">
        <v>12</v>
      </c>
      <c r="AD331" s="3">
        <v>22.98</v>
      </c>
      <c r="AE331" s="3">
        <v>0</v>
      </c>
      <c r="AF331" s="3">
        <v>0</v>
      </c>
      <c r="AG331" s="3">
        <v>0</v>
      </c>
      <c r="AH331" s="3">
        <v>0.0784313725490196</v>
      </c>
      <c r="AI331" s="3">
        <v>0.840552</v>
      </c>
      <c r="AJ331" s="3" t="s">
        <v>870</v>
      </c>
    </row>
    <row r="332" spans="1:36">
      <c r="A332" s="5">
        <v>43336</v>
      </c>
      <c r="B332" s="3" t="s">
        <v>1639</v>
      </c>
      <c r="C332" s="3" t="s">
        <v>1021</v>
      </c>
      <c r="D332" s="3" t="s">
        <v>1021</v>
      </c>
      <c r="E332" s="3" t="s">
        <v>1022</v>
      </c>
      <c r="F332" s="3" t="s">
        <v>867</v>
      </c>
      <c r="G332" s="3">
        <v>3</v>
      </c>
      <c r="H332" s="3">
        <v>0</v>
      </c>
      <c r="I332" s="3">
        <v>3</v>
      </c>
      <c r="J332" s="3">
        <v>0</v>
      </c>
      <c r="K332" s="3">
        <v>0</v>
      </c>
      <c r="L332" s="3">
        <v>0</v>
      </c>
      <c r="M332" s="3">
        <v>0</v>
      </c>
      <c r="N332" s="3" t="s">
        <v>868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2</v>
      </c>
      <c r="U332" s="3">
        <v>2</v>
      </c>
      <c r="V332" s="3">
        <v>8</v>
      </c>
      <c r="W332" s="3"/>
      <c r="X332" s="3">
        <v>22.98</v>
      </c>
      <c r="Y332" s="3">
        <v>22.98</v>
      </c>
      <c r="Z332" s="3">
        <v>22.98</v>
      </c>
      <c r="AA332" s="3">
        <v>0</v>
      </c>
      <c r="AB332" s="3" t="s">
        <v>869</v>
      </c>
      <c r="AC332" s="3">
        <v>3</v>
      </c>
      <c r="AD332" s="3">
        <v>22.98</v>
      </c>
      <c r="AE332" s="3">
        <v>0</v>
      </c>
      <c r="AF332" s="3">
        <v>0</v>
      </c>
      <c r="AG332" s="3">
        <v>0</v>
      </c>
      <c r="AH332" s="3">
        <v>1.125</v>
      </c>
      <c r="AI332" s="3">
        <v>0.250689</v>
      </c>
      <c r="AJ332" s="3" t="s">
        <v>870</v>
      </c>
    </row>
    <row r="333" spans="1:36">
      <c r="A333" s="5">
        <v>43336</v>
      </c>
      <c r="B333" s="3" t="s">
        <v>1640</v>
      </c>
      <c r="C333" s="3" t="s">
        <v>1641</v>
      </c>
      <c r="D333" s="3" t="s">
        <v>30</v>
      </c>
      <c r="E333" s="3" t="s">
        <v>31</v>
      </c>
      <c r="F333" s="3" t="s">
        <v>867</v>
      </c>
      <c r="G333" s="3">
        <v>20</v>
      </c>
      <c r="H333" s="3">
        <v>0</v>
      </c>
      <c r="I333" s="3">
        <v>20</v>
      </c>
      <c r="J333" s="3">
        <v>0</v>
      </c>
      <c r="K333" s="3">
        <v>0</v>
      </c>
      <c r="L333" s="3">
        <v>0</v>
      </c>
      <c r="M333" s="3">
        <v>0</v>
      </c>
      <c r="N333" s="3" t="s">
        <v>868</v>
      </c>
      <c r="O333" s="3">
        <v>0</v>
      </c>
      <c r="P333" s="3">
        <v>0</v>
      </c>
      <c r="Q333" s="3">
        <v>0</v>
      </c>
      <c r="R333" s="3">
        <v>0</v>
      </c>
      <c r="S333" s="3">
        <v>1</v>
      </c>
      <c r="T333" s="3">
        <v>3</v>
      </c>
      <c r="U333" s="3">
        <v>3</v>
      </c>
      <c r="V333" s="3">
        <v>3</v>
      </c>
      <c r="W333" s="3"/>
      <c r="X333" s="3">
        <v>24.98</v>
      </c>
      <c r="Y333" s="3">
        <v>24.98</v>
      </c>
      <c r="Z333" s="3">
        <v>24.98</v>
      </c>
      <c r="AA333" s="3">
        <v>0</v>
      </c>
      <c r="AB333" s="3" t="s">
        <v>869</v>
      </c>
      <c r="AC333" s="3">
        <v>20</v>
      </c>
      <c r="AD333" s="3">
        <v>24.98</v>
      </c>
      <c r="AE333" s="3">
        <v>0</v>
      </c>
      <c r="AF333" s="3">
        <v>0</v>
      </c>
      <c r="AG333" s="3">
        <v>0</v>
      </c>
      <c r="AH333" s="3">
        <v>0.448598130841121</v>
      </c>
      <c r="AI333" s="3">
        <v>1.22024</v>
      </c>
      <c r="AJ333" s="3" t="s">
        <v>870</v>
      </c>
    </row>
    <row r="334" spans="1:36">
      <c r="A334" s="5">
        <v>43336</v>
      </c>
      <c r="B334" s="3" t="s">
        <v>1642</v>
      </c>
      <c r="C334" s="3" t="s">
        <v>1643</v>
      </c>
      <c r="D334" s="3" t="s">
        <v>1644</v>
      </c>
      <c r="E334" s="3" t="s">
        <v>1645</v>
      </c>
      <c r="F334" s="3" t="s">
        <v>867</v>
      </c>
      <c r="G334" s="3">
        <v>5</v>
      </c>
      <c r="H334" s="3">
        <v>0</v>
      </c>
      <c r="I334" s="3">
        <v>5</v>
      </c>
      <c r="J334" s="3">
        <v>0</v>
      </c>
      <c r="K334" s="3">
        <v>0</v>
      </c>
      <c r="L334" s="3">
        <v>0</v>
      </c>
      <c r="M334" s="3">
        <v>0</v>
      </c>
      <c r="N334" s="3" t="s">
        <v>868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 t="s">
        <v>936</v>
      </c>
      <c r="X334" s="3">
        <v>17.99</v>
      </c>
      <c r="Y334" s="3">
        <v>17.99</v>
      </c>
      <c r="Z334" s="3">
        <v>17.99</v>
      </c>
      <c r="AA334" s="3">
        <v>0</v>
      </c>
      <c r="AB334" s="3" t="s">
        <v>937</v>
      </c>
      <c r="AC334" s="3">
        <v>5</v>
      </c>
      <c r="AD334" s="3">
        <v>17.99</v>
      </c>
      <c r="AE334" s="3">
        <v>0</v>
      </c>
      <c r="AF334" s="3">
        <v>0</v>
      </c>
      <c r="AG334" s="3">
        <v>0</v>
      </c>
      <c r="AH334" s="3">
        <v>0</v>
      </c>
      <c r="AI334" s="3">
        <v>0.571665</v>
      </c>
      <c r="AJ334" s="3" t="s">
        <v>925</v>
      </c>
    </row>
    <row r="335" spans="1:36">
      <c r="A335" s="5">
        <v>43336</v>
      </c>
      <c r="B335" s="3" t="s">
        <v>1646</v>
      </c>
      <c r="C335" s="3" t="s">
        <v>1647</v>
      </c>
      <c r="D335" s="3" t="s">
        <v>1006</v>
      </c>
      <c r="E335" s="3" t="s">
        <v>1007</v>
      </c>
      <c r="F335" s="3" t="s">
        <v>867</v>
      </c>
      <c r="G335" s="3">
        <v>15</v>
      </c>
      <c r="H335" s="3">
        <v>0</v>
      </c>
      <c r="I335" s="3">
        <v>15</v>
      </c>
      <c r="J335" s="3">
        <v>0</v>
      </c>
      <c r="K335" s="3">
        <v>0</v>
      </c>
      <c r="L335" s="3">
        <v>0</v>
      </c>
      <c r="M335" s="3">
        <v>0</v>
      </c>
      <c r="N335" s="3" t="s">
        <v>868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/>
      <c r="X335" s="3"/>
      <c r="Y335" s="3"/>
      <c r="Z335" s="3">
        <v>21.98</v>
      </c>
      <c r="AA335" s="3">
        <v>-1</v>
      </c>
      <c r="AB335" s="3" t="s">
        <v>891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0.794701986754966</v>
      </c>
      <c r="AI335" s="3">
        <v>2.245395</v>
      </c>
      <c r="AJ335" s="3" t="s">
        <v>870</v>
      </c>
    </row>
    <row r="336" spans="1:36">
      <c r="A336" s="5">
        <v>43336</v>
      </c>
      <c r="B336" s="3" t="s">
        <v>1648</v>
      </c>
      <c r="C336" s="3" t="s">
        <v>1649</v>
      </c>
      <c r="D336" s="3" t="s">
        <v>1649</v>
      </c>
      <c r="E336" s="3" t="s">
        <v>1246</v>
      </c>
      <c r="F336" s="3" t="s">
        <v>867</v>
      </c>
      <c r="G336" s="3">
        <v>4</v>
      </c>
      <c r="H336" s="3">
        <v>0</v>
      </c>
      <c r="I336" s="3">
        <v>4</v>
      </c>
      <c r="J336" s="3">
        <v>0</v>
      </c>
      <c r="K336" s="3">
        <v>0</v>
      </c>
      <c r="L336" s="3">
        <v>0</v>
      </c>
      <c r="M336" s="3">
        <v>0</v>
      </c>
      <c r="N336" s="3" t="s">
        <v>868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3</v>
      </c>
      <c r="V336" s="3">
        <v>8</v>
      </c>
      <c r="W336" s="3" t="s">
        <v>871</v>
      </c>
      <c r="X336" s="3">
        <v>21.5</v>
      </c>
      <c r="Y336" s="3">
        <v>21.5</v>
      </c>
      <c r="Z336" s="3">
        <v>21.5</v>
      </c>
      <c r="AA336" s="3">
        <v>0</v>
      </c>
      <c r="AB336" s="3" t="s">
        <v>869</v>
      </c>
      <c r="AC336" s="3">
        <v>4</v>
      </c>
      <c r="AD336" s="3">
        <v>21.5</v>
      </c>
      <c r="AE336" s="3">
        <v>0</v>
      </c>
      <c r="AF336" s="3">
        <v>0</v>
      </c>
      <c r="AG336" s="3">
        <v>0</v>
      </c>
      <c r="AH336" s="3">
        <v>0.761904761904761</v>
      </c>
      <c r="AI336" s="3">
        <v>0.922728</v>
      </c>
      <c r="AJ336" s="3" t="s">
        <v>870</v>
      </c>
    </row>
    <row r="337" spans="1:36">
      <c r="A337" s="5">
        <v>43336</v>
      </c>
      <c r="B337" s="3" t="s">
        <v>459</v>
      </c>
      <c r="C337" s="3" t="s">
        <v>460</v>
      </c>
      <c r="D337" s="3" t="s">
        <v>461</v>
      </c>
      <c r="E337" s="3" t="s">
        <v>1121</v>
      </c>
      <c r="F337" s="3" t="s">
        <v>867</v>
      </c>
      <c r="G337" s="3">
        <v>6</v>
      </c>
      <c r="H337" s="3">
        <v>0</v>
      </c>
      <c r="I337" s="3">
        <v>6</v>
      </c>
      <c r="J337" s="3">
        <v>0</v>
      </c>
      <c r="K337" s="3">
        <v>0</v>
      </c>
      <c r="L337" s="3">
        <v>0</v>
      </c>
      <c r="M337" s="3">
        <v>0</v>
      </c>
      <c r="N337" s="3" t="s">
        <v>868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 t="s">
        <v>871</v>
      </c>
      <c r="X337" s="3">
        <v>39.98</v>
      </c>
      <c r="Y337" s="3">
        <v>19.98</v>
      </c>
      <c r="Z337" s="3">
        <v>19.98</v>
      </c>
      <c r="AA337" s="3">
        <v>0</v>
      </c>
      <c r="AB337" s="3" t="s">
        <v>869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1.5</v>
      </c>
      <c r="AI337" s="3">
        <v>1.25562</v>
      </c>
      <c r="AJ337" s="3" t="s">
        <v>870</v>
      </c>
    </row>
    <row r="338" spans="1:36">
      <c r="A338" s="5">
        <v>43336</v>
      </c>
      <c r="B338" s="3" t="s">
        <v>1650</v>
      </c>
      <c r="C338" s="3" t="s">
        <v>1651</v>
      </c>
      <c r="D338" s="3" t="s">
        <v>1651</v>
      </c>
      <c r="E338" s="3" t="s">
        <v>1652</v>
      </c>
      <c r="F338" s="3" t="s">
        <v>867</v>
      </c>
      <c r="G338" s="3">
        <v>32</v>
      </c>
      <c r="H338" s="3">
        <v>0</v>
      </c>
      <c r="I338" s="3">
        <v>0</v>
      </c>
      <c r="J338" s="3">
        <v>30</v>
      </c>
      <c r="K338" s="3">
        <v>2</v>
      </c>
      <c r="L338" s="3">
        <v>0</v>
      </c>
      <c r="M338" s="3">
        <v>0</v>
      </c>
      <c r="N338" s="3" t="s">
        <v>868</v>
      </c>
      <c r="O338" s="3">
        <v>32</v>
      </c>
      <c r="P338" s="3">
        <v>18.2</v>
      </c>
      <c r="Q338" s="3">
        <v>0</v>
      </c>
      <c r="R338" s="3">
        <v>0</v>
      </c>
      <c r="S338" s="3">
        <v>0</v>
      </c>
      <c r="T338" s="3">
        <v>2</v>
      </c>
      <c r="U338" s="3">
        <v>2</v>
      </c>
      <c r="V338" s="3">
        <v>7</v>
      </c>
      <c r="W338" s="3"/>
      <c r="X338" s="3">
        <v>25.98</v>
      </c>
      <c r="Y338" s="3">
        <v>25.98</v>
      </c>
      <c r="Z338" s="3">
        <v>25.98</v>
      </c>
      <c r="AA338" s="3">
        <v>0</v>
      </c>
      <c r="AB338" s="3" t="s">
        <v>883</v>
      </c>
      <c r="AC338" s="3">
        <v>16</v>
      </c>
      <c r="AD338" s="3">
        <v>22.96</v>
      </c>
      <c r="AE338" s="3">
        <v>203</v>
      </c>
      <c r="AF338" s="3">
        <v>0</v>
      </c>
      <c r="AG338" s="3">
        <v>14.314074</v>
      </c>
      <c r="AH338" s="3">
        <v>0.201438848920863</v>
      </c>
      <c r="AI338" s="3">
        <v>5.278016</v>
      </c>
      <c r="AJ338" s="3" t="s">
        <v>870</v>
      </c>
    </row>
    <row r="339" spans="1:36">
      <c r="A339" s="5">
        <v>43336</v>
      </c>
      <c r="B339" s="3" t="s">
        <v>676</v>
      </c>
      <c r="C339" s="3" t="s">
        <v>677</v>
      </c>
      <c r="D339" s="3" t="s">
        <v>677</v>
      </c>
      <c r="E339" s="3" t="s">
        <v>678</v>
      </c>
      <c r="F339" s="3" t="s">
        <v>867</v>
      </c>
      <c r="G339" s="3">
        <v>1</v>
      </c>
      <c r="H339" s="3">
        <v>0</v>
      </c>
      <c r="I339" s="3">
        <v>0</v>
      </c>
      <c r="J339" s="3">
        <v>1</v>
      </c>
      <c r="K339" s="3">
        <v>0</v>
      </c>
      <c r="L339" s="3">
        <v>0</v>
      </c>
      <c r="M339" s="3">
        <v>0</v>
      </c>
      <c r="N339" s="3" t="s">
        <v>868</v>
      </c>
      <c r="O339" s="3">
        <v>0</v>
      </c>
      <c r="P339" s="3">
        <v>0</v>
      </c>
      <c r="Q339" s="3">
        <v>0</v>
      </c>
      <c r="R339" s="3">
        <v>0</v>
      </c>
      <c r="S339" s="3">
        <v>2</v>
      </c>
      <c r="T339" s="3">
        <v>2</v>
      </c>
      <c r="U339" s="3">
        <v>2</v>
      </c>
      <c r="V339" s="3">
        <v>3</v>
      </c>
      <c r="W339" s="3"/>
      <c r="X339" s="3">
        <v>22.98</v>
      </c>
      <c r="Y339" s="3">
        <v>22.98</v>
      </c>
      <c r="Z339" s="3">
        <v>22.98</v>
      </c>
      <c r="AA339" s="3">
        <v>0</v>
      </c>
      <c r="AB339" s="3" t="s">
        <v>883</v>
      </c>
      <c r="AC339" s="3">
        <v>0</v>
      </c>
      <c r="AD339" s="3">
        <v>20.45</v>
      </c>
      <c r="AE339" s="3">
        <v>189</v>
      </c>
      <c r="AF339" s="3">
        <v>0</v>
      </c>
      <c r="AG339" s="3">
        <v>61.037993</v>
      </c>
      <c r="AH339" s="3">
        <v>1.09090909090909</v>
      </c>
      <c r="AI339" s="3">
        <v>0.083563</v>
      </c>
      <c r="AJ339" s="3" t="s">
        <v>870</v>
      </c>
    </row>
    <row r="340" spans="1:36">
      <c r="A340" s="5">
        <v>43336</v>
      </c>
      <c r="B340" s="3" t="s">
        <v>1653</v>
      </c>
      <c r="C340" s="3" t="s">
        <v>1654</v>
      </c>
      <c r="D340" s="3" t="s">
        <v>1655</v>
      </c>
      <c r="E340" s="3" t="s">
        <v>1656</v>
      </c>
      <c r="F340" s="3" t="s">
        <v>867</v>
      </c>
      <c r="G340" s="3">
        <v>4</v>
      </c>
      <c r="H340" s="3">
        <v>0</v>
      </c>
      <c r="I340" s="3">
        <v>4</v>
      </c>
      <c r="J340" s="3">
        <v>0</v>
      </c>
      <c r="K340" s="3">
        <v>0</v>
      </c>
      <c r="L340" s="3">
        <v>0</v>
      </c>
      <c r="M340" s="3">
        <v>0</v>
      </c>
      <c r="N340" s="3" t="s">
        <v>868</v>
      </c>
      <c r="O340" s="3">
        <v>0</v>
      </c>
      <c r="P340" s="3">
        <v>0</v>
      </c>
      <c r="Q340" s="3">
        <v>0</v>
      </c>
      <c r="R340" s="3">
        <v>0</v>
      </c>
      <c r="S340" s="3">
        <v>1</v>
      </c>
      <c r="T340" s="3">
        <v>1</v>
      </c>
      <c r="U340" s="3">
        <v>1</v>
      </c>
      <c r="V340" s="3">
        <v>1</v>
      </c>
      <c r="W340" s="3"/>
      <c r="X340" s="3">
        <v>26.98</v>
      </c>
      <c r="Y340" s="3">
        <v>26.98</v>
      </c>
      <c r="Z340" s="3">
        <v>26.98</v>
      </c>
      <c r="AA340" s="3">
        <v>0</v>
      </c>
      <c r="AB340" s="3" t="s">
        <v>869</v>
      </c>
      <c r="AC340" s="3">
        <v>4</v>
      </c>
      <c r="AD340" s="3">
        <v>26.98</v>
      </c>
      <c r="AE340" s="3">
        <v>0</v>
      </c>
      <c r="AF340" s="3">
        <v>0</v>
      </c>
      <c r="AG340" s="3">
        <v>0</v>
      </c>
      <c r="AH340" s="3">
        <v>1</v>
      </c>
      <c r="AI340" s="3">
        <v>0.529304</v>
      </c>
      <c r="AJ340" s="3" t="s">
        <v>870</v>
      </c>
    </row>
    <row r="341" spans="1:36">
      <c r="A341" s="5">
        <v>43336</v>
      </c>
      <c r="B341" s="3" t="s">
        <v>1657</v>
      </c>
      <c r="C341" s="3" t="s">
        <v>1658</v>
      </c>
      <c r="D341" s="3" t="s">
        <v>1658</v>
      </c>
      <c r="E341" s="3" t="s">
        <v>1659</v>
      </c>
      <c r="F341" s="3" t="s">
        <v>867</v>
      </c>
      <c r="G341" s="3">
        <v>2</v>
      </c>
      <c r="H341" s="3">
        <v>0</v>
      </c>
      <c r="I341" s="3">
        <v>0</v>
      </c>
      <c r="J341" s="3">
        <v>2</v>
      </c>
      <c r="K341" s="3">
        <v>0</v>
      </c>
      <c r="L341" s="3">
        <v>0</v>
      </c>
      <c r="M341" s="3">
        <v>0</v>
      </c>
      <c r="N341" s="3" t="s">
        <v>868</v>
      </c>
      <c r="O341" s="3">
        <v>0</v>
      </c>
      <c r="P341" s="3">
        <v>0</v>
      </c>
      <c r="Q341" s="3">
        <v>0</v>
      </c>
      <c r="R341" s="3">
        <v>0</v>
      </c>
      <c r="S341" s="3">
        <v>1</v>
      </c>
      <c r="T341" s="3">
        <v>1</v>
      </c>
      <c r="U341" s="3">
        <v>1</v>
      </c>
      <c r="V341" s="3">
        <v>3</v>
      </c>
      <c r="W341" s="3" t="s">
        <v>871</v>
      </c>
      <c r="X341" s="3">
        <v>23.98</v>
      </c>
      <c r="Y341" s="3">
        <v>23.98</v>
      </c>
      <c r="Z341" s="3">
        <v>23.98</v>
      </c>
      <c r="AA341" s="3">
        <v>0</v>
      </c>
      <c r="AB341" s="3" t="s">
        <v>883</v>
      </c>
      <c r="AC341" s="3">
        <v>1</v>
      </c>
      <c r="AD341" s="3">
        <v>22.57</v>
      </c>
      <c r="AE341" s="3">
        <v>28</v>
      </c>
      <c r="AF341" s="3">
        <v>0</v>
      </c>
      <c r="AG341" s="3">
        <v>64.364652</v>
      </c>
      <c r="AH341" s="3">
        <v>0.48</v>
      </c>
      <c r="AI341" s="3">
        <v>0.335084</v>
      </c>
      <c r="AJ341" s="3" t="s">
        <v>870</v>
      </c>
    </row>
    <row r="342" spans="1:36">
      <c r="A342" s="5">
        <v>43336</v>
      </c>
      <c r="B342" s="3" t="s">
        <v>1660</v>
      </c>
      <c r="C342" s="3" t="s">
        <v>1661</v>
      </c>
      <c r="D342" s="3" t="s">
        <v>1661</v>
      </c>
      <c r="E342" s="3" t="s">
        <v>1662</v>
      </c>
      <c r="F342" s="3" t="s">
        <v>867</v>
      </c>
      <c r="G342" s="3">
        <v>1</v>
      </c>
      <c r="H342" s="3">
        <v>0</v>
      </c>
      <c r="I342" s="3">
        <v>1</v>
      </c>
      <c r="J342" s="3">
        <v>0</v>
      </c>
      <c r="K342" s="3">
        <v>0</v>
      </c>
      <c r="L342" s="3">
        <v>0</v>
      </c>
      <c r="M342" s="3">
        <v>0</v>
      </c>
      <c r="N342" s="3" t="s">
        <v>868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25</v>
      </c>
      <c r="V342" s="3">
        <v>134</v>
      </c>
      <c r="W342" s="3" t="s">
        <v>936</v>
      </c>
      <c r="X342" s="3">
        <v>23.98</v>
      </c>
      <c r="Y342" s="3">
        <v>23.98</v>
      </c>
      <c r="Z342" s="3">
        <v>23.98</v>
      </c>
      <c r="AA342" s="3">
        <v>0</v>
      </c>
      <c r="AB342" s="3" t="s">
        <v>937</v>
      </c>
      <c r="AC342" s="3">
        <v>1</v>
      </c>
      <c r="AD342" s="3">
        <v>23.98</v>
      </c>
      <c r="AE342" s="3">
        <v>0</v>
      </c>
      <c r="AF342" s="3">
        <v>0</v>
      </c>
      <c r="AG342" s="3">
        <v>0</v>
      </c>
      <c r="AH342" s="3">
        <v>18.4827586206896</v>
      </c>
      <c r="AI342" s="3">
        <v>0.170996</v>
      </c>
      <c r="AJ342" s="3" t="s">
        <v>870</v>
      </c>
    </row>
    <row r="343" spans="1:36">
      <c r="A343" s="5">
        <v>43336</v>
      </c>
      <c r="B343" s="3" t="s">
        <v>1663</v>
      </c>
      <c r="C343" s="3" t="s">
        <v>1108</v>
      </c>
      <c r="D343" s="3" t="s">
        <v>1108</v>
      </c>
      <c r="E343" s="3" t="s">
        <v>1109</v>
      </c>
      <c r="F343" s="3" t="s">
        <v>867</v>
      </c>
      <c r="G343" s="3">
        <v>3</v>
      </c>
      <c r="H343" s="3">
        <v>0</v>
      </c>
      <c r="I343" s="3">
        <v>1</v>
      </c>
      <c r="J343" s="3">
        <v>1</v>
      </c>
      <c r="K343" s="3">
        <v>1</v>
      </c>
      <c r="L343" s="3">
        <v>0</v>
      </c>
      <c r="M343" s="3">
        <v>0</v>
      </c>
      <c r="N343" s="3" t="s">
        <v>868</v>
      </c>
      <c r="O343" s="3">
        <v>2</v>
      </c>
      <c r="P343" s="3">
        <v>0.95</v>
      </c>
      <c r="Q343" s="3">
        <v>0</v>
      </c>
      <c r="R343" s="3">
        <v>0</v>
      </c>
      <c r="S343" s="3">
        <v>4</v>
      </c>
      <c r="T343" s="3">
        <v>7</v>
      </c>
      <c r="U343" s="3">
        <v>9</v>
      </c>
      <c r="V343" s="3">
        <v>12</v>
      </c>
      <c r="W343" s="3"/>
      <c r="X343" s="3">
        <v>22.98</v>
      </c>
      <c r="Y343" s="3">
        <v>22.98</v>
      </c>
      <c r="Z343" s="3">
        <v>22.98</v>
      </c>
      <c r="AA343" s="3">
        <v>0</v>
      </c>
      <c r="AB343" s="3" t="s">
        <v>869</v>
      </c>
      <c r="AC343" s="3">
        <v>3</v>
      </c>
      <c r="AD343" s="3">
        <v>22.98</v>
      </c>
      <c r="AE343" s="3">
        <v>0</v>
      </c>
      <c r="AF343" s="3">
        <v>0</v>
      </c>
      <c r="AG343" s="3">
        <v>0</v>
      </c>
      <c r="AH343" s="3">
        <v>1.23076923076923</v>
      </c>
      <c r="AI343" s="3">
        <v>0.414306</v>
      </c>
      <c r="AJ343" s="3" t="s">
        <v>870</v>
      </c>
    </row>
    <row r="344" spans="1:36">
      <c r="A344" s="5">
        <v>43336</v>
      </c>
      <c r="B344" s="3" t="s">
        <v>1664</v>
      </c>
      <c r="C344" s="3" t="s">
        <v>1665</v>
      </c>
      <c r="D344" s="3" t="s">
        <v>1666</v>
      </c>
      <c r="E344" s="3" t="s">
        <v>1667</v>
      </c>
      <c r="F344" s="3" t="s">
        <v>867</v>
      </c>
      <c r="G344" s="3">
        <v>6</v>
      </c>
      <c r="H344" s="3">
        <v>0</v>
      </c>
      <c r="I344" s="3">
        <v>6</v>
      </c>
      <c r="J344" s="3">
        <v>0</v>
      </c>
      <c r="K344" s="3">
        <v>0</v>
      </c>
      <c r="L344" s="3">
        <v>0</v>
      </c>
      <c r="M344" s="3">
        <v>0</v>
      </c>
      <c r="N344" s="3" t="s">
        <v>868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 t="s">
        <v>936</v>
      </c>
      <c r="X344" s="3">
        <v>22.98</v>
      </c>
      <c r="Y344" s="3">
        <v>22.98</v>
      </c>
      <c r="Z344" s="3">
        <v>22.98</v>
      </c>
      <c r="AA344" s="3">
        <v>0</v>
      </c>
      <c r="AB344" s="3" t="s">
        <v>937</v>
      </c>
      <c r="AC344" s="3">
        <v>0</v>
      </c>
      <c r="AD344" s="3">
        <v>18.38</v>
      </c>
      <c r="AE344" s="3">
        <v>63</v>
      </c>
      <c r="AF344" s="3">
        <v>0</v>
      </c>
      <c r="AG344" s="3">
        <v>142.554732</v>
      </c>
      <c r="AH344" s="3">
        <v>0</v>
      </c>
      <c r="AI344" s="3">
        <v>1.236666</v>
      </c>
      <c r="AJ344" s="3" t="s">
        <v>925</v>
      </c>
    </row>
    <row r="345" spans="1:36">
      <c r="A345" s="5">
        <v>43336</v>
      </c>
      <c r="B345" s="3" t="s">
        <v>1668</v>
      </c>
      <c r="C345" s="3" t="s">
        <v>1669</v>
      </c>
      <c r="D345" s="3" t="s">
        <v>1669</v>
      </c>
      <c r="E345" s="3" t="s">
        <v>1670</v>
      </c>
      <c r="F345" s="3" t="s">
        <v>867</v>
      </c>
      <c r="G345" s="3">
        <v>9</v>
      </c>
      <c r="H345" s="3">
        <v>0</v>
      </c>
      <c r="I345" s="3">
        <v>0</v>
      </c>
      <c r="J345" s="3">
        <v>2</v>
      </c>
      <c r="K345" s="3">
        <v>7</v>
      </c>
      <c r="L345" s="3">
        <v>0</v>
      </c>
      <c r="M345" s="3">
        <v>0</v>
      </c>
      <c r="N345" s="3" t="s">
        <v>868</v>
      </c>
      <c r="O345" s="3">
        <v>7</v>
      </c>
      <c r="P345" s="3">
        <v>6.61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 t="s">
        <v>871</v>
      </c>
      <c r="X345" s="3">
        <v>49.98</v>
      </c>
      <c r="Y345" s="3">
        <v>29.98</v>
      </c>
      <c r="Z345" s="3">
        <v>29.98</v>
      </c>
      <c r="AA345" s="3">
        <v>0</v>
      </c>
      <c r="AB345" s="3" t="s">
        <v>883</v>
      </c>
      <c r="AC345" s="3">
        <v>0</v>
      </c>
      <c r="AD345" s="3">
        <v>24.82</v>
      </c>
      <c r="AE345" s="3">
        <v>42</v>
      </c>
      <c r="AF345" s="3">
        <v>0</v>
      </c>
      <c r="AG345" s="3">
        <v>450.818953</v>
      </c>
      <c r="AH345" s="3">
        <v>0</v>
      </c>
      <c r="AI345" s="3">
        <v>2.46395699999999</v>
      </c>
      <c r="AJ345" s="3" t="s">
        <v>870</v>
      </c>
    </row>
    <row r="346" spans="1:36">
      <c r="A346" s="5">
        <v>43336</v>
      </c>
      <c r="B346" s="3" t="s">
        <v>1671</v>
      </c>
      <c r="C346" s="3" t="s">
        <v>1672</v>
      </c>
      <c r="D346" s="3" t="s">
        <v>1097</v>
      </c>
      <c r="E346" s="3" t="s">
        <v>1098</v>
      </c>
      <c r="F346" s="3" t="s">
        <v>867</v>
      </c>
      <c r="G346" s="3">
        <v>3</v>
      </c>
      <c r="H346" s="3">
        <v>0</v>
      </c>
      <c r="I346" s="3">
        <v>3</v>
      </c>
      <c r="J346" s="3">
        <v>0</v>
      </c>
      <c r="K346" s="3">
        <v>0</v>
      </c>
      <c r="L346" s="3">
        <v>0</v>
      </c>
      <c r="M346" s="3">
        <v>0</v>
      </c>
      <c r="N346" s="3" t="s">
        <v>868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871</v>
      </c>
      <c r="X346" s="3">
        <v>24.98</v>
      </c>
      <c r="Y346" s="3">
        <v>24.98</v>
      </c>
      <c r="Z346" s="3">
        <v>24.98</v>
      </c>
      <c r="AA346" s="3">
        <v>0</v>
      </c>
      <c r="AB346" s="3" t="s">
        <v>883</v>
      </c>
      <c r="AC346" s="3">
        <v>0</v>
      </c>
      <c r="AD346" s="3">
        <v>19.98</v>
      </c>
      <c r="AE346" s="3">
        <v>63</v>
      </c>
      <c r="AF346" s="3">
        <v>0</v>
      </c>
      <c r="AG346" s="3">
        <v>55.951795</v>
      </c>
      <c r="AH346" s="3">
        <v>0.888888888888888</v>
      </c>
      <c r="AI346" s="3">
        <v>0.411753</v>
      </c>
      <c r="AJ346" s="3" t="s">
        <v>870</v>
      </c>
    </row>
    <row r="347" spans="1:36">
      <c r="A347" s="5">
        <v>43336</v>
      </c>
      <c r="B347" s="3" t="s">
        <v>65</v>
      </c>
      <c r="C347" s="3" t="s">
        <v>66</v>
      </c>
      <c r="D347" s="3" t="s">
        <v>67</v>
      </c>
      <c r="E347" s="3" t="s">
        <v>68</v>
      </c>
      <c r="F347" s="3" t="s">
        <v>867</v>
      </c>
      <c r="G347" s="3">
        <v>8</v>
      </c>
      <c r="H347" s="3">
        <v>0</v>
      </c>
      <c r="I347" s="3">
        <v>8</v>
      </c>
      <c r="J347" s="3">
        <v>0</v>
      </c>
      <c r="K347" s="3">
        <v>0</v>
      </c>
      <c r="L347" s="3">
        <v>0</v>
      </c>
      <c r="M347" s="3">
        <v>0</v>
      </c>
      <c r="N347" s="3" t="s">
        <v>868</v>
      </c>
      <c r="O347" s="3">
        <v>0</v>
      </c>
      <c r="P347" s="3">
        <v>0</v>
      </c>
      <c r="Q347" s="3">
        <v>0</v>
      </c>
      <c r="R347" s="3">
        <v>0</v>
      </c>
      <c r="S347" s="3">
        <v>23</v>
      </c>
      <c r="T347" s="3">
        <v>56</v>
      </c>
      <c r="U347" s="3">
        <v>90</v>
      </c>
      <c r="V347" s="3">
        <v>90</v>
      </c>
      <c r="W347" s="3"/>
      <c r="X347" s="3">
        <v>23.98</v>
      </c>
      <c r="Y347" s="3">
        <v>23.98</v>
      </c>
      <c r="Z347" s="3">
        <v>23.98</v>
      </c>
      <c r="AA347" s="3">
        <v>0</v>
      </c>
      <c r="AB347" s="3" t="s">
        <v>869</v>
      </c>
      <c r="AC347" s="3">
        <v>16</v>
      </c>
      <c r="AD347" s="3">
        <v>23.98</v>
      </c>
      <c r="AE347" s="3">
        <v>0</v>
      </c>
      <c r="AF347" s="3">
        <v>0</v>
      </c>
      <c r="AG347" s="3">
        <v>0</v>
      </c>
      <c r="AH347" s="3">
        <v>11.6666666666666</v>
      </c>
      <c r="AI347" s="3">
        <v>0.321992</v>
      </c>
      <c r="AJ347" s="3" t="s">
        <v>870</v>
      </c>
    </row>
    <row r="348" spans="1:36">
      <c r="A348" s="5">
        <v>43336</v>
      </c>
      <c r="B348" s="3" t="s">
        <v>1673</v>
      </c>
      <c r="C348" s="3" t="s">
        <v>276</v>
      </c>
      <c r="D348" s="3" t="s">
        <v>276</v>
      </c>
      <c r="E348" s="3" t="s">
        <v>277</v>
      </c>
      <c r="F348" s="3" t="s">
        <v>867</v>
      </c>
      <c r="G348" s="3">
        <v>2</v>
      </c>
      <c r="H348" s="3">
        <v>0</v>
      </c>
      <c r="I348" s="3">
        <v>2</v>
      </c>
      <c r="J348" s="3">
        <v>0</v>
      </c>
      <c r="K348" s="3">
        <v>0</v>
      </c>
      <c r="L348" s="3">
        <v>0</v>
      </c>
      <c r="M348" s="3">
        <v>0</v>
      </c>
      <c r="N348" s="3" t="s">
        <v>868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31</v>
      </c>
      <c r="V348" s="3">
        <v>118</v>
      </c>
      <c r="W348" s="3" t="s">
        <v>871</v>
      </c>
      <c r="X348" s="3">
        <v>24.98</v>
      </c>
      <c r="Y348" s="3">
        <v>24.98</v>
      </c>
      <c r="Z348" s="3">
        <v>23.98</v>
      </c>
      <c r="AA348" s="3">
        <v>0</v>
      </c>
      <c r="AB348" s="3" t="s">
        <v>869</v>
      </c>
      <c r="AC348" s="3">
        <v>2</v>
      </c>
      <c r="AD348" s="3">
        <v>24.98</v>
      </c>
      <c r="AE348" s="3">
        <v>0</v>
      </c>
      <c r="AF348" s="3">
        <v>0</v>
      </c>
      <c r="AG348" s="3">
        <v>0</v>
      </c>
      <c r="AH348" s="3">
        <v>15.8840579710144</v>
      </c>
      <c r="AI348" s="3">
        <v>0.091058</v>
      </c>
      <c r="AJ348" s="3" t="s">
        <v>870</v>
      </c>
    </row>
    <row r="349" spans="1:36">
      <c r="A349" s="5">
        <v>43336</v>
      </c>
      <c r="B349" s="3" t="s">
        <v>207</v>
      </c>
      <c r="C349" s="3" t="s">
        <v>208</v>
      </c>
      <c r="D349" s="3" t="s">
        <v>209</v>
      </c>
      <c r="E349" s="3" t="s">
        <v>210</v>
      </c>
      <c r="F349" s="3" t="s">
        <v>867</v>
      </c>
      <c r="G349" s="3">
        <v>17</v>
      </c>
      <c r="H349" s="3">
        <v>0</v>
      </c>
      <c r="I349" s="3">
        <v>17</v>
      </c>
      <c r="J349" s="3">
        <v>0</v>
      </c>
      <c r="K349" s="3">
        <v>0</v>
      </c>
      <c r="L349" s="3">
        <v>0</v>
      </c>
      <c r="M349" s="3">
        <v>0</v>
      </c>
      <c r="N349" s="3" t="s">
        <v>868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3</v>
      </c>
      <c r="U349" s="3">
        <v>7</v>
      </c>
      <c r="V349" s="3">
        <v>7</v>
      </c>
      <c r="W349" s="3"/>
      <c r="X349" s="3">
        <v>19.98</v>
      </c>
      <c r="Y349" s="3">
        <v>19.98</v>
      </c>
      <c r="Z349" s="3">
        <v>19.98</v>
      </c>
      <c r="AA349" s="3">
        <v>0</v>
      </c>
      <c r="AB349" s="3" t="s">
        <v>869</v>
      </c>
      <c r="AC349" s="3">
        <v>17</v>
      </c>
      <c r="AD349" s="3">
        <v>19.98</v>
      </c>
      <c r="AE349" s="3">
        <v>0</v>
      </c>
      <c r="AF349" s="3">
        <v>0</v>
      </c>
      <c r="AG349" s="3">
        <v>0</v>
      </c>
      <c r="AH349" s="3">
        <v>0.709677419354838</v>
      </c>
      <c r="AI349" s="3">
        <v>1.53829599999999</v>
      </c>
      <c r="AJ349" s="3" t="s">
        <v>870</v>
      </c>
    </row>
    <row r="350" spans="1:36">
      <c r="A350" s="5">
        <v>43336</v>
      </c>
      <c r="B350" s="3" t="s">
        <v>1674</v>
      </c>
      <c r="C350" s="3" t="s">
        <v>1675</v>
      </c>
      <c r="D350" s="3" t="s">
        <v>1675</v>
      </c>
      <c r="E350" s="3" t="s">
        <v>1676</v>
      </c>
      <c r="F350" s="3" t="s">
        <v>867</v>
      </c>
      <c r="G350" s="3">
        <v>10</v>
      </c>
      <c r="H350" s="3">
        <v>0</v>
      </c>
      <c r="I350" s="3">
        <v>2</v>
      </c>
      <c r="J350" s="3">
        <v>8</v>
      </c>
      <c r="K350" s="3">
        <v>0</v>
      </c>
      <c r="L350" s="3">
        <v>0</v>
      </c>
      <c r="M350" s="3">
        <v>0</v>
      </c>
      <c r="N350" s="3" t="s">
        <v>868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2</v>
      </c>
      <c r="U350" s="3">
        <v>3</v>
      </c>
      <c r="V350" s="3">
        <v>4</v>
      </c>
      <c r="W350" s="3"/>
      <c r="X350" s="3">
        <v>26.98</v>
      </c>
      <c r="Y350" s="3">
        <v>26.98</v>
      </c>
      <c r="Z350" s="3">
        <v>26.98</v>
      </c>
      <c r="AA350" s="3">
        <v>0</v>
      </c>
      <c r="AB350" s="3" t="s">
        <v>869</v>
      </c>
      <c r="AC350" s="3">
        <v>10</v>
      </c>
      <c r="AD350" s="3">
        <v>26.98</v>
      </c>
      <c r="AE350" s="3">
        <v>0</v>
      </c>
      <c r="AF350" s="3">
        <v>0</v>
      </c>
      <c r="AG350" s="3">
        <v>0</v>
      </c>
      <c r="AH350" s="3">
        <v>0.355555555555555</v>
      </c>
      <c r="AI350" s="3">
        <v>2.13503</v>
      </c>
      <c r="AJ350" s="3" t="s">
        <v>870</v>
      </c>
    </row>
    <row r="351" spans="1:36">
      <c r="A351" s="5">
        <v>43336</v>
      </c>
      <c r="B351" s="3" t="s">
        <v>1677</v>
      </c>
      <c r="C351" s="3" t="s">
        <v>1678</v>
      </c>
      <c r="D351" s="3" t="s">
        <v>1679</v>
      </c>
      <c r="E351" s="3" t="s">
        <v>1680</v>
      </c>
      <c r="F351" s="3" t="s">
        <v>867</v>
      </c>
      <c r="G351" s="3">
        <v>20</v>
      </c>
      <c r="H351" s="3">
        <v>0</v>
      </c>
      <c r="I351" s="3">
        <v>20</v>
      </c>
      <c r="J351" s="3">
        <v>0</v>
      </c>
      <c r="K351" s="3">
        <v>0</v>
      </c>
      <c r="L351" s="3">
        <v>0</v>
      </c>
      <c r="M351" s="3">
        <v>0</v>
      </c>
      <c r="N351" s="3" t="s">
        <v>868</v>
      </c>
      <c r="O351" s="3">
        <v>0</v>
      </c>
      <c r="P351" s="3">
        <v>0</v>
      </c>
      <c r="Q351" s="3">
        <v>0</v>
      </c>
      <c r="R351" s="3">
        <v>0</v>
      </c>
      <c r="S351" s="3">
        <v>4</v>
      </c>
      <c r="T351" s="3">
        <v>14</v>
      </c>
      <c r="U351" s="3">
        <v>14</v>
      </c>
      <c r="V351" s="3">
        <v>14</v>
      </c>
      <c r="W351" s="3"/>
      <c r="X351" s="3">
        <v>23.98</v>
      </c>
      <c r="Y351" s="3">
        <v>23.98</v>
      </c>
      <c r="Z351" s="3">
        <v>23.98</v>
      </c>
      <c r="AA351" s="3">
        <v>0</v>
      </c>
      <c r="AB351" s="3" t="s">
        <v>869</v>
      </c>
      <c r="AC351" s="3">
        <v>23</v>
      </c>
      <c r="AD351" s="3">
        <v>23.98</v>
      </c>
      <c r="AE351" s="3">
        <v>0</v>
      </c>
      <c r="AF351" s="3">
        <v>0</v>
      </c>
      <c r="AG351" s="3">
        <v>0</v>
      </c>
      <c r="AH351" s="3">
        <v>3.01408450704225</v>
      </c>
      <c r="AI351" s="3">
        <v>2.38264</v>
      </c>
      <c r="AJ351" s="3" t="s">
        <v>870</v>
      </c>
    </row>
    <row r="352" spans="1:36">
      <c r="A352" s="5">
        <v>43336</v>
      </c>
      <c r="B352" s="3" t="s">
        <v>547</v>
      </c>
      <c r="C352" s="3" t="s">
        <v>548</v>
      </c>
      <c r="D352" s="3" t="s">
        <v>548</v>
      </c>
      <c r="E352" s="3" t="s">
        <v>549</v>
      </c>
      <c r="F352" s="3" t="s">
        <v>867</v>
      </c>
      <c r="G352" s="3">
        <v>6</v>
      </c>
      <c r="H352" s="3">
        <v>0</v>
      </c>
      <c r="I352" s="3">
        <v>0</v>
      </c>
      <c r="J352" s="3">
        <v>6</v>
      </c>
      <c r="K352" s="3">
        <v>0</v>
      </c>
      <c r="L352" s="3">
        <v>0</v>
      </c>
      <c r="M352" s="3">
        <v>0</v>
      </c>
      <c r="N352" s="3" t="s">
        <v>868</v>
      </c>
      <c r="O352" s="3">
        <v>6</v>
      </c>
      <c r="P352" s="3">
        <v>3.41</v>
      </c>
      <c r="Q352" s="3">
        <v>0</v>
      </c>
      <c r="R352" s="3">
        <v>0</v>
      </c>
      <c r="S352" s="3">
        <v>2</v>
      </c>
      <c r="T352" s="3">
        <v>3</v>
      </c>
      <c r="U352" s="3">
        <v>7</v>
      </c>
      <c r="V352" s="3">
        <v>8</v>
      </c>
      <c r="W352" s="3"/>
      <c r="X352" s="3">
        <v>27.98</v>
      </c>
      <c r="Y352" s="3">
        <v>27.98</v>
      </c>
      <c r="Z352" s="3">
        <v>27.98</v>
      </c>
      <c r="AA352" s="3">
        <v>0</v>
      </c>
      <c r="AB352" s="3" t="s">
        <v>869</v>
      </c>
      <c r="AC352" s="3">
        <v>6</v>
      </c>
      <c r="AD352" s="3">
        <v>27.98</v>
      </c>
      <c r="AE352" s="3">
        <v>0</v>
      </c>
      <c r="AF352" s="3">
        <v>0</v>
      </c>
      <c r="AG352" s="3">
        <v>0</v>
      </c>
      <c r="AH352" s="3">
        <v>0.761904761904761</v>
      </c>
      <c r="AI352" s="3">
        <v>0.989628</v>
      </c>
      <c r="AJ352" s="3" t="s">
        <v>870</v>
      </c>
    </row>
    <row r="353" spans="1:36">
      <c r="A353" s="5">
        <v>43336</v>
      </c>
      <c r="B353" s="3" t="s">
        <v>1681</v>
      </c>
      <c r="C353" s="3" t="s">
        <v>1682</v>
      </c>
      <c r="D353" s="3" t="s">
        <v>1682</v>
      </c>
      <c r="E353" s="3" t="s">
        <v>1683</v>
      </c>
      <c r="F353" s="3" t="s">
        <v>867</v>
      </c>
      <c r="G353" s="3">
        <v>14</v>
      </c>
      <c r="H353" s="3">
        <v>0</v>
      </c>
      <c r="I353" s="3">
        <v>3</v>
      </c>
      <c r="J353" s="3">
        <v>11</v>
      </c>
      <c r="K353" s="3">
        <v>0</v>
      </c>
      <c r="L353" s="3">
        <v>0</v>
      </c>
      <c r="M353" s="3">
        <v>0</v>
      </c>
      <c r="N353" s="3" t="s">
        <v>868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1</v>
      </c>
      <c r="V353" s="3">
        <v>3</v>
      </c>
      <c r="W353" s="3" t="s">
        <v>871</v>
      </c>
      <c r="X353" s="3">
        <v>22.98</v>
      </c>
      <c r="Y353" s="3">
        <v>22.98</v>
      </c>
      <c r="Z353" s="3">
        <v>22.98</v>
      </c>
      <c r="AA353" s="3">
        <v>0</v>
      </c>
      <c r="AB353" s="3" t="s">
        <v>883</v>
      </c>
      <c r="AC353" s="3">
        <v>1</v>
      </c>
      <c r="AD353" s="3">
        <v>19.29</v>
      </c>
      <c r="AE353" s="3">
        <v>175</v>
      </c>
      <c r="AF353" s="3">
        <v>0</v>
      </c>
      <c r="AG353" s="3">
        <v>490.346986</v>
      </c>
      <c r="AH353" s="3">
        <v>0.210526315789473</v>
      </c>
      <c r="AI353" s="3">
        <v>2.985052</v>
      </c>
      <c r="AJ353" s="3" t="s">
        <v>870</v>
      </c>
    </row>
    <row r="354" spans="1:36">
      <c r="A354" s="5">
        <v>43336</v>
      </c>
      <c r="B354" s="3" t="s">
        <v>1684</v>
      </c>
      <c r="C354" s="3" t="s">
        <v>1685</v>
      </c>
      <c r="D354" s="3" t="s">
        <v>1685</v>
      </c>
      <c r="E354" s="3" t="s">
        <v>1686</v>
      </c>
      <c r="F354" s="3" t="s">
        <v>867</v>
      </c>
      <c r="G354" s="3">
        <v>7</v>
      </c>
      <c r="H354" s="3">
        <v>0</v>
      </c>
      <c r="I354" s="3">
        <v>0</v>
      </c>
      <c r="J354" s="3">
        <v>0</v>
      </c>
      <c r="K354" s="3">
        <v>7</v>
      </c>
      <c r="L354" s="3">
        <v>0</v>
      </c>
      <c r="M354" s="3">
        <v>0</v>
      </c>
      <c r="N354" s="3" t="s">
        <v>868</v>
      </c>
      <c r="O354" s="3">
        <v>7</v>
      </c>
      <c r="P354" s="3">
        <v>2.12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 t="s">
        <v>936</v>
      </c>
      <c r="X354" s="3">
        <v>23.98</v>
      </c>
      <c r="Y354" s="3">
        <v>23.98</v>
      </c>
      <c r="Z354" s="3">
        <v>23.98</v>
      </c>
      <c r="AA354" s="3">
        <v>0</v>
      </c>
      <c r="AB354" s="3" t="s">
        <v>883</v>
      </c>
      <c r="AC354" s="3">
        <v>0</v>
      </c>
      <c r="AD354" s="3">
        <v>20.41</v>
      </c>
      <c r="AE354" s="3">
        <v>322</v>
      </c>
      <c r="AF354" s="3">
        <v>0</v>
      </c>
      <c r="AG354" s="3">
        <v>135.357403</v>
      </c>
      <c r="AH354" s="3">
        <v>0</v>
      </c>
      <c r="AI354" s="3">
        <v>0.613984</v>
      </c>
      <c r="AJ354" s="3" t="s">
        <v>870</v>
      </c>
    </row>
    <row r="355" spans="1:36">
      <c r="A355" s="5">
        <v>43336</v>
      </c>
      <c r="B355" s="3" t="s">
        <v>1687</v>
      </c>
      <c r="C355" s="3" t="s">
        <v>1688</v>
      </c>
      <c r="D355" s="3" t="s">
        <v>1688</v>
      </c>
      <c r="E355" s="3" t="s">
        <v>1689</v>
      </c>
      <c r="F355" s="3" t="s">
        <v>867</v>
      </c>
      <c r="G355" s="3">
        <v>2</v>
      </c>
      <c r="H355" s="3">
        <v>0</v>
      </c>
      <c r="I355" s="3">
        <v>0</v>
      </c>
      <c r="J355" s="3">
        <v>0</v>
      </c>
      <c r="K355" s="3">
        <v>2</v>
      </c>
      <c r="L355" s="3">
        <v>0</v>
      </c>
      <c r="M355" s="3">
        <v>0</v>
      </c>
      <c r="N355" s="3" t="s">
        <v>868</v>
      </c>
      <c r="O355" s="3">
        <v>2</v>
      </c>
      <c r="P355" s="3">
        <v>0.61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 t="s">
        <v>871</v>
      </c>
      <c r="X355" s="3">
        <v>24.98</v>
      </c>
      <c r="Y355" s="3">
        <v>24.98</v>
      </c>
      <c r="Z355" s="3">
        <v>24.98</v>
      </c>
      <c r="AA355" s="3">
        <v>0</v>
      </c>
      <c r="AB355" s="3" t="s">
        <v>883</v>
      </c>
      <c r="AC355" s="3">
        <v>1</v>
      </c>
      <c r="AD355" s="3">
        <v>23.55</v>
      </c>
      <c r="AE355" s="3">
        <v>14</v>
      </c>
      <c r="AF355" s="3">
        <v>0</v>
      </c>
      <c r="AG355" s="3">
        <v>48.266064</v>
      </c>
      <c r="AH355" s="3">
        <v>0</v>
      </c>
      <c r="AI355" s="3">
        <v>0.176466</v>
      </c>
      <c r="AJ355" s="3" t="s">
        <v>870</v>
      </c>
    </row>
    <row r="356" spans="1:36">
      <c r="A356" s="5">
        <v>43336</v>
      </c>
      <c r="B356" s="3" t="s">
        <v>628</v>
      </c>
      <c r="C356" s="3" t="s">
        <v>629</v>
      </c>
      <c r="D356" s="3" t="s">
        <v>629</v>
      </c>
      <c r="E356" s="3" t="s">
        <v>1690</v>
      </c>
      <c r="F356" s="3" t="s">
        <v>867</v>
      </c>
      <c r="G356" s="3">
        <v>6</v>
      </c>
      <c r="H356" s="3">
        <v>0</v>
      </c>
      <c r="I356" s="3">
        <v>6</v>
      </c>
      <c r="J356" s="3">
        <v>0</v>
      </c>
      <c r="K356" s="3">
        <v>0</v>
      </c>
      <c r="L356" s="3">
        <v>0</v>
      </c>
      <c r="M356" s="3">
        <v>0</v>
      </c>
      <c r="N356" s="3" t="s">
        <v>868</v>
      </c>
      <c r="O356" s="3">
        <v>0</v>
      </c>
      <c r="P356" s="3">
        <v>0</v>
      </c>
      <c r="Q356" s="3">
        <v>0</v>
      </c>
      <c r="R356" s="3">
        <v>0</v>
      </c>
      <c r="S356" s="3">
        <v>1</v>
      </c>
      <c r="T356" s="3">
        <v>8</v>
      </c>
      <c r="U356" s="3">
        <v>20</v>
      </c>
      <c r="V356" s="3">
        <v>30</v>
      </c>
      <c r="W356" s="3"/>
      <c r="X356" s="3">
        <v>39.98</v>
      </c>
      <c r="Y356" s="3">
        <v>22.98</v>
      </c>
      <c r="Z356" s="3">
        <v>22.98</v>
      </c>
      <c r="AA356" s="3">
        <v>0</v>
      </c>
      <c r="AB356" s="3" t="s">
        <v>869</v>
      </c>
      <c r="AC356" s="3">
        <v>6</v>
      </c>
      <c r="AD356" s="3">
        <v>22.98</v>
      </c>
      <c r="AE356" s="3">
        <v>0</v>
      </c>
      <c r="AF356" s="3">
        <v>0</v>
      </c>
      <c r="AG356" s="3">
        <v>0</v>
      </c>
      <c r="AH356" s="3">
        <v>2.35294117647058</v>
      </c>
      <c r="AI356" s="3">
        <v>1.065408</v>
      </c>
      <c r="AJ356" s="3" t="s">
        <v>870</v>
      </c>
    </row>
    <row r="357" spans="1:36">
      <c r="A357" s="5">
        <v>43336</v>
      </c>
      <c r="B357" s="3" t="s">
        <v>1691</v>
      </c>
      <c r="C357" s="3" t="s">
        <v>1692</v>
      </c>
      <c r="D357" s="3" t="s">
        <v>1692</v>
      </c>
      <c r="E357" s="3" t="s">
        <v>1693</v>
      </c>
      <c r="F357" s="3" t="s">
        <v>867</v>
      </c>
      <c r="G357" s="3">
        <v>1</v>
      </c>
      <c r="H357" s="3">
        <v>0</v>
      </c>
      <c r="I357" s="3">
        <v>1</v>
      </c>
      <c r="J357" s="3">
        <v>0</v>
      </c>
      <c r="K357" s="3">
        <v>0</v>
      </c>
      <c r="L357" s="3">
        <v>0</v>
      </c>
      <c r="M357" s="3">
        <v>0</v>
      </c>
      <c r="N357" s="3" t="s">
        <v>868</v>
      </c>
      <c r="O357" s="3">
        <v>0</v>
      </c>
      <c r="P357" s="3">
        <v>0</v>
      </c>
      <c r="Q357" s="3">
        <v>0</v>
      </c>
      <c r="R357" s="3">
        <v>0</v>
      </c>
      <c r="S357" s="3">
        <v>0</v>
      </c>
      <c r="T357" s="3">
        <v>1</v>
      </c>
      <c r="U357" s="3">
        <v>2</v>
      </c>
      <c r="V357" s="3">
        <v>3</v>
      </c>
      <c r="W357" s="3"/>
      <c r="X357" s="3">
        <v>26.98</v>
      </c>
      <c r="Y357" s="3">
        <v>26.98</v>
      </c>
      <c r="Z357" s="3">
        <v>26.98</v>
      </c>
      <c r="AA357" s="3">
        <v>0</v>
      </c>
      <c r="AB357" s="3" t="s">
        <v>869</v>
      </c>
      <c r="AC357" s="3">
        <v>1</v>
      </c>
      <c r="AD357" s="3">
        <v>26.98</v>
      </c>
      <c r="AE357" s="3">
        <v>0</v>
      </c>
      <c r="AF357" s="3">
        <v>0</v>
      </c>
      <c r="AG357" s="3">
        <v>0</v>
      </c>
      <c r="AH357" s="3">
        <v>0.521739130434782</v>
      </c>
      <c r="AI357" s="3">
        <v>0.240535</v>
      </c>
      <c r="AJ357" s="3" t="s">
        <v>870</v>
      </c>
    </row>
    <row r="358" spans="1:36">
      <c r="A358" s="5">
        <v>43336</v>
      </c>
      <c r="B358" s="3" t="s">
        <v>1694</v>
      </c>
      <c r="C358" s="3" t="s">
        <v>1695</v>
      </c>
      <c r="D358" s="3" t="s">
        <v>1695</v>
      </c>
      <c r="E358" s="3" t="s">
        <v>1696</v>
      </c>
      <c r="F358" s="3" t="s">
        <v>867</v>
      </c>
      <c r="G358" s="3">
        <v>14</v>
      </c>
      <c r="H358" s="3">
        <v>0</v>
      </c>
      <c r="I358" s="3">
        <v>3</v>
      </c>
      <c r="J358" s="3">
        <v>1</v>
      </c>
      <c r="K358" s="3">
        <v>10</v>
      </c>
      <c r="L358" s="3">
        <v>0</v>
      </c>
      <c r="M358" s="3">
        <v>0</v>
      </c>
      <c r="N358" s="3" t="s">
        <v>868</v>
      </c>
      <c r="O358" s="3">
        <v>10</v>
      </c>
      <c r="P358" s="3">
        <v>4.9</v>
      </c>
      <c r="Q358" s="3">
        <v>0</v>
      </c>
      <c r="R358" s="3">
        <v>0</v>
      </c>
      <c r="S358" s="3">
        <v>2</v>
      </c>
      <c r="T358" s="3">
        <v>9</v>
      </c>
      <c r="U358" s="3">
        <v>25</v>
      </c>
      <c r="V358" s="3">
        <v>35</v>
      </c>
      <c r="W358" s="3"/>
      <c r="X358" s="3">
        <v>22.99</v>
      </c>
      <c r="Y358" s="3">
        <v>22.99</v>
      </c>
      <c r="Z358" s="3">
        <v>22.99</v>
      </c>
      <c r="AA358" s="3">
        <v>0</v>
      </c>
      <c r="AB358" s="3" t="s">
        <v>869</v>
      </c>
      <c r="AC358" s="3">
        <v>13</v>
      </c>
      <c r="AD358" s="3">
        <v>22.98</v>
      </c>
      <c r="AE358" s="3">
        <v>0</v>
      </c>
      <c r="AF358" s="3">
        <v>0</v>
      </c>
      <c r="AG358" s="3">
        <v>0</v>
      </c>
      <c r="AH358" s="3">
        <v>0.853658536585365</v>
      </c>
      <c r="AI358" s="3">
        <v>1.983548</v>
      </c>
      <c r="AJ358" s="3" t="s">
        <v>870</v>
      </c>
    </row>
    <row r="359" spans="1:36">
      <c r="A359" s="5">
        <v>43336</v>
      </c>
      <c r="B359" s="3" t="s">
        <v>1697</v>
      </c>
      <c r="C359" s="3" t="s">
        <v>1698</v>
      </c>
      <c r="D359" s="3" t="s">
        <v>1698</v>
      </c>
      <c r="E359" s="3" t="s">
        <v>1699</v>
      </c>
      <c r="F359" s="3" t="s">
        <v>867</v>
      </c>
      <c r="G359" s="3">
        <v>3</v>
      </c>
      <c r="H359" s="3">
        <v>0</v>
      </c>
      <c r="I359" s="3">
        <v>2</v>
      </c>
      <c r="J359" s="3">
        <v>1</v>
      </c>
      <c r="K359" s="3">
        <v>0</v>
      </c>
      <c r="L359" s="3">
        <v>0</v>
      </c>
      <c r="M359" s="3">
        <v>0</v>
      </c>
      <c r="N359" s="3" t="s">
        <v>868</v>
      </c>
      <c r="O359" s="3">
        <v>0</v>
      </c>
      <c r="P359" s="3">
        <v>0</v>
      </c>
      <c r="Q359" s="3">
        <v>0</v>
      </c>
      <c r="R359" s="3">
        <v>0</v>
      </c>
      <c r="S359" s="3">
        <v>1</v>
      </c>
      <c r="T359" s="3">
        <v>1</v>
      </c>
      <c r="U359" s="3">
        <v>10</v>
      </c>
      <c r="V359" s="3">
        <v>19</v>
      </c>
      <c r="W359" s="3"/>
      <c r="X359" s="3">
        <v>22.99</v>
      </c>
      <c r="Y359" s="3">
        <v>22.99</v>
      </c>
      <c r="Z359" s="3">
        <v>22.99</v>
      </c>
      <c r="AA359" s="3">
        <v>0</v>
      </c>
      <c r="AB359" s="3" t="s">
        <v>883</v>
      </c>
      <c r="AC359" s="3">
        <v>1</v>
      </c>
      <c r="AD359" s="3">
        <v>11.05</v>
      </c>
      <c r="AE359" s="3">
        <v>21</v>
      </c>
      <c r="AF359" s="3">
        <v>0</v>
      </c>
      <c r="AG359" s="3">
        <v>22.900541</v>
      </c>
      <c r="AH359" s="3">
        <v>0.575757575757575</v>
      </c>
      <c r="AI359" s="3">
        <v>0.489588</v>
      </c>
      <c r="AJ359" s="3" t="s">
        <v>870</v>
      </c>
    </row>
    <row r="360" spans="1:36">
      <c r="A360" s="5">
        <v>43336</v>
      </c>
      <c r="B360" s="3" t="s">
        <v>1700</v>
      </c>
      <c r="C360" s="3" t="s">
        <v>1029</v>
      </c>
      <c r="D360" s="3" t="s">
        <v>1029</v>
      </c>
      <c r="E360" s="3" t="s">
        <v>1030</v>
      </c>
      <c r="F360" s="3" t="s">
        <v>867</v>
      </c>
      <c r="G360" s="3">
        <v>16</v>
      </c>
      <c r="H360" s="3">
        <v>0</v>
      </c>
      <c r="I360" s="3">
        <v>9</v>
      </c>
      <c r="J360" s="3">
        <v>7</v>
      </c>
      <c r="K360" s="3">
        <v>0</v>
      </c>
      <c r="L360" s="3">
        <v>0</v>
      </c>
      <c r="M360" s="3">
        <v>0</v>
      </c>
      <c r="N360" s="3" t="s">
        <v>868</v>
      </c>
      <c r="O360" s="3">
        <v>0</v>
      </c>
      <c r="P360" s="3">
        <v>0</v>
      </c>
      <c r="Q360" s="3">
        <v>0</v>
      </c>
      <c r="R360" s="3">
        <v>0</v>
      </c>
      <c r="S360" s="3">
        <v>0</v>
      </c>
      <c r="T360" s="3">
        <v>1</v>
      </c>
      <c r="U360" s="3">
        <v>4</v>
      </c>
      <c r="V360" s="3">
        <v>6</v>
      </c>
      <c r="W360" s="3"/>
      <c r="X360" s="3">
        <v>22.98</v>
      </c>
      <c r="Y360" s="3">
        <v>22.98</v>
      </c>
      <c r="Z360" s="3">
        <v>22.98</v>
      </c>
      <c r="AA360" s="3">
        <v>0</v>
      </c>
      <c r="AB360" s="3" t="s">
        <v>883</v>
      </c>
      <c r="AC360" s="3">
        <v>7</v>
      </c>
      <c r="AD360" s="3">
        <v>19.54</v>
      </c>
      <c r="AE360" s="3">
        <v>112</v>
      </c>
      <c r="AF360" s="3">
        <v>0</v>
      </c>
      <c r="AG360" s="3">
        <v>9.922154</v>
      </c>
      <c r="AH360" s="3">
        <v>0.329411764705882</v>
      </c>
      <c r="AI360" s="3">
        <v>1.337008</v>
      </c>
      <c r="AJ360" s="3" t="s">
        <v>870</v>
      </c>
    </row>
    <row r="361" spans="1:36">
      <c r="A361" s="5">
        <v>43336</v>
      </c>
      <c r="B361" s="3" t="s">
        <v>1701</v>
      </c>
      <c r="C361" s="3" t="s">
        <v>1702</v>
      </c>
      <c r="D361" s="3" t="s">
        <v>1702</v>
      </c>
      <c r="E361" s="3" t="s">
        <v>1151</v>
      </c>
      <c r="F361" s="3" t="s">
        <v>867</v>
      </c>
      <c r="G361" s="3">
        <v>3</v>
      </c>
      <c r="H361" s="3">
        <v>0</v>
      </c>
      <c r="I361" s="3">
        <v>1</v>
      </c>
      <c r="J361" s="3">
        <v>0</v>
      </c>
      <c r="K361" s="3">
        <v>2</v>
      </c>
      <c r="L361" s="3">
        <v>0</v>
      </c>
      <c r="M361" s="3">
        <v>0</v>
      </c>
      <c r="N361" s="3" t="s">
        <v>868</v>
      </c>
      <c r="O361" s="3">
        <v>2</v>
      </c>
      <c r="P361" s="3">
        <v>0.8</v>
      </c>
      <c r="Q361" s="3">
        <v>0</v>
      </c>
      <c r="R361" s="3">
        <v>0</v>
      </c>
      <c r="S361" s="3">
        <v>0</v>
      </c>
      <c r="T361" s="3">
        <v>0</v>
      </c>
      <c r="U361" s="3">
        <v>2</v>
      </c>
      <c r="V361" s="3">
        <v>3</v>
      </c>
      <c r="W361" s="3" t="s">
        <v>871</v>
      </c>
      <c r="X361" s="3">
        <v>27.98</v>
      </c>
      <c r="Y361" s="3">
        <v>27.98</v>
      </c>
      <c r="Z361" s="3">
        <v>27.98</v>
      </c>
      <c r="AA361" s="3">
        <v>0</v>
      </c>
      <c r="AB361" s="3" t="s">
        <v>883</v>
      </c>
      <c r="AC361" s="3">
        <v>0</v>
      </c>
      <c r="AD361" s="3">
        <v>26.02</v>
      </c>
      <c r="AE361" s="3">
        <v>98</v>
      </c>
      <c r="AF361" s="3">
        <v>0</v>
      </c>
      <c r="AG361" s="3">
        <v>78.861202</v>
      </c>
      <c r="AH361" s="3">
        <v>0.8</v>
      </c>
      <c r="AI361" s="3">
        <v>0.345843</v>
      </c>
      <c r="AJ361" s="3" t="s">
        <v>870</v>
      </c>
    </row>
    <row r="362" spans="1:36">
      <c r="A362" s="5">
        <v>43336</v>
      </c>
      <c r="B362" s="3" t="s">
        <v>534</v>
      </c>
      <c r="C362" s="3" t="s">
        <v>535</v>
      </c>
      <c r="D362" s="3" t="s">
        <v>535</v>
      </c>
      <c r="E362" s="3" t="s">
        <v>536</v>
      </c>
      <c r="F362" s="3" t="s">
        <v>867</v>
      </c>
      <c r="G362" s="3">
        <v>30</v>
      </c>
      <c r="H362" s="3">
        <v>0</v>
      </c>
      <c r="I362" s="3">
        <v>21</v>
      </c>
      <c r="J362" s="3">
        <v>9</v>
      </c>
      <c r="K362" s="3">
        <v>0</v>
      </c>
      <c r="L362" s="3">
        <v>0</v>
      </c>
      <c r="M362" s="3">
        <v>0</v>
      </c>
      <c r="N362" s="3" t="s">
        <v>868</v>
      </c>
      <c r="O362" s="3">
        <v>0</v>
      </c>
      <c r="P362" s="3">
        <v>0</v>
      </c>
      <c r="Q362" s="3">
        <v>0</v>
      </c>
      <c r="R362" s="3">
        <v>0</v>
      </c>
      <c r="S362" s="3">
        <v>1</v>
      </c>
      <c r="T362" s="3">
        <v>1</v>
      </c>
      <c r="U362" s="3">
        <v>6</v>
      </c>
      <c r="V362" s="3">
        <v>14</v>
      </c>
      <c r="W362" s="3"/>
      <c r="X362" s="3">
        <v>21.98</v>
      </c>
      <c r="Y362" s="3">
        <v>21.98</v>
      </c>
      <c r="Z362" s="3">
        <v>21.98</v>
      </c>
      <c r="AA362" s="3">
        <v>0</v>
      </c>
      <c r="AB362" s="3" t="s">
        <v>869</v>
      </c>
      <c r="AC362" s="3">
        <v>31</v>
      </c>
      <c r="AD362" s="3">
        <v>21.98</v>
      </c>
      <c r="AE362" s="3">
        <v>0</v>
      </c>
      <c r="AF362" s="3">
        <v>0</v>
      </c>
      <c r="AG362" s="3">
        <v>0</v>
      </c>
      <c r="AH362" s="3">
        <v>0.531645569620253</v>
      </c>
      <c r="AI362" s="3">
        <v>4.49079</v>
      </c>
      <c r="AJ362" s="3" t="s">
        <v>870</v>
      </c>
    </row>
    <row r="363" spans="1:36">
      <c r="A363" s="5">
        <v>43336</v>
      </c>
      <c r="B363" s="3" t="s">
        <v>1703</v>
      </c>
      <c r="C363" s="3" t="s">
        <v>1704</v>
      </c>
      <c r="D363" s="3" t="s">
        <v>1704</v>
      </c>
      <c r="E363" s="3" t="s">
        <v>1705</v>
      </c>
      <c r="F363" s="3" t="s">
        <v>867</v>
      </c>
      <c r="G363" s="3">
        <v>2</v>
      </c>
      <c r="H363" s="3">
        <v>0</v>
      </c>
      <c r="I363" s="3">
        <v>2</v>
      </c>
      <c r="J363" s="3">
        <v>0</v>
      </c>
      <c r="K363" s="3">
        <v>0</v>
      </c>
      <c r="L363" s="3">
        <v>0</v>
      </c>
      <c r="M363" s="3">
        <v>0</v>
      </c>
      <c r="N363" s="3" t="s">
        <v>868</v>
      </c>
      <c r="O363" s="3">
        <v>0</v>
      </c>
      <c r="P363" s="3">
        <v>0</v>
      </c>
      <c r="Q363" s="3">
        <v>0</v>
      </c>
      <c r="R363" s="3">
        <v>0</v>
      </c>
      <c r="S363" s="3">
        <v>2</v>
      </c>
      <c r="T363" s="3">
        <v>5</v>
      </c>
      <c r="U363" s="3">
        <v>10</v>
      </c>
      <c r="V363" s="3">
        <v>14</v>
      </c>
      <c r="W363" s="3"/>
      <c r="X363" s="3">
        <v>23.98</v>
      </c>
      <c r="Y363" s="3">
        <v>23.98</v>
      </c>
      <c r="Z363" s="3">
        <v>23.98</v>
      </c>
      <c r="AA363" s="3">
        <v>0</v>
      </c>
      <c r="AB363" s="3" t="s">
        <v>883</v>
      </c>
      <c r="AC363" s="3">
        <v>0</v>
      </c>
      <c r="AD363" s="3">
        <v>19.18</v>
      </c>
      <c r="AE363" s="3">
        <v>91</v>
      </c>
      <c r="AF363" s="3">
        <v>0</v>
      </c>
      <c r="AG363" s="3">
        <v>10.702914</v>
      </c>
      <c r="AH363" s="3">
        <v>1.93103448275862</v>
      </c>
      <c r="AI363" s="3">
        <v>0.280472</v>
      </c>
      <c r="AJ363" s="3" t="s">
        <v>870</v>
      </c>
    </row>
    <row r="364" spans="1:36">
      <c r="A364" s="5">
        <v>43336</v>
      </c>
      <c r="B364" s="3" t="s">
        <v>1706</v>
      </c>
      <c r="C364" s="3" t="s">
        <v>1707</v>
      </c>
      <c r="D364" s="3" t="s">
        <v>1707</v>
      </c>
      <c r="E364" s="3" t="s">
        <v>1708</v>
      </c>
      <c r="F364" s="3" t="s">
        <v>867</v>
      </c>
      <c r="G364" s="3">
        <v>1</v>
      </c>
      <c r="H364" s="3">
        <v>0</v>
      </c>
      <c r="I364" s="3">
        <v>1</v>
      </c>
      <c r="J364" s="3">
        <v>0</v>
      </c>
      <c r="K364" s="3">
        <v>0</v>
      </c>
      <c r="L364" s="3">
        <v>0</v>
      </c>
      <c r="M364" s="3">
        <v>0</v>
      </c>
      <c r="N364" s="3" t="s">
        <v>868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s="3">
        <v>0</v>
      </c>
      <c r="W364" s="3"/>
      <c r="X364" s="3"/>
      <c r="Y364" s="3"/>
      <c r="Z364" s="3">
        <v>-1</v>
      </c>
      <c r="AA364" s="3">
        <v>-1</v>
      </c>
      <c r="AB364" s="3" t="s">
        <v>891</v>
      </c>
      <c r="AC364" s="3">
        <v>0</v>
      </c>
      <c r="AD364" s="3">
        <v>0</v>
      </c>
      <c r="AE364" s="3">
        <v>0</v>
      </c>
      <c r="AF364" s="3">
        <v>0</v>
      </c>
      <c r="AG364" s="3">
        <v>0</v>
      </c>
      <c r="AH364" s="3">
        <v>2</v>
      </c>
      <c r="AI364" s="3">
        <v>0.061012</v>
      </c>
      <c r="AJ364" s="3" t="s">
        <v>870</v>
      </c>
    </row>
    <row r="365" spans="1:36">
      <c r="A365" s="5">
        <v>43336</v>
      </c>
      <c r="B365" s="3" t="s">
        <v>1709</v>
      </c>
      <c r="C365" s="3" t="s">
        <v>1710</v>
      </c>
      <c r="D365" s="3" t="s">
        <v>1710</v>
      </c>
      <c r="E365" s="3" t="s">
        <v>1711</v>
      </c>
      <c r="F365" s="3" t="s">
        <v>867</v>
      </c>
      <c r="G365" s="3">
        <v>1</v>
      </c>
      <c r="H365" s="3">
        <v>0</v>
      </c>
      <c r="I365" s="3">
        <v>1</v>
      </c>
      <c r="J365" s="3">
        <v>0</v>
      </c>
      <c r="K365" s="3">
        <v>0</v>
      </c>
      <c r="L365" s="3">
        <v>0</v>
      </c>
      <c r="M365" s="3">
        <v>0</v>
      </c>
      <c r="N365" s="3" t="s">
        <v>868</v>
      </c>
      <c r="O365" s="3">
        <v>0</v>
      </c>
      <c r="P365" s="3">
        <v>0</v>
      </c>
      <c r="Q365" s="3">
        <v>0</v>
      </c>
      <c r="R365" s="3">
        <v>0</v>
      </c>
      <c r="S365" s="3">
        <v>1</v>
      </c>
      <c r="T365" s="3">
        <v>4</v>
      </c>
      <c r="U365" s="3">
        <v>8</v>
      </c>
      <c r="V365" s="3">
        <v>15</v>
      </c>
      <c r="W365" s="3"/>
      <c r="X365" s="3">
        <v>18.98</v>
      </c>
      <c r="Y365" s="3">
        <v>18.98</v>
      </c>
      <c r="Z365" s="3">
        <v>18.98</v>
      </c>
      <c r="AA365" s="3">
        <v>0</v>
      </c>
      <c r="AB365" s="3" t="s">
        <v>869</v>
      </c>
      <c r="AC365" s="3">
        <v>1</v>
      </c>
      <c r="AD365" s="3">
        <v>18.98</v>
      </c>
      <c r="AE365" s="3">
        <v>0</v>
      </c>
      <c r="AF365" s="3">
        <v>0</v>
      </c>
      <c r="AG365" s="3">
        <v>0</v>
      </c>
      <c r="AH365" s="3">
        <v>0.652173913043478</v>
      </c>
      <c r="AI365" s="3">
        <v>0.174858</v>
      </c>
      <c r="AJ365" s="3" t="s">
        <v>870</v>
      </c>
    </row>
    <row r="366" spans="1:36">
      <c r="A366" s="5">
        <v>43336</v>
      </c>
      <c r="B366" s="3" t="s">
        <v>1712</v>
      </c>
      <c r="C366" s="3" t="s">
        <v>1713</v>
      </c>
      <c r="D366" s="3" t="s">
        <v>1714</v>
      </c>
      <c r="E366" s="3" t="s">
        <v>1715</v>
      </c>
      <c r="F366" s="3" t="s">
        <v>867</v>
      </c>
      <c r="G366" s="3">
        <v>3</v>
      </c>
      <c r="H366" s="3">
        <v>0</v>
      </c>
      <c r="I366" s="3">
        <v>3</v>
      </c>
      <c r="J366" s="3">
        <v>0</v>
      </c>
      <c r="K366" s="3">
        <v>0</v>
      </c>
      <c r="L366" s="3">
        <v>0</v>
      </c>
      <c r="M366" s="3">
        <v>0</v>
      </c>
      <c r="N366" s="3" t="s">
        <v>868</v>
      </c>
      <c r="O366" s="3">
        <v>0</v>
      </c>
      <c r="P366" s="3">
        <v>0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 t="s">
        <v>936</v>
      </c>
      <c r="X366" s="3">
        <v>49.98</v>
      </c>
      <c r="Y366" s="3">
        <v>25.98</v>
      </c>
      <c r="Z366" s="3">
        <v>25.98</v>
      </c>
      <c r="AA366" s="3">
        <v>0</v>
      </c>
      <c r="AB366" s="3" t="s">
        <v>937</v>
      </c>
      <c r="AC366" s="3">
        <v>0</v>
      </c>
      <c r="AD366" s="3">
        <v>0</v>
      </c>
      <c r="AE366" s="3">
        <v>0</v>
      </c>
      <c r="AF366" s="3">
        <v>0</v>
      </c>
      <c r="AG366" s="3">
        <v>0</v>
      </c>
      <c r="AH366" s="3">
        <v>0</v>
      </c>
      <c r="AI366" s="3">
        <v>0.183035999999999</v>
      </c>
      <c r="AJ366" s="3" t="s">
        <v>870</v>
      </c>
    </row>
    <row r="367" spans="1:36">
      <c r="A367" s="5">
        <v>43336</v>
      </c>
      <c r="B367" s="3" t="s">
        <v>1716</v>
      </c>
      <c r="C367" s="3" t="s">
        <v>1717</v>
      </c>
      <c r="D367" s="3" t="s">
        <v>1717</v>
      </c>
      <c r="E367" s="3" t="s">
        <v>1718</v>
      </c>
      <c r="F367" s="3" t="s">
        <v>867</v>
      </c>
      <c r="G367" s="3">
        <v>12</v>
      </c>
      <c r="H367" s="3">
        <v>0</v>
      </c>
      <c r="I367" s="3">
        <v>6</v>
      </c>
      <c r="J367" s="3">
        <v>6</v>
      </c>
      <c r="K367" s="3">
        <v>0</v>
      </c>
      <c r="L367" s="3">
        <v>0</v>
      </c>
      <c r="M367" s="3">
        <v>0</v>
      </c>
      <c r="N367" s="3" t="s">
        <v>868</v>
      </c>
      <c r="O367" s="3">
        <v>0</v>
      </c>
      <c r="P367" s="3">
        <v>0</v>
      </c>
      <c r="Q367" s="3">
        <v>0</v>
      </c>
      <c r="R367" s="3">
        <v>0</v>
      </c>
      <c r="S367" s="3">
        <v>2</v>
      </c>
      <c r="T367" s="3">
        <v>2</v>
      </c>
      <c r="U367" s="3">
        <v>2</v>
      </c>
      <c r="V367" s="3">
        <v>4</v>
      </c>
      <c r="W367" s="3"/>
      <c r="X367" s="3">
        <v>23.98</v>
      </c>
      <c r="Y367" s="3">
        <v>23.98</v>
      </c>
      <c r="Z367" s="3">
        <v>23.98</v>
      </c>
      <c r="AA367" s="3">
        <v>0</v>
      </c>
      <c r="AB367" s="3" t="s">
        <v>883</v>
      </c>
      <c r="AC367" s="3">
        <v>1</v>
      </c>
      <c r="AD367" s="3">
        <v>21.62</v>
      </c>
      <c r="AE367" s="3">
        <v>168</v>
      </c>
      <c r="AF367" s="3">
        <v>0</v>
      </c>
      <c r="AG367" s="3">
        <v>314.682855</v>
      </c>
      <c r="AH367" s="3">
        <v>0.333333333333333</v>
      </c>
      <c r="AI367" s="3">
        <v>1.368264</v>
      </c>
      <c r="AJ367" s="3" t="s">
        <v>870</v>
      </c>
    </row>
    <row r="368" spans="1:36">
      <c r="A368" s="5">
        <v>43336</v>
      </c>
      <c r="B368" s="3" t="s">
        <v>1719</v>
      </c>
      <c r="C368" s="3" t="s">
        <v>1720</v>
      </c>
      <c r="D368" s="3" t="s">
        <v>1721</v>
      </c>
      <c r="E368" s="3" t="s">
        <v>1722</v>
      </c>
      <c r="F368" s="3" t="s">
        <v>867</v>
      </c>
      <c r="G368" s="3">
        <v>4</v>
      </c>
      <c r="H368" s="3">
        <v>0</v>
      </c>
      <c r="I368" s="3">
        <v>4</v>
      </c>
      <c r="J368" s="3">
        <v>0</v>
      </c>
      <c r="K368" s="3">
        <v>0</v>
      </c>
      <c r="L368" s="3">
        <v>0</v>
      </c>
      <c r="M368" s="3">
        <v>0</v>
      </c>
      <c r="N368" s="3" t="s">
        <v>868</v>
      </c>
      <c r="O368" s="3">
        <v>0</v>
      </c>
      <c r="P368" s="3">
        <v>0</v>
      </c>
      <c r="Q368" s="3">
        <v>0</v>
      </c>
      <c r="R368" s="3">
        <v>0</v>
      </c>
      <c r="S368" s="3">
        <v>0</v>
      </c>
      <c r="T368" s="3">
        <v>3</v>
      </c>
      <c r="U368" s="3">
        <v>5</v>
      </c>
      <c r="V368" s="3">
        <v>5</v>
      </c>
      <c r="W368" s="3"/>
      <c r="X368" s="3">
        <v>22.98</v>
      </c>
      <c r="Y368" s="3">
        <v>22.98</v>
      </c>
      <c r="Z368" s="3">
        <v>22.98</v>
      </c>
      <c r="AA368" s="3">
        <v>0</v>
      </c>
      <c r="AB368" s="3" t="s">
        <v>869</v>
      </c>
      <c r="AC368" s="3">
        <v>4</v>
      </c>
      <c r="AD368" s="3">
        <v>22.98</v>
      </c>
      <c r="AE368" s="3">
        <v>0</v>
      </c>
      <c r="AF368" s="3">
        <v>0</v>
      </c>
      <c r="AG368" s="3">
        <v>0</v>
      </c>
      <c r="AH368" s="3">
        <v>2</v>
      </c>
      <c r="AI368" s="3">
        <v>0.361952</v>
      </c>
      <c r="AJ368" s="3" t="s">
        <v>870</v>
      </c>
    </row>
    <row r="369" spans="1:36">
      <c r="A369" s="5">
        <v>43336</v>
      </c>
      <c r="B369" s="3" t="s">
        <v>1723</v>
      </c>
      <c r="C369" s="3" t="s">
        <v>1521</v>
      </c>
      <c r="D369" s="3" t="s">
        <v>1521</v>
      </c>
      <c r="E369" s="3" t="s">
        <v>1522</v>
      </c>
      <c r="F369" s="3" t="s">
        <v>867</v>
      </c>
      <c r="G369" s="3">
        <v>1</v>
      </c>
      <c r="H369" s="3">
        <v>0</v>
      </c>
      <c r="I369" s="3">
        <v>1</v>
      </c>
      <c r="J369" s="3">
        <v>0</v>
      </c>
      <c r="K369" s="3">
        <v>0</v>
      </c>
      <c r="L369" s="3">
        <v>0</v>
      </c>
      <c r="M369" s="3">
        <v>0</v>
      </c>
      <c r="N369" s="3" t="s">
        <v>868</v>
      </c>
      <c r="O369" s="3">
        <v>0</v>
      </c>
      <c r="P369" s="3">
        <v>0</v>
      </c>
      <c r="Q369" s="3">
        <v>0</v>
      </c>
      <c r="R369" s="3">
        <v>0</v>
      </c>
      <c r="S369" s="3">
        <v>2</v>
      </c>
      <c r="T369" s="3">
        <v>3</v>
      </c>
      <c r="U369" s="3">
        <v>10</v>
      </c>
      <c r="V369" s="3">
        <v>13</v>
      </c>
      <c r="W369" s="3"/>
      <c r="X369" s="3">
        <v>20.98</v>
      </c>
      <c r="Y369" s="3">
        <v>20.98</v>
      </c>
      <c r="Z369" s="3">
        <v>20.98</v>
      </c>
      <c r="AA369" s="3">
        <v>0</v>
      </c>
      <c r="AB369" s="3" t="s">
        <v>869</v>
      </c>
      <c r="AC369" s="3">
        <v>2</v>
      </c>
      <c r="AD369" s="3">
        <v>20.98</v>
      </c>
      <c r="AE369" s="3">
        <v>0</v>
      </c>
      <c r="AF369" s="3">
        <v>0</v>
      </c>
      <c r="AG369" s="3">
        <v>0</v>
      </c>
      <c r="AH369" s="3">
        <v>2.33333333333333</v>
      </c>
      <c r="AI369" s="3">
        <v>0.083563</v>
      </c>
      <c r="AJ369" s="3" t="s">
        <v>870</v>
      </c>
    </row>
    <row r="370" spans="1:36">
      <c r="A370" s="5">
        <v>43336</v>
      </c>
      <c r="B370" s="3" t="s">
        <v>1724</v>
      </c>
      <c r="C370" s="3" t="s">
        <v>1725</v>
      </c>
      <c r="D370" s="3" t="s">
        <v>1725</v>
      </c>
      <c r="E370" s="3" t="s">
        <v>1726</v>
      </c>
      <c r="F370" s="3" t="s">
        <v>867</v>
      </c>
      <c r="G370" s="3">
        <v>1</v>
      </c>
      <c r="H370" s="3">
        <v>0</v>
      </c>
      <c r="I370" s="3">
        <v>0</v>
      </c>
      <c r="J370" s="3">
        <v>1</v>
      </c>
      <c r="K370" s="3">
        <v>0</v>
      </c>
      <c r="L370" s="3">
        <v>0</v>
      </c>
      <c r="M370" s="3">
        <v>0</v>
      </c>
      <c r="N370" s="3" t="s">
        <v>868</v>
      </c>
      <c r="O370" s="3">
        <v>0</v>
      </c>
      <c r="P370" s="3">
        <v>0</v>
      </c>
      <c r="Q370" s="3">
        <v>0</v>
      </c>
      <c r="R370" s="3">
        <v>0</v>
      </c>
      <c r="S370" s="3">
        <v>1</v>
      </c>
      <c r="T370" s="3">
        <v>1</v>
      </c>
      <c r="U370" s="3">
        <v>1</v>
      </c>
      <c r="V370" s="3">
        <v>1</v>
      </c>
      <c r="W370" s="3"/>
      <c r="X370" s="3">
        <v>19.56</v>
      </c>
      <c r="Y370" s="3">
        <v>19.56</v>
      </c>
      <c r="Z370" s="3">
        <v>19.56</v>
      </c>
      <c r="AA370" s="3">
        <v>0</v>
      </c>
      <c r="AB370" s="3" t="s">
        <v>869</v>
      </c>
      <c r="AC370" s="3">
        <v>1</v>
      </c>
      <c r="AD370" s="3">
        <v>19.56</v>
      </c>
      <c r="AE370" s="3">
        <v>0</v>
      </c>
      <c r="AF370" s="3">
        <v>0</v>
      </c>
      <c r="AG370" s="3">
        <v>0</v>
      </c>
      <c r="AH370" s="3">
        <v>0.0597014925373134</v>
      </c>
      <c r="AI370" s="3">
        <v>0.167542</v>
      </c>
      <c r="AJ370" s="3" t="s">
        <v>870</v>
      </c>
    </row>
    <row r="371" spans="1:36">
      <c r="A371" s="5">
        <v>43336</v>
      </c>
      <c r="B371" s="3" t="s">
        <v>1727</v>
      </c>
      <c r="C371" s="3" t="s">
        <v>1728</v>
      </c>
      <c r="D371" s="3" t="s">
        <v>1729</v>
      </c>
      <c r="E371" s="3" t="s">
        <v>1730</v>
      </c>
      <c r="F371" s="3" t="s">
        <v>867</v>
      </c>
      <c r="G371" s="3">
        <v>3</v>
      </c>
      <c r="H371" s="3">
        <v>0</v>
      </c>
      <c r="I371" s="3">
        <v>3</v>
      </c>
      <c r="J371" s="3">
        <v>0</v>
      </c>
      <c r="K371" s="3">
        <v>0</v>
      </c>
      <c r="L371" s="3">
        <v>0</v>
      </c>
      <c r="M371" s="3">
        <v>0</v>
      </c>
      <c r="N371" s="3" t="s">
        <v>868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0</v>
      </c>
      <c r="W371" s="3" t="s">
        <v>871</v>
      </c>
      <c r="X371" s="3">
        <v>22.98</v>
      </c>
      <c r="Y371" s="3">
        <v>22.98</v>
      </c>
      <c r="Z371" s="3">
        <v>22.98</v>
      </c>
      <c r="AA371" s="3">
        <v>0</v>
      </c>
      <c r="AB371" s="3" t="s">
        <v>869</v>
      </c>
      <c r="AC371" s="3">
        <v>3</v>
      </c>
      <c r="AD371" s="3">
        <v>22.98</v>
      </c>
      <c r="AE371" s="3">
        <v>0</v>
      </c>
      <c r="AF371" s="3">
        <v>0</v>
      </c>
      <c r="AG371" s="3">
        <v>0</v>
      </c>
      <c r="AH371" s="3">
        <v>0.666666666666666</v>
      </c>
      <c r="AI371" s="3">
        <v>0.352635</v>
      </c>
      <c r="AJ371" s="3" t="s">
        <v>870</v>
      </c>
    </row>
    <row r="372" spans="1:36">
      <c r="A372" s="5">
        <v>43336</v>
      </c>
      <c r="B372" s="3" t="s">
        <v>1731</v>
      </c>
      <c r="C372" s="3" t="s">
        <v>1732</v>
      </c>
      <c r="D372" s="3" t="s">
        <v>1733</v>
      </c>
      <c r="E372" s="3" t="s">
        <v>1734</v>
      </c>
      <c r="F372" s="3" t="s">
        <v>867</v>
      </c>
      <c r="G372" s="3">
        <v>6</v>
      </c>
      <c r="H372" s="3">
        <v>0</v>
      </c>
      <c r="I372" s="3">
        <v>6</v>
      </c>
      <c r="J372" s="3">
        <v>0</v>
      </c>
      <c r="K372" s="3">
        <v>0</v>
      </c>
      <c r="L372" s="3">
        <v>0</v>
      </c>
      <c r="M372" s="3">
        <v>0</v>
      </c>
      <c r="N372" s="3" t="s">
        <v>868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0</v>
      </c>
      <c r="U372" s="3">
        <v>0</v>
      </c>
      <c r="V372" s="3">
        <v>0</v>
      </c>
      <c r="W372" s="3" t="s">
        <v>871</v>
      </c>
      <c r="X372" s="3">
        <v>19.99</v>
      </c>
      <c r="Y372" s="3">
        <v>19.99</v>
      </c>
      <c r="Z372" s="3">
        <v>19.99</v>
      </c>
      <c r="AA372" s="3">
        <v>0</v>
      </c>
      <c r="AB372" s="3" t="s">
        <v>869</v>
      </c>
      <c r="AC372" s="3">
        <v>0</v>
      </c>
      <c r="AD372" s="3">
        <v>19.99</v>
      </c>
      <c r="AE372" s="3">
        <v>63</v>
      </c>
      <c r="AF372" s="3">
        <v>0</v>
      </c>
      <c r="AG372" s="3">
        <v>100.883198</v>
      </c>
      <c r="AH372" s="3">
        <v>0</v>
      </c>
      <c r="AI372" s="3">
        <v>0.841002</v>
      </c>
      <c r="AJ372" s="3" t="s">
        <v>925</v>
      </c>
    </row>
    <row r="373" spans="1:36">
      <c r="A373" s="5">
        <v>43336</v>
      </c>
      <c r="B373" s="3" t="s">
        <v>1735</v>
      </c>
      <c r="C373" s="3" t="s">
        <v>1736</v>
      </c>
      <c r="D373" s="3" t="s">
        <v>1736</v>
      </c>
      <c r="E373" s="3" t="s">
        <v>1737</v>
      </c>
      <c r="F373" s="3" t="s">
        <v>867</v>
      </c>
      <c r="G373" s="3">
        <v>4</v>
      </c>
      <c r="H373" s="3">
        <v>0</v>
      </c>
      <c r="I373" s="3">
        <v>0</v>
      </c>
      <c r="J373" s="3">
        <v>0</v>
      </c>
      <c r="K373" s="3">
        <v>4</v>
      </c>
      <c r="L373" s="3">
        <v>0</v>
      </c>
      <c r="M373" s="3">
        <v>0</v>
      </c>
      <c r="N373" s="3" t="s">
        <v>868</v>
      </c>
      <c r="O373" s="3">
        <v>4</v>
      </c>
      <c r="P373" s="3">
        <v>1.22</v>
      </c>
      <c r="Q373" s="3">
        <v>0</v>
      </c>
      <c r="R373" s="3">
        <v>0</v>
      </c>
      <c r="S373" s="3">
        <v>0</v>
      </c>
      <c r="T373" s="3">
        <v>0</v>
      </c>
      <c r="U373" s="3">
        <v>0</v>
      </c>
      <c r="V373" s="3">
        <v>0</v>
      </c>
      <c r="W373" s="3" t="s">
        <v>936</v>
      </c>
      <c r="X373" s="3">
        <v>23.98</v>
      </c>
      <c r="Y373" s="3">
        <v>23.98</v>
      </c>
      <c r="Z373" s="3">
        <v>23.98</v>
      </c>
      <c r="AA373" s="3">
        <v>0</v>
      </c>
      <c r="AB373" s="3" t="s">
        <v>937</v>
      </c>
      <c r="AC373" s="3">
        <v>0</v>
      </c>
      <c r="AD373" s="3">
        <v>21.99</v>
      </c>
      <c r="AE373" s="3">
        <v>154</v>
      </c>
      <c r="AF373" s="3">
        <v>0</v>
      </c>
      <c r="AG373" s="3">
        <v>88.179946</v>
      </c>
      <c r="AH373" s="3">
        <v>0</v>
      </c>
      <c r="AI373" s="3">
        <v>0.35144</v>
      </c>
      <c r="AJ373" s="3" t="s">
        <v>870</v>
      </c>
    </row>
    <row r="374" spans="1:36">
      <c r="A374" s="5">
        <v>43336</v>
      </c>
      <c r="B374" s="3" t="s">
        <v>1738</v>
      </c>
      <c r="C374" s="3" t="s">
        <v>1739</v>
      </c>
      <c r="D374" s="3" t="s">
        <v>1739</v>
      </c>
      <c r="E374" s="3" t="s">
        <v>1740</v>
      </c>
      <c r="F374" s="3" t="s">
        <v>867</v>
      </c>
      <c r="G374" s="3">
        <v>16</v>
      </c>
      <c r="H374" s="3">
        <v>0</v>
      </c>
      <c r="I374" s="3">
        <v>1</v>
      </c>
      <c r="J374" s="3">
        <v>1</v>
      </c>
      <c r="K374" s="3">
        <v>14</v>
      </c>
      <c r="L374" s="3">
        <v>0</v>
      </c>
      <c r="M374" s="3">
        <v>0</v>
      </c>
      <c r="N374" s="3" t="s">
        <v>868</v>
      </c>
      <c r="O374" s="3">
        <v>14</v>
      </c>
      <c r="P374" s="3">
        <v>6.67</v>
      </c>
      <c r="Q374" s="3">
        <v>0</v>
      </c>
      <c r="R374" s="3">
        <v>0</v>
      </c>
      <c r="S374" s="3">
        <v>0</v>
      </c>
      <c r="T374" s="3">
        <v>2</v>
      </c>
      <c r="U374" s="3">
        <v>3</v>
      </c>
      <c r="V374" s="3">
        <v>3</v>
      </c>
      <c r="W374" s="3"/>
      <c r="X374" s="3">
        <v>22.98</v>
      </c>
      <c r="Y374" s="3">
        <v>22.98</v>
      </c>
      <c r="Z374" s="3">
        <v>22.98</v>
      </c>
      <c r="AA374" s="3">
        <v>0</v>
      </c>
      <c r="AB374" s="3" t="s">
        <v>869</v>
      </c>
      <c r="AC374" s="3">
        <v>15</v>
      </c>
      <c r="AD374" s="3">
        <v>22.98</v>
      </c>
      <c r="AE374" s="3">
        <v>0</v>
      </c>
      <c r="AF374" s="3">
        <v>0</v>
      </c>
      <c r="AG374" s="3">
        <v>0</v>
      </c>
      <c r="AH374" s="3">
        <v>0.17391304347826</v>
      </c>
      <c r="AI374" s="3">
        <v>2.209632</v>
      </c>
      <c r="AJ374" s="3" t="s">
        <v>870</v>
      </c>
    </row>
    <row r="375" spans="1:36">
      <c r="A375" s="5">
        <v>43336</v>
      </c>
      <c r="B375" s="3" t="s">
        <v>1741</v>
      </c>
      <c r="C375" s="3" t="s">
        <v>1742</v>
      </c>
      <c r="D375" s="3" t="s">
        <v>1742</v>
      </c>
      <c r="E375" s="3" t="s">
        <v>1743</v>
      </c>
      <c r="F375" s="3" t="s">
        <v>867</v>
      </c>
      <c r="G375" s="3">
        <v>4</v>
      </c>
      <c r="H375" s="3">
        <v>0</v>
      </c>
      <c r="I375" s="3">
        <v>4</v>
      </c>
      <c r="J375" s="3">
        <v>0</v>
      </c>
      <c r="K375" s="3">
        <v>0</v>
      </c>
      <c r="L375" s="3">
        <v>0</v>
      </c>
      <c r="M375" s="3">
        <v>0</v>
      </c>
      <c r="N375" s="3" t="s">
        <v>868</v>
      </c>
      <c r="O375" s="3">
        <v>0</v>
      </c>
      <c r="P375" s="3">
        <v>0</v>
      </c>
      <c r="Q375" s="3">
        <v>0</v>
      </c>
      <c r="R375" s="3">
        <v>0</v>
      </c>
      <c r="S375" s="3">
        <v>13</v>
      </c>
      <c r="T375" s="3">
        <v>18</v>
      </c>
      <c r="U375" s="3">
        <v>22</v>
      </c>
      <c r="V375" s="3">
        <v>27</v>
      </c>
      <c r="W375" s="3"/>
      <c r="X375" s="3">
        <v>23.98</v>
      </c>
      <c r="Y375" s="3">
        <v>23.98</v>
      </c>
      <c r="Z375" s="3">
        <v>23.98</v>
      </c>
      <c r="AA375" s="3">
        <v>0</v>
      </c>
      <c r="AB375" s="3" t="s">
        <v>869</v>
      </c>
      <c r="AC375" s="3">
        <v>4</v>
      </c>
      <c r="AD375" s="3">
        <v>23.98</v>
      </c>
      <c r="AE375" s="3">
        <v>0</v>
      </c>
      <c r="AF375" s="3">
        <v>0</v>
      </c>
      <c r="AG375" s="3">
        <v>0</v>
      </c>
      <c r="AH375" s="3">
        <v>1.74193548387096</v>
      </c>
      <c r="AI375" s="3">
        <v>0.417244</v>
      </c>
      <c r="AJ375" s="3" t="s">
        <v>870</v>
      </c>
    </row>
    <row r="376" spans="1:36">
      <c r="A376" s="5">
        <v>43336</v>
      </c>
      <c r="B376" s="3" t="s">
        <v>1744</v>
      </c>
      <c r="C376" s="3" t="s">
        <v>1745</v>
      </c>
      <c r="D376" s="3" t="s">
        <v>1746</v>
      </c>
      <c r="E376" s="3" t="s">
        <v>1747</v>
      </c>
      <c r="F376" s="3" t="s">
        <v>867</v>
      </c>
      <c r="G376" s="3">
        <v>10</v>
      </c>
      <c r="H376" s="3">
        <v>0</v>
      </c>
      <c r="I376" s="3">
        <v>10</v>
      </c>
      <c r="J376" s="3">
        <v>0</v>
      </c>
      <c r="K376" s="3">
        <v>0</v>
      </c>
      <c r="L376" s="3">
        <v>0</v>
      </c>
      <c r="M376" s="3">
        <v>0</v>
      </c>
      <c r="N376" s="3" t="s">
        <v>868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 t="s">
        <v>871</v>
      </c>
      <c r="X376" s="3">
        <v>26.99</v>
      </c>
      <c r="Y376" s="3">
        <v>27.98</v>
      </c>
      <c r="Z376" s="3">
        <v>27.98</v>
      </c>
      <c r="AA376" s="3">
        <v>0</v>
      </c>
      <c r="AB376" s="3" t="s">
        <v>883</v>
      </c>
      <c r="AC376" s="3">
        <v>0</v>
      </c>
      <c r="AD376" s="3">
        <v>22.38</v>
      </c>
      <c r="AE376" s="3">
        <v>63</v>
      </c>
      <c r="AF376" s="3">
        <v>0</v>
      </c>
      <c r="AG376" s="3">
        <v>74.014025</v>
      </c>
      <c r="AH376" s="3">
        <v>0</v>
      </c>
      <c r="AI376" s="3">
        <v>1.15281</v>
      </c>
      <c r="AJ376" s="3" t="s">
        <v>870</v>
      </c>
    </row>
    <row r="377" spans="1:36">
      <c r="A377" s="5">
        <v>43336</v>
      </c>
      <c r="B377" s="3" t="s">
        <v>1748</v>
      </c>
      <c r="C377" s="3" t="s">
        <v>1749</v>
      </c>
      <c r="D377" s="3" t="s">
        <v>1749</v>
      </c>
      <c r="E377" s="3" t="s">
        <v>1750</v>
      </c>
      <c r="F377" s="3" t="s">
        <v>867</v>
      </c>
      <c r="G377" s="3">
        <v>24</v>
      </c>
      <c r="H377" s="3">
        <v>0</v>
      </c>
      <c r="I377" s="3">
        <v>5</v>
      </c>
      <c r="J377" s="3">
        <v>19</v>
      </c>
      <c r="K377" s="3">
        <v>0</v>
      </c>
      <c r="L377" s="3">
        <v>0</v>
      </c>
      <c r="M377" s="3">
        <v>0</v>
      </c>
      <c r="N377" s="3" t="s">
        <v>868</v>
      </c>
      <c r="O377" s="3">
        <v>0</v>
      </c>
      <c r="P377" s="3">
        <v>0</v>
      </c>
      <c r="Q377" s="3">
        <v>0</v>
      </c>
      <c r="R377" s="3">
        <v>0</v>
      </c>
      <c r="S377" s="3">
        <v>1</v>
      </c>
      <c r="T377" s="3">
        <v>4</v>
      </c>
      <c r="U377" s="3">
        <v>5</v>
      </c>
      <c r="V377" s="3">
        <v>5</v>
      </c>
      <c r="W377" s="3"/>
      <c r="X377" s="3">
        <v>22.98</v>
      </c>
      <c r="Y377" s="3">
        <v>22.98</v>
      </c>
      <c r="Z377" s="3">
        <v>22.98</v>
      </c>
      <c r="AA377" s="3">
        <v>0</v>
      </c>
      <c r="AB377" s="3" t="s">
        <v>869</v>
      </c>
      <c r="AC377" s="3">
        <v>25</v>
      </c>
      <c r="AD377" s="3">
        <v>22.98</v>
      </c>
      <c r="AE377" s="3">
        <v>0</v>
      </c>
      <c r="AF377" s="3">
        <v>0</v>
      </c>
      <c r="AG377" s="3">
        <v>0</v>
      </c>
      <c r="AH377" s="3">
        <v>0.19047619047619</v>
      </c>
      <c r="AI377" s="3">
        <v>5.117232</v>
      </c>
      <c r="AJ377" s="3" t="s">
        <v>870</v>
      </c>
    </row>
    <row r="378" spans="1:36">
      <c r="A378" s="5">
        <v>43336</v>
      </c>
      <c r="B378" s="3" t="s">
        <v>451</v>
      </c>
      <c r="C378" s="3" t="s">
        <v>452</v>
      </c>
      <c r="D378" s="3" t="s">
        <v>453</v>
      </c>
      <c r="E378" s="3" t="s">
        <v>1751</v>
      </c>
      <c r="F378" s="3" t="s">
        <v>867</v>
      </c>
      <c r="G378" s="3">
        <v>6</v>
      </c>
      <c r="H378" s="3">
        <v>0</v>
      </c>
      <c r="I378" s="3">
        <v>6</v>
      </c>
      <c r="J378" s="3">
        <v>0</v>
      </c>
      <c r="K378" s="3">
        <v>0</v>
      </c>
      <c r="L378" s="3">
        <v>0</v>
      </c>
      <c r="M378" s="3">
        <v>0</v>
      </c>
      <c r="N378" s="3" t="s">
        <v>868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 t="s">
        <v>871</v>
      </c>
      <c r="X378" s="3">
        <v>39.98</v>
      </c>
      <c r="Y378" s="3">
        <v>19.98</v>
      </c>
      <c r="Z378" s="3">
        <v>19.98</v>
      </c>
      <c r="AA378" s="3">
        <v>0</v>
      </c>
      <c r="AB378" s="3" t="s">
        <v>869</v>
      </c>
      <c r="AC378" s="3">
        <v>0</v>
      </c>
      <c r="AD378" s="3">
        <v>0</v>
      </c>
      <c r="AE378" s="3">
        <v>0</v>
      </c>
      <c r="AF378" s="3">
        <v>0</v>
      </c>
      <c r="AG378" s="3">
        <v>0</v>
      </c>
      <c r="AH378" s="3">
        <v>2.04444444444444</v>
      </c>
      <c r="AI378" s="3">
        <v>0.503472</v>
      </c>
      <c r="AJ378" s="3" t="s">
        <v>870</v>
      </c>
    </row>
    <row r="379" spans="1:36">
      <c r="A379" s="5">
        <v>43336</v>
      </c>
      <c r="B379" s="3" t="s">
        <v>1752</v>
      </c>
      <c r="C379" s="3" t="s">
        <v>1753</v>
      </c>
      <c r="D379" s="3" t="s">
        <v>1753</v>
      </c>
      <c r="E379" s="3" t="s">
        <v>1754</v>
      </c>
      <c r="F379" s="3" t="s">
        <v>867</v>
      </c>
      <c r="G379" s="3">
        <v>10</v>
      </c>
      <c r="H379" s="3">
        <v>0</v>
      </c>
      <c r="I379" s="3">
        <v>4</v>
      </c>
      <c r="J379" s="3">
        <v>6</v>
      </c>
      <c r="K379" s="3">
        <v>0</v>
      </c>
      <c r="L379" s="3">
        <v>0</v>
      </c>
      <c r="M379" s="3">
        <v>0</v>
      </c>
      <c r="N379" s="3" t="s">
        <v>868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1</v>
      </c>
      <c r="U379" s="3">
        <v>1</v>
      </c>
      <c r="V379" s="3">
        <v>4</v>
      </c>
      <c r="W379" s="3" t="s">
        <v>871</v>
      </c>
      <c r="X379" s="3">
        <v>22.99</v>
      </c>
      <c r="Y379" s="3">
        <v>22.99</v>
      </c>
      <c r="Z379" s="3">
        <v>22.99</v>
      </c>
      <c r="AA379" s="3">
        <v>0</v>
      </c>
      <c r="AB379" s="3" t="s">
        <v>883</v>
      </c>
      <c r="AC379" s="3">
        <v>0</v>
      </c>
      <c r="AD379" s="3">
        <v>20.18</v>
      </c>
      <c r="AE379" s="3">
        <v>266</v>
      </c>
      <c r="AF379" s="3">
        <v>0</v>
      </c>
      <c r="AG379" s="3">
        <v>280.82136</v>
      </c>
      <c r="AH379" s="3">
        <v>0.38095238095238</v>
      </c>
      <c r="AI379" s="3">
        <v>1.45901</v>
      </c>
      <c r="AJ379" s="3" t="s">
        <v>870</v>
      </c>
    </row>
    <row r="380" spans="1:36">
      <c r="A380" s="5">
        <v>43336</v>
      </c>
      <c r="B380" s="3" t="s">
        <v>1755</v>
      </c>
      <c r="C380" s="3" t="s">
        <v>1756</v>
      </c>
      <c r="D380" s="3" t="s">
        <v>1756</v>
      </c>
      <c r="E380" s="3" t="s">
        <v>1757</v>
      </c>
      <c r="F380" s="3" t="s">
        <v>867</v>
      </c>
      <c r="G380" s="3">
        <v>2</v>
      </c>
      <c r="H380" s="3">
        <v>0</v>
      </c>
      <c r="I380" s="3">
        <v>0</v>
      </c>
      <c r="J380" s="3">
        <v>2</v>
      </c>
      <c r="K380" s="3">
        <v>0</v>
      </c>
      <c r="L380" s="3">
        <v>0</v>
      </c>
      <c r="M380" s="3">
        <v>0</v>
      </c>
      <c r="N380" s="3" t="s">
        <v>868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1</v>
      </c>
      <c r="U380" s="3">
        <v>5</v>
      </c>
      <c r="V380" s="3">
        <v>6</v>
      </c>
      <c r="W380" s="3"/>
      <c r="X380" s="3">
        <v>22.98</v>
      </c>
      <c r="Y380" s="3">
        <v>22.98</v>
      </c>
      <c r="Z380" s="3">
        <v>22.98</v>
      </c>
      <c r="AA380" s="3">
        <v>0</v>
      </c>
      <c r="AB380" s="3" t="s">
        <v>869</v>
      </c>
      <c r="AC380" s="3">
        <v>2</v>
      </c>
      <c r="AD380" s="3">
        <v>22.98</v>
      </c>
      <c r="AE380" s="3">
        <v>0</v>
      </c>
      <c r="AF380" s="3">
        <v>0</v>
      </c>
      <c r="AG380" s="3">
        <v>0</v>
      </c>
      <c r="AH380" s="3">
        <v>0.744186046511627</v>
      </c>
      <c r="AI380" s="3">
        <v>0.180976</v>
      </c>
      <c r="AJ380" s="3" t="s">
        <v>870</v>
      </c>
    </row>
    <row r="381" spans="1:36">
      <c r="A381" s="5">
        <v>43336</v>
      </c>
      <c r="B381" s="3" t="s">
        <v>1758</v>
      </c>
      <c r="C381" s="3" t="s">
        <v>1759</v>
      </c>
      <c r="D381" s="3" t="s">
        <v>1759</v>
      </c>
      <c r="E381" s="3" t="s">
        <v>1760</v>
      </c>
      <c r="F381" s="3" t="s">
        <v>867</v>
      </c>
      <c r="G381" s="3">
        <v>16</v>
      </c>
      <c r="H381" s="3">
        <v>0</v>
      </c>
      <c r="I381" s="3">
        <v>16</v>
      </c>
      <c r="J381" s="3">
        <v>0</v>
      </c>
      <c r="K381" s="3">
        <v>0</v>
      </c>
      <c r="L381" s="3">
        <v>0</v>
      </c>
      <c r="M381" s="3">
        <v>0</v>
      </c>
      <c r="N381" s="3" t="s">
        <v>868</v>
      </c>
      <c r="O381" s="3">
        <v>0</v>
      </c>
      <c r="P381" s="3">
        <v>0</v>
      </c>
      <c r="Q381" s="3">
        <v>0</v>
      </c>
      <c r="R381" s="3">
        <v>0</v>
      </c>
      <c r="S381" s="3">
        <v>1</v>
      </c>
      <c r="T381" s="3">
        <v>6</v>
      </c>
      <c r="U381" s="3">
        <v>7</v>
      </c>
      <c r="V381" s="3">
        <v>10</v>
      </c>
      <c r="W381" s="3"/>
      <c r="X381" s="3">
        <v>20.98</v>
      </c>
      <c r="Y381" s="3">
        <v>20.98</v>
      </c>
      <c r="Z381" s="3">
        <v>20.98</v>
      </c>
      <c r="AA381" s="3">
        <v>0</v>
      </c>
      <c r="AB381" s="3" t="s">
        <v>883</v>
      </c>
      <c r="AC381" s="3">
        <v>2</v>
      </c>
      <c r="AD381" s="3">
        <v>16.78</v>
      </c>
      <c r="AE381" s="3">
        <v>196</v>
      </c>
      <c r="AF381" s="3">
        <v>0</v>
      </c>
      <c r="AG381" s="3">
        <v>93.182684</v>
      </c>
      <c r="AH381" s="3">
        <v>0.606060606060606</v>
      </c>
      <c r="AI381" s="3">
        <v>1.337008</v>
      </c>
      <c r="AJ381" s="3" t="s">
        <v>870</v>
      </c>
    </row>
    <row r="382" spans="1:36">
      <c r="A382" s="5">
        <v>43336</v>
      </c>
      <c r="B382" s="3" t="s">
        <v>1761</v>
      </c>
      <c r="C382" s="3" t="s">
        <v>1762</v>
      </c>
      <c r="D382" s="3" t="s">
        <v>1763</v>
      </c>
      <c r="E382" s="3" t="s">
        <v>1764</v>
      </c>
      <c r="F382" s="3" t="s">
        <v>867</v>
      </c>
      <c r="G382" s="3">
        <v>4</v>
      </c>
      <c r="H382" s="3">
        <v>0</v>
      </c>
      <c r="I382" s="3">
        <v>4</v>
      </c>
      <c r="J382" s="3">
        <v>0</v>
      </c>
      <c r="K382" s="3">
        <v>0</v>
      </c>
      <c r="L382" s="3">
        <v>0</v>
      </c>
      <c r="M382" s="3">
        <v>0</v>
      </c>
      <c r="N382" s="3" t="s">
        <v>868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936</v>
      </c>
      <c r="X382" s="3">
        <v>22.98</v>
      </c>
      <c r="Y382" s="3">
        <v>22.98</v>
      </c>
      <c r="Z382" s="3">
        <v>22.98</v>
      </c>
      <c r="AA382" s="3">
        <v>0</v>
      </c>
      <c r="AB382" s="3" t="s">
        <v>937</v>
      </c>
      <c r="AC382" s="3">
        <v>0</v>
      </c>
      <c r="AD382" s="3">
        <v>18.38</v>
      </c>
      <c r="AE382" s="3">
        <v>63</v>
      </c>
      <c r="AF382" s="3">
        <v>0</v>
      </c>
      <c r="AG382" s="3">
        <v>68.703488</v>
      </c>
      <c r="AH382" s="3">
        <v>0</v>
      </c>
      <c r="AI382" s="3">
        <v>0.573476</v>
      </c>
      <c r="AJ382" s="3" t="s">
        <v>925</v>
      </c>
    </row>
    <row r="383" spans="1:36">
      <c r="A383" s="5">
        <v>43336</v>
      </c>
      <c r="B383" s="3" t="s">
        <v>1765</v>
      </c>
      <c r="C383" s="3" t="s">
        <v>1766</v>
      </c>
      <c r="D383" s="3" t="s">
        <v>1196</v>
      </c>
      <c r="E383" s="3" t="s">
        <v>1197</v>
      </c>
      <c r="F383" s="3" t="s">
        <v>867</v>
      </c>
      <c r="G383" s="3">
        <v>20</v>
      </c>
      <c r="H383" s="3">
        <v>0</v>
      </c>
      <c r="I383" s="3">
        <v>20</v>
      </c>
      <c r="J383" s="3">
        <v>0</v>
      </c>
      <c r="K383" s="3">
        <v>0</v>
      </c>
      <c r="L383" s="3">
        <v>0</v>
      </c>
      <c r="M383" s="3">
        <v>0</v>
      </c>
      <c r="N383" s="3" t="s">
        <v>868</v>
      </c>
      <c r="O383" s="3">
        <v>0</v>
      </c>
      <c r="P383" s="3">
        <v>0</v>
      </c>
      <c r="Q383" s="3">
        <v>0</v>
      </c>
      <c r="R383" s="3">
        <v>0</v>
      </c>
      <c r="S383" s="3">
        <v>0</v>
      </c>
      <c r="T383" s="3">
        <v>2</v>
      </c>
      <c r="U383" s="3">
        <v>2</v>
      </c>
      <c r="V383" s="3">
        <v>2</v>
      </c>
      <c r="W383" s="3"/>
      <c r="X383" s="3">
        <v>22.98</v>
      </c>
      <c r="Y383" s="3">
        <v>22.98</v>
      </c>
      <c r="Z383" s="3">
        <v>22.98</v>
      </c>
      <c r="AA383" s="3">
        <v>0</v>
      </c>
      <c r="AB383" s="3" t="s">
        <v>883</v>
      </c>
      <c r="AC383" s="3">
        <v>1</v>
      </c>
      <c r="AD383" s="3">
        <v>18.38</v>
      </c>
      <c r="AE383" s="3">
        <v>364</v>
      </c>
      <c r="AF383" s="3">
        <v>0</v>
      </c>
      <c r="AG383" s="3">
        <v>214.358495</v>
      </c>
      <c r="AH383" s="3">
        <v>0.40506329113924</v>
      </c>
      <c r="AI383" s="3">
        <v>1.80976</v>
      </c>
      <c r="AJ383" s="3" t="s">
        <v>870</v>
      </c>
    </row>
    <row r="384" spans="1:36">
      <c r="A384" s="5">
        <v>43336</v>
      </c>
      <c r="B384" s="3" t="s">
        <v>297</v>
      </c>
      <c r="C384" s="3" t="s">
        <v>298</v>
      </c>
      <c r="D384" s="3" t="s">
        <v>299</v>
      </c>
      <c r="E384" s="3" t="s">
        <v>300</v>
      </c>
      <c r="F384" s="3" t="s">
        <v>867</v>
      </c>
      <c r="G384" s="3">
        <v>5</v>
      </c>
      <c r="H384" s="3">
        <v>0</v>
      </c>
      <c r="I384" s="3">
        <v>5</v>
      </c>
      <c r="J384" s="3">
        <v>0</v>
      </c>
      <c r="K384" s="3">
        <v>0</v>
      </c>
      <c r="L384" s="3">
        <v>0</v>
      </c>
      <c r="M384" s="3">
        <v>0</v>
      </c>
      <c r="N384" s="3" t="s">
        <v>868</v>
      </c>
      <c r="O384" s="3">
        <v>0</v>
      </c>
      <c r="P384" s="3">
        <v>0</v>
      </c>
      <c r="Q384" s="3">
        <v>0</v>
      </c>
      <c r="R384" s="3">
        <v>0</v>
      </c>
      <c r="S384" s="3">
        <v>0</v>
      </c>
      <c r="T384" s="3">
        <v>0</v>
      </c>
      <c r="U384" s="3">
        <v>0</v>
      </c>
      <c r="V384" s="3">
        <v>0</v>
      </c>
      <c r="W384" s="3" t="s">
        <v>871</v>
      </c>
      <c r="X384" s="3">
        <v>22.99</v>
      </c>
      <c r="Y384" s="3">
        <v>22.98</v>
      </c>
      <c r="Z384" s="3">
        <v>22.98</v>
      </c>
      <c r="AA384" s="3">
        <v>0</v>
      </c>
      <c r="AB384" s="3" t="s">
        <v>883</v>
      </c>
      <c r="AC384" s="3">
        <v>0</v>
      </c>
      <c r="AD384" s="3">
        <v>18.38</v>
      </c>
      <c r="AE384" s="3">
        <v>63</v>
      </c>
      <c r="AF384" s="3">
        <v>0</v>
      </c>
      <c r="AG384" s="3">
        <v>54.820677</v>
      </c>
      <c r="AH384" s="3">
        <v>1.71428571428571</v>
      </c>
      <c r="AI384" s="3">
        <v>0.458335</v>
      </c>
      <c r="AJ384" s="3" t="s">
        <v>870</v>
      </c>
    </row>
    <row r="385" spans="1:36">
      <c r="A385" s="5">
        <v>43336</v>
      </c>
      <c r="B385" s="3" t="s">
        <v>553</v>
      </c>
      <c r="C385" s="3" t="s">
        <v>554</v>
      </c>
      <c r="D385" s="3" t="s">
        <v>555</v>
      </c>
      <c r="E385" s="3" t="s">
        <v>546</v>
      </c>
      <c r="F385" s="3" t="s">
        <v>867</v>
      </c>
      <c r="G385" s="3">
        <v>30</v>
      </c>
      <c r="H385" s="3">
        <v>0</v>
      </c>
      <c r="I385" s="3">
        <v>30</v>
      </c>
      <c r="J385" s="3">
        <v>0</v>
      </c>
      <c r="K385" s="3">
        <v>0</v>
      </c>
      <c r="L385" s="3">
        <v>0</v>
      </c>
      <c r="M385" s="3">
        <v>0</v>
      </c>
      <c r="N385" s="3" t="s">
        <v>868</v>
      </c>
      <c r="O385" s="3">
        <v>0</v>
      </c>
      <c r="P385" s="3">
        <v>0</v>
      </c>
      <c r="Q385" s="3">
        <v>0</v>
      </c>
      <c r="R385" s="3">
        <v>0</v>
      </c>
      <c r="S385" s="3">
        <v>10</v>
      </c>
      <c r="T385" s="3">
        <v>48</v>
      </c>
      <c r="U385" s="3">
        <v>78</v>
      </c>
      <c r="V385" s="3">
        <v>96</v>
      </c>
      <c r="W385" s="3"/>
      <c r="X385" s="3">
        <v>24.98</v>
      </c>
      <c r="Y385" s="3">
        <v>23.98</v>
      </c>
      <c r="Z385" s="3">
        <v>23.98</v>
      </c>
      <c r="AA385" s="3">
        <v>0</v>
      </c>
      <c r="AB385" s="3" t="s">
        <v>869</v>
      </c>
      <c r="AC385" s="3">
        <v>32</v>
      </c>
      <c r="AD385" s="3">
        <v>23.98</v>
      </c>
      <c r="AE385" s="3">
        <v>0</v>
      </c>
      <c r="AF385" s="3">
        <v>0</v>
      </c>
      <c r="AG385" s="3">
        <v>0</v>
      </c>
      <c r="AH385" s="3">
        <v>6.54545454545454</v>
      </c>
      <c r="AI385" s="3">
        <v>1.36587</v>
      </c>
      <c r="AJ385" s="3" t="s">
        <v>870</v>
      </c>
    </row>
    <row r="386" spans="1:36">
      <c r="A386" s="5">
        <v>43336</v>
      </c>
      <c r="B386" s="3" t="s">
        <v>1767</v>
      </c>
      <c r="C386" s="3" t="s">
        <v>1768</v>
      </c>
      <c r="D386" s="3" t="s">
        <v>1768</v>
      </c>
      <c r="E386" s="3" t="s">
        <v>1769</v>
      </c>
      <c r="F386" s="3" t="s">
        <v>867</v>
      </c>
      <c r="G386" s="3">
        <v>11</v>
      </c>
      <c r="H386" s="3">
        <v>0</v>
      </c>
      <c r="I386" s="3">
        <v>0</v>
      </c>
      <c r="J386" s="3">
        <v>11</v>
      </c>
      <c r="K386" s="3">
        <v>0</v>
      </c>
      <c r="L386" s="3">
        <v>0</v>
      </c>
      <c r="M386" s="3">
        <v>0</v>
      </c>
      <c r="N386" s="3" t="s">
        <v>868</v>
      </c>
      <c r="O386" s="3">
        <v>0</v>
      </c>
      <c r="P386" s="3">
        <v>0</v>
      </c>
      <c r="Q386" s="3">
        <v>0</v>
      </c>
      <c r="R386" s="3">
        <v>0</v>
      </c>
      <c r="S386" s="3">
        <v>1</v>
      </c>
      <c r="T386" s="3">
        <v>2</v>
      </c>
      <c r="U386" s="3">
        <v>3</v>
      </c>
      <c r="V386" s="3">
        <v>3</v>
      </c>
      <c r="W386" s="3"/>
      <c r="X386" s="3">
        <v>22.98</v>
      </c>
      <c r="Y386" s="3">
        <v>22.98</v>
      </c>
      <c r="Z386" s="3">
        <v>22.98</v>
      </c>
      <c r="AA386" s="3">
        <v>0</v>
      </c>
      <c r="AB386" s="3" t="s">
        <v>869</v>
      </c>
      <c r="AC386" s="3">
        <v>12</v>
      </c>
      <c r="AD386" s="3">
        <v>22.98</v>
      </c>
      <c r="AE386" s="3">
        <v>0</v>
      </c>
      <c r="AF386" s="3">
        <v>0</v>
      </c>
      <c r="AG386" s="3">
        <v>0</v>
      </c>
      <c r="AH386" s="3">
        <v>0.123711340206185</v>
      </c>
      <c r="AI386" s="3">
        <v>1.519122</v>
      </c>
      <c r="AJ386" s="3" t="s">
        <v>870</v>
      </c>
    </row>
    <row r="387" spans="1:36">
      <c r="A387" s="5">
        <v>43336</v>
      </c>
      <c r="B387" s="3" t="s">
        <v>829</v>
      </c>
      <c r="C387" s="3" t="s">
        <v>789</v>
      </c>
      <c r="D387" s="3" t="s">
        <v>789</v>
      </c>
      <c r="E387" s="3" t="s">
        <v>790</v>
      </c>
      <c r="F387" s="3" t="s">
        <v>867</v>
      </c>
      <c r="G387" s="3">
        <v>9</v>
      </c>
      <c r="H387" s="3">
        <v>0</v>
      </c>
      <c r="I387" s="3">
        <v>9</v>
      </c>
      <c r="J387" s="3">
        <v>0</v>
      </c>
      <c r="K387" s="3">
        <v>0</v>
      </c>
      <c r="L387" s="3">
        <v>0</v>
      </c>
      <c r="M387" s="3">
        <v>0</v>
      </c>
      <c r="N387" s="3" t="s">
        <v>868</v>
      </c>
      <c r="O387" s="3">
        <v>0</v>
      </c>
      <c r="P387" s="3">
        <v>0</v>
      </c>
      <c r="Q387" s="3">
        <v>0</v>
      </c>
      <c r="R387" s="3">
        <v>0</v>
      </c>
      <c r="S387" s="3">
        <v>1</v>
      </c>
      <c r="T387" s="3">
        <v>6</v>
      </c>
      <c r="U387" s="3">
        <v>13</v>
      </c>
      <c r="V387" s="3">
        <v>25</v>
      </c>
      <c r="W387" s="3"/>
      <c r="X387" s="3">
        <v>22.98</v>
      </c>
      <c r="Y387" s="3">
        <v>22.98</v>
      </c>
      <c r="Z387" s="3">
        <v>22.98</v>
      </c>
      <c r="AA387" s="3">
        <v>0</v>
      </c>
      <c r="AB387" s="3" t="s">
        <v>883</v>
      </c>
      <c r="AC387" s="3">
        <v>4</v>
      </c>
      <c r="AD387" s="3">
        <v>20.87</v>
      </c>
      <c r="AE387" s="3">
        <v>70</v>
      </c>
      <c r="AF387" s="3">
        <v>0</v>
      </c>
      <c r="AG387" s="3">
        <v>2.844738</v>
      </c>
      <c r="AH387" s="3">
        <v>1.58730158730158</v>
      </c>
      <c r="AI387" s="3">
        <v>0.630414</v>
      </c>
      <c r="AJ387" s="3" t="s">
        <v>870</v>
      </c>
    </row>
    <row r="388" spans="1:36">
      <c r="A388" s="5">
        <v>43336</v>
      </c>
      <c r="B388" s="3" t="s">
        <v>1770</v>
      </c>
      <c r="C388" s="3" t="s">
        <v>1771</v>
      </c>
      <c r="D388" s="3" t="s">
        <v>1771</v>
      </c>
      <c r="E388" s="3" t="s">
        <v>1772</v>
      </c>
      <c r="F388" s="3" t="s">
        <v>867</v>
      </c>
      <c r="G388" s="3">
        <v>1</v>
      </c>
      <c r="H388" s="3">
        <v>0</v>
      </c>
      <c r="I388" s="3">
        <v>0</v>
      </c>
      <c r="J388" s="3">
        <v>1</v>
      </c>
      <c r="K388" s="3">
        <v>0</v>
      </c>
      <c r="L388" s="3">
        <v>0</v>
      </c>
      <c r="M388" s="3">
        <v>0</v>
      </c>
      <c r="N388" s="3" t="s">
        <v>868</v>
      </c>
      <c r="O388" s="3">
        <v>1</v>
      </c>
      <c r="P388" s="3">
        <v>0.71</v>
      </c>
      <c r="Q388" s="3">
        <v>0</v>
      </c>
      <c r="R388" s="3">
        <v>0</v>
      </c>
      <c r="S388" s="3">
        <v>0</v>
      </c>
      <c r="T388" s="3">
        <v>2</v>
      </c>
      <c r="U388" s="3">
        <v>4</v>
      </c>
      <c r="V388" s="3">
        <v>5</v>
      </c>
      <c r="W388" s="3"/>
      <c r="X388" s="3">
        <v>39.98</v>
      </c>
      <c r="Y388" s="3">
        <v>15</v>
      </c>
      <c r="Z388" s="3">
        <v>15</v>
      </c>
      <c r="AA388" s="3">
        <v>0</v>
      </c>
      <c r="AB388" s="3" t="s">
        <v>869</v>
      </c>
      <c r="AC388" s="3">
        <v>1</v>
      </c>
      <c r="AD388" s="3">
        <v>15</v>
      </c>
      <c r="AE388" s="3">
        <v>0</v>
      </c>
      <c r="AF388" s="3">
        <v>0</v>
      </c>
      <c r="AG388" s="3">
        <v>0</v>
      </c>
      <c r="AH388" s="3">
        <v>1.33333333333333</v>
      </c>
      <c r="AI388" s="3">
        <v>0.205085</v>
      </c>
      <c r="AJ388" s="3" t="s">
        <v>870</v>
      </c>
    </row>
    <row r="389" spans="1:36">
      <c r="A389" s="5">
        <v>43336</v>
      </c>
      <c r="B389" s="3" t="s">
        <v>1773</v>
      </c>
      <c r="C389" s="3" t="s">
        <v>1774</v>
      </c>
      <c r="D389" s="3" t="s">
        <v>1774</v>
      </c>
      <c r="E389" s="3" t="s">
        <v>1775</v>
      </c>
      <c r="F389" s="3" t="s">
        <v>867</v>
      </c>
      <c r="G389" s="3">
        <v>10</v>
      </c>
      <c r="H389" s="3">
        <v>0</v>
      </c>
      <c r="I389" s="3">
        <v>0</v>
      </c>
      <c r="J389" s="3">
        <v>10</v>
      </c>
      <c r="K389" s="3">
        <v>0</v>
      </c>
      <c r="L389" s="3">
        <v>0</v>
      </c>
      <c r="M389" s="3">
        <v>0</v>
      </c>
      <c r="N389" s="3" t="s">
        <v>868</v>
      </c>
      <c r="O389" s="3">
        <v>10</v>
      </c>
      <c r="P389" s="3">
        <v>5.69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936</v>
      </c>
      <c r="X389" s="3">
        <v>27.98</v>
      </c>
      <c r="Y389" s="3">
        <v>27.98</v>
      </c>
      <c r="Z389" s="3">
        <v>27.98</v>
      </c>
      <c r="AA389" s="3">
        <v>0</v>
      </c>
      <c r="AB389" s="3" t="s">
        <v>937</v>
      </c>
      <c r="AC389" s="3">
        <v>0</v>
      </c>
      <c r="AD389" s="3">
        <v>22.38</v>
      </c>
      <c r="AE389" s="3">
        <v>63</v>
      </c>
      <c r="AF389" s="3">
        <v>0</v>
      </c>
      <c r="AG389" s="3">
        <v>222.753179</v>
      </c>
      <c r="AH389" s="3">
        <v>0</v>
      </c>
      <c r="AI389" s="3">
        <v>1.64938</v>
      </c>
      <c r="AJ389" s="3" t="s">
        <v>870</v>
      </c>
    </row>
    <row r="390" spans="1:36">
      <c r="A390" s="5">
        <v>43336</v>
      </c>
      <c r="B390" s="3" t="s">
        <v>1776</v>
      </c>
      <c r="C390" s="3" t="s">
        <v>1777</v>
      </c>
      <c r="D390" s="3" t="s">
        <v>1778</v>
      </c>
      <c r="E390" s="3" t="s">
        <v>1779</v>
      </c>
      <c r="F390" s="3" t="s">
        <v>867</v>
      </c>
      <c r="G390" s="3">
        <v>18</v>
      </c>
      <c r="H390" s="3">
        <v>0</v>
      </c>
      <c r="I390" s="3">
        <v>18</v>
      </c>
      <c r="J390" s="3">
        <v>0</v>
      </c>
      <c r="K390" s="3">
        <v>0</v>
      </c>
      <c r="L390" s="3">
        <v>0</v>
      </c>
      <c r="M390" s="3">
        <v>0</v>
      </c>
      <c r="N390" s="3" t="s">
        <v>868</v>
      </c>
      <c r="O390" s="3">
        <v>0</v>
      </c>
      <c r="P390" s="3">
        <v>0</v>
      </c>
      <c r="Q390" s="3">
        <v>0</v>
      </c>
      <c r="R390" s="3">
        <v>0</v>
      </c>
      <c r="S390" s="3">
        <v>1</v>
      </c>
      <c r="T390" s="3">
        <v>5</v>
      </c>
      <c r="U390" s="3">
        <v>12</v>
      </c>
      <c r="V390" s="3">
        <v>12</v>
      </c>
      <c r="W390" s="3"/>
      <c r="X390" s="3">
        <v>23.99</v>
      </c>
      <c r="Y390" s="3">
        <v>22.98</v>
      </c>
      <c r="Z390" s="3">
        <v>22.98</v>
      </c>
      <c r="AA390" s="3">
        <v>0</v>
      </c>
      <c r="AB390" s="3" t="s">
        <v>869</v>
      </c>
      <c r="AC390" s="3">
        <v>19</v>
      </c>
      <c r="AD390" s="3">
        <v>22.98</v>
      </c>
      <c r="AE390" s="3">
        <v>0</v>
      </c>
      <c r="AF390" s="3">
        <v>0</v>
      </c>
      <c r="AG390" s="3">
        <v>0</v>
      </c>
      <c r="AH390" s="3">
        <v>2.70422535211267</v>
      </c>
      <c r="AI390" s="3">
        <v>2.694474</v>
      </c>
      <c r="AJ390" s="3" t="s">
        <v>870</v>
      </c>
    </row>
    <row r="391" spans="1:36">
      <c r="A391" s="5">
        <v>43336</v>
      </c>
      <c r="B391" s="3" t="s">
        <v>321</v>
      </c>
      <c r="C391" s="3" t="s">
        <v>322</v>
      </c>
      <c r="D391" s="3" t="s">
        <v>323</v>
      </c>
      <c r="E391" s="3" t="s">
        <v>324</v>
      </c>
      <c r="F391" s="3" t="s">
        <v>867</v>
      </c>
      <c r="G391" s="3">
        <v>4</v>
      </c>
      <c r="H391" s="3">
        <v>0</v>
      </c>
      <c r="I391" s="3">
        <v>4</v>
      </c>
      <c r="J391" s="3">
        <v>0</v>
      </c>
      <c r="K391" s="3">
        <v>0</v>
      </c>
      <c r="L391" s="3">
        <v>0</v>
      </c>
      <c r="M391" s="3">
        <v>0</v>
      </c>
      <c r="N391" s="3" t="s">
        <v>868</v>
      </c>
      <c r="O391" s="3">
        <v>0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871</v>
      </c>
      <c r="X391" s="3">
        <v>45.98</v>
      </c>
      <c r="Y391" s="3">
        <v>27.98</v>
      </c>
      <c r="Z391" s="3">
        <v>27.98</v>
      </c>
      <c r="AA391" s="3">
        <v>0</v>
      </c>
      <c r="AB391" s="3" t="s">
        <v>869</v>
      </c>
      <c r="AC391" s="3">
        <v>5</v>
      </c>
      <c r="AD391" s="3">
        <v>27.98</v>
      </c>
      <c r="AE391" s="3">
        <v>0</v>
      </c>
      <c r="AF391" s="3">
        <v>0</v>
      </c>
      <c r="AG391" s="3">
        <v>0</v>
      </c>
      <c r="AH391" s="3">
        <v>1.14285714285714</v>
      </c>
      <c r="AI391" s="3">
        <v>0.461124</v>
      </c>
      <c r="AJ391" s="3" t="s">
        <v>870</v>
      </c>
    </row>
    <row r="392" spans="1:36">
      <c r="A392" s="5">
        <v>43336</v>
      </c>
      <c r="B392" s="3" t="s">
        <v>1780</v>
      </c>
      <c r="C392" s="3" t="s">
        <v>1781</v>
      </c>
      <c r="D392" s="3" t="s">
        <v>1781</v>
      </c>
      <c r="E392" s="3" t="s">
        <v>1782</v>
      </c>
      <c r="F392" s="3" t="s">
        <v>867</v>
      </c>
      <c r="G392" s="3">
        <v>7</v>
      </c>
      <c r="H392" s="3">
        <v>0</v>
      </c>
      <c r="I392" s="3">
        <v>2</v>
      </c>
      <c r="J392" s="3">
        <v>5</v>
      </c>
      <c r="K392" s="3">
        <v>0</v>
      </c>
      <c r="L392" s="3">
        <v>0</v>
      </c>
      <c r="M392" s="3">
        <v>0</v>
      </c>
      <c r="N392" s="3" t="s">
        <v>868</v>
      </c>
      <c r="O392" s="3">
        <v>0</v>
      </c>
      <c r="P392" s="3">
        <v>0</v>
      </c>
      <c r="Q392" s="3">
        <v>0</v>
      </c>
      <c r="R392" s="3">
        <v>0</v>
      </c>
      <c r="S392" s="3">
        <v>2</v>
      </c>
      <c r="T392" s="3">
        <v>4</v>
      </c>
      <c r="U392" s="3">
        <v>5</v>
      </c>
      <c r="V392" s="3">
        <v>6</v>
      </c>
      <c r="W392" s="3"/>
      <c r="X392" s="3">
        <v>22.99</v>
      </c>
      <c r="Y392" s="3">
        <v>22.98</v>
      </c>
      <c r="Z392" s="3">
        <v>22.98</v>
      </c>
      <c r="AA392" s="3">
        <v>0</v>
      </c>
      <c r="AB392" s="3" t="s">
        <v>869</v>
      </c>
      <c r="AC392" s="3">
        <v>9</v>
      </c>
      <c r="AD392" s="3">
        <v>22.98</v>
      </c>
      <c r="AE392" s="3">
        <v>0</v>
      </c>
      <c r="AF392" s="3">
        <v>0</v>
      </c>
      <c r="AG392" s="3">
        <v>0</v>
      </c>
      <c r="AH392" s="3">
        <v>0.55813953488372</v>
      </c>
      <c r="AI392" s="3">
        <v>1.021307</v>
      </c>
      <c r="AJ392" s="3" t="s">
        <v>870</v>
      </c>
    </row>
    <row r="393" spans="1:36">
      <c r="A393" s="5">
        <v>43336</v>
      </c>
      <c r="B393" s="3" t="s">
        <v>1783</v>
      </c>
      <c r="C393" s="3" t="s">
        <v>1784</v>
      </c>
      <c r="D393" s="3" t="s">
        <v>1784</v>
      </c>
      <c r="E393" s="3" t="s">
        <v>1775</v>
      </c>
      <c r="F393" s="3" t="s">
        <v>867</v>
      </c>
      <c r="G393" s="3">
        <v>12</v>
      </c>
      <c r="H393" s="3">
        <v>0</v>
      </c>
      <c r="I393" s="3">
        <v>1</v>
      </c>
      <c r="J393" s="3">
        <v>1</v>
      </c>
      <c r="K393" s="3">
        <v>10</v>
      </c>
      <c r="L393" s="3">
        <v>0</v>
      </c>
      <c r="M393" s="3">
        <v>0</v>
      </c>
      <c r="N393" s="3" t="s">
        <v>868</v>
      </c>
      <c r="O393" s="3">
        <v>10</v>
      </c>
      <c r="P393" s="3">
        <v>3.97</v>
      </c>
      <c r="Q393" s="3">
        <v>0</v>
      </c>
      <c r="R393" s="3">
        <v>0</v>
      </c>
      <c r="S393" s="3">
        <v>0</v>
      </c>
      <c r="T393" s="3">
        <v>1</v>
      </c>
      <c r="U393" s="3">
        <v>1</v>
      </c>
      <c r="V393" s="3">
        <v>4</v>
      </c>
      <c r="W393" s="3"/>
      <c r="X393" s="3">
        <v>25.98</v>
      </c>
      <c r="Y393" s="3">
        <v>25.98</v>
      </c>
      <c r="Z393" s="3">
        <v>25.98</v>
      </c>
      <c r="AA393" s="3">
        <v>0</v>
      </c>
      <c r="AB393" s="3" t="s">
        <v>869</v>
      </c>
      <c r="AC393" s="3">
        <v>12</v>
      </c>
      <c r="AD393" s="3">
        <v>25.98</v>
      </c>
      <c r="AE393" s="3">
        <v>0</v>
      </c>
      <c r="AF393" s="3">
        <v>0</v>
      </c>
      <c r="AG393" s="3">
        <v>0</v>
      </c>
      <c r="AH393" s="3">
        <v>0.313725490196078</v>
      </c>
      <c r="AI393" s="3">
        <v>1.383372</v>
      </c>
      <c r="AJ393" s="3" t="s">
        <v>870</v>
      </c>
    </row>
    <row r="394" spans="1:36">
      <c r="A394" s="5">
        <v>43336</v>
      </c>
      <c r="B394" s="3" t="s">
        <v>1785</v>
      </c>
      <c r="C394" s="3" t="s">
        <v>1500</v>
      </c>
      <c r="D394" s="3" t="s">
        <v>1500</v>
      </c>
      <c r="E394" s="3" t="s">
        <v>1501</v>
      </c>
      <c r="F394" s="3" t="s">
        <v>867</v>
      </c>
      <c r="G394" s="3">
        <v>1</v>
      </c>
      <c r="H394" s="3">
        <v>0</v>
      </c>
      <c r="I394" s="3">
        <v>0</v>
      </c>
      <c r="J394" s="3">
        <v>0</v>
      </c>
      <c r="K394" s="3">
        <v>1</v>
      </c>
      <c r="L394" s="3">
        <v>0</v>
      </c>
      <c r="M394" s="3">
        <v>0</v>
      </c>
      <c r="N394" s="3" t="s">
        <v>868</v>
      </c>
      <c r="O394" s="3">
        <v>1</v>
      </c>
      <c r="P394" s="3">
        <v>0.47</v>
      </c>
      <c r="Q394" s="3">
        <v>0</v>
      </c>
      <c r="R394" s="3">
        <v>0</v>
      </c>
      <c r="S394" s="3">
        <v>1</v>
      </c>
      <c r="T394" s="3">
        <v>1</v>
      </c>
      <c r="U394" s="3">
        <v>1</v>
      </c>
      <c r="V394" s="3">
        <v>1</v>
      </c>
      <c r="W394" s="3"/>
      <c r="X394" s="3">
        <v>24.98</v>
      </c>
      <c r="Y394" s="3">
        <v>24.98</v>
      </c>
      <c r="Z394" s="3">
        <v>24.98</v>
      </c>
      <c r="AA394" s="3">
        <v>0</v>
      </c>
      <c r="AB394" s="3" t="s">
        <v>869</v>
      </c>
      <c r="AC394" s="3">
        <v>1</v>
      </c>
      <c r="AD394" s="3">
        <v>24.98</v>
      </c>
      <c r="AE394" s="3">
        <v>0</v>
      </c>
      <c r="AF394" s="3">
        <v>0</v>
      </c>
      <c r="AG394" s="3">
        <v>0</v>
      </c>
      <c r="AH394" s="3">
        <v>0.444444444444444</v>
      </c>
      <c r="AI394" s="3">
        <v>0.137251</v>
      </c>
      <c r="AJ394" s="3" t="s">
        <v>870</v>
      </c>
    </row>
    <row r="395" spans="1:36">
      <c r="A395" s="5">
        <v>43336</v>
      </c>
      <c r="B395" s="3" t="s">
        <v>400</v>
      </c>
      <c r="C395" s="3" t="s">
        <v>9</v>
      </c>
      <c r="D395" s="3" t="s">
        <v>9</v>
      </c>
      <c r="E395" s="3" t="s">
        <v>10</v>
      </c>
      <c r="F395" s="3" t="s">
        <v>867</v>
      </c>
      <c r="G395" s="3">
        <v>8</v>
      </c>
      <c r="H395" s="3">
        <v>0</v>
      </c>
      <c r="I395" s="3">
        <v>3</v>
      </c>
      <c r="J395" s="3">
        <v>5</v>
      </c>
      <c r="K395" s="3">
        <v>0</v>
      </c>
      <c r="L395" s="3">
        <v>0</v>
      </c>
      <c r="M395" s="3">
        <v>0</v>
      </c>
      <c r="N395" s="3" t="s">
        <v>868</v>
      </c>
      <c r="O395" s="3">
        <v>0</v>
      </c>
      <c r="P395" s="3">
        <v>0</v>
      </c>
      <c r="Q395" s="3">
        <v>0</v>
      </c>
      <c r="R395" s="3">
        <v>0</v>
      </c>
      <c r="S395" s="3">
        <v>4</v>
      </c>
      <c r="T395" s="3">
        <v>8</v>
      </c>
      <c r="U395" s="3">
        <v>11</v>
      </c>
      <c r="V395" s="3">
        <v>18</v>
      </c>
      <c r="W395" s="3" t="s">
        <v>871</v>
      </c>
      <c r="X395" s="3">
        <v>39.98</v>
      </c>
      <c r="Y395" s="3">
        <v>20.98</v>
      </c>
      <c r="Z395" s="3">
        <v>20.98</v>
      </c>
      <c r="AA395" s="3">
        <v>0</v>
      </c>
      <c r="AB395" s="3" t="s">
        <v>869</v>
      </c>
      <c r="AC395" s="3">
        <v>9</v>
      </c>
      <c r="AD395" s="3">
        <v>20.98</v>
      </c>
      <c r="AE395" s="3">
        <v>0</v>
      </c>
      <c r="AF395" s="3">
        <v>0</v>
      </c>
      <c r="AG395" s="3">
        <v>0</v>
      </c>
      <c r="AH395" s="3">
        <v>0.867469879518072</v>
      </c>
      <c r="AI395" s="3">
        <v>1.109336</v>
      </c>
      <c r="AJ395" s="3" t="s">
        <v>870</v>
      </c>
    </row>
    <row r="396" spans="1:36">
      <c r="A396" s="5">
        <v>43336</v>
      </c>
      <c r="B396" s="3" t="s">
        <v>1786</v>
      </c>
      <c r="C396" s="3" t="s">
        <v>1787</v>
      </c>
      <c r="D396" s="3" t="s">
        <v>1787</v>
      </c>
      <c r="E396" s="3" t="s">
        <v>1788</v>
      </c>
      <c r="F396" s="3" t="s">
        <v>867</v>
      </c>
      <c r="G396" s="3">
        <v>2</v>
      </c>
      <c r="H396" s="3">
        <v>0</v>
      </c>
      <c r="I396" s="3">
        <v>0</v>
      </c>
      <c r="J396" s="3">
        <v>0</v>
      </c>
      <c r="K396" s="3">
        <v>2</v>
      </c>
      <c r="L396" s="3">
        <v>0</v>
      </c>
      <c r="M396" s="3">
        <v>0</v>
      </c>
      <c r="N396" s="3" t="s">
        <v>868</v>
      </c>
      <c r="O396" s="3">
        <v>2</v>
      </c>
      <c r="P396" s="3">
        <v>1.03</v>
      </c>
      <c r="Q396" s="3">
        <v>0</v>
      </c>
      <c r="R396" s="3">
        <v>0</v>
      </c>
      <c r="S396" s="3">
        <v>2</v>
      </c>
      <c r="T396" s="3">
        <v>8</v>
      </c>
      <c r="U396" s="3">
        <v>14</v>
      </c>
      <c r="V396" s="3">
        <v>16</v>
      </c>
      <c r="W396" s="3"/>
      <c r="X396" s="3">
        <v>21.98</v>
      </c>
      <c r="Y396" s="3">
        <v>21.98</v>
      </c>
      <c r="Z396" s="3">
        <v>21.98</v>
      </c>
      <c r="AA396" s="3">
        <v>0</v>
      </c>
      <c r="AB396" s="3" t="s">
        <v>869</v>
      </c>
      <c r="AC396" s="3">
        <v>4</v>
      </c>
      <c r="AD396" s="3">
        <v>21.98</v>
      </c>
      <c r="AE396" s="3">
        <v>0</v>
      </c>
      <c r="AF396" s="3">
        <v>0</v>
      </c>
      <c r="AG396" s="3">
        <v>0</v>
      </c>
      <c r="AH396" s="3">
        <v>0.145454545454545</v>
      </c>
      <c r="AI396" s="3">
        <v>0.29798</v>
      </c>
      <c r="AJ396" s="3" t="s">
        <v>870</v>
      </c>
    </row>
    <row r="397" spans="1:36">
      <c r="A397" s="5">
        <v>43336</v>
      </c>
      <c r="B397" s="3" t="s">
        <v>1789</v>
      </c>
      <c r="C397" s="3" t="s">
        <v>1790</v>
      </c>
      <c r="D397" s="3" t="s">
        <v>1790</v>
      </c>
      <c r="E397" s="3" t="s">
        <v>1791</v>
      </c>
      <c r="F397" s="3" t="s">
        <v>867</v>
      </c>
      <c r="G397" s="3">
        <v>1</v>
      </c>
      <c r="H397" s="3">
        <v>0</v>
      </c>
      <c r="I397" s="3">
        <v>1</v>
      </c>
      <c r="J397" s="3">
        <v>0</v>
      </c>
      <c r="K397" s="3">
        <v>0</v>
      </c>
      <c r="L397" s="3">
        <v>0</v>
      </c>
      <c r="M397" s="3">
        <v>0</v>
      </c>
      <c r="N397" s="3" t="s">
        <v>868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0</v>
      </c>
      <c r="V397" s="3">
        <v>0</v>
      </c>
      <c r="W397" s="3" t="s">
        <v>871</v>
      </c>
      <c r="X397" s="3">
        <v>23.98</v>
      </c>
      <c r="Y397" s="3">
        <v>23.98</v>
      </c>
      <c r="Z397" s="3">
        <v>23.98</v>
      </c>
      <c r="AA397" s="3">
        <v>0</v>
      </c>
      <c r="AB397" s="3" t="s">
        <v>869</v>
      </c>
      <c r="AC397" s="3">
        <v>1</v>
      </c>
      <c r="AD397" s="3">
        <v>23.98</v>
      </c>
      <c r="AE397" s="3">
        <v>0</v>
      </c>
      <c r="AF397" s="3">
        <v>0</v>
      </c>
      <c r="AG397" s="3">
        <v>0</v>
      </c>
      <c r="AH397" s="3">
        <v>0</v>
      </c>
      <c r="AI397" s="3">
        <v>0.222446</v>
      </c>
      <c r="AJ397" s="3" t="s">
        <v>870</v>
      </c>
    </row>
    <row r="398" spans="1:36">
      <c r="A398" s="5">
        <v>43336</v>
      </c>
      <c r="B398" s="3" t="s">
        <v>1792</v>
      </c>
      <c r="C398" s="3" t="s">
        <v>1793</v>
      </c>
      <c r="D398" s="3" t="s">
        <v>1793</v>
      </c>
      <c r="E398" s="3" t="s">
        <v>1794</v>
      </c>
      <c r="F398" s="3" t="s">
        <v>867</v>
      </c>
      <c r="G398" s="3">
        <v>4</v>
      </c>
      <c r="H398" s="3">
        <v>0</v>
      </c>
      <c r="I398" s="3">
        <v>0</v>
      </c>
      <c r="J398" s="3">
        <v>2</v>
      </c>
      <c r="K398" s="3">
        <v>2</v>
      </c>
      <c r="L398" s="3">
        <v>0</v>
      </c>
      <c r="M398" s="3">
        <v>0</v>
      </c>
      <c r="N398" s="3" t="s">
        <v>868</v>
      </c>
      <c r="O398" s="3">
        <v>2</v>
      </c>
      <c r="P398" s="3">
        <v>0.61</v>
      </c>
      <c r="Q398" s="3">
        <v>0</v>
      </c>
      <c r="R398" s="3">
        <v>0</v>
      </c>
      <c r="S398" s="3">
        <v>1</v>
      </c>
      <c r="T398" s="3">
        <v>1</v>
      </c>
      <c r="U398" s="3">
        <v>1</v>
      </c>
      <c r="V398" s="3">
        <v>1</v>
      </c>
      <c r="W398" s="3" t="s">
        <v>936</v>
      </c>
      <c r="X398" s="3">
        <v>23.98</v>
      </c>
      <c r="Y398" s="3">
        <v>23.98</v>
      </c>
      <c r="Z398" s="3">
        <v>23.98</v>
      </c>
      <c r="AA398" s="3">
        <v>0</v>
      </c>
      <c r="AB398" s="3" t="s">
        <v>937</v>
      </c>
      <c r="AC398" s="3">
        <v>0</v>
      </c>
      <c r="AD398" s="3">
        <v>21.06</v>
      </c>
      <c r="AE398" s="3">
        <v>266</v>
      </c>
      <c r="AF398" s="3">
        <v>0</v>
      </c>
      <c r="AG398" s="3">
        <v>79.190772</v>
      </c>
      <c r="AH398" s="3">
        <v>0.210526315789473</v>
      </c>
      <c r="AI398" s="3">
        <v>0.350848</v>
      </c>
      <c r="AJ398" s="3" t="s">
        <v>870</v>
      </c>
    </row>
    <row r="399" spans="1:36">
      <c r="A399" s="5">
        <v>43336</v>
      </c>
      <c r="B399" s="3" t="s">
        <v>733</v>
      </c>
      <c r="C399" s="3" t="s">
        <v>734</v>
      </c>
      <c r="D399" s="3" t="s">
        <v>734</v>
      </c>
      <c r="E399" s="3" t="s">
        <v>735</v>
      </c>
      <c r="F399" s="3" t="s">
        <v>867</v>
      </c>
      <c r="G399" s="3">
        <v>13</v>
      </c>
      <c r="H399" s="3">
        <v>0</v>
      </c>
      <c r="I399" s="3">
        <v>5</v>
      </c>
      <c r="J399" s="3">
        <v>8</v>
      </c>
      <c r="K399" s="3">
        <v>0</v>
      </c>
      <c r="L399" s="3">
        <v>0</v>
      </c>
      <c r="M399" s="3">
        <v>0</v>
      </c>
      <c r="N399" s="3" t="s">
        <v>868</v>
      </c>
      <c r="O399" s="3">
        <v>0</v>
      </c>
      <c r="P399" s="3">
        <v>0</v>
      </c>
      <c r="Q399" s="3">
        <v>0</v>
      </c>
      <c r="R399" s="3">
        <v>0</v>
      </c>
      <c r="S399" s="3">
        <v>1</v>
      </c>
      <c r="T399" s="3">
        <v>1</v>
      </c>
      <c r="U399" s="3">
        <v>3</v>
      </c>
      <c r="V399" s="3">
        <v>4</v>
      </c>
      <c r="W399" s="3"/>
      <c r="X399" s="3">
        <v>22.98</v>
      </c>
      <c r="Y399" s="3">
        <v>22.98</v>
      </c>
      <c r="Z399" s="3">
        <v>22.98</v>
      </c>
      <c r="AA399" s="3">
        <v>0</v>
      </c>
      <c r="AB399" s="3" t="s">
        <v>883</v>
      </c>
      <c r="AC399" s="3">
        <v>3</v>
      </c>
      <c r="AD399" s="3">
        <v>18.38</v>
      </c>
      <c r="AE399" s="3">
        <v>231</v>
      </c>
      <c r="AF399" s="3">
        <v>0</v>
      </c>
      <c r="AG399" s="3">
        <v>62.095955</v>
      </c>
      <c r="AH399" s="3">
        <v>0.277777777777777</v>
      </c>
      <c r="AI399" s="3">
        <v>1.086319</v>
      </c>
      <c r="AJ399" s="3" t="s">
        <v>870</v>
      </c>
    </row>
    <row r="400" spans="1:36">
      <c r="A400" s="5">
        <v>43336</v>
      </c>
      <c r="B400" s="3" t="s">
        <v>1795</v>
      </c>
      <c r="C400" s="3" t="s">
        <v>1796</v>
      </c>
      <c r="D400" s="3" t="s">
        <v>1797</v>
      </c>
      <c r="E400" s="3" t="s">
        <v>1798</v>
      </c>
      <c r="F400" s="3" t="s">
        <v>867</v>
      </c>
      <c r="G400" s="3">
        <v>12</v>
      </c>
      <c r="H400" s="3">
        <v>0</v>
      </c>
      <c r="I400" s="3">
        <v>12</v>
      </c>
      <c r="J400" s="3">
        <v>0</v>
      </c>
      <c r="K400" s="3">
        <v>0</v>
      </c>
      <c r="L400" s="3">
        <v>0</v>
      </c>
      <c r="M400" s="3">
        <v>0</v>
      </c>
      <c r="N400" s="3" t="s">
        <v>868</v>
      </c>
      <c r="O400" s="3">
        <v>0</v>
      </c>
      <c r="P400" s="3">
        <v>0</v>
      </c>
      <c r="Q400" s="3">
        <v>0</v>
      </c>
      <c r="R400" s="3">
        <v>0</v>
      </c>
      <c r="S400" s="3">
        <v>9</v>
      </c>
      <c r="T400" s="3">
        <v>27</v>
      </c>
      <c r="U400" s="3">
        <v>30</v>
      </c>
      <c r="V400" s="3">
        <v>30</v>
      </c>
      <c r="W400" s="3"/>
      <c r="X400" s="3">
        <v>22.98</v>
      </c>
      <c r="Y400" s="3">
        <v>22.98</v>
      </c>
      <c r="Z400" s="3">
        <v>22.98</v>
      </c>
      <c r="AA400" s="3">
        <v>0</v>
      </c>
      <c r="AB400" s="3" t="s">
        <v>869</v>
      </c>
      <c r="AC400" s="3">
        <v>18</v>
      </c>
      <c r="AD400" s="3">
        <v>22.98</v>
      </c>
      <c r="AE400" s="3">
        <v>0</v>
      </c>
      <c r="AF400" s="3">
        <v>0</v>
      </c>
      <c r="AG400" s="3">
        <v>0</v>
      </c>
      <c r="AH400" s="3">
        <v>3.11111111111111</v>
      </c>
      <c r="AI400" s="3">
        <v>0.8007</v>
      </c>
      <c r="AJ400" s="3" t="s">
        <v>870</v>
      </c>
    </row>
    <row r="401" spans="1:36">
      <c r="A401" s="5">
        <v>43336</v>
      </c>
      <c r="B401" s="3" t="s">
        <v>1799</v>
      </c>
      <c r="C401" s="3" t="s">
        <v>1800</v>
      </c>
      <c r="D401" s="3" t="s">
        <v>1800</v>
      </c>
      <c r="E401" s="3" t="s">
        <v>1801</v>
      </c>
      <c r="F401" s="3" t="s">
        <v>867</v>
      </c>
      <c r="G401" s="3">
        <v>5</v>
      </c>
      <c r="H401" s="3">
        <v>0</v>
      </c>
      <c r="I401" s="3">
        <v>0</v>
      </c>
      <c r="J401" s="3">
        <v>1</v>
      </c>
      <c r="K401" s="3">
        <v>4</v>
      </c>
      <c r="L401" s="3">
        <v>0</v>
      </c>
      <c r="M401" s="3">
        <v>0</v>
      </c>
      <c r="N401" s="3" t="s">
        <v>868</v>
      </c>
      <c r="O401" s="3">
        <v>4</v>
      </c>
      <c r="P401" s="3">
        <v>1.22</v>
      </c>
      <c r="Q401" s="3">
        <v>0</v>
      </c>
      <c r="R401" s="3">
        <v>0</v>
      </c>
      <c r="S401" s="3">
        <v>1</v>
      </c>
      <c r="T401" s="3">
        <v>1</v>
      </c>
      <c r="U401" s="3">
        <v>1</v>
      </c>
      <c r="V401" s="3">
        <v>2</v>
      </c>
      <c r="W401" s="3"/>
      <c r="X401" s="3">
        <v>23.98</v>
      </c>
      <c r="Y401" s="3">
        <v>23.98</v>
      </c>
      <c r="Z401" s="3">
        <v>23.98</v>
      </c>
      <c r="AA401" s="3">
        <v>0</v>
      </c>
      <c r="AB401" s="3" t="s">
        <v>883</v>
      </c>
      <c r="AC401" s="3">
        <v>0</v>
      </c>
      <c r="AD401" s="3">
        <v>21.22</v>
      </c>
      <c r="AE401" s="3">
        <v>322</v>
      </c>
      <c r="AF401" s="3">
        <v>0</v>
      </c>
      <c r="AG401" s="3">
        <v>118.68125</v>
      </c>
      <c r="AH401" s="3">
        <v>0.333333333333333</v>
      </c>
      <c r="AI401" s="3">
        <v>0.441165</v>
      </c>
      <c r="AJ401" s="3" t="s">
        <v>870</v>
      </c>
    </row>
    <row r="402" spans="1:36">
      <c r="A402" s="5">
        <v>43336</v>
      </c>
      <c r="B402" s="3" t="s">
        <v>673</v>
      </c>
      <c r="C402" s="3" t="s">
        <v>674</v>
      </c>
      <c r="D402" s="3" t="s">
        <v>674</v>
      </c>
      <c r="E402" s="3" t="s">
        <v>675</v>
      </c>
      <c r="F402" s="3" t="s">
        <v>867</v>
      </c>
      <c r="G402" s="3">
        <v>4</v>
      </c>
      <c r="H402" s="3">
        <v>0</v>
      </c>
      <c r="I402" s="3">
        <v>4</v>
      </c>
      <c r="J402" s="3">
        <v>0</v>
      </c>
      <c r="K402" s="3">
        <v>0</v>
      </c>
      <c r="L402" s="3">
        <v>0</v>
      </c>
      <c r="M402" s="3">
        <v>0</v>
      </c>
      <c r="N402" s="3" t="s">
        <v>868</v>
      </c>
      <c r="O402" s="3">
        <v>0</v>
      </c>
      <c r="P402" s="3">
        <v>0</v>
      </c>
      <c r="Q402" s="3">
        <v>0</v>
      </c>
      <c r="R402" s="3">
        <v>0</v>
      </c>
      <c r="S402" s="3">
        <v>4</v>
      </c>
      <c r="T402" s="3">
        <v>9</v>
      </c>
      <c r="U402" s="3">
        <v>18</v>
      </c>
      <c r="V402" s="3">
        <v>32</v>
      </c>
      <c r="W402" s="3"/>
      <c r="X402" s="3">
        <v>22.98</v>
      </c>
      <c r="Y402" s="3">
        <v>22.98</v>
      </c>
      <c r="Z402" s="3">
        <v>22.98</v>
      </c>
      <c r="AA402" s="3">
        <v>0</v>
      </c>
      <c r="AB402" s="3" t="s">
        <v>869</v>
      </c>
      <c r="AC402" s="3">
        <v>5</v>
      </c>
      <c r="AD402" s="3">
        <v>22.98</v>
      </c>
      <c r="AE402" s="3">
        <v>0</v>
      </c>
      <c r="AF402" s="3">
        <v>0</v>
      </c>
      <c r="AG402" s="3">
        <v>0</v>
      </c>
      <c r="AH402" s="3">
        <v>4.12903225806451</v>
      </c>
      <c r="AI402" s="3">
        <v>0.334252</v>
      </c>
      <c r="AJ402" s="3" t="s">
        <v>870</v>
      </c>
    </row>
    <row r="403" spans="1:36">
      <c r="A403" s="5">
        <v>43336</v>
      </c>
      <c r="B403" s="3" t="s">
        <v>1802</v>
      </c>
      <c r="C403" s="3" t="s">
        <v>1803</v>
      </c>
      <c r="D403" s="3" t="s">
        <v>1803</v>
      </c>
      <c r="E403" s="3" t="s">
        <v>1804</v>
      </c>
      <c r="F403" s="3" t="s">
        <v>867</v>
      </c>
      <c r="G403" s="3">
        <v>7</v>
      </c>
      <c r="H403" s="3">
        <v>0</v>
      </c>
      <c r="I403" s="3">
        <v>1</v>
      </c>
      <c r="J403" s="3">
        <v>1</v>
      </c>
      <c r="K403" s="3">
        <v>5</v>
      </c>
      <c r="L403" s="3">
        <v>0</v>
      </c>
      <c r="M403" s="3">
        <v>0</v>
      </c>
      <c r="N403" s="3" t="s">
        <v>868</v>
      </c>
      <c r="O403" s="3">
        <v>6</v>
      </c>
      <c r="P403" s="3">
        <v>1.44</v>
      </c>
      <c r="Q403" s="3">
        <v>0</v>
      </c>
      <c r="R403" s="3">
        <v>0</v>
      </c>
      <c r="S403" s="3">
        <v>0</v>
      </c>
      <c r="T403" s="3">
        <v>1</v>
      </c>
      <c r="U403" s="3">
        <v>1</v>
      </c>
      <c r="V403" s="3">
        <v>7</v>
      </c>
      <c r="W403" s="3"/>
      <c r="X403" s="3">
        <v>22.98</v>
      </c>
      <c r="Y403" s="3">
        <v>22.98</v>
      </c>
      <c r="Z403" s="3">
        <v>22.98</v>
      </c>
      <c r="AA403" s="3">
        <v>0</v>
      </c>
      <c r="AB403" s="3" t="s">
        <v>869</v>
      </c>
      <c r="AC403" s="3">
        <v>7</v>
      </c>
      <c r="AD403" s="3">
        <v>22.98</v>
      </c>
      <c r="AE403" s="3">
        <v>0</v>
      </c>
      <c r="AF403" s="3">
        <v>0</v>
      </c>
      <c r="AG403" s="3">
        <v>0</v>
      </c>
      <c r="AH403" s="3">
        <v>0.916666666666666</v>
      </c>
      <c r="AI403" s="3">
        <v>0.490322</v>
      </c>
      <c r="AJ403" s="3" t="s">
        <v>870</v>
      </c>
    </row>
    <row r="404" spans="1:36">
      <c r="A404" s="5">
        <v>43336</v>
      </c>
      <c r="B404" s="3" t="s">
        <v>1805</v>
      </c>
      <c r="C404" s="3" t="s">
        <v>1404</v>
      </c>
      <c r="D404" s="3" t="s">
        <v>1404</v>
      </c>
      <c r="E404" s="3" t="s">
        <v>1405</v>
      </c>
      <c r="F404" s="3" t="s">
        <v>867</v>
      </c>
      <c r="G404" s="3">
        <v>1</v>
      </c>
      <c r="H404" s="3">
        <v>0</v>
      </c>
      <c r="I404" s="3">
        <v>1</v>
      </c>
      <c r="J404" s="3">
        <v>0</v>
      </c>
      <c r="K404" s="3">
        <v>0</v>
      </c>
      <c r="L404" s="3">
        <v>0</v>
      </c>
      <c r="M404" s="3">
        <v>0</v>
      </c>
      <c r="N404" s="3" t="s">
        <v>868</v>
      </c>
      <c r="O404" s="3">
        <v>0</v>
      </c>
      <c r="P404" s="3">
        <v>0</v>
      </c>
      <c r="Q404" s="3">
        <v>0</v>
      </c>
      <c r="R404" s="3">
        <v>0</v>
      </c>
      <c r="S404" s="3">
        <v>0</v>
      </c>
      <c r="T404" s="3">
        <v>1</v>
      </c>
      <c r="U404" s="3">
        <v>1</v>
      </c>
      <c r="V404" s="3">
        <v>2</v>
      </c>
      <c r="W404" s="3"/>
      <c r="X404" s="3">
        <v>23.98</v>
      </c>
      <c r="Y404" s="3">
        <v>23.98</v>
      </c>
      <c r="Z404" s="3">
        <v>23.98</v>
      </c>
      <c r="AA404" s="3">
        <v>0</v>
      </c>
      <c r="AB404" s="3" t="s">
        <v>869</v>
      </c>
      <c r="AC404" s="3">
        <v>1</v>
      </c>
      <c r="AD404" s="3">
        <v>23.98</v>
      </c>
      <c r="AE404" s="3">
        <v>0</v>
      </c>
      <c r="AF404" s="3">
        <v>0</v>
      </c>
      <c r="AG404" s="3">
        <v>0</v>
      </c>
      <c r="AH404" s="3">
        <v>1.2</v>
      </c>
      <c r="AI404" s="3">
        <v>0.1</v>
      </c>
      <c r="AJ404" s="3" t="s">
        <v>870</v>
      </c>
    </row>
    <row r="405" spans="1:36">
      <c r="A405" s="5">
        <v>43336</v>
      </c>
      <c r="B405" s="3" t="s">
        <v>1806</v>
      </c>
      <c r="C405" s="3" t="s">
        <v>1807</v>
      </c>
      <c r="D405" s="3" t="s">
        <v>1807</v>
      </c>
      <c r="E405" s="3" t="s">
        <v>1808</v>
      </c>
      <c r="F405" s="3" t="s">
        <v>867</v>
      </c>
      <c r="G405" s="3">
        <v>9</v>
      </c>
      <c r="H405" s="3">
        <v>0</v>
      </c>
      <c r="I405" s="3">
        <v>9</v>
      </c>
      <c r="J405" s="3">
        <v>0</v>
      </c>
      <c r="K405" s="3">
        <v>0</v>
      </c>
      <c r="L405" s="3">
        <v>0</v>
      </c>
      <c r="M405" s="3">
        <v>0</v>
      </c>
      <c r="N405" s="3" t="s">
        <v>868</v>
      </c>
      <c r="O405" s="3">
        <v>0</v>
      </c>
      <c r="P405" s="3">
        <v>0</v>
      </c>
      <c r="Q405" s="3">
        <v>0</v>
      </c>
      <c r="R405" s="3">
        <v>0</v>
      </c>
      <c r="S405" s="3">
        <v>1</v>
      </c>
      <c r="T405" s="3">
        <v>9</v>
      </c>
      <c r="U405" s="3">
        <v>21</v>
      </c>
      <c r="V405" s="3">
        <v>38</v>
      </c>
      <c r="W405" s="3"/>
      <c r="X405" s="3">
        <v>23.99</v>
      </c>
      <c r="Y405" s="3">
        <v>22.98</v>
      </c>
      <c r="Z405" s="3">
        <v>22.98</v>
      </c>
      <c r="AA405" s="3">
        <v>0</v>
      </c>
      <c r="AB405" s="3" t="s">
        <v>869</v>
      </c>
      <c r="AC405" s="3">
        <v>8</v>
      </c>
      <c r="AD405" s="3">
        <v>22.98</v>
      </c>
      <c r="AE405" s="3">
        <v>0</v>
      </c>
      <c r="AF405" s="3">
        <v>0</v>
      </c>
      <c r="AG405" s="3">
        <v>0</v>
      </c>
      <c r="AH405" s="3">
        <v>1.93548387096774</v>
      </c>
      <c r="AI405" s="3">
        <v>1.347237</v>
      </c>
      <c r="AJ405" s="3" t="s">
        <v>870</v>
      </c>
    </row>
    <row r="406" spans="1:36">
      <c r="A406" s="5">
        <v>43336</v>
      </c>
      <c r="B406" s="3" t="s">
        <v>1809</v>
      </c>
      <c r="C406" s="3" t="s">
        <v>1810</v>
      </c>
      <c r="D406" s="3" t="s">
        <v>1811</v>
      </c>
      <c r="E406" s="3" t="s">
        <v>1812</v>
      </c>
      <c r="F406" s="3" t="s">
        <v>867</v>
      </c>
      <c r="G406" s="3">
        <v>29</v>
      </c>
      <c r="H406" s="3">
        <v>0</v>
      </c>
      <c r="I406" s="3">
        <v>29</v>
      </c>
      <c r="J406" s="3">
        <v>0</v>
      </c>
      <c r="K406" s="3">
        <v>0</v>
      </c>
      <c r="L406" s="3">
        <v>0</v>
      </c>
      <c r="M406" s="3">
        <v>0</v>
      </c>
      <c r="N406" s="3" t="s">
        <v>868</v>
      </c>
      <c r="O406" s="3">
        <v>0</v>
      </c>
      <c r="P406" s="3">
        <v>0</v>
      </c>
      <c r="Q406" s="3">
        <v>0</v>
      </c>
      <c r="R406" s="3">
        <v>0</v>
      </c>
      <c r="S406" s="3">
        <v>1</v>
      </c>
      <c r="T406" s="3">
        <v>5</v>
      </c>
      <c r="U406" s="3">
        <v>8</v>
      </c>
      <c r="V406" s="3">
        <v>8</v>
      </c>
      <c r="W406" s="3"/>
      <c r="X406" s="3">
        <v>22.98</v>
      </c>
      <c r="Y406" s="3">
        <v>22.98</v>
      </c>
      <c r="Z406" s="3">
        <v>22.98</v>
      </c>
      <c r="AA406" s="3">
        <v>0</v>
      </c>
      <c r="AB406" s="3" t="s">
        <v>869</v>
      </c>
      <c r="AC406" s="3">
        <v>29</v>
      </c>
      <c r="AD406" s="3">
        <v>22.98</v>
      </c>
      <c r="AE406" s="3">
        <v>0</v>
      </c>
      <c r="AF406" s="3">
        <v>0</v>
      </c>
      <c r="AG406" s="3">
        <v>0</v>
      </c>
      <c r="AH406" s="3">
        <v>0.535714285714285</v>
      </c>
      <c r="AI406" s="3">
        <v>2.624152</v>
      </c>
      <c r="AJ406" s="3" t="s">
        <v>870</v>
      </c>
    </row>
    <row r="407" spans="1:36">
      <c r="A407" s="5">
        <v>43336</v>
      </c>
      <c r="B407" s="3" t="s">
        <v>1813</v>
      </c>
      <c r="C407" s="3" t="s">
        <v>1814</v>
      </c>
      <c r="D407" s="3" t="s">
        <v>1814</v>
      </c>
      <c r="E407" s="3" t="s">
        <v>1815</v>
      </c>
      <c r="F407" s="3" t="s">
        <v>867</v>
      </c>
      <c r="G407" s="3">
        <v>6</v>
      </c>
      <c r="H407" s="3">
        <v>0</v>
      </c>
      <c r="I407" s="3">
        <v>6</v>
      </c>
      <c r="J407" s="3">
        <v>0</v>
      </c>
      <c r="K407" s="3">
        <v>0</v>
      </c>
      <c r="L407" s="3">
        <v>0</v>
      </c>
      <c r="M407" s="3">
        <v>0</v>
      </c>
      <c r="N407" s="3" t="s">
        <v>868</v>
      </c>
      <c r="O407" s="3">
        <v>0</v>
      </c>
      <c r="P407" s="3">
        <v>0</v>
      </c>
      <c r="Q407" s="3">
        <v>0</v>
      </c>
      <c r="R407" s="3">
        <v>0</v>
      </c>
      <c r="S407" s="3">
        <v>1</v>
      </c>
      <c r="T407" s="3">
        <v>1</v>
      </c>
      <c r="U407" s="3">
        <v>1</v>
      </c>
      <c r="V407" s="3">
        <v>1</v>
      </c>
      <c r="W407" s="3"/>
      <c r="X407" s="3">
        <v>27.98</v>
      </c>
      <c r="Y407" s="3">
        <v>27.98</v>
      </c>
      <c r="Z407" s="3">
        <v>27.98</v>
      </c>
      <c r="AA407" s="3">
        <v>0</v>
      </c>
      <c r="AB407" s="3" t="s">
        <v>883</v>
      </c>
      <c r="AC407" s="3">
        <v>0</v>
      </c>
      <c r="AD407" s="3">
        <v>23.8</v>
      </c>
      <c r="AE407" s="3">
        <v>168</v>
      </c>
      <c r="AF407" s="3">
        <v>0</v>
      </c>
      <c r="AG407" s="3">
        <v>190.822396</v>
      </c>
      <c r="AH407" s="3">
        <v>0.133333333333333</v>
      </c>
      <c r="AI407" s="3">
        <v>1.016106</v>
      </c>
      <c r="AJ407" s="3" t="s">
        <v>870</v>
      </c>
    </row>
    <row r="408" spans="1:36">
      <c r="A408" s="5">
        <v>43336</v>
      </c>
      <c r="B408" s="3" t="s">
        <v>1816</v>
      </c>
      <c r="C408" s="3" t="s">
        <v>1817</v>
      </c>
      <c r="D408" s="3" t="s">
        <v>1817</v>
      </c>
      <c r="E408" s="3" t="s">
        <v>1818</v>
      </c>
      <c r="F408" s="3" t="s">
        <v>867</v>
      </c>
      <c r="G408" s="3">
        <v>14</v>
      </c>
      <c r="H408" s="3">
        <v>0</v>
      </c>
      <c r="I408" s="3">
        <v>0</v>
      </c>
      <c r="J408" s="3">
        <v>14</v>
      </c>
      <c r="K408" s="3">
        <v>0</v>
      </c>
      <c r="L408" s="3">
        <v>0</v>
      </c>
      <c r="M408" s="3">
        <v>0</v>
      </c>
      <c r="N408" s="3" t="s">
        <v>868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2</v>
      </c>
      <c r="U408" s="3">
        <v>6</v>
      </c>
      <c r="V408" s="3">
        <v>9</v>
      </c>
      <c r="W408" s="3"/>
      <c r="X408" s="3">
        <v>22.98</v>
      </c>
      <c r="Y408" s="3">
        <v>22.98</v>
      </c>
      <c r="Z408" s="3">
        <v>22.98</v>
      </c>
      <c r="AA408" s="3">
        <v>0</v>
      </c>
      <c r="AB408" s="3" t="s">
        <v>869</v>
      </c>
      <c r="AC408" s="3">
        <v>14</v>
      </c>
      <c r="AD408" s="3">
        <v>22.98</v>
      </c>
      <c r="AE408" s="3">
        <v>0</v>
      </c>
      <c r="AF408" s="3">
        <v>0</v>
      </c>
      <c r="AG408" s="3">
        <v>0</v>
      </c>
      <c r="AH408" s="3">
        <v>0.493150684931506</v>
      </c>
      <c r="AI408" s="3">
        <v>0.980644</v>
      </c>
      <c r="AJ408" s="3" t="s">
        <v>870</v>
      </c>
    </row>
    <row r="409" spans="1:36">
      <c r="A409" s="5">
        <v>43336</v>
      </c>
      <c r="B409" s="3" t="s">
        <v>1819</v>
      </c>
      <c r="C409" s="3" t="s">
        <v>1820</v>
      </c>
      <c r="D409" s="3" t="s">
        <v>1821</v>
      </c>
      <c r="E409" s="3" t="s">
        <v>1822</v>
      </c>
      <c r="F409" s="3" t="s">
        <v>867</v>
      </c>
      <c r="G409" s="3">
        <v>6</v>
      </c>
      <c r="H409" s="3">
        <v>0</v>
      </c>
      <c r="I409" s="3">
        <v>6</v>
      </c>
      <c r="J409" s="3">
        <v>0</v>
      </c>
      <c r="K409" s="3">
        <v>0</v>
      </c>
      <c r="L409" s="3">
        <v>0</v>
      </c>
      <c r="M409" s="3">
        <v>0</v>
      </c>
      <c r="N409" s="3" t="s">
        <v>868</v>
      </c>
      <c r="O409" s="3">
        <v>0</v>
      </c>
      <c r="P409" s="3">
        <v>0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 t="s">
        <v>871</v>
      </c>
      <c r="X409" s="3">
        <v>21.98</v>
      </c>
      <c r="Y409" s="3">
        <v>21.98</v>
      </c>
      <c r="Z409" s="3">
        <v>21.98</v>
      </c>
      <c r="AA409" s="3">
        <v>0</v>
      </c>
      <c r="AB409" s="3" t="s">
        <v>869</v>
      </c>
      <c r="AC409" s="3">
        <v>6</v>
      </c>
      <c r="AD409" s="3">
        <v>21.98</v>
      </c>
      <c r="AE409" s="3">
        <v>0</v>
      </c>
      <c r="AF409" s="3">
        <v>0</v>
      </c>
      <c r="AG409" s="3">
        <v>0</v>
      </c>
      <c r="AH409" s="3">
        <v>0</v>
      </c>
      <c r="AI409" s="3">
        <v>1.138668</v>
      </c>
      <c r="AJ409" s="3" t="s">
        <v>925</v>
      </c>
    </row>
    <row r="410" spans="1:36">
      <c r="A410" s="5">
        <v>43336</v>
      </c>
      <c r="B410" s="3" t="s">
        <v>1823</v>
      </c>
      <c r="C410" s="3" t="s">
        <v>1824</v>
      </c>
      <c r="D410" s="3" t="s">
        <v>1824</v>
      </c>
      <c r="E410" s="3" t="s">
        <v>1825</v>
      </c>
      <c r="F410" s="3" t="s">
        <v>867</v>
      </c>
      <c r="G410" s="3">
        <v>5</v>
      </c>
      <c r="H410" s="3">
        <v>0</v>
      </c>
      <c r="I410" s="3">
        <v>5</v>
      </c>
      <c r="J410" s="3">
        <v>0</v>
      </c>
      <c r="K410" s="3">
        <v>0</v>
      </c>
      <c r="L410" s="3">
        <v>0</v>
      </c>
      <c r="M410" s="3">
        <v>0</v>
      </c>
      <c r="N410" s="3" t="s">
        <v>868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1</v>
      </c>
      <c r="U410" s="3">
        <v>1</v>
      </c>
      <c r="V410" s="3">
        <v>1</v>
      </c>
      <c r="W410" s="3"/>
      <c r="X410" s="3">
        <v>27.98</v>
      </c>
      <c r="Y410" s="3">
        <v>27.98</v>
      </c>
      <c r="Z410" s="3">
        <v>27.98</v>
      </c>
      <c r="AA410" s="3">
        <v>0</v>
      </c>
      <c r="AB410" s="3" t="s">
        <v>883</v>
      </c>
      <c r="AC410" s="3">
        <v>0</v>
      </c>
      <c r="AD410" s="3">
        <v>23.85</v>
      </c>
      <c r="AE410" s="3">
        <v>287</v>
      </c>
      <c r="AF410" s="3">
        <v>0</v>
      </c>
      <c r="AG410" s="3">
        <v>159.045965</v>
      </c>
      <c r="AH410" s="3">
        <v>0.133333333333333</v>
      </c>
      <c r="AI410" s="3">
        <v>0.84535</v>
      </c>
      <c r="AJ410" s="3" t="s">
        <v>870</v>
      </c>
    </row>
    <row r="411" spans="1:36">
      <c r="A411" s="5">
        <v>43336</v>
      </c>
      <c r="B411" s="3" t="s">
        <v>250</v>
      </c>
      <c r="C411" s="3" t="s">
        <v>251</v>
      </c>
      <c r="D411" s="3" t="s">
        <v>252</v>
      </c>
      <c r="E411" s="3" t="s">
        <v>253</v>
      </c>
      <c r="F411" s="3" t="s">
        <v>867</v>
      </c>
      <c r="G411" s="3">
        <v>5</v>
      </c>
      <c r="H411" s="3">
        <v>0</v>
      </c>
      <c r="I411" s="3">
        <v>5</v>
      </c>
      <c r="J411" s="3">
        <v>0</v>
      </c>
      <c r="K411" s="3">
        <v>0</v>
      </c>
      <c r="L411" s="3">
        <v>0</v>
      </c>
      <c r="M411" s="3">
        <v>0</v>
      </c>
      <c r="N411" s="3" t="s">
        <v>868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/>
      <c r="X411" s="3"/>
      <c r="Y411" s="3"/>
      <c r="Z411" s="3">
        <v>-1</v>
      </c>
      <c r="AA411" s="3">
        <v>-1</v>
      </c>
      <c r="AB411" s="3" t="s">
        <v>891</v>
      </c>
      <c r="AC411" s="3">
        <v>0</v>
      </c>
      <c r="AD411" s="3">
        <v>0</v>
      </c>
      <c r="AE411" s="3">
        <v>0</v>
      </c>
      <c r="AF411" s="3">
        <v>0</v>
      </c>
      <c r="AG411" s="3">
        <v>0</v>
      </c>
      <c r="AH411" s="3">
        <v>2</v>
      </c>
      <c r="AI411" s="3">
        <v>0.576405</v>
      </c>
      <c r="AJ411" s="3" t="s">
        <v>870</v>
      </c>
    </row>
    <row r="412" spans="1:36">
      <c r="A412" s="5">
        <v>43336</v>
      </c>
      <c r="B412" s="3" t="s">
        <v>1826</v>
      </c>
      <c r="C412" s="3" t="s">
        <v>1827</v>
      </c>
      <c r="D412" s="3" t="s">
        <v>1827</v>
      </c>
      <c r="E412" s="3" t="s">
        <v>1828</v>
      </c>
      <c r="F412" s="3" t="s">
        <v>867</v>
      </c>
      <c r="G412" s="3">
        <v>5</v>
      </c>
      <c r="H412" s="3">
        <v>0</v>
      </c>
      <c r="I412" s="3">
        <v>0</v>
      </c>
      <c r="J412" s="3">
        <v>1</v>
      </c>
      <c r="K412" s="3">
        <v>4</v>
      </c>
      <c r="L412" s="3">
        <v>0</v>
      </c>
      <c r="M412" s="3">
        <v>0</v>
      </c>
      <c r="N412" s="3" t="s">
        <v>868</v>
      </c>
      <c r="O412" s="3">
        <v>5</v>
      </c>
      <c r="P412" s="3">
        <v>2.87</v>
      </c>
      <c r="Q412" s="3">
        <v>0</v>
      </c>
      <c r="R412" s="3">
        <v>0</v>
      </c>
      <c r="S412" s="3">
        <v>0</v>
      </c>
      <c r="T412" s="3">
        <v>0</v>
      </c>
      <c r="U412" s="3">
        <v>0</v>
      </c>
      <c r="V412" s="3">
        <v>0</v>
      </c>
      <c r="W412" s="3"/>
      <c r="X412" s="3"/>
      <c r="Y412" s="3"/>
      <c r="Z412" s="3">
        <v>-1</v>
      </c>
      <c r="AA412" s="3">
        <v>-1</v>
      </c>
      <c r="AB412" s="3" t="s">
        <v>891</v>
      </c>
      <c r="AC412" s="3">
        <v>0</v>
      </c>
      <c r="AD412" s="3">
        <v>0</v>
      </c>
      <c r="AE412" s="3">
        <v>0</v>
      </c>
      <c r="AF412" s="3">
        <v>0</v>
      </c>
      <c r="AG412" s="3">
        <v>0</v>
      </c>
      <c r="AH412" s="3">
        <v>0</v>
      </c>
      <c r="AI412" s="3">
        <v>0.831385</v>
      </c>
      <c r="AJ412" s="3" t="s">
        <v>870</v>
      </c>
    </row>
    <row r="413" spans="1:36">
      <c r="A413" s="5">
        <v>43336</v>
      </c>
      <c r="B413" s="3" t="s">
        <v>1829</v>
      </c>
      <c r="C413" s="3" t="s">
        <v>1830</v>
      </c>
      <c r="D413" s="3" t="s">
        <v>1830</v>
      </c>
      <c r="E413" s="3" t="s">
        <v>1831</v>
      </c>
      <c r="F413" s="3" t="s">
        <v>867</v>
      </c>
      <c r="G413" s="3">
        <v>21</v>
      </c>
      <c r="H413" s="3">
        <v>0</v>
      </c>
      <c r="I413" s="3">
        <v>0</v>
      </c>
      <c r="J413" s="3">
        <v>18</v>
      </c>
      <c r="K413" s="3">
        <v>3</v>
      </c>
      <c r="L413" s="3">
        <v>0</v>
      </c>
      <c r="M413" s="3">
        <v>0</v>
      </c>
      <c r="N413" s="3" t="s">
        <v>868</v>
      </c>
      <c r="O413" s="3">
        <v>3</v>
      </c>
      <c r="P413" s="3">
        <v>1.43</v>
      </c>
      <c r="Q413" s="3">
        <v>0</v>
      </c>
      <c r="R413" s="3">
        <v>0</v>
      </c>
      <c r="S413" s="3">
        <v>0</v>
      </c>
      <c r="T413" s="3">
        <v>3</v>
      </c>
      <c r="U413" s="3">
        <v>4</v>
      </c>
      <c r="V413" s="3">
        <v>4</v>
      </c>
      <c r="W413" s="3"/>
      <c r="X413" s="3">
        <v>22.98</v>
      </c>
      <c r="Y413" s="3">
        <v>22.98</v>
      </c>
      <c r="Z413" s="3">
        <v>22.98</v>
      </c>
      <c r="AA413" s="3">
        <v>0</v>
      </c>
      <c r="AB413" s="3" t="s">
        <v>869</v>
      </c>
      <c r="AC413" s="3">
        <v>21</v>
      </c>
      <c r="AD413" s="3">
        <v>22.98</v>
      </c>
      <c r="AE413" s="3">
        <v>0</v>
      </c>
      <c r="AF413" s="3">
        <v>0</v>
      </c>
      <c r="AG413" s="3">
        <v>0</v>
      </c>
      <c r="AH413" s="3">
        <v>0.168421052631578</v>
      </c>
      <c r="AI413" s="3">
        <v>2.900142</v>
      </c>
      <c r="AJ413" s="3" t="s">
        <v>870</v>
      </c>
    </row>
    <row r="414" spans="1:36">
      <c r="A414" s="5">
        <v>43336</v>
      </c>
      <c r="B414" s="3" t="s">
        <v>641</v>
      </c>
      <c r="C414" s="3" t="s">
        <v>642</v>
      </c>
      <c r="D414" s="3" t="s">
        <v>643</v>
      </c>
      <c r="E414" s="3" t="s">
        <v>644</v>
      </c>
      <c r="F414" s="3" t="s">
        <v>867</v>
      </c>
      <c r="G414" s="3">
        <v>40</v>
      </c>
      <c r="H414" s="3">
        <v>0</v>
      </c>
      <c r="I414" s="3">
        <v>40</v>
      </c>
      <c r="J414" s="3">
        <v>0</v>
      </c>
      <c r="K414" s="3">
        <v>0</v>
      </c>
      <c r="L414" s="3">
        <v>0</v>
      </c>
      <c r="M414" s="3">
        <v>0</v>
      </c>
      <c r="N414" s="3" t="s">
        <v>868</v>
      </c>
      <c r="O414" s="3">
        <v>0</v>
      </c>
      <c r="P414" s="3">
        <v>0</v>
      </c>
      <c r="Q414" s="3">
        <v>0</v>
      </c>
      <c r="R414" s="3">
        <v>0</v>
      </c>
      <c r="S414" s="3">
        <v>2</v>
      </c>
      <c r="T414" s="3">
        <v>29</v>
      </c>
      <c r="U414" s="3">
        <v>59</v>
      </c>
      <c r="V414" s="3">
        <v>71</v>
      </c>
      <c r="W414" s="3" t="s">
        <v>871</v>
      </c>
      <c r="X414" s="3">
        <v>24.98</v>
      </c>
      <c r="Y414" s="3">
        <v>24.98</v>
      </c>
      <c r="Z414" s="3">
        <v>24.98</v>
      </c>
      <c r="AA414" s="3">
        <v>0</v>
      </c>
      <c r="AB414" s="3" t="s">
        <v>869</v>
      </c>
      <c r="AC414" s="3">
        <v>41</v>
      </c>
      <c r="AD414" s="3">
        <v>24.98</v>
      </c>
      <c r="AE414" s="3">
        <v>0</v>
      </c>
      <c r="AF414" s="3">
        <v>0</v>
      </c>
      <c r="AG414" s="3">
        <v>0</v>
      </c>
      <c r="AH414" s="3">
        <v>3.80357142857142</v>
      </c>
      <c r="AI414" s="3">
        <v>6.9462</v>
      </c>
      <c r="AJ414" s="3" t="s">
        <v>898</v>
      </c>
    </row>
    <row r="415" spans="1:36">
      <c r="A415" s="5">
        <v>43336</v>
      </c>
      <c r="B415" s="3" t="s">
        <v>1832</v>
      </c>
      <c r="C415" s="3" t="s">
        <v>1833</v>
      </c>
      <c r="D415" s="3" t="s">
        <v>1833</v>
      </c>
      <c r="E415" s="3" t="s">
        <v>1834</v>
      </c>
      <c r="F415" s="3" t="s">
        <v>867</v>
      </c>
      <c r="G415" s="3">
        <v>5</v>
      </c>
      <c r="H415" s="3">
        <v>0</v>
      </c>
      <c r="I415" s="3">
        <v>0</v>
      </c>
      <c r="J415" s="3">
        <v>0</v>
      </c>
      <c r="K415" s="3">
        <v>5</v>
      </c>
      <c r="L415" s="3">
        <v>0</v>
      </c>
      <c r="M415" s="3">
        <v>0</v>
      </c>
      <c r="N415" s="3" t="s">
        <v>868</v>
      </c>
      <c r="O415" s="3">
        <v>5</v>
      </c>
      <c r="P415" s="3">
        <v>1.39</v>
      </c>
      <c r="Q415" s="3">
        <v>0</v>
      </c>
      <c r="R415" s="3">
        <v>0</v>
      </c>
      <c r="S415" s="3">
        <v>1</v>
      </c>
      <c r="T415" s="3">
        <v>1</v>
      </c>
      <c r="U415" s="3">
        <v>2</v>
      </c>
      <c r="V415" s="3">
        <v>2</v>
      </c>
      <c r="W415" s="3"/>
      <c r="X415" s="3">
        <v>15</v>
      </c>
      <c r="Y415" s="3">
        <v>15</v>
      </c>
      <c r="Z415" s="3">
        <v>15</v>
      </c>
      <c r="AA415" s="3">
        <v>0</v>
      </c>
      <c r="AB415" s="3" t="s">
        <v>883</v>
      </c>
      <c r="AC415" s="3">
        <v>0</v>
      </c>
      <c r="AD415" s="3">
        <v>13.94</v>
      </c>
      <c r="AE415" s="3">
        <v>28</v>
      </c>
      <c r="AF415" s="3">
        <v>4</v>
      </c>
      <c r="AG415" s="3">
        <v>61.522603</v>
      </c>
      <c r="AH415" s="3">
        <v>0.32</v>
      </c>
      <c r="AI415" s="3">
        <v>0.402865</v>
      </c>
      <c r="AJ415" s="3" t="s">
        <v>870</v>
      </c>
    </row>
    <row r="416" spans="1:36">
      <c r="A416" s="5">
        <v>43336</v>
      </c>
      <c r="B416" s="3" t="s">
        <v>1835</v>
      </c>
      <c r="C416" s="3" t="s">
        <v>1836</v>
      </c>
      <c r="D416" s="3" t="s">
        <v>1836</v>
      </c>
      <c r="E416" s="3" t="s">
        <v>1837</v>
      </c>
      <c r="F416" s="3" t="s">
        <v>867</v>
      </c>
      <c r="G416" s="3">
        <v>1</v>
      </c>
      <c r="H416" s="3">
        <v>0</v>
      </c>
      <c r="I416" s="3">
        <v>0</v>
      </c>
      <c r="J416" s="3">
        <v>1</v>
      </c>
      <c r="K416" s="3">
        <v>0</v>
      </c>
      <c r="L416" s="3">
        <v>0</v>
      </c>
      <c r="M416" s="3">
        <v>0</v>
      </c>
      <c r="N416" s="3" t="s">
        <v>868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0</v>
      </c>
      <c r="U416" s="3">
        <v>0</v>
      </c>
      <c r="V416" s="3">
        <v>0</v>
      </c>
      <c r="W416" s="3" t="s">
        <v>871</v>
      </c>
      <c r="X416" s="3">
        <v>22.99</v>
      </c>
      <c r="Y416" s="3">
        <v>22.99</v>
      </c>
      <c r="Z416" s="3">
        <v>22.99</v>
      </c>
      <c r="AA416" s="3">
        <v>0</v>
      </c>
      <c r="AB416" s="3" t="s">
        <v>883</v>
      </c>
      <c r="AC416" s="3">
        <v>0</v>
      </c>
      <c r="AD416" s="3">
        <v>18.38</v>
      </c>
      <c r="AE416" s="3">
        <v>63</v>
      </c>
      <c r="AF416" s="3">
        <v>0</v>
      </c>
      <c r="AG416" s="3">
        <v>19.588661</v>
      </c>
      <c r="AH416" s="3">
        <v>0</v>
      </c>
      <c r="AI416" s="3">
        <v>0.145901</v>
      </c>
      <c r="AJ416" s="3" t="s">
        <v>870</v>
      </c>
    </row>
    <row r="417" spans="1:36">
      <c r="A417" s="5">
        <v>43336</v>
      </c>
      <c r="B417" s="3" t="s">
        <v>1838</v>
      </c>
      <c r="C417" s="3" t="s">
        <v>1839</v>
      </c>
      <c r="D417" s="3" t="s">
        <v>1839</v>
      </c>
      <c r="E417" s="3" t="s">
        <v>1840</v>
      </c>
      <c r="F417" s="3" t="s">
        <v>867</v>
      </c>
      <c r="G417" s="3">
        <v>6</v>
      </c>
      <c r="H417" s="3">
        <v>0</v>
      </c>
      <c r="I417" s="3">
        <v>1</v>
      </c>
      <c r="J417" s="3">
        <v>0</v>
      </c>
      <c r="K417" s="3">
        <v>5</v>
      </c>
      <c r="L417" s="3">
        <v>0</v>
      </c>
      <c r="M417" s="3">
        <v>0</v>
      </c>
      <c r="N417" s="3" t="s">
        <v>868</v>
      </c>
      <c r="O417" s="3">
        <v>5</v>
      </c>
      <c r="P417" s="3">
        <v>1.88</v>
      </c>
      <c r="Q417" s="3">
        <v>0</v>
      </c>
      <c r="R417" s="3">
        <v>0</v>
      </c>
      <c r="S417" s="3">
        <v>0</v>
      </c>
      <c r="T417" s="3">
        <v>3</v>
      </c>
      <c r="U417" s="3">
        <v>4</v>
      </c>
      <c r="V417" s="3">
        <v>5</v>
      </c>
      <c r="W417" s="3"/>
      <c r="X417" s="3">
        <v>22.99</v>
      </c>
      <c r="Y417" s="3">
        <v>22.99</v>
      </c>
      <c r="Z417" s="3">
        <v>22.99</v>
      </c>
      <c r="AA417" s="3">
        <v>0</v>
      </c>
      <c r="AB417" s="3" t="s">
        <v>869</v>
      </c>
      <c r="AC417" s="3">
        <v>6</v>
      </c>
      <c r="AD417" s="3">
        <v>19.98</v>
      </c>
      <c r="AE417" s="3">
        <v>0</v>
      </c>
      <c r="AF417" s="3">
        <v>0</v>
      </c>
      <c r="AG417" s="3">
        <v>0</v>
      </c>
      <c r="AH417" s="3">
        <v>0.588235294117647</v>
      </c>
      <c r="AI417" s="3">
        <v>0.65385</v>
      </c>
      <c r="AJ417" s="3" t="s">
        <v>870</v>
      </c>
    </row>
    <row r="418" spans="1:36">
      <c r="A418" s="5">
        <v>43336</v>
      </c>
      <c r="B418" s="3" t="s">
        <v>1841</v>
      </c>
      <c r="C418" s="3" t="s">
        <v>1842</v>
      </c>
      <c r="D418" s="3" t="s">
        <v>1842</v>
      </c>
      <c r="E418" s="3" t="s">
        <v>1843</v>
      </c>
      <c r="F418" s="3" t="s">
        <v>867</v>
      </c>
      <c r="G418" s="3">
        <v>3</v>
      </c>
      <c r="H418" s="3">
        <v>0</v>
      </c>
      <c r="I418" s="3">
        <v>3</v>
      </c>
      <c r="J418" s="3">
        <v>0</v>
      </c>
      <c r="K418" s="3">
        <v>0</v>
      </c>
      <c r="L418" s="3">
        <v>0</v>
      </c>
      <c r="M418" s="3">
        <v>0</v>
      </c>
      <c r="N418" s="3" t="s">
        <v>868</v>
      </c>
      <c r="O418" s="3">
        <v>0</v>
      </c>
      <c r="P418" s="3">
        <v>0</v>
      </c>
      <c r="Q418" s="3">
        <v>0</v>
      </c>
      <c r="R418" s="3">
        <v>0</v>
      </c>
      <c r="S418" s="3">
        <v>2</v>
      </c>
      <c r="T418" s="3">
        <v>10</v>
      </c>
      <c r="U418" s="3">
        <v>15</v>
      </c>
      <c r="V418" s="3">
        <v>21</v>
      </c>
      <c r="W418" s="3"/>
      <c r="X418" s="3">
        <v>23.98</v>
      </c>
      <c r="Y418" s="3">
        <v>23.98</v>
      </c>
      <c r="Z418" s="3">
        <v>23.98</v>
      </c>
      <c r="AA418" s="3">
        <v>0</v>
      </c>
      <c r="AB418" s="3" t="s">
        <v>869</v>
      </c>
      <c r="AC418" s="3">
        <v>3</v>
      </c>
      <c r="AD418" s="3">
        <v>23.98</v>
      </c>
      <c r="AE418" s="3">
        <v>0</v>
      </c>
      <c r="AF418" s="3">
        <v>0</v>
      </c>
      <c r="AG418" s="3">
        <v>0</v>
      </c>
      <c r="AH418" s="3">
        <v>1.55555555555555</v>
      </c>
      <c r="AI418" s="3">
        <v>0.181944</v>
      </c>
      <c r="AJ418" s="3" t="s">
        <v>870</v>
      </c>
    </row>
    <row r="419" spans="1:36">
      <c r="A419" s="5">
        <v>43336</v>
      </c>
      <c r="B419" s="3" t="s">
        <v>1844</v>
      </c>
      <c r="C419" s="3" t="s">
        <v>1845</v>
      </c>
      <c r="D419" s="3" t="s">
        <v>1845</v>
      </c>
      <c r="E419" s="3" t="s">
        <v>1846</v>
      </c>
      <c r="F419" s="3" t="s">
        <v>867</v>
      </c>
      <c r="G419" s="3">
        <v>27</v>
      </c>
      <c r="H419" s="3">
        <v>0</v>
      </c>
      <c r="I419" s="3">
        <v>6</v>
      </c>
      <c r="J419" s="3">
        <v>21</v>
      </c>
      <c r="K419" s="3">
        <v>0</v>
      </c>
      <c r="L419" s="3">
        <v>0</v>
      </c>
      <c r="M419" s="3">
        <v>0</v>
      </c>
      <c r="N419" s="3" t="s">
        <v>868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1</v>
      </c>
      <c r="U419" s="3">
        <v>1</v>
      </c>
      <c r="V419" s="3">
        <v>3</v>
      </c>
      <c r="W419" s="3" t="s">
        <v>871</v>
      </c>
      <c r="X419" s="3">
        <v>22.99</v>
      </c>
      <c r="Y419" s="3">
        <v>22.99</v>
      </c>
      <c r="Z419" s="3">
        <v>22.99</v>
      </c>
      <c r="AA419" s="3">
        <v>0</v>
      </c>
      <c r="AB419" s="3" t="s">
        <v>883</v>
      </c>
      <c r="AC419" s="3">
        <v>5</v>
      </c>
      <c r="AD419" s="3">
        <v>19.91</v>
      </c>
      <c r="AE419" s="3">
        <v>168</v>
      </c>
      <c r="AF419" s="3">
        <v>0</v>
      </c>
      <c r="AG419" s="3">
        <v>58.091855</v>
      </c>
      <c r="AH419" s="3">
        <v>0.101694915254237</v>
      </c>
      <c r="AI419" s="3">
        <v>4.387824</v>
      </c>
      <c r="AJ419" s="3" t="s">
        <v>870</v>
      </c>
    </row>
    <row r="420" spans="1:36">
      <c r="A420" s="5">
        <v>43336</v>
      </c>
      <c r="B420" s="3" t="s">
        <v>1847</v>
      </c>
      <c r="C420" s="3" t="s">
        <v>1848</v>
      </c>
      <c r="D420" s="3" t="s">
        <v>1849</v>
      </c>
      <c r="E420" s="3" t="s">
        <v>1850</v>
      </c>
      <c r="F420" s="3" t="s">
        <v>867</v>
      </c>
      <c r="G420" s="3">
        <v>3</v>
      </c>
      <c r="H420" s="3">
        <v>0</v>
      </c>
      <c r="I420" s="3">
        <v>3</v>
      </c>
      <c r="J420" s="3">
        <v>0</v>
      </c>
      <c r="K420" s="3">
        <v>0</v>
      </c>
      <c r="L420" s="3">
        <v>0</v>
      </c>
      <c r="M420" s="3">
        <v>0</v>
      </c>
      <c r="N420" s="3" t="s">
        <v>868</v>
      </c>
      <c r="O420" s="3">
        <v>0</v>
      </c>
      <c r="P420" s="3">
        <v>0</v>
      </c>
      <c r="Q420" s="3">
        <v>0</v>
      </c>
      <c r="R420" s="3">
        <v>0</v>
      </c>
      <c r="S420" s="3">
        <v>0</v>
      </c>
      <c r="T420" s="3">
        <v>0</v>
      </c>
      <c r="U420" s="3">
        <v>0</v>
      </c>
      <c r="V420" s="3">
        <v>0</v>
      </c>
      <c r="W420" s="3" t="s">
        <v>871</v>
      </c>
      <c r="X420" s="3">
        <v>23.98</v>
      </c>
      <c r="Y420" s="3">
        <v>24.98</v>
      </c>
      <c r="Z420" s="3">
        <v>24.98</v>
      </c>
      <c r="AA420" s="3">
        <v>0</v>
      </c>
      <c r="AB420" s="3" t="s">
        <v>869</v>
      </c>
      <c r="AC420" s="3">
        <v>0</v>
      </c>
      <c r="AD420" s="3">
        <v>0</v>
      </c>
      <c r="AE420" s="3">
        <v>0</v>
      </c>
      <c r="AF420" s="3">
        <v>0</v>
      </c>
      <c r="AG420" s="3">
        <v>0</v>
      </c>
      <c r="AH420" s="3">
        <v>0.292682926829268</v>
      </c>
      <c r="AI420" s="3">
        <v>0.595305</v>
      </c>
      <c r="AJ420" s="3" t="s">
        <v>870</v>
      </c>
    </row>
    <row r="421" spans="1:36">
      <c r="A421" s="5">
        <v>43336</v>
      </c>
      <c r="B421" s="3" t="s">
        <v>385</v>
      </c>
      <c r="C421" s="3" t="s">
        <v>386</v>
      </c>
      <c r="D421" s="3" t="s">
        <v>387</v>
      </c>
      <c r="E421" s="3" t="s">
        <v>388</v>
      </c>
      <c r="F421" s="3" t="s">
        <v>867</v>
      </c>
      <c r="G421" s="3">
        <v>44</v>
      </c>
      <c r="H421" s="3">
        <v>0</v>
      </c>
      <c r="I421" s="3">
        <v>44</v>
      </c>
      <c r="J421" s="3">
        <v>0</v>
      </c>
      <c r="K421" s="3">
        <v>0</v>
      </c>
      <c r="L421" s="3">
        <v>0</v>
      </c>
      <c r="M421" s="3">
        <v>0</v>
      </c>
      <c r="N421" s="3" t="s">
        <v>868</v>
      </c>
      <c r="O421" s="3">
        <v>0</v>
      </c>
      <c r="P421" s="3">
        <v>0</v>
      </c>
      <c r="Q421" s="3">
        <v>0</v>
      </c>
      <c r="R421" s="3">
        <v>0</v>
      </c>
      <c r="S421" s="3">
        <v>13</v>
      </c>
      <c r="T421" s="3">
        <v>77</v>
      </c>
      <c r="U421" s="3">
        <v>112</v>
      </c>
      <c r="V421" s="3">
        <v>112</v>
      </c>
      <c r="W421" s="3"/>
      <c r="X421" s="3">
        <v>23.98</v>
      </c>
      <c r="Y421" s="3">
        <v>23.98</v>
      </c>
      <c r="Z421" s="3">
        <v>23.98</v>
      </c>
      <c r="AA421" s="3">
        <v>0</v>
      </c>
      <c r="AB421" s="3" t="s">
        <v>869</v>
      </c>
      <c r="AC421" s="3">
        <v>49</v>
      </c>
      <c r="AD421" s="3">
        <v>23.98</v>
      </c>
      <c r="AE421" s="3">
        <v>0</v>
      </c>
      <c r="AF421" s="3">
        <v>0</v>
      </c>
      <c r="AG421" s="3">
        <v>0</v>
      </c>
      <c r="AH421" s="3">
        <v>6.48704663212435</v>
      </c>
      <c r="AI421" s="3">
        <v>2.003276</v>
      </c>
      <c r="AJ421" s="3" t="s">
        <v>870</v>
      </c>
    </row>
    <row r="422" spans="1:36">
      <c r="A422" s="5">
        <v>43336</v>
      </c>
      <c r="B422" s="3" t="s">
        <v>1851</v>
      </c>
      <c r="C422" s="3" t="s">
        <v>1852</v>
      </c>
      <c r="D422" s="3" t="s">
        <v>1852</v>
      </c>
      <c r="E422" s="3" t="s">
        <v>131</v>
      </c>
      <c r="F422" s="3" t="s">
        <v>867</v>
      </c>
      <c r="G422" s="3">
        <v>17</v>
      </c>
      <c r="H422" s="3">
        <v>0</v>
      </c>
      <c r="I422" s="3">
        <v>1</v>
      </c>
      <c r="J422" s="3">
        <v>16</v>
      </c>
      <c r="K422" s="3">
        <v>0</v>
      </c>
      <c r="L422" s="3">
        <v>0</v>
      </c>
      <c r="M422" s="3">
        <v>0</v>
      </c>
      <c r="N422" s="3" t="s">
        <v>868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4</v>
      </c>
      <c r="U422" s="3">
        <v>8</v>
      </c>
      <c r="V422" s="3">
        <v>8</v>
      </c>
      <c r="W422" s="3" t="s">
        <v>936</v>
      </c>
      <c r="X422" s="3">
        <v>32.99</v>
      </c>
      <c r="Y422" s="3">
        <v>16.98</v>
      </c>
      <c r="Z422" s="3">
        <v>16.98</v>
      </c>
      <c r="AA422" s="3">
        <v>0</v>
      </c>
      <c r="AB422" s="3" t="s">
        <v>985</v>
      </c>
      <c r="AC422" s="3">
        <v>17</v>
      </c>
      <c r="AD422" s="3">
        <v>16.98</v>
      </c>
      <c r="AE422" s="3">
        <v>0</v>
      </c>
      <c r="AF422" s="3">
        <v>0</v>
      </c>
      <c r="AG422" s="3">
        <v>0</v>
      </c>
      <c r="AH422" s="3">
        <v>0.367816091954023</v>
      </c>
      <c r="AI422" s="3">
        <v>3.373395</v>
      </c>
      <c r="AJ422" s="3" t="s">
        <v>870</v>
      </c>
    </row>
    <row r="423" spans="1:36">
      <c r="A423" s="5">
        <v>43336</v>
      </c>
      <c r="B423" s="3" t="s">
        <v>1853</v>
      </c>
      <c r="C423" s="3" t="s">
        <v>1854</v>
      </c>
      <c r="D423" s="3" t="s">
        <v>1855</v>
      </c>
      <c r="E423" s="3" t="s">
        <v>1856</v>
      </c>
      <c r="F423" s="3" t="s">
        <v>867</v>
      </c>
      <c r="G423" s="3">
        <v>22</v>
      </c>
      <c r="H423" s="3">
        <v>0</v>
      </c>
      <c r="I423" s="3">
        <v>22</v>
      </c>
      <c r="J423" s="3">
        <v>0</v>
      </c>
      <c r="K423" s="3">
        <v>0</v>
      </c>
      <c r="L423" s="3">
        <v>0</v>
      </c>
      <c r="M423" s="3">
        <v>0</v>
      </c>
      <c r="N423" s="3" t="s">
        <v>868</v>
      </c>
      <c r="O423" s="3">
        <v>0</v>
      </c>
      <c r="P423" s="3">
        <v>0</v>
      </c>
      <c r="Q423" s="3">
        <v>0</v>
      </c>
      <c r="R423" s="3">
        <v>0</v>
      </c>
      <c r="S423" s="3">
        <v>2</v>
      </c>
      <c r="T423" s="3">
        <v>5</v>
      </c>
      <c r="U423" s="3">
        <v>7</v>
      </c>
      <c r="V423" s="3">
        <v>7</v>
      </c>
      <c r="W423" s="3" t="s">
        <v>871</v>
      </c>
      <c r="X423" s="3">
        <v>24.98</v>
      </c>
      <c r="Y423" s="3">
        <v>24.98</v>
      </c>
      <c r="Z423" s="3">
        <v>24.98</v>
      </c>
      <c r="AA423" s="3">
        <v>0</v>
      </c>
      <c r="AB423" s="3" t="s">
        <v>869</v>
      </c>
      <c r="AC423" s="3">
        <v>24</v>
      </c>
      <c r="AD423" s="3">
        <v>24.98</v>
      </c>
      <c r="AE423" s="3">
        <v>0</v>
      </c>
      <c r="AF423" s="3">
        <v>0</v>
      </c>
      <c r="AG423" s="3">
        <v>0</v>
      </c>
      <c r="AH423" s="3">
        <v>0.285714285714285</v>
      </c>
      <c r="AI423" s="3">
        <v>3.82041</v>
      </c>
      <c r="AJ423" s="3" t="s">
        <v>870</v>
      </c>
    </row>
    <row r="424" spans="1:36">
      <c r="A424" s="5">
        <v>43336</v>
      </c>
      <c r="B424" s="3" t="s">
        <v>1857</v>
      </c>
      <c r="C424" s="3" t="s">
        <v>1858</v>
      </c>
      <c r="D424" s="3" t="s">
        <v>1858</v>
      </c>
      <c r="E424" s="3" t="s">
        <v>1859</v>
      </c>
      <c r="F424" s="3" t="s">
        <v>867</v>
      </c>
      <c r="G424" s="3">
        <v>9</v>
      </c>
      <c r="H424" s="3">
        <v>0</v>
      </c>
      <c r="I424" s="3">
        <v>9</v>
      </c>
      <c r="J424" s="3">
        <v>0</v>
      </c>
      <c r="K424" s="3">
        <v>0</v>
      </c>
      <c r="L424" s="3">
        <v>0</v>
      </c>
      <c r="M424" s="3">
        <v>0</v>
      </c>
      <c r="N424" s="3" t="s">
        <v>868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2</v>
      </c>
      <c r="U424" s="3">
        <v>3</v>
      </c>
      <c r="V424" s="3">
        <v>5</v>
      </c>
      <c r="W424" s="3"/>
      <c r="X424" s="3">
        <v>27.98</v>
      </c>
      <c r="Y424" s="3">
        <v>27.98</v>
      </c>
      <c r="Z424" s="3">
        <v>27.98</v>
      </c>
      <c r="AA424" s="3">
        <v>0</v>
      </c>
      <c r="AB424" s="3" t="s">
        <v>869</v>
      </c>
      <c r="AC424" s="3">
        <v>9</v>
      </c>
      <c r="AD424" s="3">
        <v>27.98</v>
      </c>
      <c r="AE424" s="3">
        <v>0</v>
      </c>
      <c r="AF424" s="3">
        <v>0</v>
      </c>
      <c r="AG424" s="3">
        <v>0</v>
      </c>
      <c r="AH424" s="3">
        <v>0.555555555555555</v>
      </c>
      <c r="AI424" s="3">
        <v>1.52163</v>
      </c>
      <c r="AJ424" s="3" t="s">
        <v>870</v>
      </c>
    </row>
    <row r="425" spans="1:36">
      <c r="A425" s="5">
        <v>43336</v>
      </c>
      <c r="B425" s="3" t="s">
        <v>1860</v>
      </c>
      <c r="C425" s="3" t="s">
        <v>1861</v>
      </c>
      <c r="D425" s="3" t="s">
        <v>1861</v>
      </c>
      <c r="E425" s="3" t="s">
        <v>1862</v>
      </c>
      <c r="F425" s="3" t="s">
        <v>867</v>
      </c>
      <c r="G425" s="3">
        <v>1</v>
      </c>
      <c r="H425" s="3">
        <v>0</v>
      </c>
      <c r="I425" s="3">
        <v>0</v>
      </c>
      <c r="J425" s="3">
        <v>0</v>
      </c>
      <c r="K425" s="3">
        <v>0</v>
      </c>
      <c r="L425" s="3">
        <v>1</v>
      </c>
      <c r="M425" s="3">
        <v>0</v>
      </c>
      <c r="N425" s="3" t="s">
        <v>868</v>
      </c>
      <c r="O425" s="3">
        <v>1</v>
      </c>
      <c r="P425" s="3">
        <v>0.19</v>
      </c>
      <c r="Q425" s="3">
        <v>0</v>
      </c>
      <c r="R425" s="3">
        <v>0</v>
      </c>
      <c r="S425" s="3">
        <v>0</v>
      </c>
      <c r="T425" s="3">
        <v>0</v>
      </c>
      <c r="U425" s="3">
        <v>1</v>
      </c>
      <c r="V425" s="3">
        <v>1</v>
      </c>
      <c r="W425" s="3" t="s">
        <v>936</v>
      </c>
      <c r="X425" s="3">
        <v>15</v>
      </c>
      <c r="Y425" s="3">
        <v>15</v>
      </c>
      <c r="Z425" s="3">
        <v>15</v>
      </c>
      <c r="AA425" s="3">
        <v>0</v>
      </c>
      <c r="AB425" s="3" t="s">
        <v>869</v>
      </c>
      <c r="AC425" s="3">
        <v>1</v>
      </c>
      <c r="AD425" s="3">
        <v>15</v>
      </c>
      <c r="AE425" s="3">
        <v>0</v>
      </c>
      <c r="AF425" s="3">
        <v>0</v>
      </c>
      <c r="AG425" s="3">
        <v>0</v>
      </c>
      <c r="AH425" s="3">
        <v>0.666666666666666</v>
      </c>
      <c r="AI425" s="3">
        <v>0.055556</v>
      </c>
      <c r="AJ425" s="3" t="s">
        <v>898</v>
      </c>
    </row>
    <row r="426" spans="1:36">
      <c r="A426" s="5">
        <v>43336</v>
      </c>
      <c r="B426" s="3" t="s">
        <v>1863</v>
      </c>
      <c r="C426" s="3" t="s">
        <v>1864</v>
      </c>
      <c r="D426" s="3" t="s">
        <v>1864</v>
      </c>
      <c r="E426" s="3" t="s">
        <v>1865</v>
      </c>
      <c r="F426" s="3" t="s">
        <v>867</v>
      </c>
      <c r="G426" s="3">
        <v>5</v>
      </c>
      <c r="H426" s="3">
        <v>0</v>
      </c>
      <c r="I426" s="3">
        <v>1</v>
      </c>
      <c r="J426" s="3">
        <v>4</v>
      </c>
      <c r="K426" s="3">
        <v>0</v>
      </c>
      <c r="L426" s="3">
        <v>0</v>
      </c>
      <c r="M426" s="3">
        <v>0</v>
      </c>
      <c r="N426" s="3" t="s">
        <v>868</v>
      </c>
      <c r="O426" s="3">
        <v>0</v>
      </c>
      <c r="P426" s="3">
        <v>0</v>
      </c>
      <c r="Q426" s="3">
        <v>0</v>
      </c>
      <c r="R426" s="3">
        <v>0</v>
      </c>
      <c r="S426" s="3">
        <v>2</v>
      </c>
      <c r="T426" s="3">
        <v>9</v>
      </c>
      <c r="U426" s="3">
        <v>16</v>
      </c>
      <c r="V426" s="3">
        <v>24</v>
      </c>
      <c r="W426" s="3"/>
      <c r="X426" s="3">
        <v>23.98</v>
      </c>
      <c r="Y426" s="3">
        <v>23.98</v>
      </c>
      <c r="Z426" s="3">
        <v>23.98</v>
      </c>
      <c r="AA426" s="3">
        <v>0</v>
      </c>
      <c r="AB426" s="3" t="s">
        <v>869</v>
      </c>
      <c r="AC426" s="3">
        <v>5</v>
      </c>
      <c r="AD426" s="3">
        <v>23.98</v>
      </c>
      <c r="AE426" s="3">
        <v>0</v>
      </c>
      <c r="AF426" s="3">
        <v>0</v>
      </c>
      <c r="AG426" s="3">
        <v>0</v>
      </c>
      <c r="AH426" s="3">
        <v>1.37142857142857</v>
      </c>
      <c r="AI426" s="3">
        <v>0.47396</v>
      </c>
      <c r="AJ426" s="3" t="s">
        <v>870</v>
      </c>
    </row>
    <row r="427" spans="1:36">
      <c r="A427" s="5">
        <v>43336</v>
      </c>
      <c r="B427" s="3" t="s">
        <v>579</v>
      </c>
      <c r="C427" s="3" t="s">
        <v>580</v>
      </c>
      <c r="D427" s="3" t="s">
        <v>580</v>
      </c>
      <c r="E427" s="3" t="s">
        <v>581</v>
      </c>
      <c r="F427" s="3" t="s">
        <v>867</v>
      </c>
      <c r="G427" s="3">
        <v>16</v>
      </c>
      <c r="H427" s="3">
        <v>0</v>
      </c>
      <c r="I427" s="3">
        <v>16</v>
      </c>
      <c r="J427" s="3">
        <v>0</v>
      </c>
      <c r="K427" s="3">
        <v>0</v>
      </c>
      <c r="L427" s="3">
        <v>0</v>
      </c>
      <c r="M427" s="3">
        <v>0</v>
      </c>
      <c r="N427" s="3" t="s">
        <v>868</v>
      </c>
      <c r="O427" s="3">
        <v>0</v>
      </c>
      <c r="P427" s="3">
        <v>0</v>
      </c>
      <c r="Q427" s="3">
        <v>0</v>
      </c>
      <c r="R427" s="3">
        <v>0</v>
      </c>
      <c r="S427" s="3">
        <v>7</v>
      </c>
      <c r="T427" s="3">
        <v>22</v>
      </c>
      <c r="U427" s="3">
        <v>38</v>
      </c>
      <c r="V427" s="3">
        <v>38</v>
      </c>
      <c r="W427" s="3"/>
      <c r="X427" s="3">
        <v>21.98</v>
      </c>
      <c r="Y427" s="3">
        <v>21.98</v>
      </c>
      <c r="Z427" s="3">
        <v>21.98</v>
      </c>
      <c r="AA427" s="3">
        <v>0</v>
      </c>
      <c r="AB427" s="3" t="s">
        <v>869</v>
      </c>
      <c r="AC427" s="3">
        <v>17</v>
      </c>
      <c r="AD427" s="3">
        <v>21.98</v>
      </c>
      <c r="AE427" s="3">
        <v>0</v>
      </c>
      <c r="AF427" s="3">
        <v>0</v>
      </c>
      <c r="AG427" s="3">
        <v>0</v>
      </c>
      <c r="AH427" s="3">
        <v>1.7471264367816</v>
      </c>
      <c r="AI427" s="3">
        <v>0.728464</v>
      </c>
      <c r="AJ427" s="3" t="s">
        <v>870</v>
      </c>
    </row>
    <row r="428" spans="1:36">
      <c r="A428" s="5">
        <v>43336</v>
      </c>
      <c r="B428" s="3" t="s">
        <v>1866</v>
      </c>
      <c r="C428" s="3" t="s">
        <v>1867</v>
      </c>
      <c r="D428" s="3" t="s">
        <v>1386</v>
      </c>
      <c r="E428" s="3" t="s">
        <v>1387</v>
      </c>
      <c r="F428" s="3" t="s">
        <v>867</v>
      </c>
      <c r="G428" s="3">
        <v>2</v>
      </c>
      <c r="H428" s="3">
        <v>0</v>
      </c>
      <c r="I428" s="3">
        <v>2</v>
      </c>
      <c r="J428" s="3">
        <v>0</v>
      </c>
      <c r="K428" s="3">
        <v>0</v>
      </c>
      <c r="L428" s="3">
        <v>0</v>
      </c>
      <c r="M428" s="3">
        <v>0</v>
      </c>
      <c r="N428" s="3" t="s">
        <v>868</v>
      </c>
      <c r="O428" s="3">
        <v>0</v>
      </c>
      <c r="P428" s="3">
        <v>0</v>
      </c>
      <c r="Q428" s="3">
        <v>0</v>
      </c>
      <c r="R428" s="3">
        <v>0</v>
      </c>
      <c r="S428" s="3">
        <v>1</v>
      </c>
      <c r="T428" s="3">
        <v>1</v>
      </c>
      <c r="U428" s="3">
        <v>3</v>
      </c>
      <c r="V428" s="3">
        <v>3</v>
      </c>
      <c r="W428" s="3"/>
      <c r="X428" s="3">
        <v>20.98</v>
      </c>
      <c r="Y428" s="3">
        <v>20.98</v>
      </c>
      <c r="Z428" s="3">
        <v>20.98</v>
      </c>
      <c r="AA428" s="3">
        <v>0</v>
      </c>
      <c r="AB428" s="3" t="s">
        <v>869</v>
      </c>
      <c r="AC428" s="3">
        <v>3</v>
      </c>
      <c r="AD428" s="3">
        <v>20.98</v>
      </c>
      <c r="AE428" s="3">
        <v>0</v>
      </c>
      <c r="AF428" s="3">
        <v>0</v>
      </c>
      <c r="AG428" s="3">
        <v>0</v>
      </c>
      <c r="AH428" s="3">
        <v>0.827586206896551</v>
      </c>
      <c r="AI428" s="3">
        <v>0.167126</v>
      </c>
      <c r="AJ428" s="3" t="s">
        <v>870</v>
      </c>
    </row>
    <row r="429" spans="1:36">
      <c r="A429" s="5">
        <v>43336</v>
      </c>
      <c r="B429" s="3" t="s">
        <v>1868</v>
      </c>
      <c r="C429" s="3" t="s">
        <v>1869</v>
      </c>
      <c r="D429" s="3" t="s">
        <v>1869</v>
      </c>
      <c r="E429" s="3" t="s">
        <v>1870</v>
      </c>
      <c r="F429" s="3" t="s">
        <v>867</v>
      </c>
      <c r="G429" s="3">
        <v>6</v>
      </c>
      <c r="H429" s="3">
        <v>0</v>
      </c>
      <c r="I429" s="3">
        <v>0</v>
      </c>
      <c r="J429" s="3">
        <v>0</v>
      </c>
      <c r="K429" s="3">
        <v>6</v>
      </c>
      <c r="L429" s="3">
        <v>0</v>
      </c>
      <c r="M429" s="3">
        <v>0</v>
      </c>
      <c r="N429" s="3" t="s">
        <v>868</v>
      </c>
      <c r="O429" s="3">
        <v>6</v>
      </c>
      <c r="P429" s="3">
        <v>4.25</v>
      </c>
      <c r="Q429" s="3">
        <v>0</v>
      </c>
      <c r="R429" s="3">
        <v>0</v>
      </c>
      <c r="S429" s="3">
        <v>0</v>
      </c>
      <c r="T429" s="3">
        <v>0</v>
      </c>
      <c r="U429" s="3">
        <v>0</v>
      </c>
      <c r="V429" s="3">
        <v>0</v>
      </c>
      <c r="W429" s="3"/>
      <c r="X429" s="3"/>
      <c r="Y429" s="3"/>
      <c r="Z429" s="3">
        <v>-1</v>
      </c>
      <c r="AA429" s="3">
        <v>-1</v>
      </c>
      <c r="AB429" s="3" t="s">
        <v>891</v>
      </c>
      <c r="AC429" s="3">
        <v>0</v>
      </c>
      <c r="AD429" s="3">
        <v>0</v>
      </c>
      <c r="AE429" s="3">
        <v>0</v>
      </c>
      <c r="AF429" s="3">
        <v>0</v>
      </c>
      <c r="AG429" s="3">
        <v>0</v>
      </c>
      <c r="AH429" s="3">
        <v>0</v>
      </c>
      <c r="AI429" s="3">
        <v>1.23051</v>
      </c>
      <c r="AJ429" s="3" t="s">
        <v>898</v>
      </c>
    </row>
    <row r="430" spans="1:36">
      <c r="A430" s="5">
        <v>43336</v>
      </c>
      <c r="B430" s="3" t="s">
        <v>1871</v>
      </c>
      <c r="C430" s="3" t="s">
        <v>1872</v>
      </c>
      <c r="D430" s="3" t="s">
        <v>958</v>
      </c>
      <c r="E430" s="3" t="s">
        <v>959</v>
      </c>
      <c r="F430" s="3" t="s">
        <v>867</v>
      </c>
      <c r="G430" s="3">
        <v>3</v>
      </c>
      <c r="H430" s="3">
        <v>0</v>
      </c>
      <c r="I430" s="3">
        <v>3</v>
      </c>
      <c r="J430" s="3">
        <v>0</v>
      </c>
      <c r="K430" s="3">
        <v>0</v>
      </c>
      <c r="L430" s="3">
        <v>0</v>
      </c>
      <c r="M430" s="3">
        <v>0</v>
      </c>
      <c r="N430" s="3" t="s">
        <v>868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 t="s">
        <v>871</v>
      </c>
      <c r="X430" s="3">
        <v>27.98</v>
      </c>
      <c r="Y430" s="3">
        <v>27.98</v>
      </c>
      <c r="Z430" s="3">
        <v>25.98</v>
      </c>
      <c r="AA430" s="3">
        <v>0</v>
      </c>
      <c r="AB430" s="3" t="s">
        <v>869</v>
      </c>
      <c r="AC430" s="3">
        <v>0</v>
      </c>
      <c r="AD430" s="3">
        <v>0</v>
      </c>
      <c r="AE430" s="3">
        <v>0</v>
      </c>
      <c r="AF430" s="3">
        <v>0</v>
      </c>
      <c r="AG430" s="3">
        <v>0</v>
      </c>
      <c r="AH430" s="3">
        <v>0.266666666666666</v>
      </c>
      <c r="AI430" s="3">
        <v>0.345843</v>
      </c>
      <c r="AJ430" s="3" t="s">
        <v>870</v>
      </c>
    </row>
    <row r="431" spans="1:36">
      <c r="A431" s="5">
        <v>43336</v>
      </c>
      <c r="B431" s="3" t="s">
        <v>1873</v>
      </c>
      <c r="C431" s="3" t="s">
        <v>1874</v>
      </c>
      <c r="D431" s="3" t="s">
        <v>1875</v>
      </c>
      <c r="E431" s="3" t="s">
        <v>546</v>
      </c>
      <c r="F431" s="3" t="s">
        <v>867</v>
      </c>
      <c r="G431" s="3">
        <v>32</v>
      </c>
      <c r="H431" s="3">
        <v>0</v>
      </c>
      <c r="I431" s="3">
        <v>32</v>
      </c>
      <c r="J431" s="3">
        <v>0</v>
      </c>
      <c r="K431" s="3">
        <v>0</v>
      </c>
      <c r="L431" s="3">
        <v>0</v>
      </c>
      <c r="M431" s="3">
        <v>0</v>
      </c>
      <c r="N431" s="3" t="s">
        <v>868</v>
      </c>
      <c r="O431" s="3">
        <v>0</v>
      </c>
      <c r="P431" s="3">
        <v>0</v>
      </c>
      <c r="Q431" s="3">
        <v>0</v>
      </c>
      <c r="R431" s="3">
        <v>0</v>
      </c>
      <c r="S431" s="3">
        <v>1</v>
      </c>
      <c r="T431" s="3">
        <v>22</v>
      </c>
      <c r="U431" s="3">
        <v>47</v>
      </c>
      <c r="V431" s="3">
        <v>51</v>
      </c>
      <c r="W431" s="3"/>
      <c r="X431" s="3">
        <v>23.98</v>
      </c>
      <c r="Y431" s="3">
        <v>23.98</v>
      </c>
      <c r="Z431" s="3">
        <v>23.98</v>
      </c>
      <c r="AA431" s="3">
        <v>0</v>
      </c>
      <c r="AB431" s="3" t="s">
        <v>869</v>
      </c>
      <c r="AC431" s="3">
        <v>31</v>
      </c>
      <c r="AD431" s="3">
        <v>23.98</v>
      </c>
      <c r="AE431" s="3">
        <v>0</v>
      </c>
      <c r="AF431" s="3">
        <v>0</v>
      </c>
      <c r="AG431" s="3">
        <v>0</v>
      </c>
      <c r="AH431" s="3">
        <v>2.46774193548387</v>
      </c>
      <c r="AI431" s="3">
        <v>1.456928</v>
      </c>
      <c r="AJ431" s="3" t="s">
        <v>870</v>
      </c>
    </row>
    <row r="432" spans="1:36">
      <c r="A432" s="5">
        <v>43336</v>
      </c>
      <c r="B432" s="3" t="s">
        <v>1876</v>
      </c>
      <c r="C432" s="3" t="s">
        <v>1877</v>
      </c>
      <c r="D432" s="3" t="s">
        <v>1877</v>
      </c>
      <c r="E432" s="3" t="s">
        <v>1878</v>
      </c>
      <c r="F432" s="3" t="s">
        <v>867</v>
      </c>
      <c r="G432" s="3">
        <v>19</v>
      </c>
      <c r="H432" s="3">
        <v>0</v>
      </c>
      <c r="I432" s="3">
        <v>16</v>
      </c>
      <c r="J432" s="3">
        <v>3</v>
      </c>
      <c r="K432" s="3">
        <v>0</v>
      </c>
      <c r="L432" s="3">
        <v>0</v>
      </c>
      <c r="M432" s="3">
        <v>0</v>
      </c>
      <c r="N432" s="3" t="s">
        <v>868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1</v>
      </c>
      <c r="U432" s="3">
        <v>5</v>
      </c>
      <c r="V432" s="3">
        <v>10</v>
      </c>
      <c r="W432" s="3" t="s">
        <v>871</v>
      </c>
      <c r="X432" s="3">
        <v>22.98</v>
      </c>
      <c r="Y432" s="3">
        <v>22.98</v>
      </c>
      <c r="Z432" s="3">
        <v>22.98</v>
      </c>
      <c r="AA432" s="3">
        <v>0</v>
      </c>
      <c r="AB432" s="3" t="s">
        <v>869</v>
      </c>
      <c r="AC432" s="3">
        <v>19</v>
      </c>
      <c r="AD432" s="3">
        <v>22.98</v>
      </c>
      <c r="AE432" s="3">
        <v>0</v>
      </c>
      <c r="AF432" s="3">
        <v>0</v>
      </c>
      <c r="AG432" s="3">
        <v>0</v>
      </c>
      <c r="AH432" s="3">
        <v>0.571428571428571</v>
      </c>
      <c r="AI432" s="3">
        <v>1.587697</v>
      </c>
      <c r="AJ432" s="3" t="s">
        <v>870</v>
      </c>
    </row>
    <row r="433" spans="1:36">
      <c r="A433" s="5">
        <v>43336</v>
      </c>
      <c r="B433" s="3" t="s">
        <v>1879</v>
      </c>
      <c r="C433" s="3" t="s">
        <v>1880</v>
      </c>
      <c r="D433" s="3" t="s">
        <v>1880</v>
      </c>
      <c r="E433" s="3" t="s">
        <v>1881</v>
      </c>
      <c r="F433" s="3" t="s">
        <v>867</v>
      </c>
      <c r="G433" s="3">
        <v>4</v>
      </c>
      <c r="H433" s="3">
        <v>0</v>
      </c>
      <c r="I433" s="3">
        <v>1</v>
      </c>
      <c r="J433" s="3">
        <v>1</v>
      </c>
      <c r="K433" s="3">
        <v>2</v>
      </c>
      <c r="L433" s="3">
        <v>0</v>
      </c>
      <c r="M433" s="3">
        <v>0</v>
      </c>
      <c r="N433" s="3" t="s">
        <v>868</v>
      </c>
      <c r="O433" s="3">
        <v>2</v>
      </c>
      <c r="P433" s="3">
        <v>0.61</v>
      </c>
      <c r="Q433" s="3">
        <v>0</v>
      </c>
      <c r="R433" s="3">
        <v>0</v>
      </c>
      <c r="S433" s="3">
        <v>0</v>
      </c>
      <c r="T433" s="3">
        <v>0</v>
      </c>
      <c r="U433" s="3">
        <v>1</v>
      </c>
      <c r="V433" s="3">
        <v>1</v>
      </c>
      <c r="W433" s="3" t="s">
        <v>936</v>
      </c>
      <c r="X433" s="3">
        <v>23.98</v>
      </c>
      <c r="Y433" s="3">
        <v>23.98</v>
      </c>
      <c r="Z433" s="3">
        <v>23.98</v>
      </c>
      <c r="AA433" s="3">
        <v>0</v>
      </c>
      <c r="AB433" s="3" t="s">
        <v>937</v>
      </c>
      <c r="AC433" s="3">
        <v>0</v>
      </c>
      <c r="AD433" s="3">
        <v>21.31</v>
      </c>
      <c r="AE433" s="3">
        <v>210</v>
      </c>
      <c r="AF433" s="3">
        <v>0</v>
      </c>
      <c r="AG433" s="3">
        <v>68.594136</v>
      </c>
      <c r="AH433" s="3">
        <v>0.266666666666666</v>
      </c>
      <c r="AI433" s="3">
        <v>0.350848</v>
      </c>
      <c r="AJ433" s="3" t="s">
        <v>870</v>
      </c>
    </row>
    <row r="434" spans="1:36">
      <c r="A434" s="5">
        <v>43336</v>
      </c>
      <c r="B434" s="3" t="s">
        <v>1882</v>
      </c>
      <c r="C434" s="3" t="s">
        <v>1883</v>
      </c>
      <c r="D434" s="3" t="s">
        <v>1883</v>
      </c>
      <c r="E434" s="3" t="s">
        <v>1884</v>
      </c>
      <c r="F434" s="3" t="s">
        <v>867</v>
      </c>
      <c r="G434" s="3">
        <v>20</v>
      </c>
      <c r="H434" s="3">
        <v>0</v>
      </c>
      <c r="I434" s="3">
        <v>5</v>
      </c>
      <c r="J434" s="3">
        <v>15</v>
      </c>
      <c r="K434" s="3">
        <v>0</v>
      </c>
      <c r="L434" s="3">
        <v>0</v>
      </c>
      <c r="M434" s="3">
        <v>0</v>
      </c>
      <c r="N434" s="3" t="s">
        <v>868</v>
      </c>
      <c r="O434" s="3">
        <v>0</v>
      </c>
      <c r="P434" s="3">
        <v>0</v>
      </c>
      <c r="Q434" s="3">
        <v>0</v>
      </c>
      <c r="R434" s="3">
        <v>0</v>
      </c>
      <c r="S434" s="3">
        <v>1</v>
      </c>
      <c r="T434" s="3">
        <v>2</v>
      </c>
      <c r="U434" s="3">
        <v>2</v>
      </c>
      <c r="V434" s="3">
        <v>5</v>
      </c>
      <c r="W434" s="3"/>
      <c r="X434" s="3">
        <v>22.98</v>
      </c>
      <c r="Y434" s="3">
        <v>22.98</v>
      </c>
      <c r="Z434" s="3">
        <v>22.98</v>
      </c>
      <c r="AA434" s="3">
        <v>0</v>
      </c>
      <c r="AB434" s="3" t="s">
        <v>883</v>
      </c>
      <c r="AC434" s="3">
        <v>0</v>
      </c>
      <c r="AD434" s="3">
        <v>18.93</v>
      </c>
      <c r="AE434" s="3">
        <v>322</v>
      </c>
      <c r="AF434" s="3">
        <v>0</v>
      </c>
      <c r="AG434" s="3">
        <v>458.01127</v>
      </c>
      <c r="AH434" s="3">
        <v>0.238095238095238</v>
      </c>
      <c r="AI434" s="3">
        <v>2.70664</v>
      </c>
      <c r="AJ434" s="3" t="s">
        <v>870</v>
      </c>
    </row>
    <row r="435" spans="1:36">
      <c r="A435" s="5">
        <v>43336</v>
      </c>
      <c r="B435" s="3" t="s">
        <v>1885</v>
      </c>
      <c r="C435" s="3" t="s">
        <v>1886</v>
      </c>
      <c r="D435" s="3" t="s">
        <v>1887</v>
      </c>
      <c r="E435" s="3" t="s">
        <v>1888</v>
      </c>
      <c r="F435" s="3" t="s">
        <v>867</v>
      </c>
      <c r="G435" s="3">
        <v>6</v>
      </c>
      <c r="H435" s="3">
        <v>0</v>
      </c>
      <c r="I435" s="3">
        <v>6</v>
      </c>
      <c r="J435" s="3">
        <v>0</v>
      </c>
      <c r="K435" s="3">
        <v>0</v>
      </c>
      <c r="L435" s="3">
        <v>0</v>
      </c>
      <c r="M435" s="3">
        <v>0</v>
      </c>
      <c r="N435" s="3" t="s">
        <v>868</v>
      </c>
      <c r="O435" s="3">
        <v>0</v>
      </c>
      <c r="P435" s="3">
        <v>0</v>
      </c>
      <c r="Q435" s="3">
        <v>0</v>
      </c>
      <c r="R435" s="3">
        <v>0</v>
      </c>
      <c r="S435" s="3">
        <v>0</v>
      </c>
      <c r="T435" s="3">
        <v>0</v>
      </c>
      <c r="U435" s="3">
        <v>0</v>
      </c>
      <c r="V435" s="3">
        <v>0</v>
      </c>
      <c r="W435" s="3" t="s">
        <v>936</v>
      </c>
      <c r="X435" s="3">
        <v>22.98</v>
      </c>
      <c r="Y435" s="3">
        <v>22.98</v>
      </c>
      <c r="Z435" s="3">
        <v>22.98</v>
      </c>
      <c r="AA435" s="3">
        <v>0</v>
      </c>
      <c r="AB435" s="3" t="s">
        <v>937</v>
      </c>
      <c r="AC435" s="3">
        <v>0</v>
      </c>
      <c r="AD435" s="3">
        <v>18.38</v>
      </c>
      <c r="AE435" s="3">
        <v>63</v>
      </c>
      <c r="AF435" s="3">
        <v>0</v>
      </c>
      <c r="AG435" s="3">
        <v>103.466868</v>
      </c>
      <c r="AH435" s="3">
        <v>0</v>
      </c>
      <c r="AI435" s="3">
        <v>0.864576</v>
      </c>
      <c r="AJ435" s="3" t="s">
        <v>925</v>
      </c>
    </row>
    <row r="436" spans="1:36">
      <c r="A436" s="5">
        <v>43336</v>
      </c>
      <c r="B436" s="3" t="s">
        <v>606</v>
      </c>
      <c r="C436" s="3" t="s">
        <v>607</v>
      </c>
      <c r="D436" s="3" t="s">
        <v>607</v>
      </c>
      <c r="E436" s="3" t="s">
        <v>1889</v>
      </c>
      <c r="F436" s="3" t="s">
        <v>867</v>
      </c>
      <c r="G436" s="3">
        <v>13</v>
      </c>
      <c r="H436" s="3">
        <v>0</v>
      </c>
      <c r="I436" s="3">
        <v>4</v>
      </c>
      <c r="J436" s="3">
        <v>9</v>
      </c>
      <c r="K436" s="3">
        <v>0</v>
      </c>
      <c r="L436" s="3">
        <v>0</v>
      </c>
      <c r="M436" s="3">
        <v>0</v>
      </c>
      <c r="N436" s="3" t="s">
        <v>868</v>
      </c>
      <c r="O436" s="3">
        <v>0</v>
      </c>
      <c r="P436" s="3">
        <v>0</v>
      </c>
      <c r="Q436" s="3">
        <v>0</v>
      </c>
      <c r="R436" s="3">
        <v>0</v>
      </c>
      <c r="S436" s="3">
        <v>5</v>
      </c>
      <c r="T436" s="3">
        <v>16</v>
      </c>
      <c r="U436" s="3">
        <v>35</v>
      </c>
      <c r="V436" s="3">
        <v>44</v>
      </c>
      <c r="W436" s="3"/>
      <c r="X436" s="3">
        <v>23.98</v>
      </c>
      <c r="Y436" s="3">
        <v>23.98</v>
      </c>
      <c r="Z436" s="3">
        <v>23.98</v>
      </c>
      <c r="AA436" s="3">
        <v>0</v>
      </c>
      <c r="AB436" s="3" t="s">
        <v>869</v>
      </c>
      <c r="AC436" s="3">
        <v>15</v>
      </c>
      <c r="AD436" s="3">
        <v>23.98</v>
      </c>
      <c r="AE436" s="3">
        <v>0</v>
      </c>
      <c r="AF436" s="3">
        <v>0</v>
      </c>
      <c r="AG436" s="3">
        <v>0</v>
      </c>
      <c r="AH436" s="3">
        <v>0.704</v>
      </c>
      <c r="AI436" s="3">
        <v>2.36347799999999</v>
      </c>
      <c r="AJ436" s="3" t="s">
        <v>870</v>
      </c>
    </row>
    <row r="437" spans="1:36">
      <c r="A437" s="5">
        <v>43336</v>
      </c>
      <c r="B437" s="3" t="s">
        <v>112</v>
      </c>
      <c r="C437" s="3" t="s">
        <v>113</v>
      </c>
      <c r="D437" s="3" t="s">
        <v>114</v>
      </c>
      <c r="E437" s="3" t="s">
        <v>115</v>
      </c>
      <c r="F437" s="3" t="s">
        <v>867</v>
      </c>
      <c r="G437" s="3">
        <v>3</v>
      </c>
      <c r="H437" s="3">
        <v>0</v>
      </c>
      <c r="I437" s="3">
        <v>3</v>
      </c>
      <c r="J437" s="3">
        <v>0</v>
      </c>
      <c r="K437" s="3">
        <v>0</v>
      </c>
      <c r="L437" s="3">
        <v>0</v>
      </c>
      <c r="M437" s="3">
        <v>0</v>
      </c>
      <c r="N437" s="3" t="s">
        <v>868</v>
      </c>
      <c r="O437" s="3">
        <v>0</v>
      </c>
      <c r="P437" s="3">
        <v>0</v>
      </c>
      <c r="Q437" s="3">
        <v>0</v>
      </c>
      <c r="R437" s="3">
        <v>0</v>
      </c>
      <c r="S437" s="3">
        <v>2</v>
      </c>
      <c r="T437" s="3">
        <v>2</v>
      </c>
      <c r="U437" s="3">
        <v>2</v>
      </c>
      <c r="V437" s="3">
        <v>2</v>
      </c>
      <c r="W437" s="3"/>
      <c r="X437" s="3">
        <v>24.98</v>
      </c>
      <c r="Y437" s="3">
        <v>24.98</v>
      </c>
      <c r="Z437" s="3">
        <v>24.98</v>
      </c>
      <c r="AA437" s="3">
        <v>0</v>
      </c>
      <c r="AB437" s="3" t="s">
        <v>869</v>
      </c>
      <c r="AC437" s="3">
        <v>3</v>
      </c>
      <c r="AD437" s="3">
        <v>24.98</v>
      </c>
      <c r="AE437" s="3">
        <v>0</v>
      </c>
      <c r="AF437" s="3">
        <v>0</v>
      </c>
      <c r="AG437" s="3">
        <v>0</v>
      </c>
      <c r="AH437" s="3">
        <v>2.4</v>
      </c>
      <c r="AI437" s="3">
        <v>0.302913</v>
      </c>
      <c r="AJ437" s="3" t="s">
        <v>870</v>
      </c>
    </row>
    <row r="438" spans="1:36">
      <c r="A438" s="5">
        <v>43336</v>
      </c>
      <c r="B438" s="3" t="s">
        <v>1890</v>
      </c>
      <c r="C438" s="3" t="s">
        <v>1891</v>
      </c>
      <c r="D438" s="3" t="s">
        <v>1891</v>
      </c>
      <c r="E438" s="3" t="s">
        <v>1892</v>
      </c>
      <c r="F438" s="3" t="s">
        <v>867</v>
      </c>
      <c r="G438" s="3">
        <v>1</v>
      </c>
      <c r="H438" s="3">
        <v>0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 t="s">
        <v>868</v>
      </c>
      <c r="O438" s="3">
        <v>0</v>
      </c>
      <c r="P438" s="3">
        <v>0</v>
      </c>
      <c r="Q438" s="3">
        <v>0</v>
      </c>
      <c r="R438" s="3">
        <v>0</v>
      </c>
      <c r="S438" s="3">
        <v>2</v>
      </c>
      <c r="T438" s="3">
        <v>3</v>
      </c>
      <c r="U438" s="3">
        <v>3</v>
      </c>
      <c r="V438" s="3">
        <v>4</v>
      </c>
      <c r="W438" s="3"/>
      <c r="X438" s="3">
        <v>22.98</v>
      </c>
      <c r="Y438" s="3">
        <v>22.98</v>
      </c>
      <c r="Z438" s="3">
        <v>22.98</v>
      </c>
      <c r="AA438" s="3">
        <v>0</v>
      </c>
      <c r="AB438" s="3" t="s">
        <v>869</v>
      </c>
      <c r="AC438" s="3">
        <v>1</v>
      </c>
      <c r="AD438" s="3">
        <v>22.98</v>
      </c>
      <c r="AE438" s="3">
        <v>0</v>
      </c>
      <c r="AF438" s="3">
        <v>0</v>
      </c>
      <c r="AG438" s="3">
        <v>0</v>
      </c>
      <c r="AH438" s="3">
        <v>1.33333333333333</v>
      </c>
      <c r="AI438" s="3">
        <v>0.147382</v>
      </c>
      <c r="AJ438" s="3" t="s">
        <v>870</v>
      </c>
    </row>
    <row r="439" spans="1:36">
      <c r="A439" s="5">
        <v>43336</v>
      </c>
      <c r="B439" s="3" t="s">
        <v>214</v>
      </c>
      <c r="C439" s="3" t="s">
        <v>215</v>
      </c>
      <c r="D439" s="3" t="s">
        <v>216</v>
      </c>
      <c r="E439" s="3" t="s">
        <v>217</v>
      </c>
      <c r="F439" s="3" t="s">
        <v>867</v>
      </c>
      <c r="G439" s="3">
        <v>5</v>
      </c>
      <c r="H439" s="3">
        <v>0</v>
      </c>
      <c r="I439" s="3">
        <v>5</v>
      </c>
      <c r="J439" s="3">
        <v>0</v>
      </c>
      <c r="K439" s="3">
        <v>0</v>
      </c>
      <c r="L439" s="3">
        <v>0</v>
      </c>
      <c r="M439" s="3">
        <v>0</v>
      </c>
      <c r="N439" s="3" t="s">
        <v>868</v>
      </c>
      <c r="O439" s="3">
        <v>0</v>
      </c>
      <c r="P439" s="3">
        <v>0</v>
      </c>
      <c r="Q439" s="3">
        <v>0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 t="s">
        <v>871</v>
      </c>
      <c r="X439" s="3">
        <v>22.99</v>
      </c>
      <c r="Y439" s="3">
        <v>22.98</v>
      </c>
      <c r="Z439" s="3">
        <v>22.98</v>
      </c>
      <c r="AA439" s="3">
        <v>0</v>
      </c>
      <c r="AB439" s="3" t="s">
        <v>883</v>
      </c>
      <c r="AC439" s="3">
        <v>0</v>
      </c>
      <c r="AD439" s="3">
        <v>18.38</v>
      </c>
      <c r="AE439" s="3">
        <v>63</v>
      </c>
      <c r="AF439" s="3">
        <v>0</v>
      </c>
      <c r="AG439" s="3">
        <v>7.197943</v>
      </c>
      <c r="AH439" s="3">
        <v>0</v>
      </c>
      <c r="AI439" s="3">
        <v>0.104165</v>
      </c>
      <c r="AJ439" s="3" t="s">
        <v>870</v>
      </c>
    </row>
    <row r="440" spans="1:36">
      <c r="A440" s="5">
        <v>43336</v>
      </c>
      <c r="B440" s="3" t="s">
        <v>1893</v>
      </c>
      <c r="C440" s="3" t="s">
        <v>1894</v>
      </c>
      <c r="D440" s="3" t="s">
        <v>1894</v>
      </c>
      <c r="E440" s="3" t="s">
        <v>1895</v>
      </c>
      <c r="F440" s="3" t="s">
        <v>867</v>
      </c>
      <c r="G440" s="3">
        <v>8</v>
      </c>
      <c r="H440" s="3">
        <v>0</v>
      </c>
      <c r="I440" s="3">
        <v>8</v>
      </c>
      <c r="J440" s="3">
        <v>0</v>
      </c>
      <c r="K440" s="3">
        <v>0</v>
      </c>
      <c r="L440" s="3">
        <v>0</v>
      </c>
      <c r="M440" s="3">
        <v>0</v>
      </c>
      <c r="N440" s="3" t="s">
        <v>868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1</v>
      </c>
      <c r="U440" s="3">
        <v>4</v>
      </c>
      <c r="V440" s="3">
        <v>7</v>
      </c>
      <c r="W440" s="3"/>
      <c r="X440" s="3">
        <v>20.98</v>
      </c>
      <c r="Y440" s="3">
        <v>20.98</v>
      </c>
      <c r="Z440" s="3">
        <v>20.98</v>
      </c>
      <c r="AA440" s="3">
        <v>0</v>
      </c>
      <c r="AB440" s="3" t="s">
        <v>869</v>
      </c>
      <c r="AC440" s="3">
        <v>8</v>
      </c>
      <c r="AD440" s="3">
        <v>20.98</v>
      </c>
      <c r="AE440" s="3">
        <v>0</v>
      </c>
      <c r="AF440" s="3">
        <v>0</v>
      </c>
      <c r="AG440" s="3">
        <v>0</v>
      </c>
      <c r="AH440" s="3">
        <v>0.777777777777777</v>
      </c>
      <c r="AI440" s="3">
        <v>0.439168</v>
      </c>
      <c r="AJ440" s="3" t="s">
        <v>870</v>
      </c>
    </row>
    <row r="441" spans="1:36">
      <c r="A441" s="5">
        <v>43336</v>
      </c>
      <c r="B441" s="3" t="s">
        <v>1896</v>
      </c>
      <c r="C441" s="3" t="s">
        <v>1897</v>
      </c>
      <c r="D441" s="3" t="s">
        <v>1897</v>
      </c>
      <c r="E441" s="3" t="s">
        <v>1898</v>
      </c>
      <c r="F441" s="3" t="s">
        <v>867</v>
      </c>
      <c r="G441" s="3">
        <v>5</v>
      </c>
      <c r="H441" s="3">
        <v>0</v>
      </c>
      <c r="I441" s="3">
        <v>3</v>
      </c>
      <c r="J441" s="3">
        <v>2</v>
      </c>
      <c r="K441" s="3">
        <v>0</v>
      </c>
      <c r="L441" s="3">
        <v>0</v>
      </c>
      <c r="M441" s="3">
        <v>0</v>
      </c>
      <c r="N441" s="3" t="s">
        <v>868</v>
      </c>
      <c r="O441" s="3">
        <v>0</v>
      </c>
      <c r="P441" s="3">
        <v>0</v>
      </c>
      <c r="Q441" s="3">
        <v>0</v>
      </c>
      <c r="R441" s="3">
        <v>0</v>
      </c>
      <c r="S441" s="3">
        <v>1</v>
      </c>
      <c r="T441" s="3">
        <v>6</v>
      </c>
      <c r="U441" s="3">
        <v>13</v>
      </c>
      <c r="V441" s="3">
        <v>16</v>
      </c>
      <c r="W441" s="3" t="s">
        <v>871</v>
      </c>
      <c r="X441" s="3">
        <v>12.98</v>
      </c>
      <c r="Y441" s="3">
        <v>12.98</v>
      </c>
      <c r="Z441" s="3">
        <v>12.98</v>
      </c>
      <c r="AA441" s="3">
        <v>0</v>
      </c>
      <c r="AB441" s="3" t="s">
        <v>869</v>
      </c>
      <c r="AC441" s="3">
        <v>6</v>
      </c>
      <c r="AD441" s="3">
        <v>12.98</v>
      </c>
      <c r="AE441" s="3">
        <v>0</v>
      </c>
      <c r="AF441" s="3">
        <v>0</v>
      </c>
      <c r="AG441" s="3">
        <v>0</v>
      </c>
      <c r="AH441" s="3">
        <v>1.36170212765957</v>
      </c>
      <c r="AI441" s="3">
        <v>0.56899</v>
      </c>
      <c r="AJ441" s="3" t="s">
        <v>870</v>
      </c>
    </row>
    <row r="442" spans="1:36">
      <c r="A442" s="5">
        <v>43336</v>
      </c>
      <c r="B442" s="3" t="s">
        <v>1899</v>
      </c>
      <c r="C442" s="3" t="s">
        <v>1900</v>
      </c>
      <c r="D442" s="3" t="s">
        <v>1900</v>
      </c>
      <c r="E442" s="3" t="s">
        <v>1901</v>
      </c>
      <c r="F442" s="3" t="s">
        <v>867</v>
      </c>
      <c r="G442" s="3">
        <v>1</v>
      </c>
      <c r="H442" s="3">
        <v>0</v>
      </c>
      <c r="I442" s="3">
        <v>1</v>
      </c>
      <c r="J442" s="3">
        <v>0</v>
      </c>
      <c r="K442" s="3">
        <v>0</v>
      </c>
      <c r="L442" s="3">
        <v>0</v>
      </c>
      <c r="M442" s="3">
        <v>0</v>
      </c>
      <c r="N442" s="3" t="s">
        <v>868</v>
      </c>
      <c r="O442" s="3">
        <v>0</v>
      </c>
      <c r="P442" s="3">
        <v>0</v>
      </c>
      <c r="Q442" s="3">
        <v>0</v>
      </c>
      <c r="R442" s="3">
        <v>0</v>
      </c>
      <c r="S442" s="3">
        <v>1</v>
      </c>
      <c r="T442" s="3">
        <v>2</v>
      </c>
      <c r="U442" s="3">
        <v>3</v>
      </c>
      <c r="V442" s="3">
        <v>5</v>
      </c>
      <c r="W442" s="3"/>
      <c r="X442" s="3">
        <v>20.98</v>
      </c>
      <c r="Y442" s="3">
        <v>20.98</v>
      </c>
      <c r="Z442" s="3">
        <v>20.98</v>
      </c>
      <c r="AA442" s="3">
        <v>0</v>
      </c>
      <c r="AB442" s="3" t="s">
        <v>869</v>
      </c>
      <c r="AC442" s="3">
        <v>2</v>
      </c>
      <c r="AD442" s="3">
        <v>20.98</v>
      </c>
      <c r="AE442" s="3">
        <v>0</v>
      </c>
      <c r="AF442" s="3">
        <v>0</v>
      </c>
      <c r="AG442" s="3">
        <v>0</v>
      </c>
      <c r="AH442" s="3">
        <v>0.28169014084507</v>
      </c>
      <c r="AI442" s="3">
        <v>0.116493</v>
      </c>
      <c r="AJ442" s="3" t="s">
        <v>870</v>
      </c>
    </row>
    <row r="443" spans="1:36">
      <c r="A443" s="5">
        <v>43336</v>
      </c>
      <c r="B443" s="3" t="s">
        <v>1902</v>
      </c>
      <c r="C443" s="3" t="s">
        <v>1903</v>
      </c>
      <c r="D443" s="3" t="s">
        <v>1903</v>
      </c>
      <c r="E443" s="3" t="s">
        <v>1904</v>
      </c>
      <c r="F443" s="3" t="s">
        <v>867</v>
      </c>
      <c r="G443" s="3">
        <v>7</v>
      </c>
      <c r="H443" s="3">
        <v>0</v>
      </c>
      <c r="I443" s="3">
        <v>7</v>
      </c>
      <c r="J443" s="3">
        <v>0</v>
      </c>
      <c r="K443" s="3">
        <v>0</v>
      </c>
      <c r="L443" s="3">
        <v>0</v>
      </c>
      <c r="M443" s="3">
        <v>0</v>
      </c>
      <c r="N443" s="3" t="s">
        <v>868</v>
      </c>
      <c r="O443" s="3">
        <v>0</v>
      </c>
      <c r="P443" s="3">
        <v>0</v>
      </c>
      <c r="Q443" s="3">
        <v>0</v>
      </c>
      <c r="R443" s="3">
        <v>0</v>
      </c>
      <c r="S443" s="3">
        <v>1</v>
      </c>
      <c r="T443" s="3">
        <v>1</v>
      </c>
      <c r="U443" s="3">
        <v>3</v>
      </c>
      <c r="V443" s="3">
        <v>6</v>
      </c>
      <c r="W443" s="3"/>
      <c r="X443" s="3">
        <v>20.98</v>
      </c>
      <c r="Y443" s="3">
        <v>20.98</v>
      </c>
      <c r="Z443" s="3">
        <v>20.98</v>
      </c>
      <c r="AA443" s="3">
        <v>0</v>
      </c>
      <c r="AB443" s="3" t="s">
        <v>883</v>
      </c>
      <c r="AC443" s="3">
        <v>0</v>
      </c>
      <c r="AD443" s="3">
        <v>13.39</v>
      </c>
      <c r="AE443" s="3">
        <v>49</v>
      </c>
      <c r="AF443" s="3">
        <v>0</v>
      </c>
      <c r="AG443" s="3">
        <v>79.267722</v>
      </c>
      <c r="AH443" s="3">
        <v>1.04347826086956</v>
      </c>
      <c r="AI443" s="3">
        <v>0.584940999999999</v>
      </c>
      <c r="AJ443" s="3" t="s">
        <v>870</v>
      </c>
    </row>
    <row r="444" spans="1:36">
      <c r="A444" s="5">
        <v>43336</v>
      </c>
      <c r="B444" s="3" t="s">
        <v>1905</v>
      </c>
      <c r="C444" s="3" t="s">
        <v>1906</v>
      </c>
      <c r="D444" s="3" t="s">
        <v>1906</v>
      </c>
      <c r="E444" s="3" t="s">
        <v>1907</v>
      </c>
      <c r="F444" s="3" t="s">
        <v>867</v>
      </c>
      <c r="G444" s="3">
        <v>13</v>
      </c>
      <c r="H444" s="3">
        <v>0</v>
      </c>
      <c r="I444" s="3">
        <v>0</v>
      </c>
      <c r="J444" s="3">
        <v>13</v>
      </c>
      <c r="K444" s="3">
        <v>0</v>
      </c>
      <c r="L444" s="3">
        <v>0</v>
      </c>
      <c r="M444" s="3">
        <v>0</v>
      </c>
      <c r="N444" s="3" t="s">
        <v>868</v>
      </c>
      <c r="O444" s="3">
        <v>0</v>
      </c>
      <c r="P444" s="3">
        <v>0</v>
      </c>
      <c r="Q444" s="3">
        <v>0</v>
      </c>
      <c r="R444" s="3">
        <v>0</v>
      </c>
      <c r="S444" s="3">
        <v>0</v>
      </c>
      <c r="T444" s="3">
        <v>4</v>
      </c>
      <c r="U444" s="3">
        <v>8</v>
      </c>
      <c r="V444" s="3">
        <v>11</v>
      </c>
      <c r="W444" s="3"/>
      <c r="X444" s="3">
        <v>22.98</v>
      </c>
      <c r="Y444" s="3">
        <v>22.98</v>
      </c>
      <c r="Z444" s="3">
        <v>22.98</v>
      </c>
      <c r="AA444" s="3">
        <v>0</v>
      </c>
      <c r="AB444" s="3" t="s">
        <v>869</v>
      </c>
      <c r="AC444" s="3">
        <v>13</v>
      </c>
      <c r="AD444" s="3">
        <v>22.98</v>
      </c>
      <c r="AE444" s="3">
        <v>0</v>
      </c>
      <c r="AF444" s="3">
        <v>0</v>
      </c>
      <c r="AG444" s="3">
        <v>0</v>
      </c>
      <c r="AH444" s="3">
        <v>0.586666666666666</v>
      </c>
      <c r="AI444" s="3">
        <v>0.910598</v>
      </c>
      <c r="AJ444" s="3" t="s">
        <v>870</v>
      </c>
    </row>
    <row r="445" spans="1:36">
      <c r="A445" s="5">
        <v>43336</v>
      </c>
      <c r="B445" s="3" t="s">
        <v>1908</v>
      </c>
      <c r="C445" s="3" t="s">
        <v>1909</v>
      </c>
      <c r="D445" s="3" t="s">
        <v>1909</v>
      </c>
      <c r="E445" s="3" t="s">
        <v>1910</v>
      </c>
      <c r="F445" s="3" t="s">
        <v>867</v>
      </c>
      <c r="G445" s="3">
        <v>3</v>
      </c>
      <c r="H445" s="3">
        <v>0</v>
      </c>
      <c r="I445" s="3">
        <v>0</v>
      </c>
      <c r="J445" s="3">
        <v>2</v>
      </c>
      <c r="K445" s="3">
        <v>1</v>
      </c>
      <c r="L445" s="3">
        <v>0</v>
      </c>
      <c r="M445" s="3">
        <v>0</v>
      </c>
      <c r="N445" s="3" t="s">
        <v>868</v>
      </c>
      <c r="O445" s="3">
        <v>2</v>
      </c>
      <c r="P445" s="3">
        <v>0.61</v>
      </c>
      <c r="Q445" s="3">
        <v>0</v>
      </c>
      <c r="R445" s="3">
        <v>0</v>
      </c>
      <c r="S445" s="3">
        <v>0</v>
      </c>
      <c r="T445" s="3">
        <v>1</v>
      </c>
      <c r="U445" s="3">
        <v>1</v>
      </c>
      <c r="V445" s="3">
        <v>1</v>
      </c>
      <c r="W445" s="3" t="s">
        <v>936</v>
      </c>
      <c r="X445" s="3">
        <v>23.98</v>
      </c>
      <c r="Y445" s="3">
        <v>23.98</v>
      </c>
      <c r="Z445" s="3">
        <v>23.98</v>
      </c>
      <c r="AA445" s="3">
        <v>0</v>
      </c>
      <c r="AB445" s="3" t="s">
        <v>937</v>
      </c>
      <c r="AC445" s="3">
        <v>3</v>
      </c>
      <c r="AD445" s="3">
        <v>23.98</v>
      </c>
      <c r="AE445" s="3">
        <v>0</v>
      </c>
      <c r="AF445" s="3">
        <v>0</v>
      </c>
      <c r="AG445" s="3">
        <v>0</v>
      </c>
      <c r="AH445" s="3">
        <v>0.266666666666666</v>
      </c>
      <c r="AI445" s="3">
        <v>0.263136</v>
      </c>
      <c r="AJ445" s="3" t="s">
        <v>870</v>
      </c>
    </row>
    <row r="446" spans="1:36">
      <c r="A446" s="5">
        <v>43336</v>
      </c>
      <c r="B446" s="3" t="s">
        <v>1911</v>
      </c>
      <c r="C446" s="3" t="s">
        <v>1912</v>
      </c>
      <c r="D446" s="3" t="s">
        <v>1912</v>
      </c>
      <c r="E446" s="3" t="s">
        <v>1913</v>
      </c>
      <c r="F446" s="3" t="s">
        <v>867</v>
      </c>
      <c r="G446" s="3">
        <v>5</v>
      </c>
      <c r="H446" s="3">
        <v>0</v>
      </c>
      <c r="I446" s="3">
        <v>0</v>
      </c>
      <c r="J446" s="3">
        <v>0</v>
      </c>
      <c r="K446" s="3">
        <v>5</v>
      </c>
      <c r="L446" s="3">
        <v>0</v>
      </c>
      <c r="M446" s="3">
        <v>0</v>
      </c>
      <c r="N446" s="3" t="s">
        <v>868</v>
      </c>
      <c r="O446" s="3">
        <v>5</v>
      </c>
      <c r="P446" s="3">
        <v>1.52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 t="s">
        <v>871</v>
      </c>
      <c r="X446" s="3">
        <v>23.98</v>
      </c>
      <c r="Y446" s="3">
        <v>23.98</v>
      </c>
      <c r="Z446" s="3">
        <v>23.98</v>
      </c>
      <c r="AA446" s="3">
        <v>0</v>
      </c>
      <c r="AB446" s="3" t="s">
        <v>883</v>
      </c>
      <c r="AC446" s="3">
        <v>0</v>
      </c>
      <c r="AD446" s="3">
        <v>19.18</v>
      </c>
      <c r="AE446" s="3">
        <v>63</v>
      </c>
      <c r="AF446" s="3">
        <v>0</v>
      </c>
      <c r="AG446" s="3">
        <v>69.503189</v>
      </c>
      <c r="AH446" s="3">
        <v>0</v>
      </c>
      <c r="AI446" s="3">
        <v>0.441165</v>
      </c>
      <c r="AJ446" s="3" t="s">
        <v>870</v>
      </c>
    </row>
    <row r="447" spans="1:36">
      <c r="A447" s="5">
        <v>43336</v>
      </c>
      <c r="B447" s="3" t="s">
        <v>389</v>
      </c>
      <c r="C447" s="3" t="s">
        <v>390</v>
      </c>
      <c r="D447" s="3" t="s">
        <v>391</v>
      </c>
      <c r="E447" s="3" t="s">
        <v>392</v>
      </c>
      <c r="F447" s="3" t="s">
        <v>867</v>
      </c>
      <c r="G447" s="3">
        <v>47</v>
      </c>
      <c r="H447" s="3">
        <v>0</v>
      </c>
      <c r="I447" s="3">
        <v>47</v>
      </c>
      <c r="J447" s="3">
        <v>0</v>
      </c>
      <c r="K447" s="3">
        <v>0</v>
      </c>
      <c r="L447" s="3">
        <v>0</v>
      </c>
      <c r="M447" s="3">
        <v>0</v>
      </c>
      <c r="N447" s="3" t="s">
        <v>868</v>
      </c>
      <c r="O447" s="3">
        <v>0</v>
      </c>
      <c r="P447" s="3">
        <v>0</v>
      </c>
      <c r="Q447" s="3">
        <v>0</v>
      </c>
      <c r="R447" s="3">
        <v>0</v>
      </c>
      <c r="S447" s="3">
        <v>4</v>
      </c>
      <c r="T447" s="3">
        <v>35</v>
      </c>
      <c r="U447" s="3">
        <v>35</v>
      </c>
      <c r="V447" s="3">
        <v>35</v>
      </c>
      <c r="W447" s="3"/>
      <c r="X447" s="3">
        <v>23.98</v>
      </c>
      <c r="Y447" s="3">
        <v>23.98</v>
      </c>
      <c r="Z447" s="3">
        <v>23.98</v>
      </c>
      <c r="AA447" s="3">
        <v>0</v>
      </c>
      <c r="AB447" s="3" t="s">
        <v>869</v>
      </c>
      <c r="AC447" s="3">
        <v>51</v>
      </c>
      <c r="AD447" s="3">
        <v>23.98</v>
      </c>
      <c r="AE447" s="3">
        <v>0</v>
      </c>
      <c r="AF447" s="3">
        <v>0</v>
      </c>
      <c r="AG447" s="3">
        <v>0</v>
      </c>
      <c r="AH447" s="3">
        <v>2.86274509803921</v>
      </c>
      <c r="AI447" s="3">
        <v>2.139863</v>
      </c>
      <c r="AJ447" s="3" t="s">
        <v>870</v>
      </c>
    </row>
    <row r="448" spans="1:36">
      <c r="A448" s="5">
        <v>43336</v>
      </c>
      <c r="B448" s="3" t="s">
        <v>1914</v>
      </c>
      <c r="C448" s="3" t="s">
        <v>1915</v>
      </c>
      <c r="D448" s="3" t="s">
        <v>1915</v>
      </c>
      <c r="E448" s="3" t="s">
        <v>1916</v>
      </c>
      <c r="F448" s="3" t="s">
        <v>867</v>
      </c>
      <c r="G448" s="3">
        <v>2</v>
      </c>
      <c r="H448" s="3">
        <v>0</v>
      </c>
      <c r="I448" s="3">
        <v>0</v>
      </c>
      <c r="J448" s="3">
        <v>1</v>
      </c>
      <c r="K448" s="3">
        <v>1</v>
      </c>
      <c r="L448" s="3">
        <v>0</v>
      </c>
      <c r="M448" s="3">
        <v>0</v>
      </c>
      <c r="N448" s="3" t="s">
        <v>868</v>
      </c>
      <c r="O448" s="3">
        <v>2</v>
      </c>
      <c r="P448" s="3">
        <v>0.8</v>
      </c>
      <c r="Q448" s="3">
        <v>0</v>
      </c>
      <c r="R448" s="3">
        <v>0</v>
      </c>
      <c r="S448" s="3">
        <v>0</v>
      </c>
      <c r="T448" s="3">
        <v>1</v>
      </c>
      <c r="U448" s="3">
        <v>2</v>
      </c>
      <c r="V448" s="3">
        <v>3</v>
      </c>
      <c r="W448" s="3"/>
      <c r="X448" s="3">
        <v>25.98</v>
      </c>
      <c r="Y448" s="3">
        <v>25.98</v>
      </c>
      <c r="Z448" s="3">
        <v>25.98</v>
      </c>
      <c r="AA448" s="3">
        <v>0</v>
      </c>
      <c r="AB448" s="3" t="s">
        <v>869</v>
      </c>
      <c r="AC448" s="3">
        <v>2</v>
      </c>
      <c r="AD448" s="3">
        <v>25.98</v>
      </c>
      <c r="AE448" s="3">
        <v>0</v>
      </c>
      <c r="AF448" s="3">
        <v>0</v>
      </c>
      <c r="AG448" s="3">
        <v>0</v>
      </c>
      <c r="AH448" s="3">
        <v>0.857142857142857</v>
      </c>
      <c r="AI448" s="3">
        <v>0.230562</v>
      </c>
      <c r="AJ448" s="3" t="s">
        <v>870</v>
      </c>
    </row>
    <row r="449" spans="1:36">
      <c r="A449" s="5">
        <v>43336</v>
      </c>
      <c r="B449" s="3" t="s">
        <v>1917</v>
      </c>
      <c r="C449" s="3" t="s">
        <v>1918</v>
      </c>
      <c r="D449" s="3" t="s">
        <v>1918</v>
      </c>
      <c r="E449" s="3" t="s">
        <v>1919</v>
      </c>
      <c r="F449" s="3" t="s">
        <v>867</v>
      </c>
      <c r="G449" s="3">
        <v>9</v>
      </c>
      <c r="H449" s="3">
        <v>0</v>
      </c>
      <c r="I449" s="3">
        <v>5</v>
      </c>
      <c r="J449" s="3">
        <v>4</v>
      </c>
      <c r="K449" s="3">
        <v>0</v>
      </c>
      <c r="L449" s="3">
        <v>0</v>
      </c>
      <c r="M449" s="3">
        <v>0</v>
      </c>
      <c r="N449" s="3" t="s">
        <v>868</v>
      </c>
      <c r="O449" s="3">
        <v>0</v>
      </c>
      <c r="P449" s="3">
        <v>0</v>
      </c>
      <c r="Q449" s="3">
        <v>0</v>
      </c>
      <c r="R449" s="3">
        <v>0</v>
      </c>
      <c r="S449" s="3">
        <v>1</v>
      </c>
      <c r="T449" s="3">
        <v>1</v>
      </c>
      <c r="U449" s="3">
        <v>2</v>
      </c>
      <c r="V449" s="3">
        <v>4</v>
      </c>
      <c r="W449" s="3"/>
      <c r="X449" s="3">
        <v>27.98</v>
      </c>
      <c r="Y449" s="3">
        <v>27.98</v>
      </c>
      <c r="Z449" s="3">
        <v>27.98</v>
      </c>
      <c r="AA449" s="3">
        <v>0</v>
      </c>
      <c r="AB449" s="3" t="s">
        <v>883</v>
      </c>
      <c r="AC449" s="3">
        <v>0</v>
      </c>
      <c r="AD449" s="3">
        <v>21.81</v>
      </c>
      <c r="AE449" s="3">
        <v>364</v>
      </c>
      <c r="AF449" s="3">
        <v>0</v>
      </c>
      <c r="AG449" s="3">
        <v>255.699848</v>
      </c>
      <c r="AH449" s="3">
        <v>0.432432432432432</v>
      </c>
      <c r="AI449" s="3">
        <v>1.52163</v>
      </c>
      <c r="AJ449" s="3" t="s">
        <v>870</v>
      </c>
    </row>
    <row r="450" spans="1:36">
      <c r="A450" s="5">
        <v>43336</v>
      </c>
      <c r="B450" s="3" t="s">
        <v>1920</v>
      </c>
      <c r="C450" s="3" t="s">
        <v>1921</v>
      </c>
      <c r="D450" s="3" t="s">
        <v>1921</v>
      </c>
      <c r="E450" s="3" t="s">
        <v>1922</v>
      </c>
      <c r="F450" s="3" t="s">
        <v>867</v>
      </c>
      <c r="G450" s="3">
        <v>7</v>
      </c>
      <c r="H450" s="3">
        <v>0</v>
      </c>
      <c r="I450" s="3">
        <v>2</v>
      </c>
      <c r="J450" s="3">
        <v>5</v>
      </c>
      <c r="K450" s="3">
        <v>0</v>
      </c>
      <c r="L450" s="3">
        <v>0</v>
      </c>
      <c r="M450" s="3">
        <v>0</v>
      </c>
      <c r="N450" s="3" t="s">
        <v>868</v>
      </c>
      <c r="O450" s="3">
        <v>2</v>
      </c>
      <c r="P450" s="3">
        <v>0.28</v>
      </c>
      <c r="Q450" s="3">
        <v>0</v>
      </c>
      <c r="R450" s="3">
        <v>0</v>
      </c>
      <c r="S450" s="3">
        <v>0</v>
      </c>
      <c r="T450" s="3">
        <v>2</v>
      </c>
      <c r="U450" s="3">
        <v>5</v>
      </c>
      <c r="V450" s="3">
        <v>11</v>
      </c>
      <c r="W450" s="3"/>
      <c r="X450" s="3">
        <v>22.99</v>
      </c>
      <c r="Y450" s="3">
        <v>22.99</v>
      </c>
      <c r="Z450" s="3">
        <v>22.99</v>
      </c>
      <c r="AA450" s="3">
        <v>0</v>
      </c>
      <c r="AB450" s="3" t="s">
        <v>869</v>
      </c>
      <c r="AC450" s="3">
        <v>7</v>
      </c>
      <c r="AD450" s="3">
        <v>22.98</v>
      </c>
      <c r="AE450" s="3">
        <v>0</v>
      </c>
      <c r="AF450" s="3">
        <v>0</v>
      </c>
      <c r="AG450" s="3">
        <v>0</v>
      </c>
      <c r="AH450" s="3">
        <v>0.392857142857142</v>
      </c>
      <c r="AI450" s="3">
        <v>0.28406</v>
      </c>
      <c r="AJ450" s="3" t="s">
        <v>870</v>
      </c>
    </row>
    <row r="451" spans="1:36">
      <c r="A451" s="5">
        <v>43336</v>
      </c>
      <c r="B451" s="3" t="s">
        <v>1923</v>
      </c>
      <c r="C451" s="3" t="s">
        <v>1924</v>
      </c>
      <c r="D451" s="3" t="s">
        <v>1924</v>
      </c>
      <c r="E451" s="3" t="s">
        <v>1925</v>
      </c>
      <c r="F451" s="3" t="s">
        <v>867</v>
      </c>
      <c r="G451" s="3">
        <v>6</v>
      </c>
      <c r="H451" s="3">
        <v>0</v>
      </c>
      <c r="I451" s="3">
        <v>0</v>
      </c>
      <c r="J451" s="3">
        <v>0</v>
      </c>
      <c r="K451" s="3">
        <v>6</v>
      </c>
      <c r="L451" s="3">
        <v>0</v>
      </c>
      <c r="M451" s="3">
        <v>0</v>
      </c>
      <c r="N451" s="3" t="s">
        <v>868</v>
      </c>
      <c r="O451" s="3">
        <v>6</v>
      </c>
      <c r="P451" s="3">
        <v>1.82</v>
      </c>
      <c r="Q451" s="3">
        <v>0</v>
      </c>
      <c r="R451" s="3">
        <v>0</v>
      </c>
      <c r="S451" s="3">
        <v>0</v>
      </c>
      <c r="T451" s="3">
        <v>0</v>
      </c>
      <c r="U451" s="3">
        <v>0</v>
      </c>
      <c r="V451" s="3">
        <v>0</v>
      </c>
      <c r="W451" s="3" t="s">
        <v>871</v>
      </c>
      <c r="X451" s="3">
        <v>23.98</v>
      </c>
      <c r="Y451" s="3">
        <v>23.98</v>
      </c>
      <c r="Z451" s="3">
        <v>23.98</v>
      </c>
      <c r="AA451" s="3">
        <v>0</v>
      </c>
      <c r="AB451" s="3" t="s">
        <v>883</v>
      </c>
      <c r="AC451" s="3">
        <v>0</v>
      </c>
      <c r="AD451" s="3">
        <v>22.9</v>
      </c>
      <c r="AE451" s="3">
        <v>140</v>
      </c>
      <c r="AF451" s="3">
        <v>0</v>
      </c>
      <c r="AG451" s="3">
        <v>144.581542</v>
      </c>
      <c r="AH451" s="3">
        <v>0</v>
      </c>
      <c r="AI451" s="3">
        <v>0.529398</v>
      </c>
      <c r="AJ451" s="3" t="s">
        <v>870</v>
      </c>
    </row>
    <row r="452" spans="1:36">
      <c r="A452" s="5">
        <v>43336</v>
      </c>
      <c r="B452" s="3" t="s">
        <v>1926</v>
      </c>
      <c r="C452" s="3" t="s">
        <v>1927</v>
      </c>
      <c r="D452" s="3" t="s">
        <v>1927</v>
      </c>
      <c r="E452" s="3" t="s">
        <v>1928</v>
      </c>
      <c r="F452" s="3" t="s">
        <v>867</v>
      </c>
      <c r="G452" s="3">
        <v>13</v>
      </c>
      <c r="H452" s="3">
        <v>0</v>
      </c>
      <c r="I452" s="3">
        <v>3</v>
      </c>
      <c r="J452" s="3">
        <v>0</v>
      </c>
      <c r="K452" s="3">
        <v>0</v>
      </c>
      <c r="L452" s="3">
        <v>10</v>
      </c>
      <c r="M452" s="3">
        <v>0</v>
      </c>
      <c r="N452" s="3" t="s">
        <v>868</v>
      </c>
      <c r="O452" s="3">
        <v>10</v>
      </c>
      <c r="P452" s="3">
        <v>4.22</v>
      </c>
      <c r="Q452" s="3">
        <v>0</v>
      </c>
      <c r="R452" s="3">
        <v>0</v>
      </c>
      <c r="S452" s="3">
        <v>1</v>
      </c>
      <c r="T452" s="3">
        <v>3</v>
      </c>
      <c r="U452" s="3">
        <v>5</v>
      </c>
      <c r="V452" s="3">
        <v>6</v>
      </c>
      <c r="W452" s="3"/>
      <c r="X452" s="3">
        <v>22.99</v>
      </c>
      <c r="Y452" s="3">
        <v>22.99</v>
      </c>
      <c r="Z452" s="3">
        <v>22.99</v>
      </c>
      <c r="AA452" s="3">
        <v>0</v>
      </c>
      <c r="AB452" s="3" t="s">
        <v>883</v>
      </c>
      <c r="AC452" s="3">
        <v>0</v>
      </c>
      <c r="AD452" s="3">
        <v>10.99</v>
      </c>
      <c r="AE452" s="3">
        <v>168</v>
      </c>
      <c r="AF452" s="3">
        <v>0</v>
      </c>
      <c r="AG452" s="3">
        <v>185.374527</v>
      </c>
      <c r="AH452" s="3">
        <v>0.393442622950819</v>
      </c>
      <c r="AI452" s="3">
        <v>1.591772</v>
      </c>
      <c r="AJ452" s="3" t="s">
        <v>870</v>
      </c>
    </row>
    <row r="453" spans="1:36">
      <c r="A453" s="5">
        <v>43336</v>
      </c>
      <c r="B453" s="3" t="s">
        <v>1929</v>
      </c>
      <c r="C453" s="3" t="s">
        <v>1930</v>
      </c>
      <c r="D453" s="3" t="s">
        <v>1931</v>
      </c>
      <c r="E453" s="3" t="s">
        <v>1932</v>
      </c>
      <c r="F453" s="3" t="s">
        <v>867</v>
      </c>
      <c r="G453" s="3">
        <v>6</v>
      </c>
      <c r="H453" s="3">
        <v>0</v>
      </c>
      <c r="I453" s="3">
        <v>6</v>
      </c>
      <c r="J453" s="3">
        <v>0</v>
      </c>
      <c r="K453" s="3">
        <v>0</v>
      </c>
      <c r="L453" s="3">
        <v>0</v>
      </c>
      <c r="M453" s="3">
        <v>0</v>
      </c>
      <c r="N453" s="3" t="s">
        <v>868</v>
      </c>
      <c r="O453" s="3">
        <v>0</v>
      </c>
      <c r="P453" s="3">
        <v>0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0</v>
      </c>
      <c r="W453" s="3" t="s">
        <v>871</v>
      </c>
      <c r="X453" s="3">
        <v>17.99</v>
      </c>
      <c r="Y453" s="3">
        <v>17.99</v>
      </c>
      <c r="Z453" s="3">
        <v>17.99</v>
      </c>
      <c r="AA453" s="3">
        <v>0</v>
      </c>
      <c r="AB453" s="3" t="s">
        <v>869</v>
      </c>
      <c r="AC453" s="3">
        <v>0</v>
      </c>
      <c r="AD453" s="3">
        <v>17.99</v>
      </c>
      <c r="AE453" s="3">
        <v>63</v>
      </c>
      <c r="AF453" s="3">
        <v>0</v>
      </c>
      <c r="AG453" s="3">
        <v>147.984819</v>
      </c>
      <c r="AH453" s="3">
        <v>0</v>
      </c>
      <c r="AI453" s="3">
        <v>1.288128</v>
      </c>
      <c r="AJ453" s="3" t="s">
        <v>925</v>
      </c>
    </row>
    <row r="454" spans="1:36">
      <c r="A454" s="5">
        <v>43336</v>
      </c>
      <c r="B454" s="3" t="s">
        <v>1933</v>
      </c>
      <c r="C454" s="3" t="s">
        <v>1934</v>
      </c>
      <c r="D454" s="3" t="s">
        <v>1935</v>
      </c>
      <c r="E454" s="3" t="s">
        <v>1936</v>
      </c>
      <c r="F454" s="3" t="s">
        <v>867</v>
      </c>
      <c r="G454" s="3">
        <v>6</v>
      </c>
      <c r="H454" s="3">
        <v>0</v>
      </c>
      <c r="I454" s="3">
        <v>6</v>
      </c>
      <c r="J454" s="3">
        <v>0</v>
      </c>
      <c r="K454" s="3">
        <v>0</v>
      </c>
      <c r="L454" s="3">
        <v>0</v>
      </c>
      <c r="M454" s="3">
        <v>0</v>
      </c>
      <c r="N454" s="3" t="s">
        <v>868</v>
      </c>
      <c r="O454" s="3">
        <v>0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 t="s">
        <v>936</v>
      </c>
      <c r="X454" s="3">
        <v>22.98</v>
      </c>
      <c r="Y454" s="3">
        <v>22.98</v>
      </c>
      <c r="Z454" s="3">
        <v>22.98</v>
      </c>
      <c r="AA454" s="3">
        <v>0</v>
      </c>
      <c r="AB454" s="3" t="s">
        <v>937</v>
      </c>
      <c r="AC454" s="3">
        <v>0</v>
      </c>
      <c r="AD454" s="3">
        <v>18.38</v>
      </c>
      <c r="AE454" s="3">
        <v>63</v>
      </c>
      <c r="AF454" s="3">
        <v>0</v>
      </c>
      <c r="AG454" s="3">
        <v>113.25854</v>
      </c>
      <c r="AH454" s="3">
        <v>0</v>
      </c>
      <c r="AI454" s="3">
        <v>0.958751999999999</v>
      </c>
      <c r="AJ454" s="3" t="s">
        <v>925</v>
      </c>
    </row>
    <row r="455" spans="1:36">
      <c r="A455" s="5">
        <v>43336</v>
      </c>
      <c r="B455" s="3" t="s">
        <v>1937</v>
      </c>
      <c r="C455" s="3" t="s">
        <v>1938</v>
      </c>
      <c r="D455" s="3" t="s">
        <v>1939</v>
      </c>
      <c r="E455" s="3" t="s">
        <v>1940</v>
      </c>
      <c r="F455" s="3" t="s">
        <v>867</v>
      </c>
      <c r="G455" s="3">
        <v>6</v>
      </c>
      <c r="H455" s="3">
        <v>0</v>
      </c>
      <c r="I455" s="3">
        <v>6</v>
      </c>
      <c r="J455" s="3">
        <v>0</v>
      </c>
      <c r="K455" s="3">
        <v>0</v>
      </c>
      <c r="L455" s="3">
        <v>0</v>
      </c>
      <c r="M455" s="3">
        <v>0</v>
      </c>
      <c r="N455" s="3" t="s">
        <v>868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871</v>
      </c>
      <c r="X455" s="3">
        <v>17.99</v>
      </c>
      <c r="Y455" s="3">
        <v>17.99</v>
      </c>
      <c r="Z455" s="3">
        <v>17.99</v>
      </c>
      <c r="AA455" s="3">
        <v>0</v>
      </c>
      <c r="AB455" s="3" t="s">
        <v>869</v>
      </c>
      <c r="AC455" s="3">
        <v>0</v>
      </c>
      <c r="AD455" s="3">
        <v>17.99</v>
      </c>
      <c r="AE455" s="3">
        <v>63</v>
      </c>
      <c r="AF455" s="3">
        <v>0</v>
      </c>
      <c r="AG455" s="3">
        <v>149.730621</v>
      </c>
      <c r="AH455" s="3">
        <v>0</v>
      </c>
      <c r="AI455" s="3">
        <v>1.304106</v>
      </c>
      <c r="AJ455" s="3" t="s">
        <v>925</v>
      </c>
    </row>
    <row r="456" spans="1:36">
      <c r="A456" s="5">
        <v>43336</v>
      </c>
      <c r="B456" s="3" t="s">
        <v>1941</v>
      </c>
      <c r="C456" s="3" t="s">
        <v>1942</v>
      </c>
      <c r="D456" s="3" t="s">
        <v>1942</v>
      </c>
      <c r="E456" s="3" t="s">
        <v>1943</v>
      </c>
      <c r="F456" s="3" t="s">
        <v>867</v>
      </c>
      <c r="G456" s="3">
        <v>3</v>
      </c>
      <c r="H456" s="3">
        <v>0</v>
      </c>
      <c r="I456" s="3">
        <v>3</v>
      </c>
      <c r="J456" s="3">
        <v>0</v>
      </c>
      <c r="K456" s="3">
        <v>0</v>
      </c>
      <c r="L456" s="3">
        <v>0</v>
      </c>
      <c r="M456" s="3">
        <v>0</v>
      </c>
      <c r="N456" s="3" t="s">
        <v>868</v>
      </c>
      <c r="O456" s="3">
        <v>0</v>
      </c>
      <c r="P456" s="3">
        <v>0</v>
      </c>
      <c r="Q456" s="3">
        <v>0</v>
      </c>
      <c r="R456" s="3">
        <v>0</v>
      </c>
      <c r="S456" s="3">
        <v>0</v>
      </c>
      <c r="T456" s="3">
        <v>4</v>
      </c>
      <c r="U456" s="3">
        <v>7</v>
      </c>
      <c r="V456" s="3">
        <v>12</v>
      </c>
      <c r="W456" s="3"/>
      <c r="X456" s="3">
        <v>22.98</v>
      </c>
      <c r="Y456" s="3">
        <v>22.98</v>
      </c>
      <c r="Z456" s="3">
        <v>22.98</v>
      </c>
      <c r="AA456" s="3">
        <v>0</v>
      </c>
      <c r="AB456" s="3" t="s">
        <v>869</v>
      </c>
      <c r="AC456" s="3">
        <v>3</v>
      </c>
      <c r="AD456" s="3">
        <v>22.98</v>
      </c>
      <c r="AE456" s="3">
        <v>0</v>
      </c>
      <c r="AF456" s="3">
        <v>0</v>
      </c>
      <c r="AG456" s="3">
        <v>0</v>
      </c>
      <c r="AH456" s="3">
        <v>0.526315789473684</v>
      </c>
      <c r="AI456" s="3">
        <v>0.271464</v>
      </c>
      <c r="AJ456" s="3" t="s">
        <v>870</v>
      </c>
    </row>
    <row r="457" spans="1:36">
      <c r="A457" s="5">
        <v>43336</v>
      </c>
      <c r="B457" s="3" t="s">
        <v>1944</v>
      </c>
      <c r="C457" s="3" t="s">
        <v>130</v>
      </c>
      <c r="D457" s="3" t="s">
        <v>130</v>
      </c>
      <c r="E457" s="3" t="s">
        <v>131</v>
      </c>
      <c r="F457" s="3" t="s">
        <v>867</v>
      </c>
      <c r="G457" s="3">
        <v>5</v>
      </c>
      <c r="H457" s="3">
        <v>0</v>
      </c>
      <c r="I457" s="3">
        <v>0</v>
      </c>
      <c r="J457" s="3">
        <v>5</v>
      </c>
      <c r="K457" s="3">
        <v>0</v>
      </c>
      <c r="L457" s="3">
        <v>0</v>
      </c>
      <c r="M457" s="3">
        <v>0</v>
      </c>
      <c r="N457" s="3" t="s">
        <v>868</v>
      </c>
      <c r="O457" s="3">
        <v>5</v>
      </c>
      <c r="P457" s="3">
        <v>3.54</v>
      </c>
      <c r="Q457" s="3">
        <v>0</v>
      </c>
      <c r="R457" s="3">
        <v>0</v>
      </c>
      <c r="S457" s="3">
        <v>2</v>
      </c>
      <c r="T457" s="3">
        <v>5</v>
      </c>
      <c r="U457" s="3">
        <v>6</v>
      </c>
      <c r="V457" s="3">
        <v>8</v>
      </c>
      <c r="W457" s="3"/>
      <c r="X457" s="3">
        <v>24.99</v>
      </c>
      <c r="Y457" s="3">
        <v>24.99</v>
      </c>
      <c r="Z457" s="3">
        <v>24.99</v>
      </c>
      <c r="AA457" s="3">
        <v>0</v>
      </c>
      <c r="AB457" s="3" t="s">
        <v>869</v>
      </c>
      <c r="AC457" s="3">
        <v>6</v>
      </c>
      <c r="AD457" s="3">
        <v>16.98</v>
      </c>
      <c r="AE457" s="3">
        <v>0</v>
      </c>
      <c r="AF457" s="3">
        <v>0</v>
      </c>
      <c r="AG457" s="3">
        <v>0</v>
      </c>
      <c r="AH457" s="3">
        <v>0.82051282051282</v>
      </c>
      <c r="AI457" s="3">
        <v>1.0242</v>
      </c>
      <c r="AJ457" s="3" t="s">
        <v>870</v>
      </c>
    </row>
    <row r="458" spans="1:36">
      <c r="A458" s="5">
        <v>43336</v>
      </c>
      <c r="B458" s="3" t="s">
        <v>1945</v>
      </c>
      <c r="C458" s="3" t="s">
        <v>1946</v>
      </c>
      <c r="D458" s="3" t="s">
        <v>1947</v>
      </c>
      <c r="E458" s="3" t="s">
        <v>1948</v>
      </c>
      <c r="F458" s="3" t="s">
        <v>867</v>
      </c>
      <c r="G458" s="3">
        <v>18</v>
      </c>
      <c r="H458" s="3">
        <v>0</v>
      </c>
      <c r="I458" s="3">
        <v>18</v>
      </c>
      <c r="J458" s="3">
        <v>0</v>
      </c>
      <c r="K458" s="3">
        <v>0</v>
      </c>
      <c r="L458" s="3">
        <v>0</v>
      </c>
      <c r="M458" s="3">
        <v>0</v>
      </c>
      <c r="N458" s="3" t="s">
        <v>868</v>
      </c>
      <c r="O458" s="3">
        <v>0</v>
      </c>
      <c r="P458" s="3">
        <v>0</v>
      </c>
      <c r="Q458" s="3">
        <v>0</v>
      </c>
      <c r="R458" s="3">
        <v>0</v>
      </c>
      <c r="S458" s="3">
        <v>6</v>
      </c>
      <c r="T458" s="3">
        <v>26</v>
      </c>
      <c r="U458" s="3">
        <v>41</v>
      </c>
      <c r="V458" s="3">
        <v>41</v>
      </c>
      <c r="W458" s="3"/>
      <c r="X458" s="3">
        <v>22.98</v>
      </c>
      <c r="Y458" s="3">
        <v>22.98</v>
      </c>
      <c r="Z458" s="3">
        <v>22.98</v>
      </c>
      <c r="AA458" s="3">
        <v>0</v>
      </c>
      <c r="AB458" s="3" t="s">
        <v>869</v>
      </c>
      <c r="AC458" s="3">
        <v>18</v>
      </c>
      <c r="AD458" s="3">
        <v>22.98</v>
      </c>
      <c r="AE458" s="3">
        <v>0</v>
      </c>
      <c r="AF458" s="3">
        <v>0</v>
      </c>
      <c r="AG458" s="3">
        <v>0</v>
      </c>
      <c r="AH458" s="3">
        <v>4.95522388059701</v>
      </c>
      <c r="AI458" s="3">
        <v>0.791172</v>
      </c>
      <c r="AJ458" s="3" t="s">
        <v>870</v>
      </c>
    </row>
    <row r="459" spans="1:36">
      <c r="A459" s="5">
        <v>43336</v>
      </c>
      <c r="B459" s="3" t="s">
        <v>1949</v>
      </c>
      <c r="C459" s="3" t="s">
        <v>1950</v>
      </c>
      <c r="D459" s="3" t="s">
        <v>1951</v>
      </c>
      <c r="E459" s="3" t="s">
        <v>1952</v>
      </c>
      <c r="F459" s="3" t="s">
        <v>867</v>
      </c>
      <c r="G459" s="3">
        <v>3</v>
      </c>
      <c r="H459" s="3">
        <v>0</v>
      </c>
      <c r="I459" s="3">
        <v>3</v>
      </c>
      <c r="J459" s="3">
        <v>0</v>
      </c>
      <c r="K459" s="3">
        <v>0</v>
      </c>
      <c r="L459" s="3">
        <v>0</v>
      </c>
      <c r="M459" s="3">
        <v>0</v>
      </c>
      <c r="N459" s="3" t="s">
        <v>868</v>
      </c>
      <c r="O459" s="3">
        <v>0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 t="s">
        <v>871</v>
      </c>
      <c r="X459" s="3">
        <v>23.98</v>
      </c>
      <c r="Y459" s="3">
        <v>24.98</v>
      </c>
      <c r="Z459" s="3">
        <v>24.98</v>
      </c>
      <c r="AA459" s="3">
        <v>0</v>
      </c>
      <c r="AB459" s="3" t="s">
        <v>869</v>
      </c>
      <c r="AC459" s="3">
        <v>0</v>
      </c>
      <c r="AD459" s="3">
        <v>0</v>
      </c>
      <c r="AE459" s="3">
        <v>0</v>
      </c>
      <c r="AF459" s="3">
        <v>0</v>
      </c>
      <c r="AG459" s="3">
        <v>0</v>
      </c>
      <c r="AH459" s="3">
        <v>0.17391304347826</v>
      </c>
      <c r="AI459" s="3">
        <v>0.595305</v>
      </c>
      <c r="AJ459" s="3" t="s">
        <v>870</v>
      </c>
    </row>
    <row r="460" spans="1:36">
      <c r="A460" s="5">
        <v>43336</v>
      </c>
      <c r="B460" s="3" t="s">
        <v>1953</v>
      </c>
      <c r="C460" s="3" t="s">
        <v>1954</v>
      </c>
      <c r="D460" s="3" t="s">
        <v>1954</v>
      </c>
      <c r="E460" s="3" t="s">
        <v>1955</v>
      </c>
      <c r="F460" s="3" t="s">
        <v>867</v>
      </c>
      <c r="G460" s="3">
        <v>6</v>
      </c>
      <c r="H460" s="3">
        <v>0</v>
      </c>
      <c r="I460" s="3">
        <v>3</v>
      </c>
      <c r="J460" s="3">
        <v>3</v>
      </c>
      <c r="K460" s="3">
        <v>0</v>
      </c>
      <c r="L460" s="3">
        <v>0</v>
      </c>
      <c r="M460" s="3">
        <v>0</v>
      </c>
      <c r="N460" s="3" t="s">
        <v>868</v>
      </c>
      <c r="O460" s="3">
        <v>0</v>
      </c>
      <c r="P460" s="3">
        <v>0</v>
      </c>
      <c r="Q460" s="3">
        <v>0</v>
      </c>
      <c r="R460" s="3">
        <v>0</v>
      </c>
      <c r="S460" s="3">
        <v>1</v>
      </c>
      <c r="T460" s="3">
        <v>2</v>
      </c>
      <c r="U460" s="3">
        <v>3</v>
      </c>
      <c r="V460" s="3">
        <v>5</v>
      </c>
      <c r="W460" s="3"/>
      <c r="X460" s="3">
        <v>27.98</v>
      </c>
      <c r="Y460" s="3">
        <v>27.98</v>
      </c>
      <c r="Z460" s="3">
        <v>27.98</v>
      </c>
      <c r="AA460" s="3">
        <v>0</v>
      </c>
      <c r="AB460" s="3" t="s">
        <v>869</v>
      </c>
      <c r="AC460" s="3">
        <v>7</v>
      </c>
      <c r="AD460" s="3">
        <v>27.98</v>
      </c>
      <c r="AE460" s="3">
        <v>0</v>
      </c>
      <c r="AF460" s="3">
        <v>0</v>
      </c>
      <c r="AG460" s="3">
        <v>0</v>
      </c>
      <c r="AH460" s="3">
        <v>0.6</v>
      </c>
      <c r="AI460" s="3">
        <v>1.01441999999999</v>
      </c>
      <c r="AJ460" s="3" t="s">
        <v>870</v>
      </c>
    </row>
    <row r="461" spans="1:36">
      <c r="A461" s="5">
        <v>43336</v>
      </c>
      <c r="B461" s="3" t="s">
        <v>1956</v>
      </c>
      <c r="C461" s="3" t="s">
        <v>1957</v>
      </c>
      <c r="D461" s="3" t="s">
        <v>1957</v>
      </c>
      <c r="E461" s="3" t="s">
        <v>1958</v>
      </c>
      <c r="F461" s="3" t="s">
        <v>867</v>
      </c>
      <c r="G461" s="3">
        <v>1</v>
      </c>
      <c r="H461" s="3">
        <v>0</v>
      </c>
      <c r="I461" s="3">
        <v>1</v>
      </c>
      <c r="J461" s="3">
        <v>0</v>
      </c>
      <c r="K461" s="3">
        <v>0</v>
      </c>
      <c r="L461" s="3">
        <v>0</v>
      </c>
      <c r="M461" s="3">
        <v>0</v>
      </c>
      <c r="N461" s="3" t="s">
        <v>868</v>
      </c>
      <c r="O461" s="3">
        <v>0</v>
      </c>
      <c r="P461" s="3">
        <v>0</v>
      </c>
      <c r="Q461" s="3">
        <v>0</v>
      </c>
      <c r="R461" s="3">
        <v>0</v>
      </c>
      <c r="S461" s="3">
        <v>2</v>
      </c>
      <c r="T461" s="3">
        <v>7</v>
      </c>
      <c r="U461" s="3">
        <v>8</v>
      </c>
      <c r="V461" s="3">
        <v>9</v>
      </c>
      <c r="W461" s="3"/>
      <c r="X461" s="3">
        <v>16.99</v>
      </c>
      <c r="Y461" s="3">
        <v>16.99</v>
      </c>
      <c r="Z461" s="3">
        <v>16.99</v>
      </c>
      <c r="AA461" s="3">
        <v>0</v>
      </c>
      <c r="AB461" s="3" t="s">
        <v>869</v>
      </c>
      <c r="AC461" s="3">
        <v>1</v>
      </c>
      <c r="AD461" s="3">
        <v>16.99</v>
      </c>
      <c r="AE461" s="3">
        <v>0</v>
      </c>
      <c r="AF461" s="3">
        <v>0</v>
      </c>
      <c r="AG461" s="3">
        <v>0</v>
      </c>
      <c r="AH461" s="3">
        <v>1.44</v>
      </c>
      <c r="AI461" s="3">
        <v>0.166277</v>
      </c>
      <c r="AJ461" s="3" t="s">
        <v>870</v>
      </c>
    </row>
    <row r="462" spans="1:36">
      <c r="A462" s="5">
        <v>43336</v>
      </c>
      <c r="B462" s="3" t="s">
        <v>1959</v>
      </c>
      <c r="C462" s="3" t="s">
        <v>1960</v>
      </c>
      <c r="D462" s="3" t="s">
        <v>1961</v>
      </c>
      <c r="E462" s="3" t="s">
        <v>1962</v>
      </c>
      <c r="F462" s="3" t="s">
        <v>867</v>
      </c>
      <c r="G462" s="3">
        <v>4</v>
      </c>
      <c r="H462" s="3">
        <v>0</v>
      </c>
      <c r="I462" s="3">
        <v>4</v>
      </c>
      <c r="J462" s="3">
        <v>0</v>
      </c>
      <c r="K462" s="3">
        <v>0</v>
      </c>
      <c r="L462" s="3">
        <v>0</v>
      </c>
      <c r="M462" s="3">
        <v>0</v>
      </c>
      <c r="N462" s="3" t="s">
        <v>868</v>
      </c>
      <c r="O462" s="3">
        <v>0</v>
      </c>
      <c r="P462" s="3">
        <v>0</v>
      </c>
      <c r="Q462" s="3">
        <v>0</v>
      </c>
      <c r="R462" s="3">
        <v>0</v>
      </c>
      <c r="S462" s="3">
        <v>0</v>
      </c>
      <c r="T462" s="3">
        <v>0</v>
      </c>
      <c r="U462" s="3">
        <v>0</v>
      </c>
      <c r="V462" s="3">
        <v>0</v>
      </c>
      <c r="W462" s="3" t="s">
        <v>871</v>
      </c>
      <c r="X462" s="3">
        <v>24.98</v>
      </c>
      <c r="Y462" s="3">
        <v>24.98</v>
      </c>
      <c r="Z462" s="3">
        <v>24.98</v>
      </c>
      <c r="AA462" s="3">
        <v>0</v>
      </c>
      <c r="AB462" s="3" t="s">
        <v>869</v>
      </c>
      <c r="AC462" s="3">
        <v>4</v>
      </c>
      <c r="AD462" s="3">
        <v>24.98</v>
      </c>
      <c r="AE462" s="3">
        <v>0</v>
      </c>
      <c r="AF462" s="3">
        <v>0</v>
      </c>
      <c r="AG462" s="3">
        <v>0</v>
      </c>
      <c r="AH462" s="3">
        <v>0.470588235294117</v>
      </c>
      <c r="AI462" s="3">
        <v>0.549004</v>
      </c>
      <c r="AJ462" s="3" t="s">
        <v>870</v>
      </c>
    </row>
    <row r="463" spans="1:36">
      <c r="A463" s="5">
        <v>43336</v>
      </c>
      <c r="B463" s="3" t="s">
        <v>1963</v>
      </c>
      <c r="C463" s="3" t="s">
        <v>1964</v>
      </c>
      <c r="D463" s="3" t="s">
        <v>1964</v>
      </c>
      <c r="E463" s="3" t="s">
        <v>474</v>
      </c>
      <c r="F463" s="3" t="s">
        <v>867</v>
      </c>
      <c r="G463" s="3">
        <v>1</v>
      </c>
      <c r="H463" s="3">
        <v>0</v>
      </c>
      <c r="I463" s="3">
        <v>0</v>
      </c>
      <c r="J463" s="3">
        <v>1</v>
      </c>
      <c r="K463" s="3">
        <v>0</v>
      </c>
      <c r="L463" s="3">
        <v>0</v>
      </c>
      <c r="M463" s="3">
        <v>0</v>
      </c>
      <c r="N463" s="3" t="s">
        <v>868</v>
      </c>
      <c r="O463" s="3">
        <v>0</v>
      </c>
      <c r="P463" s="3">
        <v>0</v>
      </c>
      <c r="Q463" s="3">
        <v>0</v>
      </c>
      <c r="R463" s="3">
        <v>0</v>
      </c>
      <c r="S463" s="3">
        <v>0</v>
      </c>
      <c r="T463" s="3">
        <v>0</v>
      </c>
      <c r="U463" s="3">
        <v>0</v>
      </c>
      <c r="V463" s="3">
        <v>0</v>
      </c>
      <c r="W463" s="3"/>
      <c r="X463" s="3"/>
      <c r="Y463" s="3"/>
      <c r="Z463" s="3">
        <v>-1</v>
      </c>
      <c r="AA463" s="3">
        <v>-1</v>
      </c>
      <c r="AB463" s="3" t="s">
        <v>891</v>
      </c>
      <c r="AC463" s="3">
        <v>0</v>
      </c>
      <c r="AD463" s="3">
        <v>0</v>
      </c>
      <c r="AE463" s="3">
        <v>0</v>
      </c>
      <c r="AF463" s="3">
        <v>0</v>
      </c>
      <c r="AG463" s="3">
        <v>0</v>
      </c>
      <c r="AH463" s="3">
        <v>0</v>
      </c>
      <c r="AI463" s="3">
        <v>0.156767</v>
      </c>
      <c r="AJ463" s="3" t="s">
        <v>870</v>
      </c>
    </row>
    <row r="464" spans="1:36">
      <c r="A464" s="5">
        <v>43336</v>
      </c>
      <c r="B464" s="3" t="s">
        <v>1965</v>
      </c>
      <c r="C464" s="3" t="s">
        <v>1966</v>
      </c>
      <c r="D464" s="3" t="s">
        <v>1942</v>
      </c>
      <c r="E464" s="3" t="s">
        <v>1943</v>
      </c>
      <c r="F464" s="3" t="s">
        <v>867</v>
      </c>
      <c r="G464" s="3">
        <v>27</v>
      </c>
      <c r="H464" s="3">
        <v>0</v>
      </c>
      <c r="I464" s="3">
        <v>27</v>
      </c>
      <c r="J464" s="3">
        <v>0</v>
      </c>
      <c r="K464" s="3">
        <v>0</v>
      </c>
      <c r="L464" s="3">
        <v>0</v>
      </c>
      <c r="M464" s="3">
        <v>0</v>
      </c>
      <c r="N464" s="3" t="s">
        <v>868</v>
      </c>
      <c r="O464" s="3">
        <v>0</v>
      </c>
      <c r="P464" s="3">
        <v>0</v>
      </c>
      <c r="Q464" s="3">
        <v>0</v>
      </c>
      <c r="R464" s="3">
        <v>0</v>
      </c>
      <c r="S464" s="3">
        <v>0</v>
      </c>
      <c r="T464" s="3">
        <v>2</v>
      </c>
      <c r="U464" s="3">
        <v>3</v>
      </c>
      <c r="V464" s="3">
        <v>3</v>
      </c>
      <c r="W464" s="3"/>
      <c r="X464" s="3">
        <v>22.98</v>
      </c>
      <c r="Y464" s="3">
        <v>22.98</v>
      </c>
      <c r="Z464" s="3">
        <v>22.98</v>
      </c>
      <c r="AA464" s="3">
        <v>0</v>
      </c>
      <c r="AB464" s="3" t="s">
        <v>869</v>
      </c>
      <c r="AC464" s="3">
        <v>27</v>
      </c>
      <c r="AD464" s="3">
        <v>22.98</v>
      </c>
      <c r="AE464" s="3">
        <v>0</v>
      </c>
      <c r="AF464" s="3">
        <v>0</v>
      </c>
      <c r="AG464" s="3">
        <v>0</v>
      </c>
      <c r="AH464" s="3">
        <v>0.526315789473684</v>
      </c>
      <c r="AI464" s="3">
        <v>2.443176</v>
      </c>
      <c r="AJ464" s="3" t="s">
        <v>870</v>
      </c>
    </row>
    <row r="465" spans="1:36">
      <c r="A465" s="5">
        <v>43336</v>
      </c>
      <c r="B465" s="3" t="s">
        <v>1967</v>
      </c>
      <c r="C465" s="3" t="s">
        <v>1968</v>
      </c>
      <c r="D465" s="3" t="s">
        <v>1968</v>
      </c>
      <c r="E465" s="3" t="s">
        <v>1060</v>
      </c>
      <c r="F465" s="3" t="s">
        <v>867</v>
      </c>
      <c r="G465" s="3">
        <v>11</v>
      </c>
      <c r="H465" s="3">
        <v>0</v>
      </c>
      <c r="I465" s="3">
        <v>11</v>
      </c>
      <c r="J465" s="3">
        <v>0</v>
      </c>
      <c r="K465" s="3">
        <v>0</v>
      </c>
      <c r="L465" s="3">
        <v>0</v>
      </c>
      <c r="M465" s="3">
        <v>0</v>
      </c>
      <c r="N465" s="3" t="s">
        <v>868</v>
      </c>
      <c r="O465" s="3">
        <v>0</v>
      </c>
      <c r="P465" s="3">
        <v>0</v>
      </c>
      <c r="Q465" s="3">
        <v>0</v>
      </c>
      <c r="R465" s="3">
        <v>0</v>
      </c>
      <c r="S465" s="3">
        <v>2</v>
      </c>
      <c r="T465" s="3">
        <v>13</v>
      </c>
      <c r="U465" s="3">
        <v>35</v>
      </c>
      <c r="V465" s="3">
        <v>50</v>
      </c>
      <c r="W465" s="3"/>
      <c r="X465" s="3">
        <v>24.98</v>
      </c>
      <c r="Y465" s="3">
        <v>24.98</v>
      </c>
      <c r="Z465" s="3">
        <v>24.98</v>
      </c>
      <c r="AA465" s="3">
        <v>0</v>
      </c>
      <c r="AB465" s="3" t="s">
        <v>869</v>
      </c>
      <c r="AC465" s="3">
        <v>10</v>
      </c>
      <c r="AD465" s="3">
        <v>24.98</v>
      </c>
      <c r="AE465" s="3">
        <v>0</v>
      </c>
      <c r="AF465" s="3">
        <v>0</v>
      </c>
      <c r="AG465" s="3">
        <v>0</v>
      </c>
      <c r="AH465" s="3">
        <v>2.38095238095238</v>
      </c>
      <c r="AI465" s="3">
        <v>0.671132</v>
      </c>
      <c r="AJ465" s="3" t="s">
        <v>870</v>
      </c>
    </row>
    <row r="466" spans="1:36">
      <c r="A466" s="5">
        <v>43336</v>
      </c>
      <c r="B466" s="3" t="s">
        <v>1969</v>
      </c>
      <c r="C466" s="3" t="s">
        <v>1970</v>
      </c>
      <c r="D466" s="3" t="s">
        <v>1970</v>
      </c>
      <c r="E466" s="3" t="s">
        <v>1971</v>
      </c>
      <c r="F466" s="3" t="s">
        <v>867</v>
      </c>
      <c r="G466" s="3">
        <v>29</v>
      </c>
      <c r="H466" s="3">
        <v>0</v>
      </c>
      <c r="I466" s="3">
        <v>15</v>
      </c>
      <c r="J466" s="3">
        <v>14</v>
      </c>
      <c r="K466" s="3">
        <v>0</v>
      </c>
      <c r="L466" s="3">
        <v>0</v>
      </c>
      <c r="M466" s="3">
        <v>0</v>
      </c>
      <c r="N466" s="3" t="s">
        <v>868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2</v>
      </c>
      <c r="U466" s="3">
        <v>9</v>
      </c>
      <c r="V466" s="3">
        <v>19</v>
      </c>
      <c r="W466" s="3" t="s">
        <v>871</v>
      </c>
      <c r="X466" s="3">
        <v>22.99</v>
      </c>
      <c r="Y466" s="3">
        <v>22.99</v>
      </c>
      <c r="Z466" s="3">
        <v>22.99</v>
      </c>
      <c r="AA466" s="3">
        <v>0</v>
      </c>
      <c r="AB466" s="3" t="s">
        <v>883</v>
      </c>
      <c r="AC466" s="3">
        <v>29</v>
      </c>
      <c r="AD466" s="3">
        <v>22.98</v>
      </c>
      <c r="AE466" s="3">
        <v>0</v>
      </c>
      <c r="AF466" s="3">
        <v>0</v>
      </c>
      <c r="AG466" s="3">
        <v>0</v>
      </c>
      <c r="AH466" s="3">
        <v>0.655172413793103</v>
      </c>
      <c r="AI466" s="3">
        <v>5.86235</v>
      </c>
      <c r="AJ466" s="3" t="s">
        <v>870</v>
      </c>
    </row>
    <row r="467" spans="1:36">
      <c r="A467" s="5">
        <v>43336</v>
      </c>
      <c r="B467" s="3" t="s">
        <v>399</v>
      </c>
      <c r="C467" s="3" t="s">
        <v>18</v>
      </c>
      <c r="D467" s="3" t="s">
        <v>18</v>
      </c>
      <c r="E467" s="3" t="s">
        <v>19</v>
      </c>
      <c r="F467" s="3" t="s">
        <v>867</v>
      </c>
      <c r="G467" s="3">
        <v>8</v>
      </c>
      <c r="H467" s="3">
        <v>0</v>
      </c>
      <c r="I467" s="3">
        <v>6</v>
      </c>
      <c r="J467" s="3">
        <v>2</v>
      </c>
      <c r="K467" s="3">
        <v>0</v>
      </c>
      <c r="L467" s="3">
        <v>0</v>
      </c>
      <c r="M467" s="3">
        <v>0</v>
      </c>
      <c r="N467" s="3" t="s">
        <v>868</v>
      </c>
      <c r="O467" s="3">
        <v>0</v>
      </c>
      <c r="P467" s="3">
        <v>0</v>
      </c>
      <c r="Q467" s="3">
        <v>0</v>
      </c>
      <c r="R467" s="3">
        <v>0</v>
      </c>
      <c r="S467" s="3">
        <v>7</v>
      </c>
      <c r="T467" s="3">
        <v>18</v>
      </c>
      <c r="U467" s="3">
        <v>27</v>
      </c>
      <c r="V467" s="3">
        <v>42</v>
      </c>
      <c r="W467" s="3"/>
      <c r="X467" s="3">
        <v>22.99</v>
      </c>
      <c r="Y467" s="3">
        <v>22.99</v>
      </c>
      <c r="Z467" s="3">
        <v>22.99</v>
      </c>
      <c r="AA467" s="3">
        <v>0</v>
      </c>
      <c r="AB467" s="3" t="s">
        <v>869</v>
      </c>
      <c r="AC467" s="3">
        <v>11</v>
      </c>
      <c r="AD467" s="3">
        <v>22.98</v>
      </c>
      <c r="AE467" s="3">
        <v>0</v>
      </c>
      <c r="AF467" s="3">
        <v>0</v>
      </c>
      <c r="AG467" s="3">
        <v>0</v>
      </c>
      <c r="AH467" s="3">
        <v>1.5</v>
      </c>
      <c r="AI467" s="3">
        <v>0.789784</v>
      </c>
      <c r="AJ467" s="3" t="s">
        <v>870</v>
      </c>
    </row>
    <row r="468" spans="1:36">
      <c r="A468" s="5">
        <v>43336</v>
      </c>
      <c r="B468" s="3" t="s">
        <v>369</v>
      </c>
      <c r="C468" s="3" t="s">
        <v>370</v>
      </c>
      <c r="D468" s="3" t="s">
        <v>371</v>
      </c>
      <c r="E468" s="3" t="s">
        <v>372</v>
      </c>
      <c r="F468" s="3" t="s">
        <v>867</v>
      </c>
      <c r="G468" s="3">
        <v>88</v>
      </c>
      <c r="H468" s="3">
        <v>0</v>
      </c>
      <c r="I468" s="3">
        <v>88</v>
      </c>
      <c r="J468" s="3">
        <v>0</v>
      </c>
      <c r="K468" s="3">
        <v>0</v>
      </c>
      <c r="L468" s="3">
        <v>0</v>
      </c>
      <c r="M468" s="3">
        <v>0</v>
      </c>
      <c r="N468" s="3" t="s">
        <v>868</v>
      </c>
      <c r="O468" s="3">
        <v>0</v>
      </c>
      <c r="P468" s="3">
        <v>0</v>
      </c>
      <c r="Q468" s="3">
        <v>0</v>
      </c>
      <c r="R468" s="3">
        <v>0</v>
      </c>
      <c r="S468" s="3">
        <v>39</v>
      </c>
      <c r="T468" s="3">
        <v>192</v>
      </c>
      <c r="U468" s="3">
        <v>264</v>
      </c>
      <c r="V468" s="3">
        <v>264</v>
      </c>
      <c r="W468" s="3"/>
      <c r="X468" s="3">
        <v>23.98</v>
      </c>
      <c r="Y468" s="3">
        <v>23.98</v>
      </c>
      <c r="Z468" s="3">
        <v>23.98</v>
      </c>
      <c r="AA468" s="3">
        <v>0</v>
      </c>
      <c r="AB468" s="3" t="s">
        <v>869</v>
      </c>
      <c r="AC468" s="3">
        <v>101</v>
      </c>
      <c r="AD468" s="3">
        <v>23.98</v>
      </c>
      <c r="AE468" s="3">
        <v>0</v>
      </c>
      <c r="AF468" s="3">
        <v>0</v>
      </c>
      <c r="AG468" s="3">
        <v>0</v>
      </c>
      <c r="AH468" s="3">
        <v>6.41198501872659</v>
      </c>
      <c r="AI468" s="3">
        <v>4.006552</v>
      </c>
      <c r="AJ468" s="3" t="s">
        <v>870</v>
      </c>
    </row>
    <row r="469" spans="1:36">
      <c r="A469" s="5">
        <v>43336</v>
      </c>
      <c r="B469" s="3" t="s">
        <v>1972</v>
      </c>
      <c r="C469" s="3" t="s">
        <v>1973</v>
      </c>
      <c r="D469" s="3" t="s">
        <v>1974</v>
      </c>
      <c r="E469" s="3" t="s">
        <v>1975</v>
      </c>
      <c r="F469" s="3" t="s">
        <v>867</v>
      </c>
      <c r="G469" s="3">
        <v>5</v>
      </c>
      <c r="H469" s="3">
        <v>0</v>
      </c>
      <c r="I469" s="3">
        <v>5</v>
      </c>
      <c r="J469" s="3">
        <v>0</v>
      </c>
      <c r="K469" s="3">
        <v>0</v>
      </c>
      <c r="L469" s="3">
        <v>0</v>
      </c>
      <c r="M469" s="3">
        <v>0</v>
      </c>
      <c r="N469" s="3" t="s">
        <v>868</v>
      </c>
      <c r="O469" s="3">
        <v>0</v>
      </c>
      <c r="P469" s="3">
        <v>0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871</v>
      </c>
      <c r="X469" s="3">
        <v>24.98</v>
      </c>
      <c r="Y469" s="3">
        <v>24.98</v>
      </c>
      <c r="Z469" s="3">
        <v>24.98</v>
      </c>
      <c r="AA469" s="3">
        <v>0</v>
      </c>
      <c r="AB469" s="3" t="s">
        <v>869</v>
      </c>
      <c r="AC469" s="3">
        <v>5</v>
      </c>
      <c r="AD469" s="3">
        <v>24.98</v>
      </c>
      <c r="AE469" s="3">
        <v>0</v>
      </c>
      <c r="AF469" s="3">
        <v>0</v>
      </c>
      <c r="AG469" s="3">
        <v>0</v>
      </c>
      <c r="AH469" s="3">
        <v>0.333333333333333</v>
      </c>
      <c r="AI469" s="3">
        <v>0.686255</v>
      </c>
      <c r="AJ469" s="3" t="s">
        <v>870</v>
      </c>
    </row>
    <row r="470" spans="1:36">
      <c r="A470" s="5">
        <v>43336</v>
      </c>
      <c r="B470" s="3" t="s">
        <v>1976</v>
      </c>
      <c r="C470" s="3" t="s">
        <v>1977</v>
      </c>
      <c r="D470" s="3" t="s">
        <v>1978</v>
      </c>
      <c r="E470" s="3" t="s">
        <v>1979</v>
      </c>
      <c r="F470" s="3" t="s">
        <v>867</v>
      </c>
      <c r="G470" s="3">
        <v>1</v>
      </c>
      <c r="H470" s="3">
        <v>0</v>
      </c>
      <c r="I470" s="3">
        <v>1</v>
      </c>
      <c r="J470" s="3">
        <v>0</v>
      </c>
      <c r="K470" s="3">
        <v>0</v>
      </c>
      <c r="L470" s="3">
        <v>0</v>
      </c>
      <c r="M470" s="3">
        <v>0</v>
      </c>
      <c r="N470" s="3" t="s">
        <v>868</v>
      </c>
      <c r="O470" s="3">
        <v>0</v>
      </c>
      <c r="P470" s="3">
        <v>0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0</v>
      </c>
      <c r="W470" s="3" t="s">
        <v>871</v>
      </c>
      <c r="X470" s="3">
        <v>22.99</v>
      </c>
      <c r="Y470" s="3">
        <v>22.98</v>
      </c>
      <c r="Z470" s="3">
        <v>22.98</v>
      </c>
      <c r="AA470" s="3">
        <v>0</v>
      </c>
      <c r="AB470" s="3" t="s">
        <v>869</v>
      </c>
      <c r="AC470" s="3">
        <v>0</v>
      </c>
      <c r="AD470" s="3">
        <v>0</v>
      </c>
      <c r="AE470" s="3">
        <v>0</v>
      </c>
      <c r="AF470" s="3">
        <v>0</v>
      </c>
      <c r="AG470" s="3">
        <v>0</v>
      </c>
      <c r="AH470" s="3">
        <v>0</v>
      </c>
      <c r="AI470" s="3">
        <v>0.145901</v>
      </c>
      <c r="AJ470" s="3" t="s">
        <v>870</v>
      </c>
    </row>
    <row r="471" spans="1:36">
      <c r="A471" s="5">
        <v>43336</v>
      </c>
      <c r="B471" s="3" t="s">
        <v>1980</v>
      </c>
      <c r="C471" s="3" t="s">
        <v>1224</v>
      </c>
      <c r="D471" s="3" t="s">
        <v>1224</v>
      </c>
      <c r="E471" s="3" t="s">
        <v>1225</v>
      </c>
      <c r="F471" s="3" t="s">
        <v>867</v>
      </c>
      <c r="G471" s="3">
        <v>1</v>
      </c>
      <c r="H471" s="3">
        <v>0</v>
      </c>
      <c r="I471" s="3">
        <v>1</v>
      </c>
      <c r="J471" s="3">
        <v>0</v>
      </c>
      <c r="K471" s="3">
        <v>0</v>
      </c>
      <c r="L471" s="3">
        <v>0</v>
      </c>
      <c r="M471" s="3">
        <v>0</v>
      </c>
      <c r="N471" s="3" t="s">
        <v>868</v>
      </c>
      <c r="O471" s="3">
        <v>0</v>
      </c>
      <c r="P471" s="3">
        <v>0</v>
      </c>
      <c r="Q471" s="3">
        <v>0</v>
      </c>
      <c r="R471" s="3">
        <v>0</v>
      </c>
      <c r="S471" s="3">
        <v>0</v>
      </c>
      <c r="T471" s="3">
        <v>2</v>
      </c>
      <c r="U471" s="3">
        <v>8</v>
      </c>
      <c r="V471" s="3">
        <v>15</v>
      </c>
      <c r="W471" s="3"/>
      <c r="X471" s="3">
        <v>23.99</v>
      </c>
      <c r="Y471" s="3">
        <v>21.98</v>
      </c>
      <c r="Z471" s="3">
        <v>21.98</v>
      </c>
      <c r="AA471" s="3">
        <v>0</v>
      </c>
      <c r="AB471" s="3" t="s">
        <v>869</v>
      </c>
      <c r="AC471" s="3">
        <v>0</v>
      </c>
      <c r="AD471" s="3">
        <v>0</v>
      </c>
      <c r="AE471" s="3">
        <v>0</v>
      </c>
      <c r="AF471" s="3">
        <v>0</v>
      </c>
      <c r="AG471" s="3">
        <v>0</v>
      </c>
      <c r="AH471" s="3">
        <v>1.78378378378378</v>
      </c>
      <c r="AI471" s="3">
        <v>0.149693</v>
      </c>
      <c r="AJ471" s="3" t="s">
        <v>870</v>
      </c>
    </row>
    <row r="472" spans="1:36">
      <c r="A472" s="5">
        <v>43336</v>
      </c>
      <c r="B472" s="3" t="s">
        <v>1981</v>
      </c>
      <c r="C472" s="3" t="s">
        <v>1982</v>
      </c>
      <c r="D472" s="3" t="s">
        <v>1982</v>
      </c>
      <c r="E472" s="3" t="s">
        <v>1983</v>
      </c>
      <c r="F472" s="3" t="s">
        <v>867</v>
      </c>
      <c r="G472" s="3">
        <v>30</v>
      </c>
      <c r="H472" s="3">
        <v>0</v>
      </c>
      <c r="I472" s="3">
        <v>0</v>
      </c>
      <c r="J472" s="3">
        <v>2</v>
      </c>
      <c r="K472" s="3">
        <v>2</v>
      </c>
      <c r="L472" s="3">
        <v>26</v>
      </c>
      <c r="M472" s="3">
        <v>0</v>
      </c>
      <c r="N472" s="3" t="s">
        <v>868</v>
      </c>
      <c r="O472" s="3">
        <v>29</v>
      </c>
      <c r="P472" s="3">
        <v>16.64</v>
      </c>
      <c r="Q472" s="3">
        <v>0</v>
      </c>
      <c r="R472" s="3">
        <v>0</v>
      </c>
      <c r="S472" s="3">
        <v>0</v>
      </c>
      <c r="T472" s="3">
        <v>1</v>
      </c>
      <c r="U472" s="3">
        <v>1</v>
      </c>
      <c r="V472" s="3">
        <v>2</v>
      </c>
      <c r="W472" s="3" t="s">
        <v>936</v>
      </c>
      <c r="X472" s="3">
        <v>22.98</v>
      </c>
      <c r="Y472" s="3">
        <v>22.98</v>
      </c>
      <c r="Z472" s="3">
        <v>22.98</v>
      </c>
      <c r="AA472" s="3">
        <v>0</v>
      </c>
      <c r="AB472" s="3" t="s">
        <v>883</v>
      </c>
      <c r="AC472" s="3">
        <v>6</v>
      </c>
      <c r="AD472" s="3">
        <v>20.65</v>
      </c>
      <c r="AE472" s="3">
        <v>119</v>
      </c>
      <c r="AF472" s="3">
        <v>0</v>
      </c>
      <c r="AG472" s="3">
        <v>39.182846</v>
      </c>
      <c r="AH472" s="3">
        <v>0.064</v>
      </c>
      <c r="AI472" s="3">
        <v>4.98831</v>
      </c>
      <c r="AJ472" s="3" t="s">
        <v>870</v>
      </c>
    </row>
    <row r="473" spans="1:36">
      <c r="A473" s="5">
        <v>43336</v>
      </c>
      <c r="B473" s="3" t="s">
        <v>1984</v>
      </c>
      <c r="C473" s="3" t="s">
        <v>1985</v>
      </c>
      <c r="D473" s="3" t="s">
        <v>1985</v>
      </c>
      <c r="E473" s="3" t="s">
        <v>1986</v>
      </c>
      <c r="F473" s="3" t="s">
        <v>867</v>
      </c>
      <c r="G473" s="3">
        <v>17</v>
      </c>
      <c r="H473" s="3">
        <v>0</v>
      </c>
      <c r="I473" s="3">
        <v>7</v>
      </c>
      <c r="J473" s="3">
        <v>10</v>
      </c>
      <c r="K473" s="3">
        <v>0</v>
      </c>
      <c r="L473" s="3">
        <v>0</v>
      </c>
      <c r="M473" s="3">
        <v>0</v>
      </c>
      <c r="N473" s="3" t="s">
        <v>868</v>
      </c>
      <c r="O473" s="3">
        <v>0</v>
      </c>
      <c r="P473" s="3">
        <v>0</v>
      </c>
      <c r="Q473" s="3">
        <v>0</v>
      </c>
      <c r="R473" s="3">
        <v>0</v>
      </c>
      <c r="S473" s="3">
        <v>0</v>
      </c>
      <c r="T473" s="3">
        <v>1</v>
      </c>
      <c r="U473" s="3">
        <v>1</v>
      </c>
      <c r="V473" s="3">
        <v>3</v>
      </c>
      <c r="W473" s="3"/>
      <c r="X473" s="3">
        <v>23.98</v>
      </c>
      <c r="Y473" s="3">
        <v>23.98</v>
      </c>
      <c r="Z473" s="3">
        <v>23.98</v>
      </c>
      <c r="AA473" s="3">
        <v>0</v>
      </c>
      <c r="AB473" s="3" t="s">
        <v>883</v>
      </c>
      <c r="AC473" s="3">
        <v>1</v>
      </c>
      <c r="AD473" s="3">
        <v>21.19</v>
      </c>
      <c r="AE473" s="3">
        <v>168</v>
      </c>
      <c r="AF473" s="3">
        <v>0</v>
      </c>
      <c r="AG473" s="3">
        <v>517.558041</v>
      </c>
      <c r="AH473" s="3">
        <v>0.181818181818181</v>
      </c>
      <c r="AI473" s="3">
        <v>2.848214</v>
      </c>
      <c r="AJ473" s="3" t="s">
        <v>870</v>
      </c>
    </row>
    <row r="474" spans="1:36">
      <c r="A474" s="5">
        <v>43336</v>
      </c>
      <c r="B474" s="3" t="s">
        <v>1987</v>
      </c>
      <c r="C474" s="3" t="s">
        <v>1988</v>
      </c>
      <c r="D474" s="3" t="s">
        <v>1989</v>
      </c>
      <c r="E474" s="3" t="s">
        <v>1990</v>
      </c>
      <c r="F474" s="3" t="s">
        <v>867</v>
      </c>
      <c r="G474" s="3">
        <v>6</v>
      </c>
      <c r="H474" s="3">
        <v>0</v>
      </c>
      <c r="I474" s="3">
        <v>6</v>
      </c>
      <c r="J474" s="3">
        <v>0</v>
      </c>
      <c r="K474" s="3">
        <v>0</v>
      </c>
      <c r="L474" s="3">
        <v>0</v>
      </c>
      <c r="M474" s="3">
        <v>0</v>
      </c>
      <c r="N474" s="3" t="s">
        <v>868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871</v>
      </c>
      <c r="X474" s="3">
        <v>17.99</v>
      </c>
      <c r="Y474" s="3">
        <v>17.99</v>
      </c>
      <c r="Z474" s="3">
        <v>17.99</v>
      </c>
      <c r="AA474" s="3">
        <v>0</v>
      </c>
      <c r="AB474" s="3" t="s">
        <v>869</v>
      </c>
      <c r="AC474" s="3">
        <v>0</v>
      </c>
      <c r="AD474" s="3">
        <v>17.99</v>
      </c>
      <c r="AE474" s="3">
        <v>63</v>
      </c>
      <c r="AF474" s="3">
        <v>0</v>
      </c>
      <c r="AG474" s="3">
        <v>100.883198</v>
      </c>
      <c r="AH474" s="3">
        <v>0</v>
      </c>
      <c r="AI474" s="3">
        <v>0.840402</v>
      </c>
      <c r="AJ474" s="3" t="s">
        <v>925</v>
      </c>
    </row>
    <row r="475" spans="1:36">
      <c r="A475" s="5">
        <v>43336</v>
      </c>
      <c r="B475" s="3" t="s">
        <v>1991</v>
      </c>
      <c r="C475" s="3" t="s">
        <v>1992</v>
      </c>
      <c r="D475" s="3" t="s">
        <v>1993</v>
      </c>
      <c r="E475" s="3" t="s">
        <v>1994</v>
      </c>
      <c r="F475" s="3" t="s">
        <v>867</v>
      </c>
      <c r="G475" s="3">
        <v>7</v>
      </c>
      <c r="H475" s="3">
        <v>0</v>
      </c>
      <c r="I475" s="3">
        <v>1</v>
      </c>
      <c r="J475" s="3">
        <v>1</v>
      </c>
      <c r="K475" s="3">
        <v>5</v>
      </c>
      <c r="L475" s="3">
        <v>0</v>
      </c>
      <c r="M475" s="3">
        <v>0</v>
      </c>
      <c r="N475" s="3" t="s">
        <v>868</v>
      </c>
      <c r="O475" s="3">
        <v>5</v>
      </c>
      <c r="P475" s="3">
        <v>2.54</v>
      </c>
      <c r="Q475" s="3">
        <v>0</v>
      </c>
      <c r="R475" s="3">
        <v>0</v>
      </c>
      <c r="S475" s="3">
        <v>6</v>
      </c>
      <c r="T475" s="3">
        <v>15</v>
      </c>
      <c r="U475" s="3">
        <v>21</v>
      </c>
      <c r="V475" s="3">
        <v>22</v>
      </c>
      <c r="W475" s="3"/>
      <c r="X475" s="3">
        <v>22.99</v>
      </c>
      <c r="Y475" s="3">
        <v>22.99</v>
      </c>
      <c r="Z475" s="3">
        <v>22.99</v>
      </c>
      <c r="AA475" s="3">
        <v>0</v>
      </c>
      <c r="AB475" s="3" t="s">
        <v>869</v>
      </c>
      <c r="AC475" s="3">
        <v>9</v>
      </c>
      <c r="AD475" s="3">
        <v>22.98</v>
      </c>
      <c r="AE475" s="3">
        <v>0</v>
      </c>
      <c r="AF475" s="3">
        <v>0</v>
      </c>
      <c r="AG475" s="3">
        <v>0</v>
      </c>
      <c r="AH475" s="3">
        <v>1.06024096385542</v>
      </c>
      <c r="AI475" s="3">
        <v>1.032234</v>
      </c>
      <c r="AJ475" s="3" t="s">
        <v>870</v>
      </c>
    </row>
    <row r="476" spans="1:36">
      <c r="A476" s="5">
        <v>43336</v>
      </c>
      <c r="B476" s="3" t="s">
        <v>1995</v>
      </c>
      <c r="C476" s="3" t="s">
        <v>1996</v>
      </c>
      <c r="D476" s="3" t="s">
        <v>1996</v>
      </c>
      <c r="E476" s="3" t="s">
        <v>1997</v>
      </c>
      <c r="F476" s="3" t="s">
        <v>867</v>
      </c>
      <c r="G476" s="3">
        <v>1</v>
      </c>
      <c r="H476" s="3">
        <v>0</v>
      </c>
      <c r="I476" s="3">
        <v>1</v>
      </c>
      <c r="J476" s="3">
        <v>0</v>
      </c>
      <c r="K476" s="3">
        <v>0</v>
      </c>
      <c r="L476" s="3">
        <v>0</v>
      </c>
      <c r="M476" s="3">
        <v>0</v>
      </c>
      <c r="N476" s="3" t="s">
        <v>868</v>
      </c>
      <c r="O476" s="3">
        <v>0</v>
      </c>
      <c r="P476" s="3">
        <v>0</v>
      </c>
      <c r="Q476" s="3">
        <v>0</v>
      </c>
      <c r="R476" s="3">
        <v>0</v>
      </c>
      <c r="S476" s="3">
        <v>5</v>
      </c>
      <c r="T476" s="3">
        <v>22</v>
      </c>
      <c r="U476" s="3">
        <v>22</v>
      </c>
      <c r="V476" s="3">
        <v>22</v>
      </c>
      <c r="W476" s="3"/>
      <c r="X476" s="3">
        <v>21.98</v>
      </c>
      <c r="Y476" s="3">
        <v>21.98</v>
      </c>
      <c r="Z476" s="3">
        <v>21.98</v>
      </c>
      <c r="AA476" s="3">
        <v>0</v>
      </c>
      <c r="AB476" s="3" t="s">
        <v>869</v>
      </c>
      <c r="AC476" s="3">
        <v>1</v>
      </c>
      <c r="AD476" s="3">
        <v>21.98</v>
      </c>
      <c r="AE476" s="3">
        <v>0</v>
      </c>
      <c r="AF476" s="3">
        <v>0</v>
      </c>
      <c r="AG476" s="3">
        <v>0</v>
      </c>
      <c r="AH476" s="3">
        <v>1.83333333333333</v>
      </c>
      <c r="AI476" s="3">
        <v>0.045529</v>
      </c>
      <c r="AJ476" s="3" t="s">
        <v>870</v>
      </c>
    </row>
    <row r="477" spans="1:36">
      <c r="A477" s="5">
        <v>43336</v>
      </c>
      <c r="B477" s="3" t="s">
        <v>1998</v>
      </c>
      <c r="C477" s="3" t="s">
        <v>1999</v>
      </c>
      <c r="D477" s="3" t="s">
        <v>1999</v>
      </c>
      <c r="E477" s="3" t="s">
        <v>2000</v>
      </c>
      <c r="F477" s="3" t="s">
        <v>867</v>
      </c>
      <c r="G477" s="3">
        <v>35</v>
      </c>
      <c r="H477" s="3">
        <v>0</v>
      </c>
      <c r="I477" s="3">
        <v>3</v>
      </c>
      <c r="J477" s="3">
        <v>23</v>
      </c>
      <c r="K477" s="3">
        <v>9</v>
      </c>
      <c r="L477" s="3">
        <v>0</v>
      </c>
      <c r="M477" s="3">
        <v>0</v>
      </c>
      <c r="N477" s="3" t="s">
        <v>868</v>
      </c>
      <c r="O477" s="3">
        <v>9</v>
      </c>
      <c r="P477" s="3">
        <v>4.97</v>
      </c>
      <c r="Q477" s="3">
        <v>0</v>
      </c>
      <c r="R477" s="3">
        <v>0</v>
      </c>
      <c r="S477" s="3">
        <v>2</v>
      </c>
      <c r="T477" s="3">
        <v>6</v>
      </c>
      <c r="U477" s="3">
        <v>13</v>
      </c>
      <c r="V477" s="3">
        <v>15</v>
      </c>
      <c r="W477" s="3"/>
      <c r="X477" s="3">
        <v>22.99</v>
      </c>
      <c r="Y477" s="3">
        <v>22.99</v>
      </c>
      <c r="Z477" s="3">
        <v>22.99</v>
      </c>
      <c r="AA477" s="3">
        <v>0</v>
      </c>
      <c r="AB477" s="3" t="s">
        <v>869</v>
      </c>
      <c r="AC477" s="3">
        <v>36</v>
      </c>
      <c r="AD477" s="3">
        <v>22.98</v>
      </c>
      <c r="AE477" s="3">
        <v>0</v>
      </c>
      <c r="AF477" s="3">
        <v>0</v>
      </c>
      <c r="AG477" s="3">
        <v>0</v>
      </c>
      <c r="AH477" s="3">
        <v>0.36144578313253</v>
      </c>
      <c r="AI477" s="3">
        <v>5.5951</v>
      </c>
      <c r="AJ477" s="3" t="s">
        <v>870</v>
      </c>
    </row>
    <row r="478" spans="1:36">
      <c r="A478" s="5">
        <v>43336</v>
      </c>
      <c r="B478" s="3" t="s">
        <v>2001</v>
      </c>
      <c r="C478" s="3" t="s">
        <v>1974</v>
      </c>
      <c r="D478" s="3" t="s">
        <v>1974</v>
      </c>
      <c r="E478" s="3" t="s">
        <v>1975</v>
      </c>
      <c r="F478" s="3" t="s">
        <v>867</v>
      </c>
      <c r="G478" s="3">
        <v>1</v>
      </c>
      <c r="H478" s="3">
        <v>0</v>
      </c>
      <c r="I478" s="3">
        <v>0</v>
      </c>
      <c r="J478" s="3">
        <v>0</v>
      </c>
      <c r="K478" s="3">
        <v>1</v>
      </c>
      <c r="L478" s="3">
        <v>0</v>
      </c>
      <c r="M478" s="3">
        <v>0</v>
      </c>
      <c r="N478" s="3" t="s">
        <v>868</v>
      </c>
      <c r="O478" s="3">
        <v>1</v>
      </c>
      <c r="P478" s="3">
        <v>0.47</v>
      </c>
      <c r="Q478" s="3">
        <v>0</v>
      </c>
      <c r="R478" s="3">
        <v>0</v>
      </c>
      <c r="S478" s="3">
        <v>0</v>
      </c>
      <c r="T478" s="3">
        <v>1</v>
      </c>
      <c r="U478" s="3">
        <v>1</v>
      </c>
      <c r="V478" s="3">
        <v>1</v>
      </c>
      <c r="W478" s="3"/>
      <c r="X478" s="3">
        <v>24.98</v>
      </c>
      <c r="Y478" s="3">
        <v>24.98</v>
      </c>
      <c r="Z478" s="3">
        <v>24.98</v>
      </c>
      <c r="AA478" s="3">
        <v>0</v>
      </c>
      <c r="AB478" s="3" t="s">
        <v>869</v>
      </c>
      <c r="AC478" s="3">
        <v>1</v>
      </c>
      <c r="AD478" s="3">
        <v>24.98</v>
      </c>
      <c r="AE478" s="3">
        <v>0</v>
      </c>
      <c r="AF478" s="3">
        <v>0</v>
      </c>
      <c r="AG478" s="3">
        <v>0</v>
      </c>
      <c r="AH478" s="3">
        <v>0.333333333333333</v>
      </c>
      <c r="AI478" s="3">
        <v>0.137251</v>
      </c>
      <c r="AJ478" s="3" t="s">
        <v>870</v>
      </c>
    </row>
    <row r="479" spans="1:36">
      <c r="A479" s="5">
        <v>43336</v>
      </c>
      <c r="B479" s="3" t="s">
        <v>2002</v>
      </c>
      <c r="C479" s="3" t="s">
        <v>2003</v>
      </c>
      <c r="D479" s="3" t="s">
        <v>2003</v>
      </c>
      <c r="E479" s="3" t="s">
        <v>131</v>
      </c>
      <c r="F479" s="3" t="s">
        <v>867</v>
      </c>
      <c r="G479" s="3">
        <v>10</v>
      </c>
      <c r="H479" s="3">
        <v>0</v>
      </c>
      <c r="I479" s="3">
        <v>0</v>
      </c>
      <c r="J479" s="3">
        <v>10</v>
      </c>
      <c r="K479" s="3">
        <v>0</v>
      </c>
      <c r="L479" s="3">
        <v>0</v>
      </c>
      <c r="M479" s="3">
        <v>0</v>
      </c>
      <c r="N479" s="3" t="s">
        <v>868</v>
      </c>
      <c r="O479" s="3">
        <v>10</v>
      </c>
      <c r="P479" s="3">
        <v>6.85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3</v>
      </c>
      <c r="W479" s="3" t="s">
        <v>871</v>
      </c>
      <c r="X479" s="3">
        <v>23.98</v>
      </c>
      <c r="Y479" s="3">
        <v>23.98</v>
      </c>
      <c r="Z479" s="3">
        <v>23.98</v>
      </c>
      <c r="AA479" s="3">
        <v>0</v>
      </c>
      <c r="AB479" s="3" t="s">
        <v>883</v>
      </c>
      <c r="AC479" s="3">
        <v>0</v>
      </c>
      <c r="AD479" s="3">
        <v>20.17</v>
      </c>
      <c r="AE479" s="3">
        <v>273</v>
      </c>
      <c r="AF479" s="3">
        <v>0</v>
      </c>
      <c r="AG479" s="3">
        <v>333.77638</v>
      </c>
      <c r="AH479" s="3">
        <v>0.206896551724137</v>
      </c>
      <c r="AI479" s="3">
        <v>1.98435</v>
      </c>
      <c r="AJ479" s="3" t="s">
        <v>870</v>
      </c>
    </row>
    <row r="480" spans="1:36">
      <c r="A480" s="5">
        <v>43336</v>
      </c>
      <c r="B480" s="3" t="s">
        <v>2004</v>
      </c>
      <c r="C480" s="3" t="s">
        <v>2005</v>
      </c>
      <c r="D480" s="3" t="s">
        <v>2005</v>
      </c>
      <c r="E480" s="3" t="s">
        <v>2006</v>
      </c>
      <c r="F480" s="3" t="s">
        <v>867</v>
      </c>
      <c r="G480" s="3">
        <v>1</v>
      </c>
      <c r="H480" s="3">
        <v>0</v>
      </c>
      <c r="I480" s="3">
        <v>1</v>
      </c>
      <c r="J480" s="3">
        <v>0</v>
      </c>
      <c r="K480" s="3">
        <v>0</v>
      </c>
      <c r="L480" s="3">
        <v>0</v>
      </c>
      <c r="M480" s="3">
        <v>0</v>
      </c>
      <c r="N480" s="3" t="s">
        <v>868</v>
      </c>
      <c r="O480" s="3">
        <v>0</v>
      </c>
      <c r="P480" s="3">
        <v>0</v>
      </c>
      <c r="Q480" s="3">
        <v>0</v>
      </c>
      <c r="R480" s="3">
        <v>0</v>
      </c>
      <c r="S480" s="3">
        <v>2</v>
      </c>
      <c r="T480" s="3">
        <v>10</v>
      </c>
      <c r="U480" s="3">
        <v>11</v>
      </c>
      <c r="V480" s="3">
        <v>17</v>
      </c>
      <c r="W480" s="3"/>
      <c r="X480" s="3">
        <v>22.99</v>
      </c>
      <c r="Y480" s="3">
        <v>22.99</v>
      </c>
      <c r="Z480" s="3">
        <v>22.99</v>
      </c>
      <c r="AA480" s="3">
        <v>0</v>
      </c>
      <c r="AB480" s="3" t="s">
        <v>869</v>
      </c>
      <c r="AC480" s="3">
        <v>1</v>
      </c>
      <c r="AD480" s="3">
        <v>22.99</v>
      </c>
      <c r="AE480" s="3">
        <v>0</v>
      </c>
      <c r="AF480" s="3">
        <v>0</v>
      </c>
      <c r="AG480" s="3">
        <v>0</v>
      </c>
      <c r="AH480" s="3">
        <v>0.635514018691588</v>
      </c>
      <c r="AI480" s="3">
        <v>0.132173</v>
      </c>
      <c r="AJ480" s="3" t="s">
        <v>870</v>
      </c>
    </row>
    <row r="481" spans="1:36">
      <c r="A481" s="5">
        <v>43336</v>
      </c>
      <c r="B481" s="3" t="s">
        <v>234</v>
      </c>
      <c r="C481" s="3" t="s">
        <v>235</v>
      </c>
      <c r="D481" s="3" t="s">
        <v>236</v>
      </c>
      <c r="E481" s="3" t="s">
        <v>237</v>
      </c>
      <c r="F481" s="3" t="s">
        <v>867</v>
      </c>
      <c r="G481" s="3">
        <v>34</v>
      </c>
      <c r="H481" s="3">
        <v>0</v>
      </c>
      <c r="I481" s="3">
        <v>34</v>
      </c>
      <c r="J481" s="3">
        <v>0</v>
      </c>
      <c r="K481" s="3">
        <v>0</v>
      </c>
      <c r="L481" s="3">
        <v>0</v>
      </c>
      <c r="M481" s="3">
        <v>0</v>
      </c>
      <c r="N481" s="3" t="s">
        <v>868</v>
      </c>
      <c r="O481" s="3">
        <v>0</v>
      </c>
      <c r="P481" s="3">
        <v>0</v>
      </c>
      <c r="Q481" s="3">
        <v>0</v>
      </c>
      <c r="R481" s="3">
        <v>0</v>
      </c>
      <c r="S481" s="3">
        <v>10</v>
      </c>
      <c r="T481" s="3">
        <v>47</v>
      </c>
      <c r="U481" s="3">
        <v>61</v>
      </c>
      <c r="V481" s="3">
        <v>61</v>
      </c>
      <c r="W481" s="3"/>
      <c r="X481" s="3">
        <v>23.98</v>
      </c>
      <c r="Y481" s="3">
        <v>23.98</v>
      </c>
      <c r="Z481" s="3">
        <v>23.98</v>
      </c>
      <c r="AA481" s="3">
        <v>0</v>
      </c>
      <c r="AB481" s="3" t="s">
        <v>869</v>
      </c>
      <c r="AC481" s="3">
        <v>38</v>
      </c>
      <c r="AD481" s="3">
        <v>23.98</v>
      </c>
      <c r="AE481" s="3">
        <v>0</v>
      </c>
      <c r="AF481" s="3">
        <v>0</v>
      </c>
      <c r="AG481" s="3">
        <v>0</v>
      </c>
      <c r="AH481" s="3">
        <v>6.55462184873949</v>
      </c>
      <c r="AI481" s="3">
        <v>4.039846</v>
      </c>
      <c r="AJ481" s="3" t="s">
        <v>870</v>
      </c>
    </row>
    <row r="482" spans="1:36">
      <c r="A482" s="5">
        <v>43336</v>
      </c>
      <c r="B482" s="3" t="s">
        <v>2007</v>
      </c>
      <c r="C482" s="3" t="s">
        <v>2008</v>
      </c>
      <c r="D482" s="3" t="s">
        <v>2008</v>
      </c>
      <c r="E482" s="3" t="s">
        <v>2009</v>
      </c>
      <c r="F482" s="3" t="s">
        <v>867</v>
      </c>
      <c r="G482" s="3">
        <v>6</v>
      </c>
      <c r="H482" s="3">
        <v>0</v>
      </c>
      <c r="I482" s="3">
        <v>0</v>
      </c>
      <c r="J482" s="3">
        <v>3</v>
      </c>
      <c r="K482" s="3">
        <v>3</v>
      </c>
      <c r="L482" s="3">
        <v>0</v>
      </c>
      <c r="M482" s="3">
        <v>0</v>
      </c>
      <c r="N482" s="3" t="s">
        <v>868</v>
      </c>
      <c r="O482" s="3">
        <v>3</v>
      </c>
      <c r="P482" s="3">
        <v>0.91</v>
      </c>
      <c r="Q482" s="3">
        <v>0</v>
      </c>
      <c r="R482" s="3">
        <v>0</v>
      </c>
      <c r="S482" s="3">
        <v>0</v>
      </c>
      <c r="T482" s="3">
        <v>0</v>
      </c>
      <c r="U482" s="3">
        <v>0</v>
      </c>
      <c r="V482" s="3">
        <v>0</v>
      </c>
      <c r="W482" s="3" t="s">
        <v>936</v>
      </c>
      <c r="X482" s="3">
        <v>23.98</v>
      </c>
      <c r="Y482" s="3">
        <v>23.98</v>
      </c>
      <c r="Z482" s="3">
        <v>23.98</v>
      </c>
      <c r="AA482" s="3">
        <v>0</v>
      </c>
      <c r="AB482" s="3" t="s">
        <v>937</v>
      </c>
      <c r="AC482" s="3">
        <v>0</v>
      </c>
      <c r="AD482" s="3">
        <v>19.65</v>
      </c>
      <c r="AE482" s="3">
        <v>350</v>
      </c>
      <c r="AF482" s="3">
        <v>0</v>
      </c>
      <c r="AG482" s="3">
        <v>114.16938</v>
      </c>
      <c r="AH482" s="3">
        <v>0</v>
      </c>
      <c r="AI482" s="3">
        <v>0.526272</v>
      </c>
      <c r="AJ482" s="3" t="s">
        <v>870</v>
      </c>
    </row>
    <row r="483" spans="1:36">
      <c r="A483" s="5">
        <v>43336</v>
      </c>
      <c r="B483" s="3" t="s">
        <v>2010</v>
      </c>
      <c r="C483" s="3" t="s">
        <v>2011</v>
      </c>
      <c r="D483" s="3" t="s">
        <v>2012</v>
      </c>
      <c r="E483" s="3" t="s">
        <v>2013</v>
      </c>
      <c r="F483" s="3" t="s">
        <v>867</v>
      </c>
      <c r="G483" s="3">
        <v>6</v>
      </c>
      <c r="H483" s="3">
        <v>0</v>
      </c>
      <c r="I483" s="3">
        <v>6</v>
      </c>
      <c r="J483" s="3">
        <v>0</v>
      </c>
      <c r="K483" s="3">
        <v>0</v>
      </c>
      <c r="L483" s="3">
        <v>0</v>
      </c>
      <c r="M483" s="3">
        <v>0</v>
      </c>
      <c r="N483" s="3" t="s">
        <v>868</v>
      </c>
      <c r="O483" s="3">
        <v>0</v>
      </c>
      <c r="P483" s="3">
        <v>0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 t="s">
        <v>936</v>
      </c>
      <c r="X483" s="3">
        <v>22.99</v>
      </c>
      <c r="Y483" s="3">
        <v>22.99</v>
      </c>
      <c r="Z483" s="3">
        <v>22.99</v>
      </c>
      <c r="AA483" s="3">
        <v>0</v>
      </c>
      <c r="AB483" s="3" t="s">
        <v>937</v>
      </c>
      <c r="AC483" s="3">
        <v>0</v>
      </c>
      <c r="AD483" s="3">
        <v>18.39</v>
      </c>
      <c r="AE483" s="3">
        <v>63</v>
      </c>
      <c r="AF483" s="3">
        <v>0</v>
      </c>
      <c r="AG483" s="3">
        <v>144.34916</v>
      </c>
      <c r="AH483" s="3">
        <v>0</v>
      </c>
      <c r="AI483" s="3">
        <v>1.14528</v>
      </c>
      <c r="AJ483" s="3" t="s">
        <v>925</v>
      </c>
    </row>
    <row r="484" spans="1:36">
      <c r="A484" s="5">
        <v>43336</v>
      </c>
      <c r="B484" s="3" t="s">
        <v>688</v>
      </c>
      <c r="C484" s="3" t="s">
        <v>689</v>
      </c>
      <c r="D484" s="3" t="s">
        <v>689</v>
      </c>
      <c r="E484" s="3" t="s">
        <v>690</v>
      </c>
      <c r="F484" s="3" t="s">
        <v>867</v>
      </c>
      <c r="G484" s="3">
        <v>19</v>
      </c>
      <c r="H484" s="3">
        <v>0</v>
      </c>
      <c r="I484" s="3">
        <v>13</v>
      </c>
      <c r="J484" s="3">
        <v>6</v>
      </c>
      <c r="K484" s="3">
        <v>0</v>
      </c>
      <c r="L484" s="3">
        <v>0</v>
      </c>
      <c r="M484" s="3">
        <v>0</v>
      </c>
      <c r="N484" s="3" t="s">
        <v>868</v>
      </c>
      <c r="O484" s="3">
        <v>0</v>
      </c>
      <c r="P484" s="3">
        <v>0</v>
      </c>
      <c r="Q484" s="3">
        <v>0</v>
      </c>
      <c r="R484" s="3">
        <v>0</v>
      </c>
      <c r="S484" s="3">
        <v>2</v>
      </c>
      <c r="T484" s="3">
        <v>2</v>
      </c>
      <c r="U484" s="3">
        <v>6</v>
      </c>
      <c r="V484" s="3">
        <v>10</v>
      </c>
      <c r="W484" s="3" t="s">
        <v>871</v>
      </c>
      <c r="X484" s="3">
        <v>23.98</v>
      </c>
      <c r="Y484" s="3">
        <v>23.98</v>
      </c>
      <c r="Z484" s="3">
        <v>23.98</v>
      </c>
      <c r="AA484" s="3">
        <v>0</v>
      </c>
      <c r="AB484" s="3" t="s">
        <v>869</v>
      </c>
      <c r="AC484" s="3">
        <v>19</v>
      </c>
      <c r="AD484" s="3">
        <v>23.98</v>
      </c>
      <c r="AE484" s="3">
        <v>0</v>
      </c>
      <c r="AF484" s="3">
        <v>0</v>
      </c>
      <c r="AG484" s="3">
        <v>0</v>
      </c>
      <c r="AH484" s="3">
        <v>0.50632911392405</v>
      </c>
      <c r="AI484" s="3">
        <v>3.18329799999999</v>
      </c>
      <c r="AJ484" s="3" t="s">
        <v>870</v>
      </c>
    </row>
    <row r="485" spans="1:36">
      <c r="A485" s="5">
        <v>43336</v>
      </c>
      <c r="B485" s="3" t="s">
        <v>2014</v>
      </c>
      <c r="C485" s="3" t="s">
        <v>2015</v>
      </c>
      <c r="D485" s="3" t="s">
        <v>2015</v>
      </c>
      <c r="E485" s="3" t="s">
        <v>2016</v>
      </c>
      <c r="F485" s="3" t="s">
        <v>867</v>
      </c>
      <c r="G485" s="3">
        <v>1</v>
      </c>
      <c r="H485" s="3">
        <v>0</v>
      </c>
      <c r="I485" s="3">
        <v>0</v>
      </c>
      <c r="J485" s="3">
        <v>1</v>
      </c>
      <c r="K485" s="3">
        <v>0</v>
      </c>
      <c r="L485" s="3">
        <v>0</v>
      </c>
      <c r="M485" s="3">
        <v>0</v>
      </c>
      <c r="N485" s="3" t="s">
        <v>868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0</v>
      </c>
      <c r="U485" s="3">
        <v>0</v>
      </c>
      <c r="V485" s="3">
        <v>0</v>
      </c>
      <c r="W485" s="3" t="s">
        <v>936</v>
      </c>
      <c r="X485" s="3">
        <v>15.98</v>
      </c>
      <c r="Y485" s="3">
        <v>15.98</v>
      </c>
      <c r="Z485" s="3">
        <v>15.98</v>
      </c>
      <c r="AA485" s="3">
        <v>0</v>
      </c>
      <c r="AB485" s="3" t="s">
        <v>937</v>
      </c>
      <c r="AC485" s="3">
        <v>1</v>
      </c>
      <c r="AD485" s="3">
        <v>15.98</v>
      </c>
      <c r="AE485" s="3">
        <v>0</v>
      </c>
      <c r="AF485" s="3">
        <v>0</v>
      </c>
      <c r="AG485" s="3">
        <v>0</v>
      </c>
      <c r="AH485" s="3">
        <v>0</v>
      </c>
      <c r="AI485" s="3">
        <v>0.154458</v>
      </c>
      <c r="AJ485" s="3" t="s">
        <v>870</v>
      </c>
    </row>
    <row r="486" spans="1:36">
      <c r="A486" s="5">
        <v>43336</v>
      </c>
      <c r="B486" s="3" t="s">
        <v>2017</v>
      </c>
      <c r="C486" s="3" t="s">
        <v>2018</v>
      </c>
      <c r="D486" s="3" t="s">
        <v>2018</v>
      </c>
      <c r="E486" s="3" t="s">
        <v>131</v>
      </c>
      <c r="F486" s="3" t="s">
        <v>867</v>
      </c>
      <c r="G486" s="3">
        <v>17</v>
      </c>
      <c r="H486" s="3">
        <v>0</v>
      </c>
      <c r="I486" s="3">
        <v>3</v>
      </c>
      <c r="J486" s="3">
        <v>14</v>
      </c>
      <c r="K486" s="3">
        <v>0</v>
      </c>
      <c r="L486" s="3">
        <v>0</v>
      </c>
      <c r="M486" s="3">
        <v>0</v>
      </c>
      <c r="N486" s="3" t="s">
        <v>868</v>
      </c>
      <c r="O486" s="3">
        <v>14</v>
      </c>
      <c r="P486" s="3">
        <v>9.58</v>
      </c>
      <c r="Q486" s="3">
        <v>0</v>
      </c>
      <c r="R486" s="3">
        <v>0</v>
      </c>
      <c r="S486" s="3">
        <v>5</v>
      </c>
      <c r="T486" s="3">
        <v>7</v>
      </c>
      <c r="U486" s="3">
        <v>11</v>
      </c>
      <c r="V486" s="3">
        <v>11</v>
      </c>
      <c r="W486" s="3"/>
      <c r="X486" s="3">
        <v>23.99</v>
      </c>
      <c r="Y486" s="3">
        <v>23.99</v>
      </c>
      <c r="Z486" s="3">
        <v>23.99</v>
      </c>
      <c r="AA486" s="3">
        <v>0</v>
      </c>
      <c r="AB486" s="3" t="s">
        <v>869</v>
      </c>
      <c r="AC486" s="3">
        <v>20</v>
      </c>
      <c r="AD486" s="3">
        <v>16.98</v>
      </c>
      <c r="AE486" s="3">
        <v>0</v>
      </c>
      <c r="AF486" s="3">
        <v>0</v>
      </c>
      <c r="AG486" s="3">
        <v>0</v>
      </c>
      <c r="AH486" s="3">
        <v>0.5</v>
      </c>
      <c r="AI486" s="3">
        <v>3.373395</v>
      </c>
      <c r="AJ486" s="3" t="s">
        <v>870</v>
      </c>
    </row>
    <row r="487" spans="1:36">
      <c r="A487" s="5">
        <v>43336</v>
      </c>
      <c r="B487" s="3" t="s">
        <v>2019</v>
      </c>
      <c r="C487" s="3" t="s">
        <v>2020</v>
      </c>
      <c r="D487" s="3" t="s">
        <v>2021</v>
      </c>
      <c r="E487" s="3" t="s">
        <v>2022</v>
      </c>
      <c r="F487" s="3" t="s">
        <v>867</v>
      </c>
      <c r="G487" s="3">
        <v>6</v>
      </c>
      <c r="H487" s="3">
        <v>0</v>
      </c>
      <c r="I487" s="3">
        <v>6</v>
      </c>
      <c r="J487" s="3">
        <v>0</v>
      </c>
      <c r="K487" s="3">
        <v>0</v>
      </c>
      <c r="L487" s="3">
        <v>0</v>
      </c>
      <c r="M487" s="3">
        <v>0</v>
      </c>
      <c r="N487" s="3" t="s">
        <v>868</v>
      </c>
      <c r="O487" s="3">
        <v>0</v>
      </c>
      <c r="P487" s="3">
        <v>0</v>
      </c>
      <c r="Q487" s="3">
        <v>0</v>
      </c>
      <c r="R487" s="3">
        <v>0</v>
      </c>
      <c r="S487" s="3">
        <v>0</v>
      </c>
      <c r="T487" s="3">
        <v>0</v>
      </c>
      <c r="U487" s="3">
        <v>0</v>
      </c>
      <c r="V487" s="3">
        <v>0</v>
      </c>
      <c r="W487" s="3" t="s">
        <v>871</v>
      </c>
      <c r="X487" s="3">
        <v>17.99</v>
      </c>
      <c r="Y487" s="3">
        <v>17.99</v>
      </c>
      <c r="Z487" s="3">
        <v>17.99</v>
      </c>
      <c r="AA487" s="3">
        <v>0</v>
      </c>
      <c r="AB487" s="3" t="s">
        <v>869</v>
      </c>
      <c r="AC487" s="3">
        <v>0</v>
      </c>
      <c r="AD487" s="3">
        <v>17.99</v>
      </c>
      <c r="AE487" s="3">
        <v>63</v>
      </c>
      <c r="AF487" s="3">
        <v>0</v>
      </c>
      <c r="AG487" s="3">
        <v>149.730621</v>
      </c>
      <c r="AH487" s="3">
        <v>0</v>
      </c>
      <c r="AI487" s="3">
        <v>1.304106</v>
      </c>
      <c r="AJ487" s="3" t="s">
        <v>925</v>
      </c>
    </row>
    <row r="488" spans="1:36">
      <c r="A488" s="5">
        <v>43336</v>
      </c>
      <c r="B488" s="3" t="s">
        <v>2023</v>
      </c>
      <c r="C488" s="3" t="s">
        <v>2024</v>
      </c>
      <c r="D488" s="3" t="s">
        <v>2024</v>
      </c>
      <c r="E488" s="3" t="s">
        <v>2025</v>
      </c>
      <c r="F488" s="3" t="s">
        <v>867</v>
      </c>
      <c r="G488" s="3">
        <v>1</v>
      </c>
      <c r="H488" s="3">
        <v>0</v>
      </c>
      <c r="I488" s="3">
        <v>0</v>
      </c>
      <c r="J488" s="3">
        <v>0</v>
      </c>
      <c r="K488" s="3">
        <v>1</v>
      </c>
      <c r="L488" s="3">
        <v>0</v>
      </c>
      <c r="M488" s="3">
        <v>0</v>
      </c>
      <c r="N488" s="3" t="s">
        <v>868</v>
      </c>
      <c r="O488" s="3">
        <v>1</v>
      </c>
      <c r="P488" s="3">
        <v>0.21</v>
      </c>
      <c r="Q488" s="3">
        <v>0</v>
      </c>
      <c r="R488" s="3">
        <v>0</v>
      </c>
      <c r="S488" s="3">
        <v>1</v>
      </c>
      <c r="T488" s="3">
        <v>1</v>
      </c>
      <c r="U488" s="3">
        <v>3</v>
      </c>
      <c r="V488" s="3">
        <v>5</v>
      </c>
      <c r="W488" s="3"/>
      <c r="X488" s="3">
        <v>26.98</v>
      </c>
      <c r="Y488" s="3">
        <v>26.98</v>
      </c>
      <c r="Z488" s="3">
        <v>26.98</v>
      </c>
      <c r="AA488" s="3">
        <v>0</v>
      </c>
      <c r="AB488" s="3" t="s">
        <v>883</v>
      </c>
      <c r="AC488" s="3">
        <v>0</v>
      </c>
      <c r="AD488" s="3">
        <v>21.58</v>
      </c>
      <c r="AE488" s="3">
        <v>126</v>
      </c>
      <c r="AF488" s="3">
        <v>0</v>
      </c>
      <c r="AG488" s="3">
        <v>5.638493</v>
      </c>
      <c r="AH488" s="3">
        <v>1.53846153846153</v>
      </c>
      <c r="AI488" s="3">
        <v>0.061012</v>
      </c>
      <c r="AJ488" s="3" t="s">
        <v>870</v>
      </c>
    </row>
    <row r="489" spans="1:36">
      <c r="A489" s="5">
        <v>43336</v>
      </c>
      <c r="B489" s="3" t="s">
        <v>2026</v>
      </c>
      <c r="C489" s="3" t="s">
        <v>2027</v>
      </c>
      <c r="D489" s="3" t="s">
        <v>2028</v>
      </c>
      <c r="E489" s="3" t="s">
        <v>2029</v>
      </c>
      <c r="F489" s="3" t="s">
        <v>867</v>
      </c>
      <c r="G489" s="3">
        <v>5</v>
      </c>
      <c r="H489" s="3">
        <v>0</v>
      </c>
      <c r="I489" s="3">
        <v>5</v>
      </c>
      <c r="J489" s="3">
        <v>0</v>
      </c>
      <c r="K489" s="3">
        <v>0</v>
      </c>
      <c r="L489" s="3">
        <v>0</v>
      </c>
      <c r="M489" s="3">
        <v>0</v>
      </c>
      <c r="N489" s="3" t="s">
        <v>868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0</v>
      </c>
      <c r="V489" s="3">
        <v>0</v>
      </c>
      <c r="W489" s="3" t="s">
        <v>871</v>
      </c>
      <c r="X489" s="3">
        <v>22.98</v>
      </c>
      <c r="Y489" s="3">
        <v>22.98</v>
      </c>
      <c r="Z489" s="3">
        <v>22.98</v>
      </c>
      <c r="AA489" s="3">
        <v>0</v>
      </c>
      <c r="AB489" s="3" t="s">
        <v>869</v>
      </c>
      <c r="AC489" s="3">
        <v>5</v>
      </c>
      <c r="AD489" s="3">
        <v>22.98</v>
      </c>
      <c r="AE489" s="3">
        <v>0</v>
      </c>
      <c r="AF489" s="3">
        <v>0</v>
      </c>
      <c r="AG489" s="3">
        <v>0</v>
      </c>
      <c r="AH489" s="3">
        <v>0.516129032258064</v>
      </c>
      <c r="AI489" s="3">
        <v>0.850735</v>
      </c>
      <c r="AJ489" s="3" t="s">
        <v>870</v>
      </c>
    </row>
    <row r="490" spans="1:36">
      <c r="A490" s="5">
        <v>43336</v>
      </c>
      <c r="B490" s="3" t="s">
        <v>2030</v>
      </c>
      <c r="C490" s="3" t="s">
        <v>2031</v>
      </c>
      <c r="D490" s="3" t="s">
        <v>2031</v>
      </c>
      <c r="E490" s="3" t="s">
        <v>2032</v>
      </c>
      <c r="F490" s="3" t="s">
        <v>867</v>
      </c>
      <c r="G490" s="3">
        <v>14</v>
      </c>
      <c r="H490" s="3">
        <v>0</v>
      </c>
      <c r="I490" s="3">
        <v>8</v>
      </c>
      <c r="J490" s="3">
        <v>6</v>
      </c>
      <c r="K490" s="3">
        <v>0</v>
      </c>
      <c r="L490" s="3">
        <v>0</v>
      </c>
      <c r="M490" s="3">
        <v>0</v>
      </c>
      <c r="N490" s="3" t="s">
        <v>868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1</v>
      </c>
      <c r="U490" s="3">
        <v>3</v>
      </c>
      <c r="V490" s="3">
        <v>6</v>
      </c>
      <c r="W490" s="3" t="s">
        <v>871</v>
      </c>
      <c r="X490" s="3">
        <v>22.98</v>
      </c>
      <c r="Y490" s="3">
        <v>22.98</v>
      </c>
      <c r="Z490" s="3">
        <v>22.98</v>
      </c>
      <c r="AA490" s="3">
        <v>0</v>
      </c>
      <c r="AB490" s="3" t="s">
        <v>869</v>
      </c>
      <c r="AC490" s="3">
        <v>14</v>
      </c>
      <c r="AD490" s="3">
        <v>22.98</v>
      </c>
      <c r="AE490" s="3">
        <v>0</v>
      </c>
      <c r="AF490" s="3">
        <v>0</v>
      </c>
      <c r="AG490" s="3">
        <v>0</v>
      </c>
      <c r="AH490" s="3">
        <v>0.421052631578947</v>
      </c>
      <c r="AI490" s="3">
        <v>1.16988199999999</v>
      </c>
      <c r="AJ490" s="3" t="s">
        <v>870</v>
      </c>
    </row>
    <row r="491" spans="1:36">
      <c r="A491" s="5">
        <v>43336</v>
      </c>
      <c r="B491" s="3" t="s">
        <v>2033</v>
      </c>
      <c r="C491" s="3" t="s">
        <v>2034</v>
      </c>
      <c r="D491" s="3" t="s">
        <v>2034</v>
      </c>
      <c r="E491" s="3" t="s">
        <v>2035</v>
      </c>
      <c r="F491" s="3" t="s">
        <v>867</v>
      </c>
      <c r="G491" s="3">
        <v>3</v>
      </c>
      <c r="H491" s="3">
        <v>0</v>
      </c>
      <c r="I491" s="3">
        <v>0</v>
      </c>
      <c r="J491" s="3">
        <v>3</v>
      </c>
      <c r="K491" s="3">
        <v>0</v>
      </c>
      <c r="L491" s="3">
        <v>0</v>
      </c>
      <c r="M491" s="3">
        <v>0</v>
      </c>
      <c r="N491" s="3" t="s">
        <v>868</v>
      </c>
      <c r="O491" s="3">
        <v>0</v>
      </c>
      <c r="P491" s="3">
        <v>0</v>
      </c>
      <c r="Q491" s="3">
        <v>0</v>
      </c>
      <c r="R491" s="3">
        <v>0</v>
      </c>
      <c r="S491" s="3">
        <v>0</v>
      </c>
      <c r="T491" s="3">
        <v>1</v>
      </c>
      <c r="U491" s="3">
        <v>1</v>
      </c>
      <c r="V491" s="3">
        <v>1</v>
      </c>
      <c r="W491" s="3"/>
      <c r="X491" s="3">
        <v>22.98</v>
      </c>
      <c r="Y491" s="3">
        <v>22.98</v>
      </c>
      <c r="Z491" s="3">
        <v>22.98</v>
      </c>
      <c r="AA491" s="3">
        <v>0</v>
      </c>
      <c r="AB491" s="3" t="s">
        <v>883</v>
      </c>
      <c r="AC491" s="3">
        <v>1</v>
      </c>
      <c r="AD491" s="3">
        <v>21.7</v>
      </c>
      <c r="AE491" s="3">
        <v>35</v>
      </c>
      <c r="AF491" s="3">
        <v>0</v>
      </c>
      <c r="AG491" s="3">
        <v>80.533744</v>
      </c>
      <c r="AH491" s="3">
        <v>0.266666666666666</v>
      </c>
      <c r="AI491" s="3">
        <v>0.352635</v>
      </c>
      <c r="AJ491" s="3" t="s">
        <v>870</v>
      </c>
    </row>
    <row r="492" spans="1:36">
      <c r="A492" s="5">
        <v>43336</v>
      </c>
      <c r="B492" s="3" t="s">
        <v>80</v>
      </c>
      <c r="C492" s="3" t="s">
        <v>81</v>
      </c>
      <c r="D492" s="3" t="s">
        <v>82</v>
      </c>
      <c r="E492" s="3" t="s">
        <v>83</v>
      </c>
      <c r="F492" s="3" t="s">
        <v>867</v>
      </c>
      <c r="G492" s="3">
        <v>4</v>
      </c>
      <c r="H492" s="3">
        <v>0</v>
      </c>
      <c r="I492" s="3">
        <v>4</v>
      </c>
      <c r="J492" s="3">
        <v>0</v>
      </c>
      <c r="K492" s="3">
        <v>0</v>
      </c>
      <c r="L492" s="3">
        <v>0</v>
      </c>
      <c r="M492" s="3">
        <v>0</v>
      </c>
      <c r="N492" s="3" t="s">
        <v>868</v>
      </c>
      <c r="O492" s="3">
        <v>0</v>
      </c>
      <c r="P492" s="3">
        <v>0</v>
      </c>
      <c r="Q492" s="3">
        <v>0</v>
      </c>
      <c r="R492" s="3">
        <v>0</v>
      </c>
      <c r="S492" s="3">
        <v>0</v>
      </c>
      <c r="T492" s="3">
        <v>0</v>
      </c>
      <c r="U492" s="3">
        <v>0</v>
      </c>
      <c r="V492" s="3">
        <v>0</v>
      </c>
      <c r="W492" s="3" t="s">
        <v>871</v>
      </c>
      <c r="X492" s="3">
        <v>45.98</v>
      </c>
      <c r="Y492" s="3">
        <v>27.98</v>
      </c>
      <c r="Z492" s="3">
        <v>27.98</v>
      </c>
      <c r="AA492" s="3">
        <v>0</v>
      </c>
      <c r="AB492" s="3" t="s">
        <v>883</v>
      </c>
      <c r="AC492" s="3">
        <v>0</v>
      </c>
      <c r="AD492" s="3">
        <v>22.38</v>
      </c>
      <c r="AE492" s="3">
        <v>63</v>
      </c>
      <c r="AF492" s="3">
        <v>0</v>
      </c>
      <c r="AG492" s="3">
        <v>102.299374</v>
      </c>
      <c r="AH492" s="3">
        <v>0</v>
      </c>
      <c r="AI492" s="3">
        <v>0.67628</v>
      </c>
      <c r="AJ492" s="3" t="s">
        <v>870</v>
      </c>
    </row>
    <row r="493" spans="1:36">
      <c r="A493" s="5">
        <v>43336</v>
      </c>
      <c r="B493" s="3" t="s">
        <v>423</v>
      </c>
      <c r="C493" s="3" t="s">
        <v>424</v>
      </c>
      <c r="D493" s="3" t="s">
        <v>424</v>
      </c>
      <c r="E493" s="3" t="s">
        <v>425</v>
      </c>
      <c r="F493" s="3" t="s">
        <v>867</v>
      </c>
      <c r="G493" s="3">
        <v>4</v>
      </c>
      <c r="H493" s="3">
        <v>0</v>
      </c>
      <c r="I493" s="3">
        <v>1</v>
      </c>
      <c r="J493" s="3">
        <v>3</v>
      </c>
      <c r="K493" s="3">
        <v>0</v>
      </c>
      <c r="L493" s="3">
        <v>0</v>
      </c>
      <c r="M493" s="3">
        <v>0</v>
      </c>
      <c r="N493" s="3" t="s">
        <v>868</v>
      </c>
      <c r="O493" s="3">
        <v>0</v>
      </c>
      <c r="P493" s="3">
        <v>0</v>
      </c>
      <c r="Q493" s="3">
        <v>0</v>
      </c>
      <c r="R493" s="3">
        <v>0</v>
      </c>
      <c r="S493" s="3">
        <v>2</v>
      </c>
      <c r="T493" s="3">
        <v>8</v>
      </c>
      <c r="U493" s="3">
        <v>12</v>
      </c>
      <c r="V493" s="3">
        <v>16</v>
      </c>
      <c r="W493" s="3"/>
      <c r="X493" s="3">
        <v>20.98</v>
      </c>
      <c r="Y493" s="3">
        <v>20.98</v>
      </c>
      <c r="Z493" s="3">
        <v>20.98</v>
      </c>
      <c r="AA493" s="3">
        <v>0</v>
      </c>
      <c r="AB493" s="3" t="s">
        <v>869</v>
      </c>
      <c r="AC493" s="3">
        <v>5</v>
      </c>
      <c r="AD493" s="3">
        <v>20.98</v>
      </c>
      <c r="AE493" s="3">
        <v>0</v>
      </c>
      <c r="AF493" s="3">
        <v>0</v>
      </c>
      <c r="AG493" s="3">
        <v>0</v>
      </c>
      <c r="AH493" s="3">
        <v>0.4</v>
      </c>
      <c r="AI493" s="3">
        <v>0.861668</v>
      </c>
      <c r="AJ493" s="3" t="s">
        <v>898</v>
      </c>
    </row>
    <row r="494" spans="1:36">
      <c r="A494" s="5">
        <v>43336</v>
      </c>
      <c r="B494" s="3" t="s">
        <v>2036</v>
      </c>
      <c r="C494" s="3" t="s">
        <v>2037</v>
      </c>
      <c r="D494" s="3" t="s">
        <v>2037</v>
      </c>
      <c r="E494" s="3" t="s">
        <v>1916</v>
      </c>
      <c r="F494" s="3" t="s">
        <v>867</v>
      </c>
      <c r="G494" s="3">
        <v>11</v>
      </c>
      <c r="H494" s="3">
        <v>0</v>
      </c>
      <c r="I494" s="3">
        <v>0</v>
      </c>
      <c r="J494" s="3">
        <v>11</v>
      </c>
      <c r="K494" s="3">
        <v>0</v>
      </c>
      <c r="L494" s="3">
        <v>0</v>
      </c>
      <c r="M494" s="3">
        <v>0</v>
      </c>
      <c r="N494" s="3" t="s">
        <v>868</v>
      </c>
      <c r="O494" s="3">
        <v>11</v>
      </c>
      <c r="P494" s="3">
        <v>6.26</v>
      </c>
      <c r="Q494" s="3">
        <v>0</v>
      </c>
      <c r="R494" s="3">
        <v>0</v>
      </c>
      <c r="S494" s="3">
        <v>0</v>
      </c>
      <c r="T494" s="3">
        <v>0</v>
      </c>
      <c r="U494" s="3">
        <v>0</v>
      </c>
      <c r="V494" s="3">
        <v>0</v>
      </c>
      <c r="W494" s="3" t="s">
        <v>936</v>
      </c>
      <c r="X494" s="3">
        <v>27.98</v>
      </c>
      <c r="Y494" s="3">
        <v>27.98</v>
      </c>
      <c r="Z494" s="3">
        <v>27.98</v>
      </c>
      <c r="AA494" s="3">
        <v>0</v>
      </c>
      <c r="AB494" s="3" t="s">
        <v>937</v>
      </c>
      <c r="AC494" s="3">
        <v>0</v>
      </c>
      <c r="AD494" s="3">
        <v>24.3</v>
      </c>
      <c r="AE494" s="3">
        <v>168</v>
      </c>
      <c r="AF494" s="3">
        <v>0</v>
      </c>
      <c r="AG494" s="3">
        <v>353.421021</v>
      </c>
      <c r="AH494" s="3">
        <v>0</v>
      </c>
      <c r="AI494" s="3">
        <v>1.814318</v>
      </c>
      <c r="AJ494" s="3" t="s">
        <v>870</v>
      </c>
    </row>
    <row r="495" spans="1:36">
      <c r="A495" s="5">
        <v>43336</v>
      </c>
      <c r="B495" s="3" t="s">
        <v>2038</v>
      </c>
      <c r="C495" s="3" t="s">
        <v>2039</v>
      </c>
      <c r="D495" s="3" t="s">
        <v>2039</v>
      </c>
      <c r="E495" s="3" t="s">
        <v>2040</v>
      </c>
      <c r="F495" s="3" t="s">
        <v>867</v>
      </c>
      <c r="G495" s="3">
        <v>1</v>
      </c>
      <c r="H495" s="3">
        <v>0</v>
      </c>
      <c r="I495" s="3">
        <v>0</v>
      </c>
      <c r="J495" s="3">
        <v>1</v>
      </c>
      <c r="K495" s="3">
        <v>0</v>
      </c>
      <c r="L495" s="3">
        <v>0</v>
      </c>
      <c r="M495" s="3">
        <v>0</v>
      </c>
      <c r="N495" s="3" t="s">
        <v>868</v>
      </c>
      <c r="O495" s="3">
        <v>0</v>
      </c>
      <c r="P495" s="3">
        <v>0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/>
      <c r="X495" s="3"/>
      <c r="Y495" s="3"/>
      <c r="Z495" s="3">
        <v>-1</v>
      </c>
      <c r="AA495" s="3">
        <v>-1</v>
      </c>
      <c r="AB495" s="3" t="s">
        <v>891</v>
      </c>
      <c r="AC495" s="3">
        <v>0</v>
      </c>
      <c r="AD495" s="3">
        <v>0</v>
      </c>
      <c r="AE495" s="3">
        <v>0</v>
      </c>
      <c r="AF495" s="3">
        <v>0</v>
      </c>
      <c r="AG495" s="3">
        <v>0</v>
      </c>
      <c r="AH495" s="3">
        <v>0</v>
      </c>
      <c r="AI495" s="3">
        <v>0.686641</v>
      </c>
      <c r="AJ495" s="3" t="s">
        <v>898</v>
      </c>
    </row>
    <row r="496" spans="1:36">
      <c r="A496" s="5">
        <v>43336</v>
      </c>
      <c r="B496" s="3" t="s">
        <v>2041</v>
      </c>
      <c r="C496" s="3" t="s">
        <v>2042</v>
      </c>
      <c r="D496" s="3" t="s">
        <v>2043</v>
      </c>
      <c r="E496" s="3" t="s">
        <v>2044</v>
      </c>
      <c r="F496" s="3" t="s">
        <v>867</v>
      </c>
      <c r="G496" s="3">
        <v>2</v>
      </c>
      <c r="H496" s="3">
        <v>0</v>
      </c>
      <c r="I496" s="3">
        <v>2</v>
      </c>
      <c r="J496" s="3">
        <v>0</v>
      </c>
      <c r="K496" s="3">
        <v>0</v>
      </c>
      <c r="L496" s="3">
        <v>0</v>
      </c>
      <c r="M496" s="3">
        <v>0</v>
      </c>
      <c r="N496" s="3" t="s">
        <v>868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0</v>
      </c>
      <c r="W496" s="3" t="s">
        <v>936</v>
      </c>
      <c r="X496" s="3">
        <v>22.98</v>
      </c>
      <c r="Y496" s="3">
        <v>22.98</v>
      </c>
      <c r="Z496" s="3">
        <v>22.98</v>
      </c>
      <c r="AA496" s="3">
        <v>0</v>
      </c>
      <c r="AB496" s="3" t="s">
        <v>937</v>
      </c>
      <c r="AC496" s="3">
        <v>0</v>
      </c>
      <c r="AD496" s="3">
        <v>18.38</v>
      </c>
      <c r="AE496" s="3">
        <v>63</v>
      </c>
      <c r="AF496" s="3">
        <v>0</v>
      </c>
      <c r="AG496" s="3">
        <v>34.351744</v>
      </c>
      <c r="AH496" s="3">
        <v>0</v>
      </c>
      <c r="AI496" s="3">
        <v>0.286738</v>
      </c>
      <c r="AJ496" s="3" t="s">
        <v>925</v>
      </c>
    </row>
    <row r="497" spans="1:36">
      <c r="A497" s="5">
        <v>43336</v>
      </c>
      <c r="B497" s="3" t="s">
        <v>2045</v>
      </c>
      <c r="C497" s="3" t="s">
        <v>2046</v>
      </c>
      <c r="D497" s="3" t="s">
        <v>2047</v>
      </c>
      <c r="E497" s="3" t="s">
        <v>2048</v>
      </c>
      <c r="F497" s="3" t="s">
        <v>867</v>
      </c>
      <c r="G497" s="3">
        <v>2</v>
      </c>
      <c r="H497" s="3">
        <v>0</v>
      </c>
      <c r="I497" s="3">
        <v>2</v>
      </c>
      <c r="J497" s="3">
        <v>0</v>
      </c>
      <c r="K497" s="3">
        <v>0</v>
      </c>
      <c r="L497" s="3">
        <v>0</v>
      </c>
      <c r="M497" s="3">
        <v>0</v>
      </c>
      <c r="N497" s="3" t="s">
        <v>868</v>
      </c>
      <c r="O497" s="3">
        <v>0</v>
      </c>
      <c r="P497" s="3">
        <v>0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 t="s">
        <v>871</v>
      </c>
      <c r="X497" s="3">
        <v>35.98</v>
      </c>
      <c r="Y497" s="3">
        <v>19.99</v>
      </c>
      <c r="Z497" s="3">
        <v>19.99</v>
      </c>
      <c r="AA497" s="3">
        <v>0</v>
      </c>
      <c r="AB497" s="3" t="s">
        <v>883</v>
      </c>
      <c r="AC497" s="3">
        <v>0</v>
      </c>
      <c r="AD497" s="3">
        <v>15.99</v>
      </c>
      <c r="AE497" s="3">
        <v>63</v>
      </c>
      <c r="AF497" s="3">
        <v>0</v>
      </c>
      <c r="AG497" s="3">
        <v>73.992409</v>
      </c>
      <c r="AH497" s="3">
        <v>0</v>
      </c>
      <c r="AI497" s="3">
        <v>0.429722</v>
      </c>
      <c r="AJ497" s="3" t="s">
        <v>925</v>
      </c>
    </row>
    <row r="498" spans="1:36">
      <c r="A498" s="5">
        <v>43336</v>
      </c>
      <c r="B498" s="3" t="s">
        <v>600</v>
      </c>
      <c r="C498" s="3" t="s">
        <v>601</v>
      </c>
      <c r="D498" s="3" t="s">
        <v>601</v>
      </c>
      <c r="E498" s="3" t="s">
        <v>602</v>
      </c>
      <c r="F498" s="3" t="s">
        <v>867</v>
      </c>
      <c r="G498" s="3">
        <v>1</v>
      </c>
      <c r="H498" s="3">
        <v>0</v>
      </c>
      <c r="I498" s="3">
        <v>1</v>
      </c>
      <c r="J498" s="3">
        <v>0</v>
      </c>
      <c r="K498" s="3">
        <v>0</v>
      </c>
      <c r="L498" s="3">
        <v>0</v>
      </c>
      <c r="M498" s="3">
        <v>0</v>
      </c>
      <c r="N498" s="3" t="s">
        <v>868</v>
      </c>
      <c r="O498" s="3">
        <v>0</v>
      </c>
      <c r="P498" s="3">
        <v>0</v>
      </c>
      <c r="Q498" s="3">
        <v>0</v>
      </c>
      <c r="R498" s="3">
        <v>0</v>
      </c>
      <c r="S498" s="3">
        <v>2</v>
      </c>
      <c r="T498" s="3">
        <v>25</v>
      </c>
      <c r="U498" s="3">
        <v>42</v>
      </c>
      <c r="V498" s="3">
        <v>53</v>
      </c>
      <c r="W498" s="3"/>
      <c r="X498" s="3"/>
      <c r="Y498" s="3"/>
      <c r="Z498" s="3">
        <v>-1</v>
      </c>
      <c r="AA498" s="3">
        <v>-1</v>
      </c>
      <c r="AB498" s="3" t="s">
        <v>891</v>
      </c>
      <c r="AC498" s="3">
        <v>0</v>
      </c>
      <c r="AD498" s="3">
        <v>0</v>
      </c>
      <c r="AE498" s="3">
        <v>0</v>
      </c>
      <c r="AF498" s="3">
        <v>0</v>
      </c>
      <c r="AG498" s="3">
        <v>0</v>
      </c>
      <c r="AH498" s="3">
        <v>2.89090909090909</v>
      </c>
      <c r="AI498" s="3">
        <v>0.045529</v>
      </c>
      <c r="AJ498" s="3" t="s">
        <v>898</v>
      </c>
    </row>
    <row r="499" spans="1:36">
      <c r="A499" s="5">
        <v>43336</v>
      </c>
      <c r="B499" s="3" t="s">
        <v>2049</v>
      </c>
      <c r="C499" s="3" t="s">
        <v>2050</v>
      </c>
      <c r="D499" s="3" t="s">
        <v>2050</v>
      </c>
      <c r="E499" s="3" t="s">
        <v>2051</v>
      </c>
      <c r="F499" s="3" t="s">
        <v>867</v>
      </c>
      <c r="G499" s="3">
        <v>22</v>
      </c>
      <c r="H499" s="3">
        <v>0</v>
      </c>
      <c r="I499" s="3">
        <v>0</v>
      </c>
      <c r="J499" s="3">
        <v>22</v>
      </c>
      <c r="K499" s="3">
        <v>0</v>
      </c>
      <c r="L499" s="3">
        <v>0</v>
      </c>
      <c r="M499" s="3">
        <v>0</v>
      </c>
      <c r="N499" s="3" t="s">
        <v>868</v>
      </c>
      <c r="O499" s="3">
        <v>0</v>
      </c>
      <c r="P499" s="3">
        <v>0</v>
      </c>
      <c r="Q499" s="3">
        <v>0</v>
      </c>
      <c r="R499" s="3">
        <v>0</v>
      </c>
      <c r="S499" s="3">
        <v>1</v>
      </c>
      <c r="T499" s="3">
        <v>4</v>
      </c>
      <c r="U499" s="3">
        <v>5</v>
      </c>
      <c r="V499" s="3">
        <v>5</v>
      </c>
      <c r="W499" s="3"/>
      <c r="X499" s="3">
        <v>23.98</v>
      </c>
      <c r="Y499" s="3">
        <v>23.98</v>
      </c>
      <c r="Z499" s="3">
        <v>23.98</v>
      </c>
      <c r="AA499" s="3">
        <v>0</v>
      </c>
      <c r="AB499" s="3" t="s">
        <v>869</v>
      </c>
      <c r="AC499" s="3">
        <v>23</v>
      </c>
      <c r="AD499" s="3">
        <v>23.98</v>
      </c>
      <c r="AE499" s="3">
        <v>0</v>
      </c>
      <c r="AF499" s="3">
        <v>0</v>
      </c>
      <c r="AG499" s="3">
        <v>0</v>
      </c>
      <c r="AH499" s="3">
        <v>0.232558139534883</v>
      </c>
      <c r="AI499" s="3">
        <v>1.75395</v>
      </c>
      <c r="AJ499" s="3" t="s">
        <v>870</v>
      </c>
    </row>
    <row r="500" spans="1:36">
      <c r="A500" s="5">
        <v>43336</v>
      </c>
      <c r="B500" s="3" t="s">
        <v>2052</v>
      </c>
      <c r="C500" s="3" t="s">
        <v>2053</v>
      </c>
      <c r="D500" s="3" t="s">
        <v>2054</v>
      </c>
      <c r="E500" s="3" t="s">
        <v>546</v>
      </c>
      <c r="F500" s="3" t="s">
        <v>867</v>
      </c>
      <c r="G500" s="3">
        <v>22</v>
      </c>
      <c r="H500" s="3">
        <v>0</v>
      </c>
      <c r="I500" s="3">
        <v>22</v>
      </c>
      <c r="J500" s="3">
        <v>0</v>
      </c>
      <c r="K500" s="3">
        <v>0</v>
      </c>
      <c r="L500" s="3">
        <v>0</v>
      </c>
      <c r="M500" s="3">
        <v>0</v>
      </c>
      <c r="N500" s="3" t="s">
        <v>868</v>
      </c>
      <c r="O500" s="3">
        <v>0</v>
      </c>
      <c r="P500" s="3">
        <v>0</v>
      </c>
      <c r="Q500" s="3">
        <v>0</v>
      </c>
      <c r="R500" s="3">
        <v>0</v>
      </c>
      <c r="S500" s="3">
        <v>13</v>
      </c>
      <c r="T500" s="3">
        <v>47</v>
      </c>
      <c r="U500" s="3">
        <v>68</v>
      </c>
      <c r="V500" s="3">
        <v>86</v>
      </c>
      <c r="W500" s="3"/>
      <c r="X500" s="3">
        <v>24.98</v>
      </c>
      <c r="Y500" s="3">
        <v>23.98</v>
      </c>
      <c r="Z500" s="3">
        <v>23.98</v>
      </c>
      <c r="AA500" s="3">
        <v>0</v>
      </c>
      <c r="AB500" s="3" t="s">
        <v>869</v>
      </c>
      <c r="AC500" s="3">
        <v>24</v>
      </c>
      <c r="AD500" s="3">
        <v>23.98</v>
      </c>
      <c r="AE500" s="3">
        <v>0</v>
      </c>
      <c r="AF500" s="3">
        <v>0</v>
      </c>
      <c r="AG500" s="3">
        <v>0</v>
      </c>
      <c r="AH500" s="3">
        <v>5.60869565217391</v>
      </c>
      <c r="AI500" s="3">
        <v>1.001638</v>
      </c>
      <c r="AJ500" s="3" t="s">
        <v>870</v>
      </c>
    </row>
    <row r="501" spans="1:36">
      <c r="A501" s="5">
        <v>43336</v>
      </c>
      <c r="B501" s="3" t="s">
        <v>2055</v>
      </c>
      <c r="C501" s="3" t="s">
        <v>2056</v>
      </c>
      <c r="D501" s="3" t="s">
        <v>2056</v>
      </c>
      <c r="E501" s="3" t="s">
        <v>2057</v>
      </c>
      <c r="F501" s="3" t="s">
        <v>867</v>
      </c>
      <c r="G501" s="3">
        <v>5</v>
      </c>
      <c r="H501" s="3">
        <v>0</v>
      </c>
      <c r="I501" s="3">
        <v>0</v>
      </c>
      <c r="J501" s="3">
        <v>2</v>
      </c>
      <c r="K501" s="3">
        <v>3</v>
      </c>
      <c r="L501" s="3">
        <v>0</v>
      </c>
      <c r="M501" s="3">
        <v>0</v>
      </c>
      <c r="N501" s="3" t="s">
        <v>868</v>
      </c>
      <c r="O501" s="3">
        <v>4</v>
      </c>
      <c r="P501" s="3">
        <v>1.59</v>
      </c>
      <c r="Q501" s="3">
        <v>0</v>
      </c>
      <c r="R501" s="3">
        <v>0</v>
      </c>
      <c r="S501" s="3">
        <v>1</v>
      </c>
      <c r="T501" s="3">
        <v>3</v>
      </c>
      <c r="U501" s="3">
        <v>4</v>
      </c>
      <c r="V501" s="3">
        <v>6</v>
      </c>
      <c r="W501" s="3"/>
      <c r="X501" s="3">
        <v>25.98</v>
      </c>
      <c r="Y501" s="3">
        <v>25.98</v>
      </c>
      <c r="Z501" s="3">
        <v>25.98</v>
      </c>
      <c r="AA501" s="3">
        <v>0</v>
      </c>
      <c r="AB501" s="3" t="s">
        <v>869</v>
      </c>
      <c r="AC501" s="3">
        <v>5</v>
      </c>
      <c r="AD501" s="3">
        <v>25.98</v>
      </c>
      <c r="AE501" s="3">
        <v>0</v>
      </c>
      <c r="AF501" s="3">
        <v>0</v>
      </c>
      <c r="AG501" s="3">
        <v>0</v>
      </c>
      <c r="AH501" s="3">
        <v>0.727272727272727</v>
      </c>
      <c r="AI501" s="3">
        <v>0.576405</v>
      </c>
      <c r="AJ501" s="3" t="s">
        <v>870</v>
      </c>
    </row>
    <row r="502" spans="1:36">
      <c r="A502" s="5">
        <v>43336</v>
      </c>
      <c r="B502" s="3" t="s">
        <v>2058</v>
      </c>
      <c r="C502" s="3" t="s">
        <v>2059</v>
      </c>
      <c r="D502" s="3" t="s">
        <v>2060</v>
      </c>
      <c r="E502" s="3" t="s">
        <v>2061</v>
      </c>
      <c r="F502" s="3" t="s">
        <v>867</v>
      </c>
      <c r="G502" s="3">
        <v>6</v>
      </c>
      <c r="H502" s="3">
        <v>0</v>
      </c>
      <c r="I502" s="3">
        <v>6</v>
      </c>
      <c r="J502" s="3">
        <v>0</v>
      </c>
      <c r="K502" s="3">
        <v>0</v>
      </c>
      <c r="L502" s="3">
        <v>0</v>
      </c>
      <c r="M502" s="3">
        <v>0</v>
      </c>
      <c r="N502" s="3" t="s">
        <v>868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2</v>
      </c>
      <c r="U502" s="3">
        <v>4</v>
      </c>
      <c r="V502" s="3">
        <v>4</v>
      </c>
      <c r="W502" s="3" t="s">
        <v>871</v>
      </c>
      <c r="X502" s="3">
        <v>22.98</v>
      </c>
      <c r="Y502" s="3">
        <v>22.98</v>
      </c>
      <c r="Z502" s="3">
        <v>22.98</v>
      </c>
      <c r="AA502" s="3">
        <v>0</v>
      </c>
      <c r="AB502" s="3" t="s">
        <v>869</v>
      </c>
      <c r="AC502" s="3">
        <v>6</v>
      </c>
      <c r="AD502" s="3">
        <v>22.98</v>
      </c>
      <c r="AE502" s="3">
        <v>0</v>
      </c>
      <c r="AF502" s="3">
        <v>0</v>
      </c>
      <c r="AG502" s="3">
        <v>0</v>
      </c>
      <c r="AH502" s="3">
        <v>1.21212121212121</v>
      </c>
      <c r="AI502" s="3">
        <v>0.542928</v>
      </c>
      <c r="AJ502" s="3" t="s">
        <v>870</v>
      </c>
    </row>
    <row r="503" spans="1:36">
      <c r="A503" s="5">
        <v>43336</v>
      </c>
      <c r="B503" s="3" t="s">
        <v>377</v>
      </c>
      <c r="C503" s="3" t="s">
        <v>378</v>
      </c>
      <c r="D503" s="3" t="s">
        <v>379</v>
      </c>
      <c r="E503" s="3" t="s">
        <v>380</v>
      </c>
      <c r="F503" s="3" t="s">
        <v>867</v>
      </c>
      <c r="G503" s="3">
        <v>28</v>
      </c>
      <c r="H503" s="3">
        <v>0</v>
      </c>
      <c r="I503" s="3">
        <v>28</v>
      </c>
      <c r="J503" s="3">
        <v>0</v>
      </c>
      <c r="K503" s="3">
        <v>0</v>
      </c>
      <c r="L503" s="3">
        <v>0</v>
      </c>
      <c r="M503" s="3">
        <v>0</v>
      </c>
      <c r="N503" s="3" t="s">
        <v>868</v>
      </c>
      <c r="O503" s="3">
        <v>0</v>
      </c>
      <c r="P503" s="3">
        <v>0</v>
      </c>
      <c r="Q503" s="3">
        <v>0</v>
      </c>
      <c r="R503" s="3">
        <v>0</v>
      </c>
      <c r="S503" s="3">
        <v>33</v>
      </c>
      <c r="T503" s="3">
        <v>148</v>
      </c>
      <c r="U503" s="3">
        <v>220</v>
      </c>
      <c r="V503" s="3">
        <v>220</v>
      </c>
      <c r="W503" s="3"/>
      <c r="X503" s="3">
        <v>24.98</v>
      </c>
      <c r="Y503" s="3">
        <v>23.98</v>
      </c>
      <c r="Z503" s="3">
        <v>23.98</v>
      </c>
      <c r="AA503" s="3">
        <v>0</v>
      </c>
      <c r="AB503" s="3" t="s">
        <v>869</v>
      </c>
      <c r="AC503" s="3">
        <v>10</v>
      </c>
      <c r="AD503" s="3">
        <v>23.98</v>
      </c>
      <c r="AE503" s="3">
        <v>0</v>
      </c>
      <c r="AF503" s="3">
        <v>0</v>
      </c>
      <c r="AG503" s="3">
        <v>0</v>
      </c>
      <c r="AH503" s="3">
        <v>11.9663865546218</v>
      </c>
      <c r="AI503" s="3">
        <v>1.274812</v>
      </c>
      <c r="AJ503" s="3" t="s">
        <v>870</v>
      </c>
    </row>
    <row r="504" spans="1:36">
      <c r="A504" s="5">
        <v>43336</v>
      </c>
      <c r="B504" s="3" t="s">
        <v>2062</v>
      </c>
      <c r="C504" s="3" t="s">
        <v>2063</v>
      </c>
      <c r="D504" s="3" t="s">
        <v>2064</v>
      </c>
      <c r="E504" s="3" t="s">
        <v>2065</v>
      </c>
      <c r="F504" s="3" t="s">
        <v>867</v>
      </c>
      <c r="G504" s="3">
        <v>6</v>
      </c>
      <c r="H504" s="3">
        <v>0</v>
      </c>
      <c r="I504" s="3">
        <v>6</v>
      </c>
      <c r="J504" s="3">
        <v>0</v>
      </c>
      <c r="K504" s="3">
        <v>0</v>
      </c>
      <c r="L504" s="3">
        <v>0</v>
      </c>
      <c r="M504" s="3">
        <v>0</v>
      </c>
      <c r="N504" s="3" t="s">
        <v>868</v>
      </c>
      <c r="O504" s="3">
        <v>0</v>
      </c>
      <c r="P504" s="3">
        <v>0</v>
      </c>
      <c r="Q504" s="3">
        <v>0</v>
      </c>
      <c r="R504" s="3">
        <v>0</v>
      </c>
      <c r="S504" s="3">
        <v>0</v>
      </c>
      <c r="T504" s="3">
        <v>0</v>
      </c>
      <c r="U504" s="3">
        <v>0</v>
      </c>
      <c r="V504" s="3">
        <v>0</v>
      </c>
      <c r="W504" s="3" t="s">
        <v>936</v>
      </c>
      <c r="X504" s="3">
        <v>22.99</v>
      </c>
      <c r="Y504" s="3">
        <v>22.99</v>
      </c>
      <c r="Z504" s="3">
        <v>22.99</v>
      </c>
      <c r="AA504" s="3">
        <v>0</v>
      </c>
      <c r="AB504" s="3" t="s">
        <v>937</v>
      </c>
      <c r="AC504" s="3">
        <v>0</v>
      </c>
      <c r="AD504" s="3">
        <v>18.99</v>
      </c>
      <c r="AE504" s="3">
        <v>63</v>
      </c>
      <c r="AF504" s="3">
        <v>0</v>
      </c>
      <c r="AG504" s="3">
        <v>111.341253</v>
      </c>
      <c r="AH504" s="3">
        <v>0</v>
      </c>
      <c r="AI504" s="3">
        <v>0.855558</v>
      </c>
      <c r="AJ504" s="3" t="s">
        <v>925</v>
      </c>
    </row>
    <row r="505" spans="1:36">
      <c r="A505" s="5">
        <v>43336</v>
      </c>
      <c r="B505" s="3" t="s">
        <v>748</v>
      </c>
      <c r="C505" s="3" t="s">
        <v>749</v>
      </c>
      <c r="D505" s="3" t="s">
        <v>750</v>
      </c>
      <c r="E505" s="3" t="s">
        <v>751</v>
      </c>
      <c r="F505" s="3" t="s">
        <v>867</v>
      </c>
      <c r="G505" s="3">
        <v>6</v>
      </c>
      <c r="H505" s="3">
        <v>0</v>
      </c>
      <c r="I505" s="3">
        <v>6</v>
      </c>
      <c r="J505" s="3">
        <v>0</v>
      </c>
      <c r="K505" s="3">
        <v>0</v>
      </c>
      <c r="L505" s="3">
        <v>0</v>
      </c>
      <c r="M505" s="3">
        <v>0</v>
      </c>
      <c r="N505" s="3" t="s">
        <v>868</v>
      </c>
      <c r="O505" s="3">
        <v>0</v>
      </c>
      <c r="P505" s="3">
        <v>0</v>
      </c>
      <c r="Q505" s="3">
        <v>0</v>
      </c>
      <c r="R505" s="3">
        <v>0</v>
      </c>
      <c r="S505" s="3">
        <v>5</v>
      </c>
      <c r="T505" s="3">
        <v>14</v>
      </c>
      <c r="U505" s="3">
        <v>16</v>
      </c>
      <c r="V505" s="3">
        <v>16</v>
      </c>
      <c r="W505" s="3"/>
      <c r="X505" s="3">
        <v>22.98</v>
      </c>
      <c r="Y505" s="3">
        <v>22.98</v>
      </c>
      <c r="Z505" s="3">
        <v>22.98</v>
      </c>
      <c r="AA505" s="3">
        <v>0</v>
      </c>
      <c r="AB505" s="3" t="s">
        <v>869</v>
      </c>
      <c r="AC505" s="3">
        <v>9</v>
      </c>
      <c r="AD505" s="3">
        <v>22.98</v>
      </c>
      <c r="AE505" s="3">
        <v>0</v>
      </c>
      <c r="AF505" s="3">
        <v>0</v>
      </c>
      <c r="AG505" s="3">
        <v>0</v>
      </c>
      <c r="AH505" s="3">
        <v>4.53333333333333</v>
      </c>
      <c r="AI505" s="3">
        <v>0.501378</v>
      </c>
      <c r="AJ505" s="3" t="s">
        <v>870</v>
      </c>
    </row>
    <row r="506" spans="1:36">
      <c r="A506" s="5">
        <v>43336</v>
      </c>
      <c r="B506" s="3" t="s">
        <v>618</v>
      </c>
      <c r="C506" s="3" t="s">
        <v>619</v>
      </c>
      <c r="D506" s="3" t="s">
        <v>619</v>
      </c>
      <c r="E506" s="3" t="s">
        <v>2066</v>
      </c>
      <c r="F506" s="3" t="s">
        <v>867</v>
      </c>
      <c r="G506" s="3">
        <v>24</v>
      </c>
      <c r="H506" s="3">
        <v>0</v>
      </c>
      <c r="I506" s="3">
        <v>0</v>
      </c>
      <c r="J506" s="3">
        <v>24</v>
      </c>
      <c r="K506" s="3">
        <v>0</v>
      </c>
      <c r="L506" s="3">
        <v>0</v>
      </c>
      <c r="M506" s="3">
        <v>0</v>
      </c>
      <c r="N506" s="3" t="s">
        <v>868</v>
      </c>
      <c r="O506" s="3">
        <v>0</v>
      </c>
      <c r="P506" s="3">
        <v>0</v>
      </c>
      <c r="Q506" s="3">
        <v>0</v>
      </c>
      <c r="R506" s="3">
        <v>0</v>
      </c>
      <c r="S506" s="3">
        <v>2</v>
      </c>
      <c r="T506" s="3">
        <v>4</v>
      </c>
      <c r="U506" s="3">
        <v>6</v>
      </c>
      <c r="V506" s="3">
        <v>12</v>
      </c>
      <c r="W506" s="3" t="s">
        <v>871</v>
      </c>
      <c r="X506" s="3">
        <v>39.98</v>
      </c>
      <c r="Y506" s="3">
        <v>23.98</v>
      </c>
      <c r="Z506" s="3">
        <v>23.98</v>
      </c>
      <c r="AA506" s="3">
        <v>0</v>
      </c>
      <c r="AB506" s="3" t="s">
        <v>869</v>
      </c>
      <c r="AC506" s="3">
        <v>24</v>
      </c>
      <c r="AD506" s="3">
        <v>23.98</v>
      </c>
      <c r="AE506" s="3">
        <v>0</v>
      </c>
      <c r="AF506" s="3">
        <v>0</v>
      </c>
      <c r="AG506" s="3">
        <v>0</v>
      </c>
      <c r="AH506" s="3">
        <v>0.41025641025641</v>
      </c>
      <c r="AI506" s="3">
        <v>2.18923199999999</v>
      </c>
      <c r="AJ506" s="3" t="s">
        <v>870</v>
      </c>
    </row>
    <row r="507" spans="1:36">
      <c r="A507" s="5">
        <v>43336</v>
      </c>
      <c r="B507" s="3" t="s">
        <v>2067</v>
      </c>
      <c r="C507" s="3" t="s">
        <v>2068</v>
      </c>
      <c r="D507" s="3" t="s">
        <v>2068</v>
      </c>
      <c r="E507" s="3" t="s">
        <v>2069</v>
      </c>
      <c r="F507" s="3" t="s">
        <v>867</v>
      </c>
      <c r="G507" s="3">
        <v>9</v>
      </c>
      <c r="H507" s="3">
        <v>0</v>
      </c>
      <c r="I507" s="3">
        <v>0</v>
      </c>
      <c r="J507" s="3">
        <v>9</v>
      </c>
      <c r="K507" s="3">
        <v>0</v>
      </c>
      <c r="L507" s="3">
        <v>0</v>
      </c>
      <c r="M507" s="3">
        <v>0</v>
      </c>
      <c r="N507" s="3" t="s">
        <v>868</v>
      </c>
      <c r="O507" s="3">
        <v>0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1</v>
      </c>
      <c r="V507" s="3">
        <v>2</v>
      </c>
      <c r="W507" s="3" t="s">
        <v>871</v>
      </c>
      <c r="X507" s="3">
        <v>23.98</v>
      </c>
      <c r="Y507" s="3">
        <v>23.98</v>
      </c>
      <c r="Z507" s="3">
        <v>23.98</v>
      </c>
      <c r="AA507" s="3">
        <v>0</v>
      </c>
      <c r="AB507" s="3" t="s">
        <v>883</v>
      </c>
      <c r="AC507" s="3">
        <v>1</v>
      </c>
      <c r="AD507" s="3">
        <v>22.13</v>
      </c>
      <c r="AE507" s="3">
        <v>112</v>
      </c>
      <c r="AF507" s="3">
        <v>0</v>
      </c>
      <c r="AG507" s="3">
        <v>235.660274</v>
      </c>
      <c r="AH507" s="3">
        <v>0.205128205128205</v>
      </c>
      <c r="AI507" s="3">
        <v>1.146744</v>
      </c>
      <c r="AJ507" s="3" t="s">
        <v>870</v>
      </c>
    </row>
    <row r="508" spans="1:36">
      <c r="A508" s="5">
        <v>43336</v>
      </c>
      <c r="B508" s="3" t="s">
        <v>2070</v>
      </c>
      <c r="C508" s="3" t="s">
        <v>2071</v>
      </c>
      <c r="D508" s="3" t="s">
        <v>2071</v>
      </c>
      <c r="E508" s="3" t="s">
        <v>2072</v>
      </c>
      <c r="F508" s="3" t="s">
        <v>867</v>
      </c>
      <c r="G508" s="3">
        <v>25</v>
      </c>
      <c r="H508" s="3">
        <v>0</v>
      </c>
      <c r="I508" s="3">
        <v>2</v>
      </c>
      <c r="J508" s="3">
        <v>3</v>
      </c>
      <c r="K508" s="3">
        <v>0</v>
      </c>
      <c r="L508" s="3">
        <v>20</v>
      </c>
      <c r="M508" s="3">
        <v>0</v>
      </c>
      <c r="N508" s="3" t="s">
        <v>868</v>
      </c>
      <c r="O508" s="3">
        <v>20</v>
      </c>
      <c r="P508" s="3">
        <v>2.18</v>
      </c>
      <c r="Q508" s="3">
        <v>0</v>
      </c>
      <c r="R508" s="3">
        <v>0</v>
      </c>
      <c r="S508" s="3">
        <v>1</v>
      </c>
      <c r="T508" s="3">
        <v>3</v>
      </c>
      <c r="U508" s="3">
        <v>7</v>
      </c>
      <c r="V508" s="3">
        <v>12</v>
      </c>
      <c r="W508" s="3" t="s">
        <v>871</v>
      </c>
      <c r="X508" s="3">
        <v>39.98</v>
      </c>
      <c r="Y508" s="3">
        <v>16.99</v>
      </c>
      <c r="Z508" s="3">
        <v>16.99</v>
      </c>
      <c r="AA508" s="3">
        <v>0</v>
      </c>
      <c r="AB508" s="3" t="s">
        <v>883</v>
      </c>
      <c r="AC508" s="3">
        <v>1</v>
      </c>
      <c r="AD508" s="3">
        <v>12.22</v>
      </c>
      <c r="AE508" s="3">
        <v>350</v>
      </c>
      <c r="AF508" s="3">
        <v>0</v>
      </c>
      <c r="AG508" s="3">
        <v>123.738075</v>
      </c>
      <c r="AH508" s="3">
        <v>0.41025641025641</v>
      </c>
      <c r="AI508" s="3">
        <v>0.79055</v>
      </c>
      <c r="AJ508" s="3" t="s">
        <v>870</v>
      </c>
    </row>
    <row r="509" spans="1:36">
      <c r="A509" s="5">
        <v>43336</v>
      </c>
      <c r="B509" s="3" t="s">
        <v>2073</v>
      </c>
      <c r="C509" s="3" t="s">
        <v>2074</v>
      </c>
      <c r="D509" s="3" t="s">
        <v>1245</v>
      </c>
      <c r="E509" s="3" t="s">
        <v>1246</v>
      </c>
      <c r="F509" s="3" t="s">
        <v>867</v>
      </c>
      <c r="G509" s="3">
        <v>16</v>
      </c>
      <c r="H509" s="3">
        <v>0</v>
      </c>
      <c r="I509" s="3">
        <v>16</v>
      </c>
      <c r="J509" s="3">
        <v>0</v>
      </c>
      <c r="K509" s="3">
        <v>0</v>
      </c>
      <c r="L509" s="3">
        <v>0</v>
      </c>
      <c r="M509" s="3">
        <v>0</v>
      </c>
      <c r="N509" s="3" t="s">
        <v>868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3</v>
      </c>
      <c r="U509" s="3">
        <v>5</v>
      </c>
      <c r="V509" s="3">
        <v>5</v>
      </c>
      <c r="W509" s="3"/>
      <c r="X509" s="3">
        <v>24.98</v>
      </c>
      <c r="Y509" s="3">
        <v>24.98</v>
      </c>
      <c r="Z509" s="3">
        <v>24.98</v>
      </c>
      <c r="AA509" s="3">
        <v>0</v>
      </c>
      <c r="AB509" s="3" t="s">
        <v>869</v>
      </c>
      <c r="AC509" s="3">
        <v>16</v>
      </c>
      <c r="AD509" s="3">
        <v>24.98</v>
      </c>
      <c r="AE509" s="3">
        <v>0</v>
      </c>
      <c r="AF509" s="3">
        <v>0</v>
      </c>
      <c r="AG509" s="3">
        <v>0</v>
      </c>
      <c r="AH509" s="3">
        <v>0.413793103448275</v>
      </c>
      <c r="AI509" s="3">
        <v>0.976192</v>
      </c>
      <c r="AJ509" s="3" t="s">
        <v>870</v>
      </c>
    </row>
    <row r="510" spans="1:36">
      <c r="A510" s="5">
        <v>43336</v>
      </c>
      <c r="B510" s="3" t="s">
        <v>2075</v>
      </c>
      <c r="C510" s="3" t="s">
        <v>2076</v>
      </c>
      <c r="D510" s="3" t="s">
        <v>2076</v>
      </c>
      <c r="E510" s="3" t="s">
        <v>2077</v>
      </c>
      <c r="F510" s="3" t="s">
        <v>867</v>
      </c>
      <c r="G510" s="3">
        <v>10</v>
      </c>
      <c r="H510" s="3">
        <v>0</v>
      </c>
      <c r="I510" s="3">
        <v>1</v>
      </c>
      <c r="J510" s="3">
        <v>9</v>
      </c>
      <c r="K510" s="3">
        <v>0</v>
      </c>
      <c r="L510" s="3">
        <v>0</v>
      </c>
      <c r="M510" s="3">
        <v>0</v>
      </c>
      <c r="N510" s="3" t="s">
        <v>868</v>
      </c>
      <c r="O510" s="3">
        <v>9</v>
      </c>
      <c r="P510" s="3">
        <v>5.13</v>
      </c>
      <c r="Q510" s="3">
        <v>0</v>
      </c>
      <c r="R510" s="3">
        <v>0</v>
      </c>
      <c r="S510" s="3">
        <v>0</v>
      </c>
      <c r="T510" s="3">
        <v>1</v>
      </c>
      <c r="U510" s="3">
        <v>2</v>
      </c>
      <c r="V510" s="3">
        <v>3</v>
      </c>
      <c r="W510" s="3" t="s">
        <v>871</v>
      </c>
      <c r="X510" s="3">
        <v>25.98</v>
      </c>
      <c r="Y510" s="3">
        <v>25.98</v>
      </c>
      <c r="Z510" s="3">
        <v>25.98</v>
      </c>
      <c r="AA510" s="3">
        <v>0</v>
      </c>
      <c r="AB510" s="3" t="s">
        <v>883</v>
      </c>
      <c r="AC510" s="3">
        <v>0</v>
      </c>
      <c r="AD510" s="3">
        <v>20.39</v>
      </c>
      <c r="AE510" s="3">
        <v>357</v>
      </c>
      <c r="AF510" s="3">
        <v>0</v>
      </c>
      <c r="AG510" s="3">
        <v>250.009762</v>
      </c>
      <c r="AH510" s="3">
        <v>0.193548387096774</v>
      </c>
      <c r="AI510" s="3">
        <v>1.64938</v>
      </c>
      <c r="AJ510" s="3" t="s">
        <v>870</v>
      </c>
    </row>
    <row r="511" spans="1:36">
      <c r="A511" s="5">
        <v>43336</v>
      </c>
      <c r="B511" s="3" t="s">
        <v>2078</v>
      </c>
      <c r="C511" s="3" t="s">
        <v>2079</v>
      </c>
      <c r="D511" s="3" t="s">
        <v>2080</v>
      </c>
      <c r="E511" s="3" t="s">
        <v>2081</v>
      </c>
      <c r="F511" s="3" t="s">
        <v>867</v>
      </c>
      <c r="G511" s="3">
        <v>5</v>
      </c>
      <c r="H511" s="3">
        <v>0</v>
      </c>
      <c r="I511" s="3">
        <v>5</v>
      </c>
      <c r="J511" s="3">
        <v>0</v>
      </c>
      <c r="K511" s="3">
        <v>0</v>
      </c>
      <c r="L511" s="3">
        <v>0</v>
      </c>
      <c r="M511" s="3">
        <v>0</v>
      </c>
      <c r="N511" s="3" t="s">
        <v>868</v>
      </c>
      <c r="O511" s="3">
        <v>0</v>
      </c>
      <c r="P511" s="3">
        <v>0</v>
      </c>
      <c r="Q511" s="3">
        <v>0</v>
      </c>
      <c r="R511" s="3">
        <v>0</v>
      </c>
      <c r="S511" s="3">
        <v>1</v>
      </c>
      <c r="T511" s="3">
        <v>1</v>
      </c>
      <c r="U511" s="3">
        <v>1</v>
      </c>
      <c r="V511" s="3">
        <v>1</v>
      </c>
      <c r="W511" s="3"/>
      <c r="X511" s="3">
        <v>17.99</v>
      </c>
      <c r="Y511" s="3">
        <v>17.99</v>
      </c>
      <c r="Z511" s="3">
        <v>17.99</v>
      </c>
      <c r="AA511" s="3">
        <v>0</v>
      </c>
      <c r="AB511" s="3" t="s">
        <v>869</v>
      </c>
      <c r="AC511" s="3">
        <v>0</v>
      </c>
      <c r="AD511" s="3">
        <v>17.99</v>
      </c>
      <c r="AE511" s="3">
        <v>63</v>
      </c>
      <c r="AF511" s="3">
        <v>0</v>
      </c>
      <c r="AG511" s="3">
        <v>147.984819</v>
      </c>
      <c r="AH511" s="3">
        <v>0.2</v>
      </c>
      <c r="AI511" s="3">
        <v>1.07344</v>
      </c>
      <c r="AJ511" s="3" t="s">
        <v>925</v>
      </c>
    </row>
    <row r="512" spans="1:36">
      <c r="A512" s="5">
        <v>43336</v>
      </c>
      <c r="B512" s="3" t="s">
        <v>2082</v>
      </c>
      <c r="C512" s="3" t="s">
        <v>162</v>
      </c>
      <c r="D512" s="3" t="s">
        <v>162</v>
      </c>
      <c r="E512" s="3" t="s">
        <v>163</v>
      </c>
      <c r="F512" s="3" t="s">
        <v>867</v>
      </c>
      <c r="G512" s="3">
        <v>14</v>
      </c>
      <c r="H512" s="3">
        <v>0</v>
      </c>
      <c r="I512" s="3">
        <v>1</v>
      </c>
      <c r="J512" s="3">
        <v>13</v>
      </c>
      <c r="K512" s="3">
        <v>0</v>
      </c>
      <c r="L512" s="3">
        <v>0</v>
      </c>
      <c r="M512" s="3">
        <v>0</v>
      </c>
      <c r="N512" s="3" t="s">
        <v>868</v>
      </c>
      <c r="O512" s="3">
        <v>0</v>
      </c>
      <c r="P512" s="3">
        <v>0</v>
      </c>
      <c r="Q512" s="3">
        <v>0</v>
      </c>
      <c r="R512" s="3">
        <v>0</v>
      </c>
      <c r="S512" s="3">
        <v>9</v>
      </c>
      <c r="T512" s="3">
        <v>18</v>
      </c>
      <c r="U512" s="3">
        <v>30</v>
      </c>
      <c r="V512" s="3">
        <v>34</v>
      </c>
      <c r="W512" s="3"/>
      <c r="X512" s="3">
        <v>22.99</v>
      </c>
      <c r="Y512" s="3">
        <v>22.99</v>
      </c>
      <c r="Z512" s="3">
        <v>22.98</v>
      </c>
      <c r="AA512" s="3">
        <v>0</v>
      </c>
      <c r="AB512" s="3" t="s">
        <v>869</v>
      </c>
      <c r="AC512" s="3">
        <v>18</v>
      </c>
      <c r="AD512" s="3">
        <v>22.98</v>
      </c>
      <c r="AE512" s="3">
        <v>0</v>
      </c>
      <c r="AF512" s="3">
        <v>0</v>
      </c>
      <c r="AG512" s="3">
        <v>0</v>
      </c>
      <c r="AH512" s="3">
        <v>0.465753424657534</v>
      </c>
      <c r="AI512" s="3">
        <v>0.724276</v>
      </c>
      <c r="AJ512" s="3" t="s">
        <v>870</v>
      </c>
    </row>
    <row r="513" spans="1:36">
      <c r="A513" s="5">
        <v>43336</v>
      </c>
      <c r="B513" s="3" t="s">
        <v>2083</v>
      </c>
      <c r="C513" s="3" t="s">
        <v>2084</v>
      </c>
      <c r="D513" s="3" t="s">
        <v>2084</v>
      </c>
      <c r="E513" s="3" t="s">
        <v>2085</v>
      </c>
      <c r="F513" s="3" t="s">
        <v>867</v>
      </c>
      <c r="G513" s="3">
        <v>10</v>
      </c>
      <c r="H513" s="3">
        <v>0</v>
      </c>
      <c r="I513" s="3">
        <v>4</v>
      </c>
      <c r="J513" s="3">
        <v>6</v>
      </c>
      <c r="K513" s="3">
        <v>0</v>
      </c>
      <c r="L513" s="3">
        <v>0</v>
      </c>
      <c r="M513" s="3">
        <v>0</v>
      </c>
      <c r="N513" s="3" t="s">
        <v>868</v>
      </c>
      <c r="O513" s="3">
        <v>0</v>
      </c>
      <c r="P513" s="3">
        <v>0</v>
      </c>
      <c r="Q513" s="3">
        <v>0</v>
      </c>
      <c r="R513" s="3">
        <v>0</v>
      </c>
      <c r="S513" s="3">
        <v>3</v>
      </c>
      <c r="T513" s="3">
        <v>12</v>
      </c>
      <c r="U513" s="3">
        <v>20</v>
      </c>
      <c r="V513" s="3">
        <v>33</v>
      </c>
      <c r="W513" s="3"/>
      <c r="X513" s="3">
        <v>23.98</v>
      </c>
      <c r="Y513" s="3">
        <v>23.98</v>
      </c>
      <c r="Z513" s="3">
        <v>23.98</v>
      </c>
      <c r="AA513" s="3">
        <v>0</v>
      </c>
      <c r="AB513" s="3" t="s">
        <v>869</v>
      </c>
      <c r="AC513" s="3">
        <v>11</v>
      </c>
      <c r="AD513" s="3">
        <v>23.98</v>
      </c>
      <c r="AE513" s="3">
        <v>0</v>
      </c>
      <c r="AF513" s="3">
        <v>0</v>
      </c>
      <c r="AG513" s="3">
        <v>0</v>
      </c>
      <c r="AH513" s="3">
        <v>1.29411764705882</v>
      </c>
      <c r="AI513" s="3">
        <v>1.14792</v>
      </c>
      <c r="AJ513" s="3" t="s">
        <v>870</v>
      </c>
    </row>
    <row r="514" spans="1:36">
      <c r="A514" s="5">
        <v>43336</v>
      </c>
      <c r="B514" s="3" t="s">
        <v>2086</v>
      </c>
      <c r="C514" s="3" t="s">
        <v>2087</v>
      </c>
      <c r="D514" s="3" t="s">
        <v>2088</v>
      </c>
      <c r="E514" s="3" t="s">
        <v>2089</v>
      </c>
      <c r="F514" s="3" t="s">
        <v>867</v>
      </c>
      <c r="G514" s="3">
        <v>4</v>
      </c>
      <c r="H514" s="3">
        <v>0</v>
      </c>
      <c r="I514" s="3">
        <v>4</v>
      </c>
      <c r="J514" s="3">
        <v>0</v>
      </c>
      <c r="K514" s="3">
        <v>0</v>
      </c>
      <c r="L514" s="3">
        <v>0</v>
      </c>
      <c r="M514" s="3">
        <v>0</v>
      </c>
      <c r="N514" s="3" t="s">
        <v>868</v>
      </c>
      <c r="O514" s="3">
        <v>0</v>
      </c>
      <c r="P514" s="3">
        <v>0</v>
      </c>
      <c r="Q514" s="3">
        <v>0</v>
      </c>
      <c r="R514" s="3">
        <v>0</v>
      </c>
      <c r="S514" s="3">
        <v>0</v>
      </c>
      <c r="T514" s="3">
        <v>8</v>
      </c>
      <c r="U514" s="3">
        <v>8</v>
      </c>
      <c r="V514" s="3">
        <v>8</v>
      </c>
      <c r="W514" s="3" t="s">
        <v>871</v>
      </c>
      <c r="X514" s="3">
        <v>22.98</v>
      </c>
      <c r="Y514" s="3">
        <v>22.98</v>
      </c>
      <c r="Z514" s="3">
        <v>22.98</v>
      </c>
      <c r="AA514" s="3">
        <v>0</v>
      </c>
      <c r="AB514" s="3" t="s">
        <v>869</v>
      </c>
      <c r="AC514" s="3">
        <v>4</v>
      </c>
      <c r="AD514" s="3">
        <v>22.98</v>
      </c>
      <c r="AE514" s="3">
        <v>0</v>
      </c>
      <c r="AF514" s="3">
        <v>0</v>
      </c>
      <c r="AG514" s="3">
        <v>0</v>
      </c>
      <c r="AH514" s="3">
        <v>6.28571428571428</v>
      </c>
      <c r="AI514" s="3">
        <v>0.155832</v>
      </c>
      <c r="AJ514" s="3" t="s">
        <v>870</v>
      </c>
    </row>
    <row r="515" spans="1:36">
      <c r="A515" s="5">
        <v>43336</v>
      </c>
      <c r="B515" s="3" t="s">
        <v>2090</v>
      </c>
      <c r="C515" s="3" t="s">
        <v>2091</v>
      </c>
      <c r="D515" s="3" t="s">
        <v>2091</v>
      </c>
      <c r="E515" s="3" t="s">
        <v>2092</v>
      </c>
      <c r="F515" s="3" t="s">
        <v>867</v>
      </c>
      <c r="G515" s="3">
        <v>10</v>
      </c>
      <c r="H515" s="3">
        <v>0</v>
      </c>
      <c r="I515" s="3">
        <v>2</v>
      </c>
      <c r="J515" s="3">
        <v>8</v>
      </c>
      <c r="K515" s="3">
        <v>0</v>
      </c>
      <c r="L515" s="3">
        <v>0</v>
      </c>
      <c r="M515" s="3">
        <v>0</v>
      </c>
      <c r="N515" s="3" t="s">
        <v>868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2</v>
      </c>
      <c r="V515" s="3">
        <v>4</v>
      </c>
      <c r="W515" s="3" t="s">
        <v>871</v>
      </c>
      <c r="X515" s="3">
        <v>39.98</v>
      </c>
      <c r="Y515" s="3">
        <v>22.98</v>
      </c>
      <c r="Z515" s="3">
        <v>22.98</v>
      </c>
      <c r="AA515" s="3">
        <v>0</v>
      </c>
      <c r="AB515" s="3" t="s">
        <v>883</v>
      </c>
      <c r="AC515" s="3">
        <v>1</v>
      </c>
      <c r="AD515" s="3">
        <v>16.12</v>
      </c>
      <c r="AE515" s="3">
        <v>126</v>
      </c>
      <c r="AF515" s="3">
        <v>0</v>
      </c>
      <c r="AG515" s="3">
        <v>87.150961</v>
      </c>
      <c r="AH515" s="3">
        <v>0.298507462686567</v>
      </c>
      <c r="AI515" s="3">
        <v>0.90488</v>
      </c>
      <c r="AJ515" s="3" t="s">
        <v>870</v>
      </c>
    </row>
    <row r="516" spans="1:36">
      <c r="A516" s="5">
        <v>43336</v>
      </c>
      <c r="B516" s="3" t="s">
        <v>2093</v>
      </c>
      <c r="C516" s="3" t="s">
        <v>1306</v>
      </c>
      <c r="D516" s="3" t="s">
        <v>1306</v>
      </c>
      <c r="E516" s="3" t="s">
        <v>1307</v>
      </c>
      <c r="F516" s="3" t="s">
        <v>867</v>
      </c>
      <c r="G516" s="3">
        <v>1</v>
      </c>
      <c r="H516" s="3">
        <v>0</v>
      </c>
      <c r="I516" s="3">
        <v>1</v>
      </c>
      <c r="J516" s="3">
        <v>0</v>
      </c>
      <c r="K516" s="3">
        <v>0</v>
      </c>
      <c r="L516" s="3">
        <v>0</v>
      </c>
      <c r="M516" s="3">
        <v>0</v>
      </c>
      <c r="N516" s="3" t="s">
        <v>868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2</v>
      </c>
      <c r="U516" s="3">
        <v>3</v>
      </c>
      <c r="V516" s="3">
        <v>6</v>
      </c>
      <c r="W516" s="3"/>
      <c r="X516" s="3">
        <v>20.98</v>
      </c>
      <c r="Y516" s="3">
        <v>20.98</v>
      </c>
      <c r="Z516" s="3">
        <v>20.98</v>
      </c>
      <c r="AA516" s="3">
        <v>0</v>
      </c>
      <c r="AB516" s="3" t="s">
        <v>869</v>
      </c>
      <c r="AC516" s="3">
        <v>1</v>
      </c>
      <c r="AD516" s="3">
        <v>20.98</v>
      </c>
      <c r="AE516" s="3">
        <v>0</v>
      </c>
      <c r="AF516" s="3">
        <v>0</v>
      </c>
      <c r="AG516" s="3">
        <v>0</v>
      </c>
      <c r="AH516" s="3">
        <v>0.903225806451612</v>
      </c>
      <c r="AI516" s="3">
        <v>0.105486</v>
      </c>
      <c r="AJ516" s="3" t="s">
        <v>870</v>
      </c>
    </row>
    <row r="517" spans="1:36">
      <c r="A517" s="5">
        <v>43336</v>
      </c>
      <c r="B517" s="3" t="s">
        <v>2094</v>
      </c>
      <c r="C517" s="3" t="s">
        <v>2095</v>
      </c>
      <c r="D517" s="3" t="s">
        <v>2096</v>
      </c>
      <c r="E517" s="3" t="s">
        <v>2097</v>
      </c>
      <c r="F517" s="3" t="s">
        <v>867</v>
      </c>
      <c r="G517" s="3">
        <v>5</v>
      </c>
      <c r="H517" s="3">
        <v>0</v>
      </c>
      <c r="I517" s="3">
        <v>5</v>
      </c>
      <c r="J517" s="3">
        <v>0</v>
      </c>
      <c r="K517" s="3">
        <v>0</v>
      </c>
      <c r="L517" s="3">
        <v>0</v>
      </c>
      <c r="M517" s="3">
        <v>0</v>
      </c>
      <c r="N517" s="3" t="s">
        <v>868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 t="s">
        <v>936</v>
      </c>
      <c r="X517" s="3">
        <v>17.99</v>
      </c>
      <c r="Y517" s="3">
        <v>17.99</v>
      </c>
      <c r="Z517" s="3">
        <v>17.99</v>
      </c>
      <c r="AA517" s="3">
        <v>0</v>
      </c>
      <c r="AB517" s="3" t="s">
        <v>937</v>
      </c>
      <c r="AC517" s="3">
        <v>5</v>
      </c>
      <c r="AD517" s="3">
        <v>17.99</v>
      </c>
      <c r="AE517" s="3">
        <v>0</v>
      </c>
      <c r="AF517" s="3">
        <v>0</v>
      </c>
      <c r="AG517" s="3">
        <v>0</v>
      </c>
      <c r="AH517" s="3">
        <v>0</v>
      </c>
      <c r="AI517" s="3">
        <v>0.531955</v>
      </c>
      <c r="AJ517" s="3" t="s">
        <v>925</v>
      </c>
    </row>
    <row r="518" spans="1:36">
      <c r="A518" s="5">
        <v>43336</v>
      </c>
      <c r="B518" s="3" t="s">
        <v>2098</v>
      </c>
      <c r="C518" s="3" t="s">
        <v>2099</v>
      </c>
      <c r="D518" s="3" t="s">
        <v>2099</v>
      </c>
      <c r="E518" s="3" t="s">
        <v>2100</v>
      </c>
      <c r="F518" s="3" t="s">
        <v>867</v>
      </c>
      <c r="G518" s="3">
        <v>4</v>
      </c>
      <c r="H518" s="3">
        <v>0</v>
      </c>
      <c r="I518" s="3">
        <v>4</v>
      </c>
      <c r="J518" s="3">
        <v>0</v>
      </c>
      <c r="K518" s="3">
        <v>0</v>
      </c>
      <c r="L518" s="3">
        <v>0</v>
      </c>
      <c r="M518" s="3">
        <v>0</v>
      </c>
      <c r="N518" s="3" t="s">
        <v>868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1</v>
      </c>
      <c r="V518" s="3">
        <v>5</v>
      </c>
      <c r="W518" s="3" t="s">
        <v>871</v>
      </c>
      <c r="X518" s="3">
        <v>39.98</v>
      </c>
      <c r="Y518" s="3">
        <v>18.99</v>
      </c>
      <c r="Z518" s="3">
        <v>18.99</v>
      </c>
      <c r="AA518" s="3">
        <v>0</v>
      </c>
      <c r="AB518" s="3" t="s">
        <v>883</v>
      </c>
      <c r="AC518" s="3">
        <v>0</v>
      </c>
      <c r="AD518" s="3">
        <v>17.02</v>
      </c>
      <c r="AE518" s="3">
        <v>168</v>
      </c>
      <c r="AF518" s="3">
        <v>0</v>
      </c>
      <c r="AG518" s="3">
        <v>78.879478</v>
      </c>
      <c r="AH518" s="3">
        <v>1.53846153846153</v>
      </c>
      <c r="AI518" s="3">
        <v>0.421516</v>
      </c>
      <c r="AJ518" s="3" t="s">
        <v>870</v>
      </c>
    </row>
    <row r="519" spans="1:36">
      <c r="A519" s="5">
        <v>43336</v>
      </c>
      <c r="B519" s="3" t="s">
        <v>550</v>
      </c>
      <c r="C519" s="3" t="s">
        <v>551</v>
      </c>
      <c r="D519" s="3" t="s">
        <v>551</v>
      </c>
      <c r="E519" s="3" t="s">
        <v>552</v>
      </c>
      <c r="F519" s="3" t="s">
        <v>867</v>
      </c>
      <c r="G519" s="3">
        <v>11</v>
      </c>
      <c r="H519" s="3">
        <v>0</v>
      </c>
      <c r="I519" s="3">
        <v>11</v>
      </c>
      <c r="J519" s="3">
        <v>0</v>
      </c>
      <c r="K519" s="3">
        <v>0</v>
      </c>
      <c r="L519" s="3">
        <v>0</v>
      </c>
      <c r="M519" s="3">
        <v>0</v>
      </c>
      <c r="N519" s="3" t="s">
        <v>868</v>
      </c>
      <c r="O519" s="3">
        <v>0</v>
      </c>
      <c r="P519" s="3">
        <v>0</v>
      </c>
      <c r="Q519" s="3">
        <v>0</v>
      </c>
      <c r="R519" s="3">
        <v>0</v>
      </c>
      <c r="S519" s="3">
        <v>1</v>
      </c>
      <c r="T519" s="3">
        <v>3</v>
      </c>
      <c r="U519" s="3">
        <v>8</v>
      </c>
      <c r="V519" s="3">
        <v>12</v>
      </c>
      <c r="W519" s="3" t="s">
        <v>871</v>
      </c>
      <c r="X519" s="3">
        <v>10.99</v>
      </c>
      <c r="Y519" s="3">
        <v>10.99</v>
      </c>
      <c r="Z519" s="3">
        <v>10.99</v>
      </c>
      <c r="AA519" s="3">
        <v>0</v>
      </c>
      <c r="AB519" s="3" t="s">
        <v>869</v>
      </c>
      <c r="AC519" s="3">
        <v>12</v>
      </c>
      <c r="AD519" s="3">
        <v>10.99</v>
      </c>
      <c r="AE519" s="3">
        <v>0</v>
      </c>
      <c r="AF519" s="3">
        <v>0</v>
      </c>
      <c r="AG519" s="3">
        <v>0</v>
      </c>
      <c r="AH519" s="3">
        <v>0.888888888888888</v>
      </c>
      <c r="AI519" s="3">
        <v>0.737605</v>
      </c>
      <c r="AJ519" s="3" t="s">
        <v>870</v>
      </c>
    </row>
    <row r="520" spans="1:36">
      <c r="A520" s="5">
        <v>43336</v>
      </c>
      <c r="B520" s="3" t="s">
        <v>2101</v>
      </c>
      <c r="C520" s="3" t="s">
        <v>2102</v>
      </c>
      <c r="D520" s="3" t="s">
        <v>2102</v>
      </c>
      <c r="E520" s="3" t="s">
        <v>2103</v>
      </c>
      <c r="F520" s="3" t="s">
        <v>867</v>
      </c>
      <c r="G520" s="3">
        <v>14</v>
      </c>
      <c r="H520" s="3">
        <v>0</v>
      </c>
      <c r="I520" s="3">
        <v>14</v>
      </c>
      <c r="J520" s="3">
        <v>0</v>
      </c>
      <c r="K520" s="3">
        <v>0</v>
      </c>
      <c r="L520" s="3">
        <v>0</v>
      </c>
      <c r="M520" s="3">
        <v>0</v>
      </c>
      <c r="N520" s="3" t="s">
        <v>868</v>
      </c>
      <c r="O520" s="3">
        <v>0</v>
      </c>
      <c r="P520" s="3">
        <v>0</v>
      </c>
      <c r="Q520" s="3">
        <v>0</v>
      </c>
      <c r="R520" s="3">
        <v>0</v>
      </c>
      <c r="S520" s="3">
        <v>4</v>
      </c>
      <c r="T520" s="3">
        <v>13</v>
      </c>
      <c r="U520" s="3">
        <v>22</v>
      </c>
      <c r="V520" s="3">
        <v>35</v>
      </c>
      <c r="W520" s="3"/>
      <c r="X520" s="3">
        <v>23.99</v>
      </c>
      <c r="Y520" s="3">
        <v>22.98</v>
      </c>
      <c r="Z520" s="3">
        <v>22.98</v>
      </c>
      <c r="AA520" s="3">
        <v>0</v>
      </c>
      <c r="AB520" s="3" t="s">
        <v>869</v>
      </c>
      <c r="AC520" s="3">
        <v>16</v>
      </c>
      <c r="AD520" s="3">
        <v>22.98</v>
      </c>
      <c r="AE520" s="3">
        <v>0</v>
      </c>
      <c r="AF520" s="3">
        <v>0</v>
      </c>
      <c r="AG520" s="3">
        <v>0</v>
      </c>
      <c r="AH520" s="3">
        <v>1.73584905660377</v>
      </c>
      <c r="AI520" s="3">
        <v>2.09570199999999</v>
      </c>
      <c r="AJ520" s="3" t="s">
        <v>870</v>
      </c>
    </row>
    <row r="521" spans="1:36">
      <c r="A521" s="5">
        <v>43336</v>
      </c>
      <c r="B521" s="3" t="s">
        <v>2104</v>
      </c>
      <c r="C521" s="3" t="s">
        <v>2105</v>
      </c>
      <c r="D521" s="3" t="s">
        <v>2105</v>
      </c>
      <c r="E521" s="3" t="s">
        <v>2106</v>
      </c>
      <c r="F521" s="3" t="s">
        <v>867</v>
      </c>
      <c r="G521" s="3">
        <v>1</v>
      </c>
      <c r="H521" s="3">
        <v>0</v>
      </c>
      <c r="I521" s="3">
        <v>0</v>
      </c>
      <c r="J521" s="3">
        <v>1</v>
      </c>
      <c r="K521" s="3">
        <v>0</v>
      </c>
      <c r="L521" s="3">
        <v>0</v>
      </c>
      <c r="M521" s="3">
        <v>0</v>
      </c>
      <c r="N521" s="3" t="s">
        <v>868</v>
      </c>
      <c r="O521" s="3">
        <v>1</v>
      </c>
      <c r="P521" s="3">
        <v>2.43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 t="s">
        <v>936</v>
      </c>
      <c r="X521" s="3">
        <v>64.98</v>
      </c>
      <c r="Y521" s="3">
        <v>64.98</v>
      </c>
      <c r="Z521" s="3">
        <v>64.98</v>
      </c>
      <c r="AA521" s="3">
        <v>0</v>
      </c>
      <c r="AB521" s="3" t="s">
        <v>937</v>
      </c>
      <c r="AC521" s="3">
        <v>0</v>
      </c>
      <c r="AD521" s="3">
        <v>60.19</v>
      </c>
      <c r="AE521" s="3">
        <v>56</v>
      </c>
      <c r="AF521" s="3">
        <v>0</v>
      </c>
      <c r="AG521" s="3">
        <v>119.507593</v>
      </c>
      <c r="AH521" s="3">
        <v>0</v>
      </c>
      <c r="AI521" s="3">
        <v>0.70484</v>
      </c>
      <c r="AJ521" s="3" t="s">
        <v>870</v>
      </c>
    </row>
    <row r="522" spans="1:36">
      <c r="A522" s="5">
        <v>43336</v>
      </c>
      <c r="B522" s="3" t="s">
        <v>2107</v>
      </c>
      <c r="C522" s="3" t="s">
        <v>2108</v>
      </c>
      <c r="D522" s="3" t="s">
        <v>2109</v>
      </c>
      <c r="E522" s="3" t="s">
        <v>2110</v>
      </c>
      <c r="F522" s="3" t="s">
        <v>867</v>
      </c>
      <c r="G522" s="3">
        <v>28</v>
      </c>
      <c r="H522" s="3">
        <v>0</v>
      </c>
      <c r="I522" s="3">
        <v>28</v>
      </c>
      <c r="J522" s="3">
        <v>0</v>
      </c>
      <c r="K522" s="3">
        <v>0</v>
      </c>
      <c r="L522" s="3">
        <v>0</v>
      </c>
      <c r="M522" s="3">
        <v>0</v>
      </c>
      <c r="N522" s="3" t="s">
        <v>868</v>
      </c>
      <c r="O522" s="3">
        <v>0</v>
      </c>
      <c r="P522" s="3">
        <v>0</v>
      </c>
      <c r="Q522" s="3">
        <v>0</v>
      </c>
      <c r="R522" s="3">
        <v>0</v>
      </c>
      <c r="S522" s="3">
        <v>0</v>
      </c>
      <c r="T522" s="3">
        <v>3</v>
      </c>
      <c r="U522" s="3">
        <v>9</v>
      </c>
      <c r="V522" s="3">
        <v>9</v>
      </c>
      <c r="W522" s="3" t="s">
        <v>871</v>
      </c>
      <c r="X522" s="3">
        <v>22.98</v>
      </c>
      <c r="Y522" s="3">
        <v>22.98</v>
      </c>
      <c r="Z522" s="3">
        <v>22.98</v>
      </c>
      <c r="AA522" s="3">
        <v>0</v>
      </c>
      <c r="AB522" s="3" t="s">
        <v>869</v>
      </c>
      <c r="AC522" s="3">
        <v>28</v>
      </c>
      <c r="AD522" s="3">
        <v>22.98</v>
      </c>
      <c r="AE522" s="3">
        <v>0</v>
      </c>
      <c r="AF522" s="3">
        <v>0</v>
      </c>
      <c r="AG522" s="3">
        <v>0</v>
      </c>
      <c r="AH522" s="3">
        <v>0.586206896551724</v>
      </c>
      <c r="AI522" s="3">
        <v>2.533664</v>
      </c>
      <c r="AJ522" s="3" t="s">
        <v>870</v>
      </c>
    </row>
    <row r="523" spans="1:36">
      <c r="A523" s="5">
        <v>43336</v>
      </c>
      <c r="B523" s="3" t="s">
        <v>2111</v>
      </c>
      <c r="C523" s="3" t="s">
        <v>2112</v>
      </c>
      <c r="D523" s="3" t="s">
        <v>2112</v>
      </c>
      <c r="E523" s="3" t="s">
        <v>2113</v>
      </c>
      <c r="F523" s="3" t="s">
        <v>867</v>
      </c>
      <c r="G523" s="3">
        <v>1</v>
      </c>
      <c r="H523" s="3">
        <v>0</v>
      </c>
      <c r="I523" s="3">
        <v>1</v>
      </c>
      <c r="J523" s="3">
        <v>0</v>
      </c>
      <c r="K523" s="3">
        <v>0</v>
      </c>
      <c r="L523" s="3">
        <v>0</v>
      </c>
      <c r="M523" s="3">
        <v>0</v>
      </c>
      <c r="N523" s="3" t="s">
        <v>868</v>
      </c>
      <c r="O523" s="3">
        <v>0</v>
      </c>
      <c r="P523" s="3">
        <v>0</v>
      </c>
      <c r="Q523" s="3">
        <v>0</v>
      </c>
      <c r="R523" s="3">
        <v>0</v>
      </c>
      <c r="S523" s="3">
        <v>0</v>
      </c>
      <c r="T523" s="3">
        <v>10</v>
      </c>
      <c r="U523" s="3">
        <v>27</v>
      </c>
      <c r="V523" s="3">
        <v>42</v>
      </c>
      <c r="W523" s="3"/>
      <c r="X523" s="3">
        <v>24.98</v>
      </c>
      <c r="Y523" s="3">
        <v>24.98</v>
      </c>
      <c r="Z523" s="3">
        <v>24.98</v>
      </c>
      <c r="AA523" s="3">
        <v>0</v>
      </c>
      <c r="AB523" s="3" t="s">
        <v>869</v>
      </c>
      <c r="AC523" s="3">
        <v>1</v>
      </c>
      <c r="AD523" s="3">
        <v>24.98</v>
      </c>
      <c r="AE523" s="3">
        <v>0</v>
      </c>
      <c r="AF523" s="3">
        <v>0</v>
      </c>
      <c r="AG523" s="3">
        <v>0</v>
      </c>
      <c r="AH523" s="3">
        <v>1.67375886524822</v>
      </c>
      <c r="AI523" s="3">
        <v>0.209896</v>
      </c>
      <c r="AJ523" s="3" t="s">
        <v>870</v>
      </c>
    </row>
    <row r="524" spans="1:36">
      <c r="A524" s="5">
        <v>43336</v>
      </c>
      <c r="B524" s="3" t="s">
        <v>2114</v>
      </c>
      <c r="C524" s="3" t="s">
        <v>2115</v>
      </c>
      <c r="D524" s="3" t="s">
        <v>2115</v>
      </c>
      <c r="E524" s="3" t="s">
        <v>2116</v>
      </c>
      <c r="F524" s="3" t="s">
        <v>867</v>
      </c>
      <c r="G524" s="3">
        <v>12</v>
      </c>
      <c r="H524" s="3">
        <v>0</v>
      </c>
      <c r="I524" s="3">
        <v>0</v>
      </c>
      <c r="J524" s="3">
        <v>12</v>
      </c>
      <c r="K524" s="3">
        <v>0</v>
      </c>
      <c r="L524" s="3">
        <v>0</v>
      </c>
      <c r="M524" s="3">
        <v>0</v>
      </c>
      <c r="N524" s="3" t="s">
        <v>868</v>
      </c>
      <c r="O524" s="3">
        <v>0</v>
      </c>
      <c r="P524" s="3">
        <v>0</v>
      </c>
      <c r="Q524" s="3">
        <v>0</v>
      </c>
      <c r="R524" s="3">
        <v>0</v>
      </c>
      <c r="S524" s="3">
        <v>0</v>
      </c>
      <c r="T524" s="3">
        <v>3</v>
      </c>
      <c r="U524" s="3">
        <v>4</v>
      </c>
      <c r="V524" s="3">
        <v>4</v>
      </c>
      <c r="W524" s="3"/>
      <c r="X524" s="3">
        <v>22.98</v>
      </c>
      <c r="Y524" s="3">
        <v>22.98</v>
      </c>
      <c r="Z524" s="3">
        <v>22.98</v>
      </c>
      <c r="AA524" s="3">
        <v>0</v>
      </c>
      <c r="AB524" s="3" t="s">
        <v>869</v>
      </c>
      <c r="AC524" s="3">
        <v>12</v>
      </c>
      <c r="AD524" s="3">
        <v>22.98</v>
      </c>
      <c r="AE524" s="3">
        <v>0</v>
      </c>
      <c r="AF524" s="3">
        <v>0</v>
      </c>
      <c r="AG524" s="3">
        <v>0</v>
      </c>
      <c r="AH524" s="3">
        <v>0.271186440677966</v>
      </c>
      <c r="AI524" s="3">
        <v>2.558616</v>
      </c>
      <c r="AJ524" s="3" t="s">
        <v>870</v>
      </c>
    </row>
    <row r="525" spans="1:36">
      <c r="A525" s="5">
        <v>43336</v>
      </c>
      <c r="B525" s="3" t="s">
        <v>2117</v>
      </c>
      <c r="C525" s="3" t="s">
        <v>2118</v>
      </c>
      <c r="D525" s="3" t="s">
        <v>1470</v>
      </c>
      <c r="E525" s="3" t="s">
        <v>1471</v>
      </c>
      <c r="F525" s="3" t="s">
        <v>867</v>
      </c>
      <c r="G525" s="3">
        <v>21</v>
      </c>
      <c r="H525" s="3">
        <v>0</v>
      </c>
      <c r="I525" s="3">
        <v>21</v>
      </c>
      <c r="J525" s="3">
        <v>0</v>
      </c>
      <c r="K525" s="3">
        <v>0</v>
      </c>
      <c r="L525" s="3">
        <v>0</v>
      </c>
      <c r="M525" s="3">
        <v>0</v>
      </c>
      <c r="N525" s="3" t="s">
        <v>868</v>
      </c>
      <c r="O525" s="3">
        <v>0</v>
      </c>
      <c r="P525" s="3">
        <v>0</v>
      </c>
      <c r="Q525" s="3">
        <v>0</v>
      </c>
      <c r="R525" s="3">
        <v>0</v>
      </c>
      <c r="S525" s="3">
        <v>2</v>
      </c>
      <c r="T525" s="3">
        <v>10</v>
      </c>
      <c r="U525" s="3">
        <v>14</v>
      </c>
      <c r="V525" s="3">
        <v>14</v>
      </c>
      <c r="W525" s="3"/>
      <c r="X525" s="3">
        <v>23.98</v>
      </c>
      <c r="Y525" s="3">
        <v>23.98</v>
      </c>
      <c r="Z525" s="3">
        <v>23.98</v>
      </c>
      <c r="AA525" s="3">
        <v>0</v>
      </c>
      <c r="AB525" s="3" t="s">
        <v>869</v>
      </c>
      <c r="AC525" s="3">
        <v>19</v>
      </c>
      <c r="AD525" s="3">
        <v>23.98</v>
      </c>
      <c r="AE525" s="3">
        <v>0</v>
      </c>
      <c r="AF525" s="3">
        <v>0</v>
      </c>
      <c r="AG525" s="3">
        <v>0</v>
      </c>
      <c r="AH525" s="3">
        <v>2.64285714285714</v>
      </c>
      <c r="AI525" s="3">
        <v>1.401225</v>
      </c>
      <c r="AJ525" s="3" t="s">
        <v>870</v>
      </c>
    </row>
    <row r="526" spans="1:36">
      <c r="A526" s="5">
        <v>43336</v>
      </c>
      <c r="B526" s="3" t="s">
        <v>2119</v>
      </c>
      <c r="C526" s="3" t="s">
        <v>2120</v>
      </c>
      <c r="D526" s="3" t="s">
        <v>2120</v>
      </c>
      <c r="E526" s="3" t="s">
        <v>2121</v>
      </c>
      <c r="F526" s="3" t="s">
        <v>867</v>
      </c>
      <c r="G526" s="3">
        <v>29</v>
      </c>
      <c r="H526" s="3">
        <v>0</v>
      </c>
      <c r="I526" s="3">
        <v>0</v>
      </c>
      <c r="J526" s="3">
        <v>29</v>
      </c>
      <c r="K526" s="3">
        <v>0</v>
      </c>
      <c r="L526" s="3">
        <v>0</v>
      </c>
      <c r="M526" s="3">
        <v>0</v>
      </c>
      <c r="N526" s="3" t="s">
        <v>868</v>
      </c>
      <c r="O526" s="3">
        <v>0</v>
      </c>
      <c r="P526" s="3">
        <v>0</v>
      </c>
      <c r="Q526" s="3">
        <v>0</v>
      </c>
      <c r="R526" s="3">
        <v>0</v>
      </c>
      <c r="S526" s="3">
        <v>0</v>
      </c>
      <c r="T526" s="3">
        <v>3</v>
      </c>
      <c r="U526" s="3">
        <v>4</v>
      </c>
      <c r="V526" s="3">
        <v>4</v>
      </c>
      <c r="W526" s="3" t="s">
        <v>871</v>
      </c>
      <c r="X526" s="3">
        <v>22.98</v>
      </c>
      <c r="Y526" s="3">
        <v>22.98</v>
      </c>
      <c r="Z526" s="3">
        <v>22.98</v>
      </c>
      <c r="AA526" s="3">
        <v>0</v>
      </c>
      <c r="AB526" s="3" t="s">
        <v>883</v>
      </c>
      <c r="AC526" s="3">
        <v>0</v>
      </c>
      <c r="AD526" s="3">
        <v>18.38</v>
      </c>
      <c r="AE526" s="3">
        <v>364</v>
      </c>
      <c r="AF526" s="3">
        <v>0</v>
      </c>
      <c r="AG526" s="3">
        <v>267.037735</v>
      </c>
      <c r="AH526" s="3">
        <v>0.125984251968503</v>
      </c>
      <c r="AI526" s="3">
        <v>2.03133399999999</v>
      </c>
      <c r="AJ526" s="3" t="s">
        <v>870</v>
      </c>
    </row>
    <row r="527" spans="1:36">
      <c r="A527" s="5">
        <v>43336</v>
      </c>
      <c r="B527" s="3" t="s">
        <v>2122</v>
      </c>
      <c r="C527" s="3" t="s">
        <v>2123</v>
      </c>
      <c r="D527" s="3" t="s">
        <v>2124</v>
      </c>
      <c r="E527" s="3" t="s">
        <v>2125</v>
      </c>
      <c r="F527" s="3" t="s">
        <v>867</v>
      </c>
      <c r="G527" s="3">
        <v>3</v>
      </c>
      <c r="H527" s="3">
        <v>0</v>
      </c>
      <c r="I527" s="3">
        <v>3</v>
      </c>
      <c r="J527" s="3">
        <v>0</v>
      </c>
      <c r="K527" s="3">
        <v>0</v>
      </c>
      <c r="L527" s="3">
        <v>0</v>
      </c>
      <c r="M527" s="3">
        <v>0</v>
      </c>
      <c r="N527" s="3" t="s">
        <v>868</v>
      </c>
      <c r="O527" s="3">
        <v>0</v>
      </c>
      <c r="P527" s="3">
        <v>0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871</v>
      </c>
      <c r="X527" s="3">
        <v>22.98</v>
      </c>
      <c r="Y527" s="3">
        <v>22.98</v>
      </c>
      <c r="Z527" s="3">
        <v>22.98</v>
      </c>
      <c r="AA527" s="3">
        <v>0</v>
      </c>
      <c r="AB527" s="3" t="s">
        <v>883</v>
      </c>
      <c r="AC527" s="3">
        <v>0</v>
      </c>
      <c r="AD527" s="3">
        <v>18.38</v>
      </c>
      <c r="AE527" s="3">
        <v>63</v>
      </c>
      <c r="AF527" s="3">
        <v>0</v>
      </c>
      <c r="AG527" s="3">
        <v>48.110158</v>
      </c>
      <c r="AH527" s="3">
        <v>2</v>
      </c>
      <c r="AI527" s="3">
        <v>0.352635</v>
      </c>
      <c r="AJ527" s="3" t="s">
        <v>870</v>
      </c>
    </row>
    <row r="528" spans="1:36">
      <c r="A528" s="5">
        <v>43336</v>
      </c>
      <c r="B528" s="3" t="s">
        <v>2126</v>
      </c>
      <c r="C528" s="3" t="s">
        <v>2127</v>
      </c>
      <c r="D528" s="3" t="s">
        <v>535</v>
      </c>
      <c r="E528" s="3" t="s">
        <v>536</v>
      </c>
      <c r="F528" s="3" t="s">
        <v>867</v>
      </c>
      <c r="G528" s="3">
        <v>17</v>
      </c>
      <c r="H528" s="3">
        <v>0</v>
      </c>
      <c r="I528" s="3">
        <v>17</v>
      </c>
      <c r="J528" s="3">
        <v>0</v>
      </c>
      <c r="K528" s="3">
        <v>0</v>
      </c>
      <c r="L528" s="3">
        <v>0</v>
      </c>
      <c r="M528" s="3">
        <v>0</v>
      </c>
      <c r="N528" s="3" t="s">
        <v>868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4</v>
      </c>
      <c r="U528" s="3">
        <v>7</v>
      </c>
      <c r="V528" s="3">
        <v>7</v>
      </c>
      <c r="W528" s="3"/>
      <c r="X528" s="3">
        <v>21.98</v>
      </c>
      <c r="Y528" s="3">
        <v>21.98</v>
      </c>
      <c r="Z528" s="3">
        <v>21.98</v>
      </c>
      <c r="AA528" s="3">
        <v>0</v>
      </c>
      <c r="AB528" s="3" t="s">
        <v>869</v>
      </c>
      <c r="AC528" s="3">
        <v>17</v>
      </c>
      <c r="AD528" s="3">
        <v>21.98</v>
      </c>
      <c r="AE528" s="3">
        <v>0</v>
      </c>
      <c r="AF528" s="3">
        <v>0</v>
      </c>
      <c r="AG528" s="3">
        <v>0</v>
      </c>
      <c r="AH528" s="3">
        <v>0.531645569620253</v>
      </c>
      <c r="AI528" s="3">
        <v>2.544781</v>
      </c>
      <c r="AJ528" s="3" t="s">
        <v>870</v>
      </c>
    </row>
    <row r="529" spans="1:36">
      <c r="A529" s="5">
        <v>43336</v>
      </c>
      <c r="B529" s="3" t="s">
        <v>2128</v>
      </c>
      <c r="C529" s="3" t="s">
        <v>2129</v>
      </c>
      <c r="D529" s="3" t="s">
        <v>2129</v>
      </c>
      <c r="E529" s="3" t="s">
        <v>2130</v>
      </c>
      <c r="F529" s="3" t="s">
        <v>867</v>
      </c>
      <c r="G529" s="3">
        <v>2</v>
      </c>
      <c r="H529" s="3">
        <v>0</v>
      </c>
      <c r="I529" s="3">
        <v>0</v>
      </c>
      <c r="J529" s="3">
        <v>0</v>
      </c>
      <c r="K529" s="3">
        <v>0</v>
      </c>
      <c r="L529" s="3">
        <v>2</v>
      </c>
      <c r="M529" s="3">
        <v>0</v>
      </c>
      <c r="N529" s="3" t="s">
        <v>868</v>
      </c>
      <c r="O529" s="3">
        <v>2</v>
      </c>
      <c r="P529" s="3">
        <v>0.38</v>
      </c>
      <c r="Q529" s="3">
        <v>0</v>
      </c>
      <c r="R529" s="3">
        <v>0</v>
      </c>
      <c r="S529" s="3">
        <v>0</v>
      </c>
      <c r="T529" s="3">
        <v>1</v>
      </c>
      <c r="U529" s="3">
        <v>1</v>
      </c>
      <c r="V529" s="3">
        <v>1</v>
      </c>
      <c r="W529" s="3" t="s">
        <v>936</v>
      </c>
      <c r="X529" s="3">
        <v>25</v>
      </c>
      <c r="Y529" s="3">
        <v>25</v>
      </c>
      <c r="Z529" s="3">
        <v>25</v>
      </c>
      <c r="AA529" s="3">
        <v>0</v>
      </c>
      <c r="AB529" s="3" t="s">
        <v>869</v>
      </c>
      <c r="AC529" s="3">
        <v>2</v>
      </c>
      <c r="AD529" s="3">
        <v>25</v>
      </c>
      <c r="AE529" s="3">
        <v>0</v>
      </c>
      <c r="AF529" s="3">
        <v>0</v>
      </c>
      <c r="AG529" s="3">
        <v>0</v>
      </c>
      <c r="AH529" s="3">
        <v>0.4</v>
      </c>
      <c r="AI529" s="3">
        <v>0.111112</v>
      </c>
      <c r="AJ529" s="3" t="s">
        <v>898</v>
      </c>
    </row>
    <row r="530" spans="1:36">
      <c r="A530" s="5">
        <v>43336</v>
      </c>
      <c r="B530" s="3" t="s">
        <v>2131</v>
      </c>
      <c r="C530" s="3" t="s">
        <v>2132</v>
      </c>
      <c r="D530" s="3" t="s">
        <v>2133</v>
      </c>
      <c r="E530" s="3" t="s">
        <v>2134</v>
      </c>
      <c r="F530" s="3" t="s">
        <v>867</v>
      </c>
      <c r="G530" s="3">
        <v>5</v>
      </c>
      <c r="H530" s="3">
        <v>0</v>
      </c>
      <c r="I530" s="3">
        <v>5</v>
      </c>
      <c r="J530" s="3">
        <v>0</v>
      </c>
      <c r="K530" s="3">
        <v>0</v>
      </c>
      <c r="L530" s="3">
        <v>0</v>
      </c>
      <c r="M530" s="3">
        <v>0</v>
      </c>
      <c r="N530" s="3" t="s">
        <v>868</v>
      </c>
      <c r="O530" s="3">
        <v>0</v>
      </c>
      <c r="P530" s="3">
        <v>0</v>
      </c>
      <c r="Q530" s="3">
        <v>0</v>
      </c>
      <c r="R530" s="3">
        <v>0</v>
      </c>
      <c r="S530" s="3">
        <v>0</v>
      </c>
      <c r="T530" s="3">
        <v>0</v>
      </c>
      <c r="U530" s="3">
        <v>0</v>
      </c>
      <c r="V530" s="3">
        <v>0</v>
      </c>
      <c r="W530" s="3" t="s">
        <v>871</v>
      </c>
      <c r="X530" s="3">
        <v>22.98</v>
      </c>
      <c r="Y530" s="3">
        <v>22.98</v>
      </c>
      <c r="Z530" s="3">
        <v>22.98</v>
      </c>
      <c r="AA530" s="3">
        <v>0</v>
      </c>
      <c r="AB530" s="3" t="s">
        <v>883</v>
      </c>
      <c r="AC530" s="3">
        <v>0</v>
      </c>
      <c r="AD530" s="3">
        <v>18.38</v>
      </c>
      <c r="AE530" s="3">
        <v>63</v>
      </c>
      <c r="AF530" s="3">
        <v>0</v>
      </c>
      <c r="AG530" s="3">
        <v>80.183597</v>
      </c>
      <c r="AH530" s="3">
        <v>0</v>
      </c>
      <c r="AI530" s="3">
        <v>0.587724999999999</v>
      </c>
      <c r="AJ530" s="3" t="s">
        <v>870</v>
      </c>
    </row>
    <row r="531" spans="1:36">
      <c r="A531" s="5">
        <v>43336</v>
      </c>
      <c r="B531" s="3" t="s">
        <v>2135</v>
      </c>
      <c r="C531" s="3" t="s">
        <v>2136</v>
      </c>
      <c r="D531" s="3" t="s">
        <v>2136</v>
      </c>
      <c r="E531" s="3" t="s">
        <v>2137</v>
      </c>
      <c r="F531" s="3" t="s">
        <v>867</v>
      </c>
      <c r="G531" s="3">
        <v>24</v>
      </c>
      <c r="H531" s="3">
        <v>0</v>
      </c>
      <c r="I531" s="3">
        <v>24</v>
      </c>
      <c r="J531" s="3">
        <v>0</v>
      </c>
      <c r="K531" s="3">
        <v>0</v>
      </c>
      <c r="L531" s="3">
        <v>0</v>
      </c>
      <c r="M531" s="3">
        <v>0</v>
      </c>
      <c r="N531" s="3" t="s">
        <v>868</v>
      </c>
      <c r="O531" s="3">
        <v>0</v>
      </c>
      <c r="P531" s="3">
        <v>0</v>
      </c>
      <c r="Q531" s="3">
        <v>0</v>
      </c>
      <c r="R531" s="3">
        <v>0</v>
      </c>
      <c r="S531" s="3">
        <v>1</v>
      </c>
      <c r="T531" s="3">
        <v>2</v>
      </c>
      <c r="U531" s="3">
        <v>4</v>
      </c>
      <c r="V531" s="3">
        <v>14</v>
      </c>
      <c r="W531" s="3"/>
      <c r="X531" s="3">
        <v>22.98</v>
      </c>
      <c r="Y531" s="3">
        <v>22.98</v>
      </c>
      <c r="Z531" s="3">
        <v>22.98</v>
      </c>
      <c r="AA531" s="3">
        <v>0</v>
      </c>
      <c r="AB531" s="3" t="s">
        <v>869</v>
      </c>
      <c r="AC531" s="3">
        <v>24</v>
      </c>
      <c r="AD531" s="3">
        <v>22.98</v>
      </c>
      <c r="AE531" s="3">
        <v>0</v>
      </c>
      <c r="AF531" s="3">
        <v>0</v>
      </c>
      <c r="AG531" s="3">
        <v>0</v>
      </c>
      <c r="AH531" s="3">
        <v>0.695652173913043</v>
      </c>
      <c r="AI531" s="3">
        <v>2.005512</v>
      </c>
      <c r="AJ531" s="3" t="s">
        <v>870</v>
      </c>
    </row>
    <row r="532" spans="1:36">
      <c r="A532" s="5">
        <v>43336</v>
      </c>
      <c r="B532" s="3" t="s">
        <v>2138</v>
      </c>
      <c r="C532" s="3" t="s">
        <v>2139</v>
      </c>
      <c r="D532" s="3" t="s">
        <v>2139</v>
      </c>
      <c r="E532" s="3" t="s">
        <v>2140</v>
      </c>
      <c r="F532" s="3" t="s">
        <v>867</v>
      </c>
      <c r="G532" s="3">
        <v>1</v>
      </c>
      <c r="H532" s="3">
        <v>0</v>
      </c>
      <c r="I532" s="3">
        <v>0</v>
      </c>
      <c r="J532" s="3">
        <v>1</v>
      </c>
      <c r="K532" s="3">
        <v>0</v>
      </c>
      <c r="L532" s="3">
        <v>0</v>
      </c>
      <c r="M532" s="3">
        <v>0</v>
      </c>
      <c r="N532" s="3" t="s">
        <v>868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2</v>
      </c>
      <c r="W532" s="3" t="s">
        <v>871</v>
      </c>
      <c r="X532" s="3">
        <v>22.99</v>
      </c>
      <c r="Y532" s="3">
        <v>22.99</v>
      </c>
      <c r="Z532" s="3">
        <v>22.99</v>
      </c>
      <c r="AA532" s="3">
        <v>0</v>
      </c>
      <c r="AB532" s="3" t="s">
        <v>883</v>
      </c>
      <c r="AC532" s="3">
        <v>1</v>
      </c>
      <c r="AD532" s="3">
        <v>22.98</v>
      </c>
      <c r="AE532" s="3">
        <v>0</v>
      </c>
      <c r="AF532" s="3">
        <v>0</v>
      </c>
      <c r="AG532" s="3">
        <v>0</v>
      </c>
      <c r="AH532" s="3">
        <v>0.333333333333333</v>
      </c>
      <c r="AI532" s="3">
        <v>0.145901</v>
      </c>
      <c r="AJ532" s="3" t="s">
        <v>870</v>
      </c>
    </row>
    <row r="533" spans="1:36">
      <c r="A533" s="5">
        <v>43336</v>
      </c>
      <c r="B533" s="3" t="s">
        <v>2141</v>
      </c>
      <c r="C533" s="3" t="s">
        <v>2142</v>
      </c>
      <c r="D533" s="3" t="s">
        <v>2143</v>
      </c>
      <c r="E533" s="3" t="s">
        <v>2144</v>
      </c>
      <c r="F533" s="3" t="s">
        <v>867</v>
      </c>
      <c r="G533" s="3">
        <v>3</v>
      </c>
      <c r="H533" s="3">
        <v>0</v>
      </c>
      <c r="I533" s="3">
        <v>3</v>
      </c>
      <c r="J533" s="3">
        <v>0</v>
      </c>
      <c r="K533" s="3">
        <v>0</v>
      </c>
      <c r="L533" s="3">
        <v>0</v>
      </c>
      <c r="M533" s="3">
        <v>0</v>
      </c>
      <c r="N533" s="3" t="s">
        <v>868</v>
      </c>
      <c r="O533" s="3">
        <v>0</v>
      </c>
      <c r="P533" s="3">
        <v>0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0</v>
      </c>
      <c r="W533" s="3" t="s">
        <v>936</v>
      </c>
      <c r="X533" s="3">
        <v>22.99</v>
      </c>
      <c r="Y533" s="3">
        <v>22.99</v>
      </c>
      <c r="Z533" s="3">
        <v>22.99</v>
      </c>
      <c r="AA533" s="3">
        <v>0</v>
      </c>
      <c r="AB533" s="3" t="s">
        <v>937</v>
      </c>
      <c r="AC533" s="3">
        <v>0</v>
      </c>
      <c r="AD533" s="3">
        <v>18.39</v>
      </c>
      <c r="AE533" s="3">
        <v>63</v>
      </c>
      <c r="AF533" s="3">
        <v>0</v>
      </c>
      <c r="AG533" s="3">
        <v>59.961127</v>
      </c>
      <c r="AH533" s="3">
        <v>0</v>
      </c>
      <c r="AI533" s="3">
        <v>0.426945</v>
      </c>
      <c r="AJ533" s="3" t="s">
        <v>925</v>
      </c>
    </row>
    <row r="534" spans="1:36">
      <c r="A534" s="5">
        <v>43336</v>
      </c>
      <c r="B534" s="3" t="s">
        <v>179</v>
      </c>
      <c r="C534" s="3" t="s">
        <v>180</v>
      </c>
      <c r="D534" s="3" t="s">
        <v>181</v>
      </c>
      <c r="E534" s="3" t="s">
        <v>182</v>
      </c>
      <c r="F534" s="3" t="s">
        <v>867</v>
      </c>
      <c r="G534" s="3">
        <v>3</v>
      </c>
      <c r="H534" s="3">
        <v>0</v>
      </c>
      <c r="I534" s="3">
        <v>3</v>
      </c>
      <c r="J534" s="3">
        <v>0</v>
      </c>
      <c r="K534" s="3">
        <v>0</v>
      </c>
      <c r="L534" s="3">
        <v>0</v>
      </c>
      <c r="M534" s="3">
        <v>0</v>
      </c>
      <c r="N534" s="3" t="s">
        <v>868</v>
      </c>
      <c r="O534" s="3">
        <v>0</v>
      </c>
      <c r="P534" s="3">
        <v>0</v>
      </c>
      <c r="Q534" s="3">
        <v>0</v>
      </c>
      <c r="R534" s="3">
        <v>0</v>
      </c>
      <c r="S534" s="3">
        <v>0</v>
      </c>
      <c r="T534" s="3">
        <v>0</v>
      </c>
      <c r="U534" s="3">
        <v>0</v>
      </c>
      <c r="V534" s="3">
        <v>0</v>
      </c>
      <c r="W534" s="3" t="s">
        <v>936</v>
      </c>
      <c r="X534" s="3">
        <v>49.98</v>
      </c>
      <c r="Y534" s="3">
        <v>25.98</v>
      </c>
      <c r="Z534" s="3">
        <v>25.98</v>
      </c>
      <c r="AA534" s="3">
        <v>0</v>
      </c>
      <c r="AB534" s="3" t="s">
        <v>937</v>
      </c>
      <c r="AC534" s="3">
        <v>0</v>
      </c>
      <c r="AD534" s="3">
        <v>0</v>
      </c>
      <c r="AE534" s="3">
        <v>0</v>
      </c>
      <c r="AF534" s="3">
        <v>0</v>
      </c>
      <c r="AG534" s="3">
        <v>0</v>
      </c>
      <c r="AH534" s="3">
        <v>0</v>
      </c>
      <c r="AI534" s="3">
        <v>0.183035999999999</v>
      </c>
      <c r="AJ534" s="3" t="s">
        <v>870</v>
      </c>
    </row>
    <row r="535" spans="1:36">
      <c r="A535" s="5">
        <v>43336</v>
      </c>
      <c r="B535" s="3" t="s">
        <v>2145</v>
      </c>
      <c r="C535" s="3" t="s">
        <v>2146</v>
      </c>
      <c r="D535" s="3" t="s">
        <v>2146</v>
      </c>
      <c r="E535" s="3" t="s">
        <v>2147</v>
      </c>
      <c r="F535" s="3" t="s">
        <v>867</v>
      </c>
      <c r="G535" s="3">
        <v>8</v>
      </c>
      <c r="H535" s="3">
        <v>0</v>
      </c>
      <c r="I535" s="3">
        <v>0</v>
      </c>
      <c r="J535" s="3">
        <v>0</v>
      </c>
      <c r="K535" s="3">
        <v>8</v>
      </c>
      <c r="L535" s="3">
        <v>0</v>
      </c>
      <c r="M535" s="3">
        <v>0</v>
      </c>
      <c r="N535" s="3" t="s">
        <v>868</v>
      </c>
      <c r="O535" s="3">
        <v>8</v>
      </c>
      <c r="P535" s="3">
        <v>1.68</v>
      </c>
      <c r="Q535" s="3">
        <v>0</v>
      </c>
      <c r="R535" s="3">
        <v>0</v>
      </c>
      <c r="S535" s="3">
        <v>0</v>
      </c>
      <c r="T535" s="3">
        <v>1</v>
      </c>
      <c r="U535" s="3">
        <v>1</v>
      </c>
      <c r="V535" s="3">
        <v>2</v>
      </c>
      <c r="W535" s="3"/>
      <c r="X535" s="3">
        <v>26.98</v>
      </c>
      <c r="Y535" s="3">
        <v>26.98</v>
      </c>
      <c r="Z535" s="3">
        <v>26.98</v>
      </c>
      <c r="AA535" s="3">
        <v>0</v>
      </c>
      <c r="AB535" s="3" t="s">
        <v>869</v>
      </c>
      <c r="AC535" s="3">
        <v>8</v>
      </c>
      <c r="AD535" s="3">
        <v>26.98</v>
      </c>
      <c r="AE535" s="3">
        <v>0</v>
      </c>
      <c r="AF535" s="3">
        <v>0</v>
      </c>
      <c r="AG535" s="3">
        <v>0</v>
      </c>
      <c r="AH535" s="3">
        <v>0.222222222222222</v>
      </c>
      <c r="AI535" s="3">
        <v>0.488096</v>
      </c>
      <c r="AJ535" s="3" t="s">
        <v>870</v>
      </c>
    </row>
    <row r="536" spans="1:36">
      <c r="A536" s="5">
        <v>43336</v>
      </c>
      <c r="B536" s="3" t="s">
        <v>2148</v>
      </c>
      <c r="C536" s="3" t="s">
        <v>2149</v>
      </c>
      <c r="D536" s="3" t="s">
        <v>2150</v>
      </c>
      <c r="E536" s="3" t="s">
        <v>2151</v>
      </c>
      <c r="F536" s="3" t="s">
        <v>867</v>
      </c>
      <c r="G536" s="3">
        <v>3</v>
      </c>
      <c r="H536" s="3">
        <v>0</v>
      </c>
      <c r="I536" s="3">
        <v>3</v>
      </c>
      <c r="J536" s="3">
        <v>0</v>
      </c>
      <c r="K536" s="3">
        <v>0</v>
      </c>
      <c r="L536" s="3">
        <v>0</v>
      </c>
      <c r="M536" s="3">
        <v>0</v>
      </c>
      <c r="N536" s="3" t="s">
        <v>868</v>
      </c>
      <c r="O536" s="3">
        <v>0</v>
      </c>
      <c r="P536" s="3">
        <v>0</v>
      </c>
      <c r="Q536" s="3">
        <v>0</v>
      </c>
      <c r="R536" s="3">
        <v>0</v>
      </c>
      <c r="S536" s="3">
        <v>0</v>
      </c>
      <c r="T536" s="3">
        <v>0</v>
      </c>
      <c r="U536" s="3">
        <v>0</v>
      </c>
      <c r="V536" s="3">
        <v>0</v>
      </c>
      <c r="W536" s="3" t="s">
        <v>871</v>
      </c>
      <c r="X536" s="3">
        <v>26.98</v>
      </c>
      <c r="Y536" s="3">
        <v>26.98</v>
      </c>
      <c r="Z536" s="3">
        <v>26.98</v>
      </c>
      <c r="AA536" s="3">
        <v>0</v>
      </c>
      <c r="AB536" s="3" t="s">
        <v>869</v>
      </c>
      <c r="AC536" s="3">
        <v>3</v>
      </c>
      <c r="AD536" s="3">
        <v>26.98</v>
      </c>
      <c r="AE536" s="3">
        <v>0</v>
      </c>
      <c r="AF536" s="3">
        <v>0</v>
      </c>
      <c r="AG536" s="3">
        <v>0</v>
      </c>
      <c r="AH536" s="3">
        <v>2</v>
      </c>
      <c r="AI536" s="3">
        <v>0.396978</v>
      </c>
      <c r="AJ536" s="3" t="s">
        <v>870</v>
      </c>
    </row>
    <row r="537" spans="1:36">
      <c r="A537" s="5">
        <v>43336</v>
      </c>
      <c r="B537" s="3" t="s">
        <v>2152</v>
      </c>
      <c r="C537" s="3" t="s">
        <v>2153</v>
      </c>
      <c r="D537" s="3" t="s">
        <v>2153</v>
      </c>
      <c r="E537" s="3" t="s">
        <v>2154</v>
      </c>
      <c r="F537" s="3" t="s">
        <v>867</v>
      </c>
      <c r="G537" s="3">
        <v>2</v>
      </c>
      <c r="H537" s="3">
        <v>0</v>
      </c>
      <c r="I537" s="3">
        <v>0</v>
      </c>
      <c r="J537" s="3">
        <v>2</v>
      </c>
      <c r="K537" s="3">
        <v>0</v>
      </c>
      <c r="L537" s="3">
        <v>0</v>
      </c>
      <c r="M537" s="3">
        <v>0</v>
      </c>
      <c r="N537" s="3" t="s">
        <v>868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1</v>
      </c>
      <c r="U537" s="3">
        <v>2</v>
      </c>
      <c r="V537" s="3">
        <v>3</v>
      </c>
      <c r="W537" s="3" t="s">
        <v>871</v>
      </c>
      <c r="X537" s="3">
        <v>22.99</v>
      </c>
      <c r="Y537" s="3">
        <v>22.99</v>
      </c>
      <c r="Z537" s="3">
        <v>22.99</v>
      </c>
      <c r="AA537" s="3">
        <v>0</v>
      </c>
      <c r="AB537" s="3" t="s">
        <v>883</v>
      </c>
      <c r="AC537" s="3">
        <v>2</v>
      </c>
      <c r="AD537" s="3">
        <v>18.98</v>
      </c>
      <c r="AE537" s="3">
        <v>0</v>
      </c>
      <c r="AF537" s="3">
        <v>0</v>
      </c>
      <c r="AG537" s="3">
        <v>0</v>
      </c>
      <c r="AH537" s="3">
        <v>0.342857142857142</v>
      </c>
      <c r="AI537" s="3">
        <v>0.250834</v>
      </c>
      <c r="AJ537" s="3" t="s">
        <v>870</v>
      </c>
    </row>
    <row r="538" spans="1:36">
      <c r="A538" s="5">
        <v>43336</v>
      </c>
      <c r="B538" s="3" t="s">
        <v>2155</v>
      </c>
      <c r="C538" s="3" t="s">
        <v>2156</v>
      </c>
      <c r="D538" s="3" t="s">
        <v>2156</v>
      </c>
      <c r="E538" s="3" t="s">
        <v>2157</v>
      </c>
      <c r="F538" s="3" t="s">
        <v>867</v>
      </c>
      <c r="G538" s="3">
        <v>1</v>
      </c>
      <c r="H538" s="3">
        <v>0</v>
      </c>
      <c r="I538" s="3">
        <v>1</v>
      </c>
      <c r="J538" s="3">
        <v>0</v>
      </c>
      <c r="K538" s="3">
        <v>0</v>
      </c>
      <c r="L538" s="3">
        <v>0</v>
      </c>
      <c r="M538" s="3">
        <v>0</v>
      </c>
      <c r="N538" s="3" t="s">
        <v>868</v>
      </c>
      <c r="O538" s="3">
        <v>0</v>
      </c>
      <c r="P538" s="3">
        <v>0</v>
      </c>
      <c r="Q538" s="3">
        <v>0</v>
      </c>
      <c r="R538" s="3">
        <v>0</v>
      </c>
      <c r="S538" s="3">
        <v>0</v>
      </c>
      <c r="T538" s="3">
        <v>3</v>
      </c>
      <c r="U538" s="3">
        <v>14</v>
      </c>
      <c r="V538" s="3">
        <v>25</v>
      </c>
      <c r="W538" s="3"/>
      <c r="X538" s="3"/>
      <c r="Y538" s="3"/>
      <c r="Z538" s="3">
        <v>18.98</v>
      </c>
      <c r="AA538" s="3">
        <v>-1</v>
      </c>
      <c r="AB538" s="3" t="s">
        <v>891</v>
      </c>
      <c r="AC538" s="3">
        <v>0</v>
      </c>
      <c r="AD538" s="3">
        <v>0</v>
      </c>
      <c r="AE538" s="3">
        <v>0</v>
      </c>
      <c r="AF538" s="3">
        <v>0</v>
      </c>
      <c r="AG538" s="3">
        <v>0</v>
      </c>
      <c r="AH538" s="3">
        <v>3.57142857142857</v>
      </c>
      <c r="AI538" s="3">
        <v>0.045529</v>
      </c>
      <c r="AJ538" s="3" t="s">
        <v>870</v>
      </c>
    </row>
    <row r="539" spans="1:36">
      <c r="A539" s="5">
        <v>43336</v>
      </c>
      <c r="B539" s="3" t="s">
        <v>2158</v>
      </c>
      <c r="C539" s="3" t="s">
        <v>2159</v>
      </c>
      <c r="D539" s="3" t="s">
        <v>2159</v>
      </c>
      <c r="E539" s="3" t="s">
        <v>2160</v>
      </c>
      <c r="F539" s="3" t="s">
        <v>867</v>
      </c>
      <c r="G539" s="3">
        <v>22</v>
      </c>
      <c r="H539" s="3">
        <v>0</v>
      </c>
      <c r="I539" s="3">
        <v>2</v>
      </c>
      <c r="J539" s="3">
        <v>10</v>
      </c>
      <c r="K539" s="3">
        <v>2</v>
      </c>
      <c r="L539" s="3">
        <v>8</v>
      </c>
      <c r="M539" s="3">
        <v>0</v>
      </c>
      <c r="N539" s="3" t="s">
        <v>868</v>
      </c>
      <c r="O539" s="3">
        <v>10</v>
      </c>
      <c r="P539" s="3">
        <v>2.85</v>
      </c>
      <c r="Q539" s="3">
        <v>0</v>
      </c>
      <c r="R539" s="3">
        <v>0</v>
      </c>
      <c r="S539" s="3">
        <v>2</v>
      </c>
      <c r="T539" s="3">
        <v>5</v>
      </c>
      <c r="U539" s="3">
        <v>10</v>
      </c>
      <c r="V539" s="3">
        <v>15</v>
      </c>
      <c r="W539" s="3"/>
      <c r="X539" s="3">
        <v>23.98</v>
      </c>
      <c r="Y539" s="3">
        <v>23.98</v>
      </c>
      <c r="Z539" s="3">
        <v>23.98</v>
      </c>
      <c r="AA539" s="3">
        <v>0</v>
      </c>
      <c r="AB539" s="3" t="s">
        <v>869</v>
      </c>
      <c r="AC539" s="3">
        <v>23</v>
      </c>
      <c r="AD539" s="3">
        <v>23.98</v>
      </c>
      <c r="AE539" s="3">
        <v>0</v>
      </c>
      <c r="AF539" s="3">
        <v>0</v>
      </c>
      <c r="AG539" s="3">
        <v>0</v>
      </c>
      <c r="AH539" s="3">
        <v>0.495867768595041</v>
      </c>
      <c r="AI539" s="3">
        <v>1.821468</v>
      </c>
      <c r="AJ539" s="3" t="s">
        <v>870</v>
      </c>
    </row>
    <row r="540" spans="1:36">
      <c r="A540" s="5">
        <v>43336</v>
      </c>
      <c r="B540" s="3" t="s">
        <v>825</v>
      </c>
      <c r="C540" s="3" t="s">
        <v>777</v>
      </c>
      <c r="D540" s="3" t="s">
        <v>777</v>
      </c>
      <c r="E540" s="3" t="s">
        <v>778</v>
      </c>
      <c r="F540" s="3" t="s">
        <v>867</v>
      </c>
      <c r="G540" s="3">
        <v>10</v>
      </c>
      <c r="H540" s="3">
        <v>0</v>
      </c>
      <c r="I540" s="3">
        <v>9</v>
      </c>
      <c r="J540" s="3">
        <v>1</v>
      </c>
      <c r="K540" s="3">
        <v>0</v>
      </c>
      <c r="L540" s="3">
        <v>0</v>
      </c>
      <c r="M540" s="3">
        <v>0</v>
      </c>
      <c r="N540" s="3" t="s">
        <v>868</v>
      </c>
      <c r="O540" s="3">
        <v>0</v>
      </c>
      <c r="P540" s="3">
        <v>0</v>
      </c>
      <c r="Q540" s="3">
        <v>0</v>
      </c>
      <c r="R540" s="3">
        <v>0</v>
      </c>
      <c r="S540" s="3">
        <v>4</v>
      </c>
      <c r="T540" s="3">
        <v>5</v>
      </c>
      <c r="U540" s="3">
        <v>8</v>
      </c>
      <c r="V540" s="3">
        <v>19</v>
      </c>
      <c r="W540" s="3"/>
      <c r="X540" s="3">
        <v>22.98</v>
      </c>
      <c r="Y540" s="3">
        <v>22.98</v>
      </c>
      <c r="Z540" s="3">
        <v>22.98</v>
      </c>
      <c r="AA540" s="3">
        <v>0</v>
      </c>
      <c r="AB540" s="3" t="s">
        <v>883</v>
      </c>
      <c r="AC540" s="3">
        <v>2</v>
      </c>
      <c r="AD540" s="3">
        <v>18.38</v>
      </c>
      <c r="AE540" s="3">
        <v>189</v>
      </c>
      <c r="AF540" s="3">
        <v>0</v>
      </c>
      <c r="AG540" s="3">
        <v>59.706681</v>
      </c>
      <c r="AH540" s="3">
        <v>1.33333333333333</v>
      </c>
      <c r="AI540" s="3">
        <v>0.70046</v>
      </c>
      <c r="AJ540" s="3" t="s">
        <v>870</v>
      </c>
    </row>
    <row r="541" spans="1:36">
      <c r="A541" s="5">
        <v>43336</v>
      </c>
      <c r="B541" s="3" t="s">
        <v>631</v>
      </c>
      <c r="C541" s="3" t="s">
        <v>632</v>
      </c>
      <c r="D541" s="3" t="s">
        <v>632</v>
      </c>
      <c r="E541" s="3" t="s">
        <v>2161</v>
      </c>
      <c r="F541" s="3" t="s">
        <v>867</v>
      </c>
      <c r="G541" s="3">
        <v>3</v>
      </c>
      <c r="H541" s="3">
        <v>0</v>
      </c>
      <c r="I541" s="3">
        <v>3</v>
      </c>
      <c r="J541" s="3">
        <v>0</v>
      </c>
      <c r="K541" s="3">
        <v>0</v>
      </c>
      <c r="L541" s="3">
        <v>0</v>
      </c>
      <c r="M541" s="3">
        <v>0</v>
      </c>
      <c r="N541" s="3" t="s">
        <v>868</v>
      </c>
      <c r="O541" s="3">
        <v>0</v>
      </c>
      <c r="P541" s="3">
        <v>0</v>
      </c>
      <c r="Q541" s="3">
        <v>0</v>
      </c>
      <c r="R541" s="3">
        <v>0</v>
      </c>
      <c r="S541" s="3">
        <v>5</v>
      </c>
      <c r="T541" s="3">
        <v>22</v>
      </c>
      <c r="U541" s="3">
        <v>29</v>
      </c>
      <c r="V541" s="3">
        <v>40</v>
      </c>
      <c r="W541" s="3"/>
      <c r="X541" s="3">
        <v>39.98</v>
      </c>
      <c r="Y541" s="3">
        <v>23.98</v>
      </c>
      <c r="Z541" s="3">
        <v>23.98</v>
      </c>
      <c r="AA541" s="3">
        <v>0</v>
      </c>
      <c r="AB541" s="3" t="s">
        <v>869</v>
      </c>
      <c r="AC541" s="3">
        <v>5</v>
      </c>
      <c r="AD541" s="3">
        <v>23.98</v>
      </c>
      <c r="AE541" s="3">
        <v>0</v>
      </c>
      <c r="AF541" s="3">
        <v>0</v>
      </c>
      <c r="AG541" s="3">
        <v>0</v>
      </c>
      <c r="AH541" s="3">
        <v>4.1025641025641</v>
      </c>
      <c r="AI541" s="3">
        <v>0.283767</v>
      </c>
      <c r="AJ541" s="3" t="s">
        <v>870</v>
      </c>
    </row>
    <row r="542" spans="1:36">
      <c r="A542" s="5">
        <v>43336</v>
      </c>
      <c r="B542" s="3" t="s">
        <v>2162</v>
      </c>
      <c r="C542" s="3" t="s">
        <v>2163</v>
      </c>
      <c r="D542" s="3" t="s">
        <v>2163</v>
      </c>
      <c r="E542" s="3" t="s">
        <v>2164</v>
      </c>
      <c r="F542" s="3" t="s">
        <v>867</v>
      </c>
      <c r="G542" s="3">
        <v>34</v>
      </c>
      <c r="H542" s="3">
        <v>0</v>
      </c>
      <c r="I542" s="3">
        <v>5</v>
      </c>
      <c r="J542" s="3">
        <v>29</v>
      </c>
      <c r="K542" s="3">
        <v>0</v>
      </c>
      <c r="L542" s="3">
        <v>0</v>
      </c>
      <c r="M542" s="3">
        <v>0</v>
      </c>
      <c r="N542" s="3" t="s">
        <v>868</v>
      </c>
      <c r="O542" s="3">
        <v>0</v>
      </c>
      <c r="P542" s="3">
        <v>0</v>
      </c>
      <c r="Q542" s="3">
        <v>0</v>
      </c>
      <c r="R542" s="3">
        <v>0</v>
      </c>
      <c r="S542" s="3">
        <v>2</v>
      </c>
      <c r="T542" s="3">
        <v>2</v>
      </c>
      <c r="U542" s="3">
        <v>2</v>
      </c>
      <c r="V542" s="3">
        <v>2</v>
      </c>
      <c r="W542" s="3"/>
      <c r="X542" s="3">
        <v>22.98</v>
      </c>
      <c r="Y542" s="3">
        <v>22.98</v>
      </c>
      <c r="Z542" s="3">
        <v>22.98</v>
      </c>
      <c r="AA542" s="3">
        <v>0</v>
      </c>
      <c r="AB542" s="3" t="s">
        <v>883</v>
      </c>
      <c r="AC542" s="3">
        <v>0</v>
      </c>
      <c r="AD542" s="3">
        <v>17.41</v>
      </c>
      <c r="AE542" s="3">
        <v>350</v>
      </c>
      <c r="AF542" s="3">
        <v>0</v>
      </c>
      <c r="AG542" s="3">
        <v>827.036786</v>
      </c>
      <c r="AH542" s="3">
        <v>0.0567375886524822</v>
      </c>
      <c r="AI542" s="3">
        <v>4.601288</v>
      </c>
      <c r="AJ542" s="3" t="s">
        <v>870</v>
      </c>
    </row>
    <row r="543" spans="1:36">
      <c r="A543" s="5">
        <v>43336</v>
      </c>
      <c r="B543" s="3" t="s">
        <v>2165</v>
      </c>
      <c r="C543" s="3" t="s">
        <v>2166</v>
      </c>
      <c r="D543" s="3" t="s">
        <v>2166</v>
      </c>
      <c r="E543" s="3" t="s">
        <v>2167</v>
      </c>
      <c r="F543" s="3" t="s">
        <v>867</v>
      </c>
      <c r="G543" s="3">
        <v>20</v>
      </c>
      <c r="H543" s="3">
        <v>0</v>
      </c>
      <c r="I543" s="3">
        <v>20</v>
      </c>
      <c r="J543" s="3">
        <v>0</v>
      </c>
      <c r="K543" s="3">
        <v>0</v>
      </c>
      <c r="L543" s="3">
        <v>0</v>
      </c>
      <c r="M543" s="3">
        <v>0</v>
      </c>
      <c r="N543" s="3" t="s">
        <v>868</v>
      </c>
      <c r="O543" s="3">
        <v>0</v>
      </c>
      <c r="P543" s="3">
        <v>0</v>
      </c>
      <c r="Q543" s="3">
        <v>0</v>
      </c>
      <c r="R543" s="3">
        <v>0</v>
      </c>
      <c r="S543" s="3">
        <v>1</v>
      </c>
      <c r="T543" s="3">
        <v>2</v>
      </c>
      <c r="U543" s="3">
        <v>5</v>
      </c>
      <c r="V543" s="3">
        <v>7</v>
      </c>
      <c r="W543" s="3"/>
      <c r="X543" s="3">
        <v>25.98</v>
      </c>
      <c r="Y543" s="3">
        <v>25.98</v>
      </c>
      <c r="Z543" s="3">
        <v>25.98</v>
      </c>
      <c r="AA543" s="3">
        <v>0</v>
      </c>
      <c r="AB543" s="3" t="s">
        <v>883</v>
      </c>
      <c r="AC543" s="3">
        <v>0</v>
      </c>
      <c r="AD543" s="3">
        <v>21.7</v>
      </c>
      <c r="AE543" s="3">
        <v>364</v>
      </c>
      <c r="AF543" s="3">
        <v>0</v>
      </c>
      <c r="AG543" s="3">
        <v>309.694088</v>
      </c>
      <c r="AH543" s="3">
        <v>0.417910447761194</v>
      </c>
      <c r="AI543" s="3">
        <v>2.30562</v>
      </c>
      <c r="AJ543" s="3" t="s">
        <v>870</v>
      </c>
    </row>
    <row r="544" spans="1:36">
      <c r="A544" s="5">
        <v>43336</v>
      </c>
      <c r="B544" s="3" t="s">
        <v>2168</v>
      </c>
      <c r="C544" s="3" t="s">
        <v>2169</v>
      </c>
      <c r="D544" s="3" t="s">
        <v>2169</v>
      </c>
      <c r="E544" s="3" t="s">
        <v>2170</v>
      </c>
      <c r="F544" s="3" t="s">
        <v>867</v>
      </c>
      <c r="G544" s="3">
        <v>2</v>
      </c>
      <c r="H544" s="3">
        <v>0</v>
      </c>
      <c r="I544" s="3">
        <v>1</v>
      </c>
      <c r="J544" s="3">
        <v>0</v>
      </c>
      <c r="K544" s="3">
        <v>1</v>
      </c>
      <c r="L544" s="3">
        <v>0</v>
      </c>
      <c r="M544" s="3">
        <v>0</v>
      </c>
      <c r="N544" s="3" t="s">
        <v>868</v>
      </c>
      <c r="O544" s="3">
        <v>1</v>
      </c>
      <c r="P544" s="3">
        <v>0.21</v>
      </c>
      <c r="Q544" s="3">
        <v>0</v>
      </c>
      <c r="R544" s="3">
        <v>0</v>
      </c>
      <c r="S544" s="3">
        <v>0</v>
      </c>
      <c r="T544" s="3">
        <v>0</v>
      </c>
      <c r="U544" s="3">
        <v>1</v>
      </c>
      <c r="V544" s="3">
        <v>2</v>
      </c>
      <c r="W544" s="3" t="s">
        <v>871</v>
      </c>
      <c r="X544" s="3">
        <v>26.98</v>
      </c>
      <c r="Y544" s="3">
        <v>26.98</v>
      </c>
      <c r="Z544" s="3">
        <v>26.98</v>
      </c>
      <c r="AA544" s="3">
        <v>0</v>
      </c>
      <c r="AB544" s="3" t="s">
        <v>883</v>
      </c>
      <c r="AC544" s="3">
        <v>0</v>
      </c>
      <c r="AD544" s="3">
        <v>24.87</v>
      </c>
      <c r="AE544" s="3">
        <v>168</v>
      </c>
      <c r="AF544" s="3">
        <v>0</v>
      </c>
      <c r="AG544" s="3">
        <v>25.755003</v>
      </c>
      <c r="AH544" s="3">
        <v>0.258064516129032</v>
      </c>
      <c r="AI544" s="3">
        <v>0.122024</v>
      </c>
      <c r="AJ544" s="3" t="s">
        <v>870</v>
      </c>
    </row>
    <row r="545" spans="1:36">
      <c r="A545" s="5">
        <v>43336</v>
      </c>
      <c r="B545" s="3" t="s">
        <v>2171</v>
      </c>
      <c r="C545" s="3" t="s">
        <v>2172</v>
      </c>
      <c r="D545" s="3" t="s">
        <v>2172</v>
      </c>
      <c r="E545" s="3" t="s">
        <v>2173</v>
      </c>
      <c r="F545" s="3" t="s">
        <v>867</v>
      </c>
      <c r="G545" s="3">
        <v>3</v>
      </c>
      <c r="H545" s="3">
        <v>0</v>
      </c>
      <c r="I545" s="3">
        <v>2</v>
      </c>
      <c r="J545" s="3">
        <v>0</v>
      </c>
      <c r="K545" s="3">
        <v>1</v>
      </c>
      <c r="L545" s="3">
        <v>0</v>
      </c>
      <c r="M545" s="3">
        <v>0</v>
      </c>
      <c r="N545" s="3" t="s">
        <v>868</v>
      </c>
      <c r="O545" s="3">
        <v>1</v>
      </c>
      <c r="P545" s="3">
        <v>0.74</v>
      </c>
      <c r="Q545" s="3">
        <v>0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 t="s">
        <v>871</v>
      </c>
      <c r="X545" s="3">
        <v>22.98</v>
      </c>
      <c r="Y545" s="3">
        <v>22.98</v>
      </c>
      <c r="Z545" s="3">
        <v>22.98</v>
      </c>
      <c r="AA545" s="3">
        <v>0</v>
      </c>
      <c r="AB545" s="3" t="s">
        <v>883</v>
      </c>
      <c r="AC545" s="3">
        <v>0</v>
      </c>
      <c r="AD545" s="3">
        <v>20.88</v>
      </c>
      <c r="AE545" s="3">
        <v>105</v>
      </c>
      <c r="AF545" s="3">
        <v>0</v>
      </c>
      <c r="AG545" s="3">
        <v>112.012264</v>
      </c>
      <c r="AH545" s="3">
        <v>0</v>
      </c>
      <c r="AI545" s="3">
        <v>0.639654</v>
      </c>
      <c r="AJ545" s="3" t="s">
        <v>870</v>
      </c>
    </row>
    <row r="546" spans="1:36">
      <c r="A546" s="5">
        <v>43336</v>
      </c>
      <c r="B546" s="3" t="s">
        <v>2174</v>
      </c>
      <c r="C546" s="3" t="s">
        <v>2175</v>
      </c>
      <c r="D546" s="3" t="s">
        <v>2175</v>
      </c>
      <c r="E546" s="3" t="s">
        <v>2176</v>
      </c>
      <c r="F546" s="3" t="s">
        <v>867</v>
      </c>
      <c r="G546" s="3">
        <v>6</v>
      </c>
      <c r="H546" s="3">
        <v>0</v>
      </c>
      <c r="I546" s="3">
        <v>1</v>
      </c>
      <c r="J546" s="3">
        <v>5</v>
      </c>
      <c r="K546" s="3">
        <v>0</v>
      </c>
      <c r="L546" s="3">
        <v>0</v>
      </c>
      <c r="M546" s="3">
        <v>0</v>
      </c>
      <c r="N546" s="3" t="s">
        <v>868</v>
      </c>
      <c r="O546" s="3">
        <v>0</v>
      </c>
      <c r="P546" s="3">
        <v>0</v>
      </c>
      <c r="Q546" s="3">
        <v>0</v>
      </c>
      <c r="R546" s="3">
        <v>0</v>
      </c>
      <c r="S546" s="3">
        <v>2</v>
      </c>
      <c r="T546" s="3">
        <v>3</v>
      </c>
      <c r="U546" s="3">
        <v>5</v>
      </c>
      <c r="V546" s="3">
        <v>14</v>
      </c>
      <c r="W546" s="3"/>
      <c r="X546" s="3">
        <v>23.98</v>
      </c>
      <c r="Y546" s="3">
        <v>23.98</v>
      </c>
      <c r="Z546" s="3">
        <v>23.98</v>
      </c>
      <c r="AA546" s="3">
        <v>0</v>
      </c>
      <c r="AB546" s="3" t="s">
        <v>869</v>
      </c>
      <c r="AC546" s="3">
        <v>8</v>
      </c>
      <c r="AD546" s="3">
        <v>23.98</v>
      </c>
      <c r="AE546" s="3">
        <v>0</v>
      </c>
      <c r="AF546" s="3">
        <v>0</v>
      </c>
      <c r="AG546" s="3">
        <v>0</v>
      </c>
      <c r="AH546" s="3">
        <v>0.7</v>
      </c>
      <c r="AI546" s="3">
        <v>1.02831</v>
      </c>
      <c r="AJ546" s="3" t="s">
        <v>870</v>
      </c>
    </row>
    <row r="547" spans="1:36">
      <c r="A547" s="5">
        <v>43336</v>
      </c>
      <c r="B547" s="3" t="s">
        <v>2177</v>
      </c>
      <c r="C547" s="3" t="s">
        <v>2178</v>
      </c>
      <c r="D547" s="3" t="s">
        <v>2178</v>
      </c>
      <c r="E547" s="3" t="s">
        <v>2179</v>
      </c>
      <c r="F547" s="3" t="s">
        <v>867</v>
      </c>
      <c r="G547" s="3">
        <v>4</v>
      </c>
      <c r="H547" s="3">
        <v>0</v>
      </c>
      <c r="I547" s="3">
        <v>1</v>
      </c>
      <c r="J547" s="3">
        <v>1</v>
      </c>
      <c r="K547" s="3">
        <v>1</v>
      </c>
      <c r="L547" s="3">
        <v>1</v>
      </c>
      <c r="M547" s="3">
        <v>0</v>
      </c>
      <c r="N547" s="3" t="s">
        <v>868</v>
      </c>
      <c r="O547" s="3">
        <v>2</v>
      </c>
      <c r="P547" s="3">
        <v>1.94</v>
      </c>
      <c r="Q547" s="3">
        <v>0</v>
      </c>
      <c r="R547" s="3">
        <v>0</v>
      </c>
      <c r="S547" s="3">
        <v>0</v>
      </c>
      <c r="T547" s="3">
        <v>5</v>
      </c>
      <c r="U547" s="3">
        <v>7</v>
      </c>
      <c r="V547" s="3">
        <v>8</v>
      </c>
      <c r="W547" s="3"/>
      <c r="X547" s="3">
        <v>22.99</v>
      </c>
      <c r="Y547" s="3">
        <v>22.99</v>
      </c>
      <c r="Z547" s="3">
        <v>22.99</v>
      </c>
      <c r="AA547" s="3">
        <v>0</v>
      </c>
      <c r="AB547" s="3" t="s">
        <v>869</v>
      </c>
      <c r="AC547" s="3">
        <v>3</v>
      </c>
      <c r="AD547" s="3">
        <v>22.99</v>
      </c>
      <c r="AE547" s="3">
        <v>0</v>
      </c>
      <c r="AF547" s="3">
        <v>0</v>
      </c>
      <c r="AG547" s="3">
        <v>0</v>
      </c>
      <c r="AH547" s="3">
        <v>0.969696969696969</v>
      </c>
      <c r="AI547" s="3">
        <v>1.125104</v>
      </c>
      <c r="AJ547" s="3" t="s">
        <v>870</v>
      </c>
    </row>
    <row r="548" spans="1:36">
      <c r="A548" s="5">
        <v>43336</v>
      </c>
      <c r="B548" s="3" t="s">
        <v>2180</v>
      </c>
      <c r="C548" s="3" t="s">
        <v>2181</v>
      </c>
      <c r="D548" s="3" t="s">
        <v>2181</v>
      </c>
      <c r="E548" s="3" t="s">
        <v>2182</v>
      </c>
      <c r="F548" s="3" t="s">
        <v>867</v>
      </c>
      <c r="G548" s="3">
        <v>9</v>
      </c>
      <c r="H548" s="3">
        <v>0</v>
      </c>
      <c r="I548" s="3">
        <v>4</v>
      </c>
      <c r="J548" s="3">
        <v>5</v>
      </c>
      <c r="K548" s="3">
        <v>0</v>
      </c>
      <c r="L548" s="3">
        <v>0</v>
      </c>
      <c r="M548" s="3">
        <v>0</v>
      </c>
      <c r="N548" s="3" t="s">
        <v>868</v>
      </c>
      <c r="O548" s="3">
        <v>0</v>
      </c>
      <c r="P548" s="3">
        <v>0</v>
      </c>
      <c r="Q548" s="3">
        <v>0</v>
      </c>
      <c r="R548" s="3">
        <v>0</v>
      </c>
      <c r="S548" s="3">
        <v>8</v>
      </c>
      <c r="T548" s="3">
        <v>25</v>
      </c>
      <c r="U548" s="3">
        <v>28</v>
      </c>
      <c r="V548" s="3">
        <v>29</v>
      </c>
      <c r="W548" s="3"/>
      <c r="X548" s="3">
        <v>22.98</v>
      </c>
      <c r="Y548" s="3">
        <v>22.98</v>
      </c>
      <c r="Z548" s="3">
        <v>22.98</v>
      </c>
      <c r="AA548" s="3">
        <v>0</v>
      </c>
      <c r="AB548" s="3" t="s">
        <v>869</v>
      </c>
      <c r="AC548" s="3">
        <v>10</v>
      </c>
      <c r="AD548" s="3">
        <v>22.98</v>
      </c>
      <c r="AE548" s="3">
        <v>0</v>
      </c>
      <c r="AF548" s="3">
        <v>0</v>
      </c>
      <c r="AG548" s="3">
        <v>0</v>
      </c>
      <c r="AH548" s="3">
        <v>1.03571428571428</v>
      </c>
      <c r="AI548" s="3">
        <v>1.91896199999999</v>
      </c>
      <c r="AJ548" s="3" t="s">
        <v>870</v>
      </c>
    </row>
    <row r="549" spans="1:36">
      <c r="A549" s="5">
        <v>43336</v>
      </c>
      <c r="B549" s="3" t="s">
        <v>2183</v>
      </c>
      <c r="C549" s="3" t="s">
        <v>2184</v>
      </c>
      <c r="D549" s="3" t="s">
        <v>2184</v>
      </c>
      <c r="E549" s="3" t="s">
        <v>2185</v>
      </c>
      <c r="F549" s="3" t="s">
        <v>867</v>
      </c>
      <c r="G549" s="3">
        <v>22</v>
      </c>
      <c r="H549" s="3">
        <v>0</v>
      </c>
      <c r="I549" s="3">
        <v>22</v>
      </c>
      <c r="J549" s="3">
        <v>0</v>
      </c>
      <c r="K549" s="3">
        <v>0</v>
      </c>
      <c r="L549" s="3">
        <v>0</v>
      </c>
      <c r="M549" s="3">
        <v>0</v>
      </c>
      <c r="N549" s="3" t="s">
        <v>868</v>
      </c>
      <c r="O549" s="3">
        <v>0</v>
      </c>
      <c r="P549" s="3">
        <v>0</v>
      </c>
      <c r="Q549" s="3">
        <v>0</v>
      </c>
      <c r="R549" s="3">
        <v>0</v>
      </c>
      <c r="S549" s="3">
        <v>0</v>
      </c>
      <c r="T549" s="3">
        <v>0</v>
      </c>
      <c r="U549" s="3">
        <v>6</v>
      </c>
      <c r="V549" s="3">
        <v>25</v>
      </c>
      <c r="W549" s="3" t="s">
        <v>871</v>
      </c>
      <c r="X549" s="3">
        <v>22.98</v>
      </c>
      <c r="Y549" s="3">
        <v>22.98</v>
      </c>
      <c r="Z549" s="3">
        <v>21.98</v>
      </c>
      <c r="AA549" s="3">
        <v>0</v>
      </c>
      <c r="AB549" s="3" t="s">
        <v>869</v>
      </c>
      <c r="AC549" s="3">
        <v>22</v>
      </c>
      <c r="AD549" s="3">
        <v>22.98</v>
      </c>
      <c r="AE549" s="3">
        <v>0</v>
      </c>
      <c r="AF549" s="3">
        <v>0</v>
      </c>
      <c r="AG549" s="3">
        <v>0</v>
      </c>
      <c r="AH549" s="3">
        <v>2.01550387596899</v>
      </c>
      <c r="AI549" s="3">
        <v>3.293246</v>
      </c>
      <c r="AJ549" s="3" t="s">
        <v>870</v>
      </c>
    </row>
    <row r="550" spans="1:36">
      <c r="A550" s="5">
        <v>43336</v>
      </c>
      <c r="B550" s="3" t="s">
        <v>242</v>
      </c>
      <c r="C550" s="3" t="s">
        <v>243</v>
      </c>
      <c r="D550" s="3" t="s">
        <v>244</v>
      </c>
      <c r="E550" s="3" t="s">
        <v>245</v>
      </c>
      <c r="F550" s="3" t="s">
        <v>867</v>
      </c>
      <c r="G550" s="3">
        <v>5</v>
      </c>
      <c r="H550" s="3">
        <v>0</v>
      </c>
      <c r="I550" s="3">
        <v>5</v>
      </c>
      <c r="J550" s="3">
        <v>0</v>
      </c>
      <c r="K550" s="3">
        <v>0</v>
      </c>
      <c r="L550" s="3">
        <v>0</v>
      </c>
      <c r="M550" s="3">
        <v>0</v>
      </c>
      <c r="N550" s="3" t="s">
        <v>868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</v>
      </c>
      <c r="W550" s="3" t="s">
        <v>871</v>
      </c>
      <c r="X550" s="3">
        <v>45.98</v>
      </c>
      <c r="Y550" s="3">
        <v>27.98</v>
      </c>
      <c r="Z550" s="3">
        <v>27.98</v>
      </c>
      <c r="AA550" s="3">
        <v>0</v>
      </c>
      <c r="AB550" s="3" t="s">
        <v>869</v>
      </c>
      <c r="AC550" s="3">
        <v>5</v>
      </c>
      <c r="AD550" s="3">
        <v>27.98</v>
      </c>
      <c r="AE550" s="3">
        <v>0</v>
      </c>
      <c r="AF550" s="3">
        <v>0</v>
      </c>
      <c r="AG550" s="3">
        <v>0</v>
      </c>
      <c r="AH550" s="3">
        <v>2.93333333333333</v>
      </c>
      <c r="AI550" s="3">
        <v>0.576405</v>
      </c>
      <c r="AJ550" s="3" t="s">
        <v>870</v>
      </c>
    </row>
    <row r="551" spans="1:36">
      <c r="A551" s="5">
        <v>43336</v>
      </c>
      <c r="B551" s="3" t="s">
        <v>2186</v>
      </c>
      <c r="C551" s="3" t="s">
        <v>2187</v>
      </c>
      <c r="D551" s="3" t="s">
        <v>2187</v>
      </c>
      <c r="E551" s="3" t="s">
        <v>2188</v>
      </c>
      <c r="F551" s="3" t="s">
        <v>867</v>
      </c>
      <c r="G551" s="3">
        <v>28</v>
      </c>
      <c r="H551" s="3">
        <v>0</v>
      </c>
      <c r="I551" s="3">
        <v>0</v>
      </c>
      <c r="J551" s="3">
        <v>27</v>
      </c>
      <c r="K551" s="3">
        <v>1</v>
      </c>
      <c r="L551" s="3">
        <v>0</v>
      </c>
      <c r="M551" s="3">
        <v>0</v>
      </c>
      <c r="N551" s="3" t="s">
        <v>868</v>
      </c>
      <c r="O551" s="3">
        <v>1</v>
      </c>
      <c r="P551" s="3">
        <v>0.56</v>
      </c>
      <c r="Q551" s="3">
        <v>0</v>
      </c>
      <c r="R551" s="3">
        <v>0</v>
      </c>
      <c r="S551" s="3">
        <v>0</v>
      </c>
      <c r="T551" s="3">
        <v>0</v>
      </c>
      <c r="U551" s="3">
        <v>1</v>
      </c>
      <c r="V551" s="3">
        <v>1</v>
      </c>
      <c r="W551" s="3" t="s">
        <v>871</v>
      </c>
      <c r="X551" s="3">
        <v>22.99</v>
      </c>
      <c r="Y551" s="3">
        <v>22.99</v>
      </c>
      <c r="Z551" s="3">
        <v>22.99</v>
      </c>
      <c r="AA551" s="3">
        <v>0</v>
      </c>
      <c r="AB551" s="3" t="s">
        <v>883</v>
      </c>
      <c r="AC551" s="3">
        <v>2</v>
      </c>
      <c r="AD551" s="3">
        <v>17.5</v>
      </c>
      <c r="AE551" s="3">
        <v>364</v>
      </c>
      <c r="AF551" s="3">
        <v>0</v>
      </c>
      <c r="AG551" s="3">
        <v>351.495807</v>
      </c>
      <c r="AH551" s="3">
        <v>0.0350877192982456</v>
      </c>
      <c r="AI551" s="3">
        <v>4.550336</v>
      </c>
      <c r="AJ551" s="3" t="s">
        <v>870</v>
      </c>
    </row>
    <row r="552" spans="1:36">
      <c r="A552" s="5">
        <v>43336</v>
      </c>
      <c r="B552" s="3" t="s">
        <v>2189</v>
      </c>
      <c r="C552" s="3" t="s">
        <v>2190</v>
      </c>
      <c r="D552" s="3" t="s">
        <v>2191</v>
      </c>
      <c r="E552" s="3" t="s">
        <v>2192</v>
      </c>
      <c r="F552" s="3" t="s">
        <v>867</v>
      </c>
      <c r="G552" s="3">
        <v>7</v>
      </c>
      <c r="H552" s="3">
        <v>0</v>
      </c>
      <c r="I552" s="3">
        <v>7</v>
      </c>
      <c r="J552" s="3">
        <v>0</v>
      </c>
      <c r="K552" s="3">
        <v>0</v>
      </c>
      <c r="L552" s="3">
        <v>0</v>
      </c>
      <c r="M552" s="3">
        <v>0</v>
      </c>
      <c r="N552" s="3" t="s">
        <v>868</v>
      </c>
      <c r="O552" s="3">
        <v>0</v>
      </c>
      <c r="P552" s="3">
        <v>0</v>
      </c>
      <c r="Q552" s="3">
        <v>0</v>
      </c>
      <c r="R552" s="3">
        <v>0</v>
      </c>
      <c r="S552" s="3">
        <v>2</v>
      </c>
      <c r="T552" s="3">
        <v>2</v>
      </c>
      <c r="U552" s="3">
        <v>2</v>
      </c>
      <c r="V552" s="3">
        <v>2</v>
      </c>
      <c r="W552" s="3"/>
      <c r="X552" s="3">
        <v>23.99</v>
      </c>
      <c r="Y552" s="3">
        <v>19.98</v>
      </c>
      <c r="Z552" s="3">
        <v>19.98</v>
      </c>
      <c r="AA552" s="3">
        <v>0</v>
      </c>
      <c r="AB552" s="3" t="s">
        <v>869</v>
      </c>
      <c r="AC552" s="3">
        <v>0</v>
      </c>
      <c r="AD552" s="3">
        <v>0</v>
      </c>
      <c r="AE552" s="3">
        <v>0</v>
      </c>
      <c r="AF552" s="3">
        <v>0</v>
      </c>
      <c r="AG552" s="3">
        <v>0</v>
      </c>
      <c r="AH552" s="3">
        <v>4</v>
      </c>
      <c r="AI552" s="3">
        <v>1.04785099999999</v>
      </c>
      <c r="AJ552" s="3" t="s">
        <v>870</v>
      </c>
    </row>
    <row r="553" spans="1:36">
      <c r="A553" s="5">
        <v>43336</v>
      </c>
      <c r="B553" s="3" t="s">
        <v>2193</v>
      </c>
      <c r="C553" s="3" t="s">
        <v>2194</v>
      </c>
      <c r="D553" s="3" t="s">
        <v>2194</v>
      </c>
      <c r="E553" s="3" t="s">
        <v>2195</v>
      </c>
      <c r="F553" s="3" t="s">
        <v>867</v>
      </c>
      <c r="G553" s="3">
        <v>5</v>
      </c>
      <c r="H553" s="3">
        <v>0</v>
      </c>
      <c r="I553" s="3">
        <v>0</v>
      </c>
      <c r="J553" s="3">
        <v>3</v>
      </c>
      <c r="K553" s="3">
        <v>2</v>
      </c>
      <c r="L553" s="3">
        <v>0</v>
      </c>
      <c r="M553" s="3">
        <v>0</v>
      </c>
      <c r="N553" s="3" t="s">
        <v>868</v>
      </c>
      <c r="O553" s="3">
        <v>2</v>
      </c>
      <c r="P553" s="3">
        <v>0.61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936</v>
      </c>
      <c r="X553" s="3">
        <v>23.98</v>
      </c>
      <c r="Y553" s="3">
        <v>23.98</v>
      </c>
      <c r="Z553" s="3">
        <v>23.98</v>
      </c>
      <c r="AA553" s="3">
        <v>0</v>
      </c>
      <c r="AB553" s="3" t="s">
        <v>937</v>
      </c>
      <c r="AC553" s="3">
        <v>0</v>
      </c>
      <c r="AD553" s="3">
        <v>21.64</v>
      </c>
      <c r="AE553" s="3">
        <v>203</v>
      </c>
      <c r="AF553" s="3">
        <v>0</v>
      </c>
      <c r="AG553" s="3">
        <v>105.739211</v>
      </c>
      <c r="AH553" s="3">
        <v>0</v>
      </c>
      <c r="AI553" s="3">
        <v>0.43856</v>
      </c>
      <c r="AJ553" s="3" t="s">
        <v>870</v>
      </c>
    </row>
    <row r="554" spans="1:36">
      <c r="A554" s="5">
        <v>43336</v>
      </c>
      <c r="B554" s="3" t="s">
        <v>2196</v>
      </c>
      <c r="C554" s="3" t="s">
        <v>2197</v>
      </c>
      <c r="D554" s="3" t="s">
        <v>2198</v>
      </c>
      <c r="E554" s="3" t="s">
        <v>2199</v>
      </c>
      <c r="F554" s="3" t="s">
        <v>867</v>
      </c>
      <c r="G554" s="3">
        <v>6</v>
      </c>
      <c r="H554" s="3">
        <v>0</v>
      </c>
      <c r="I554" s="3">
        <v>6</v>
      </c>
      <c r="J554" s="3">
        <v>0</v>
      </c>
      <c r="K554" s="3">
        <v>0</v>
      </c>
      <c r="L554" s="3">
        <v>0</v>
      </c>
      <c r="M554" s="3">
        <v>0</v>
      </c>
      <c r="N554" s="3" t="s">
        <v>868</v>
      </c>
      <c r="O554" s="3">
        <v>0</v>
      </c>
      <c r="P554" s="3">
        <v>0</v>
      </c>
      <c r="Q554" s="3">
        <v>0</v>
      </c>
      <c r="R554" s="3">
        <v>0</v>
      </c>
      <c r="S554" s="3">
        <v>0</v>
      </c>
      <c r="T554" s="3">
        <v>0</v>
      </c>
      <c r="U554" s="3">
        <v>0</v>
      </c>
      <c r="V554" s="3">
        <v>0</v>
      </c>
      <c r="W554" s="3" t="s">
        <v>871</v>
      </c>
      <c r="X554" s="3">
        <v>19.99</v>
      </c>
      <c r="Y554" s="3">
        <v>19.99</v>
      </c>
      <c r="Z554" s="3">
        <v>19.99</v>
      </c>
      <c r="AA554" s="3">
        <v>0</v>
      </c>
      <c r="AB554" s="3" t="s">
        <v>869</v>
      </c>
      <c r="AC554" s="3">
        <v>0</v>
      </c>
      <c r="AD554" s="3">
        <v>19.99</v>
      </c>
      <c r="AE554" s="3">
        <v>63</v>
      </c>
      <c r="AF554" s="3">
        <v>0</v>
      </c>
      <c r="AG554" s="3">
        <v>149.730621</v>
      </c>
      <c r="AH554" s="3">
        <v>0</v>
      </c>
      <c r="AI554" s="3">
        <v>1.304106</v>
      </c>
      <c r="AJ554" s="3" t="s">
        <v>925</v>
      </c>
    </row>
    <row r="555" spans="1:36">
      <c r="A555" s="5">
        <v>43336</v>
      </c>
      <c r="B555" s="3" t="s">
        <v>349</v>
      </c>
      <c r="C555" s="3" t="s">
        <v>350</v>
      </c>
      <c r="D555" s="3" t="s">
        <v>351</v>
      </c>
      <c r="E555" s="3" t="s">
        <v>352</v>
      </c>
      <c r="F555" s="3" t="s">
        <v>867</v>
      </c>
      <c r="G555" s="3">
        <v>69</v>
      </c>
      <c r="H555" s="3">
        <v>0</v>
      </c>
      <c r="I555" s="3">
        <v>69</v>
      </c>
      <c r="J555" s="3">
        <v>0</v>
      </c>
      <c r="K555" s="3">
        <v>0</v>
      </c>
      <c r="L555" s="3">
        <v>0</v>
      </c>
      <c r="M555" s="3">
        <v>0</v>
      </c>
      <c r="N555" s="3" t="s">
        <v>868</v>
      </c>
      <c r="O555" s="3">
        <v>0</v>
      </c>
      <c r="P555" s="3">
        <v>0</v>
      </c>
      <c r="Q555" s="3">
        <v>0</v>
      </c>
      <c r="R555" s="3">
        <v>0</v>
      </c>
      <c r="S555" s="3">
        <v>26</v>
      </c>
      <c r="T555" s="3">
        <v>107</v>
      </c>
      <c r="U555" s="3">
        <v>168</v>
      </c>
      <c r="V555" s="3">
        <v>168</v>
      </c>
      <c r="W555" s="3"/>
      <c r="X555" s="3">
        <v>23.98</v>
      </c>
      <c r="Y555" s="3">
        <v>23.98</v>
      </c>
      <c r="Z555" s="3">
        <v>23.98</v>
      </c>
      <c r="AA555" s="3">
        <v>0</v>
      </c>
      <c r="AB555" s="3" t="s">
        <v>869</v>
      </c>
      <c r="AC555" s="3">
        <v>75</v>
      </c>
      <c r="AD555" s="3">
        <v>23.98</v>
      </c>
      <c r="AE555" s="3">
        <v>0</v>
      </c>
      <c r="AF555" s="3">
        <v>0</v>
      </c>
      <c r="AG555" s="3">
        <v>0</v>
      </c>
      <c r="AH555" s="3">
        <v>2.24</v>
      </c>
      <c r="AI555" s="3">
        <v>3.141501</v>
      </c>
      <c r="AJ555" s="3" t="s">
        <v>870</v>
      </c>
    </row>
    <row r="556" spans="1:36">
      <c r="A556" s="5">
        <v>43336</v>
      </c>
      <c r="B556" s="3" t="s">
        <v>2200</v>
      </c>
      <c r="C556" s="3" t="s">
        <v>2201</v>
      </c>
      <c r="D556" s="3" t="s">
        <v>2202</v>
      </c>
      <c r="E556" s="3" t="s">
        <v>2203</v>
      </c>
      <c r="F556" s="3" t="s">
        <v>867</v>
      </c>
      <c r="G556" s="3">
        <v>6</v>
      </c>
      <c r="H556" s="3">
        <v>0</v>
      </c>
      <c r="I556" s="3">
        <v>6</v>
      </c>
      <c r="J556" s="3">
        <v>0</v>
      </c>
      <c r="K556" s="3">
        <v>0</v>
      </c>
      <c r="L556" s="3">
        <v>0</v>
      </c>
      <c r="M556" s="3">
        <v>0</v>
      </c>
      <c r="N556" s="3" t="s">
        <v>868</v>
      </c>
      <c r="O556" s="3">
        <v>0</v>
      </c>
      <c r="P556" s="3">
        <v>0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936</v>
      </c>
      <c r="X556" s="3">
        <v>22.99</v>
      </c>
      <c r="Y556" s="3">
        <v>22.99</v>
      </c>
      <c r="Z556" s="3">
        <v>22.99</v>
      </c>
      <c r="AA556" s="3">
        <v>0</v>
      </c>
      <c r="AB556" s="3" t="s">
        <v>937</v>
      </c>
      <c r="AC556" s="3">
        <v>0</v>
      </c>
      <c r="AD556" s="3">
        <v>18.39</v>
      </c>
      <c r="AE556" s="3">
        <v>63</v>
      </c>
      <c r="AF556" s="3">
        <v>0</v>
      </c>
      <c r="AG556" s="3">
        <v>111.433691</v>
      </c>
      <c r="AH556" s="3">
        <v>0</v>
      </c>
      <c r="AI556" s="3">
        <v>0.859374</v>
      </c>
      <c r="AJ556" s="3" t="s">
        <v>925</v>
      </c>
    </row>
    <row r="557" spans="1:36">
      <c r="A557" s="5">
        <v>43336</v>
      </c>
      <c r="B557" s="3" t="s">
        <v>2204</v>
      </c>
      <c r="C557" s="3" t="s">
        <v>2205</v>
      </c>
      <c r="D557" s="3" t="s">
        <v>2205</v>
      </c>
      <c r="E557" s="3" t="s">
        <v>2206</v>
      </c>
      <c r="F557" s="3" t="s">
        <v>867</v>
      </c>
      <c r="G557" s="3">
        <v>4</v>
      </c>
      <c r="H557" s="3">
        <v>0</v>
      </c>
      <c r="I557" s="3">
        <v>0</v>
      </c>
      <c r="J557" s="3">
        <v>4</v>
      </c>
      <c r="K557" s="3">
        <v>0</v>
      </c>
      <c r="L557" s="3">
        <v>0</v>
      </c>
      <c r="M557" s="3">
        <v>0</v>
      </c>
      <c r="N557" s="3" t="s">
        <v>868</v>
      </c>
      <c r="O557" s="3">
        <v>0</v>
      </c>
      <c r="P557" s="3">
        <v>0</v>
      </c>
      <c r="Q557" s="3">
        <v>0</v>
      </c>
      <c r="R557" s="3">
        <v>0</v>
      </c>
      <c r="S557" s="3">
        <v>0</v>
      </c>
      <c r="T557" s="3">
        <v>2</v>
      </c>
      <c r="U557" s="3">
        <v>3</v>
      </c>
      <c r="V557" s="3">
        <v>5</v>
      </c>
      <c r="W557" s="3"/>
      <c r="X557" s="3">
        <v>22.98</v>
      </c>
      <c r="Y557" s="3">
        <v>22.98</v>
      </c>
      <c r="Z557" s="3">
        <v>22.98</v>
      </c>
      <c r="AA557" s="3">
        <v>0</v>
      </c>
      <c r="AB557" s="3" t="s">
        <v>869</v>
      </c>
      <c r="AC557" s="3">
        <v>5</v>
      </c>
      <c r="AD557" s="3">
        <v>22.98</v>
      </c>
      <c r="AE557" s="3">
        <v>0</v>
      </c>
      <c r="AF557" s="3">
        <v>0</v>
      </c>
      <c r="AG557" s="3">
        <v>0</v>
      </c>
      <c r="AH557" s="3">
        <v>0.666666666666666</v>
      </c>
      <c r="AI557" s="3">
        <v>0.334252</v>
      </c>
      <c r="AJ557" s="3" t="s">
        <v>870</v>
      </c>
    </row>
    <row r="558" spans="1:36">
      <c r="A558" s="5">
        <v>43336</v>
      </c>
      <c r="B558" s="3" t="s">
        <v>2207</v>
      </c>
      <c r="C558" s="3" t="s">
        <v>2208</v>
      </c>
      <c r="D558" s="3" t="s">
        <v>2208</v>
      </c>
      <c r="E558" s="3" t="s">
        <v>2209</v>
      </c>
      <c r="F558" s="3" t="s">
        <v>867</v>
      </c>
      <c r="G558" s="3">
        <v>11</v>
      </c>
      <c r="H558" s="3">
        <v>0</v>
      </c>
      <c r="I558" s="3">
        <v>1</v>
      </c>
      <c r="J558" s="3">
        <v>10</v>
      </c>
      <c r="K558" s="3">
        <v>0</v>
      </c>
      <c r="L558" s="3">
        <v>0</v>
      </c>
      <c r="M558" s="3">
        <v>0</v>
      </c>
      <c r="N558" s="3" t="s">
        <v>868</v>
      </c>
      <c r="O558" s="3">
        <v>9</v>
      </c>
      <c r="P558" s="3">
        <v>6.63</v>
      </c>
      <c r="Q558" s="3">
        <v>0</v>
      </c>
      <c r="R558" s="3">
        <v>0</v>
      </c>
      <c r="S558" s="3">
        <v>0</v>
      </c>
      <c r="T558" s="3">
        <v>1</v>
      </c>
      <c r="U558" s="3">
        <v>3</v>
      </c>
      <c r="V558" s="3">
        <v>3</v>
      </c>
      <c r="W558" s="3"/>
      <c r="X558" s="3">
        <v>26.98</v>
      </c>
      <c r="Y558" s="3">
        <v>26.98</v>
      </c>
      <c r="Z558" s="3">
        <v>26.98</v>
      </c>
      <c r="AA558" s="3">
        <v>0</v>
      </c>
      <c r="AB558" s="3" t="s">
        <v>883</v>
      </c>
      <c r="AC558" s="3">
        <v>0</v>
      </c>
      <c r="AD558" s="3">
        <v>21.98</v>
      </c>
      <c r="AE558" s="3">
        <v>350</v>
      </c>
      <c r="AF558" s="3">
        <v>0</v>
      </c>
      <c r="AG558" s="3">
        <v>349.409685</v>
      </c>
      <c r="AH558" s="3">
        <v>0.19047619047619</v>
      </c>
      <c r="AI558" s="3">
        <v>2.34853299999999</v>
      </c>
      <c r="AJ558" s="3" t="s">
        <v>870</v>
      </c>
    </row>
    <row r="559" spans="1:36">
      <c r="A559" s="5">
        <v>43336</v>
      </c>
      <c r="B559" s="3" t="s">
        <v>2210</v>
      </c>
      <c r="C559" s="3" t="s">
        <v>1721</v>
      </c>
      <c r="D559" s="3" t="s">
        <v>1721</v>
      </c>
      <c r="E559" s="3" t="s">
        <v>1722</v>
      </c>
      <c r="F559" s="3" t="s">
        <v>867</v>
      </c>
      <c r="G559" s="3">
        <v>1</v>
      </c>
      <c r="H559" s="3">
        <v>0</v>
      </c>
      <c r="I559" s="3">
        <v>1</v>
      </c>
      <c r="J559" s="3">
        <v>0</v>
      </c>
      <c r="K559" s="3">
        <v>0</v>
      </c>
      <c r="L559" s="3">
        <v>0</v>
      </c>
      <c r="M559" s="3">
        <v>0</v>
      </c>
      <c r="N559" s="3" t="s">
        <v>868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2</v>
      </c>
      <c r="U559" s="3">
        <v>5</v>
      </c>
      <c r="V559" s="3">
        <v>8</v>
      </c>
      <c r="W559" s="3"/>
      <c r="X559" s="3">
        <v>22.98</v>
      </c>
      <c r="Y559" s="3">
        <v>22.98</v>
      </c>
      <c r="Z559" s="3">
        <v>22.98</v>
      </c>
      <c r="AA559" s="3">
        <v>0</v>
      </c>
      <c r="AB559" s="3" t="s">
        <v>869</v>
      </c>
      <c r="AC559" s="3">
        <v>0</v>
      </c>
      <c r="AD559" s="3">
        <v>0</v>
      </c>
      <c r="AE559" s="3">
        <v>0</v>
      </c>
      <c r="AF559" s="3">
        <v>0</v>
      </c>
      <c r="AG559" s="3">
        <v>0</v>
      </c>
      <c r="AH559" s="3">
        <v>2</v>
      </c>
      <c r="AI559" s="3">
        <v>0.090488</v>
      </c>
      <c r="AJ559" s="3" t="s">
        <v>870</v>
      </c>
    </row>
    <row r="560" spans="1:36">
      <c r="A560" s="5">
        <v>43336</v>
      </c>
      <c r="B560" s="3" t="s">
        <v>2211</v>
      </c>
      <c r="C560" s="3" t="s">
        <v>2212</v>
      </c>
      <c r="D560" s="3" t="s">
        <v>2212</v>
      </c>
      <c r="E560" s="3" t="s">
        <v>2213</v>
      </c>
      <c r="F560" s="3" t="s">
        <v>867</v>
      </c>
      <c r="G560" s="3">
        <v>1</v>
      </c>
      <c r="H560" s="3">
        <v>0</v>
      </c>
      <c r="I560" s="3">
        <v>0</v>
      </c>
      <c r="J560" s="3">
        <v>1</v>
      </c>
      <c r="K560" s="3">
        <v>0</v>
      </c>
      <c r="L560" s="3">
        <v>0</v>
      </c>
      <c r="M560" s="3">
        <v>0</v>
      </c>
      <c r="N560" s="3" t="s">
        <v>868</v>
      </c>
      <c r="O560" s="3">
        <v>0</v>
      </c>
      <c r="P560" s="3">
        <v>0</v>
      </c>
      <c r="Q560" s="3">
        <v>0</v>
      </c>
      <c r="R560" s="3">
        <v>0</v>
      </c>
      <c r="S560" s="3">
        <v>0</v>
      </c>
      <c r="T560" s="3">
        <v>0</v>
      </c>
      <c r="U560" s="3">
        <v>0</v>
      </c>
      <c r="V560" s="3">
        <v>0</v>
      </c>
      <c r="W560" s="3" t="s">
        <v>936</v>
      </c>
      <c r="X560" s="3">
        <v>65.98</v>
      </c>
      <c r="Y560" s="3">
        <v>65.98</v>
      </c>
      <c r="Z560" s="3">
        <v>65.98</v>
      </c>
      <c r="AA560" s="3">
        <v>0</v>
      </c>
      <c r="AB560" s="3" t="s">
        <v>937</v>
      </c>
      <c r="AC560" s="3">
        <v>0</v>
      </c>
      <c r="AD560" s="3">
        <v>62.42</v>
      </c>
      <c r="AE560" s="3">
        <v>14</v>
      </c>
      <c r="AF560" s="3">
        <v>0</v>
      </c>
      <c r="AG560" s="3">
        <v>124.085374</v>
      </c>
      <c r="AH560" s="3">
        <v>0</v>
      </c>
      <c r="AI560" s="3">
        <v>0.831549</v>
      </c>
      <c r="AJ560" s="3" t="s">
        <v>870</v>
      </c>
    </row>
    <row r="561" spans="1:36">
      <c r="A561" s="5">
        <v>43336</v>
      </c>
      <c r="B561" s="3" t="s">
        <v>2214</v>
      </c>
      <c r="C561" s="3" t="s">
        <v>2215</v>
      </c>
      <c r="D561" s="3" t="s">
        <v>2216</v>
      </c>
      <c r="E561" s="3" t="s">
        <v>2217</v>
      </c>
      <c r="F561" s="3" t="s">
        <v>867</v>
      </c>
      <c r="G561" s="3">
        <v>21</v>
      </c>
      <c r="H561" s="3">
        <v>0</v>
      </c>
      <c r="I561" s="3">
        <v>21</v>
      </c>
      <c r="J561" s="3">
        <v>0</v>
      </c>
      <c r="K561" s="3">
        <v>0</v>
      </c>
      <c r="L561" s="3">
        <v>0</v>
      </c>
      <c r="M561" s="3">
        <v>0</v>
      </c>
      <c r="N561" s="3" t="s">
        <v>868</v>
      </c>
      <c r="O561" s="3">
        <v>0</v>
      </c>
      <c r="P561" s="3">
        <v>0</v>
      </c>
      <c r="Q561" s="3">
        <v>0</v>
      </c>
      <c r="R561" s="3">
        <v>0</v>
      </c>
      <c r="S561" s="3">
        <v>5</v>
      </c>
      <c r="T561" s="3">
        <v>27</v>
      </c>
      <c r="U561" s="3">
        <v>37</v>
      </c>
      <c r="V561" s="3">
        <v>37</v>
      </c>
      <c r="W561" s="3"/>
      <c r="X561" s="3">
        <v>22.98</v>
      </c>
      <c r="Y561" s="3">
        <v>22.98</v>
      </c>
      <c r="Z561" s="3">
        <v>22.98</v>
      </c>
      <c r="AA561" s="3">
        <v>0</v>
      </c>
      <c r="AB561" s="3" t="s">
        <v>869</v>
      </c>
      <c r="AC561" s="3">
        <v>20</v>
      </c>
      <c r="AD561" s="3">
        <v>22.98</v>
      </c>
      <c r="AE561" s="3">
        <v>0</v>
      </c>
      <c r="AF561" s="3">
        <v>0</v>
      </c>
      <c r="AG561" s="3">
        <v>0</v>
      </c>
      <c r="AH561" s="3">
        <v>3.74193548387096</v>
      </c>
      <c r="AI561" s="3">
        <v>1.401225</v>
      </c>
      <c r="AJ561" s="3" t="s">
        <v>870</v>
      </c>
    </row>
    <row r="562" spans="1:36">
      <c r="A562" s="5">
        <v>43336</v>
      </c>
      <c r="B562" s="3" t="s">
        <v>2218</v>
      </c>
      <c r="C562" s="3" t="s">
        <v>2219</v>
      </c>
      <c r="D562" s="3" t="s">
        <v>2220</v>
      </c>
      <c r="E562" s="3" t="s">
        <v>546</v>
      </c>
      <c r="F562" s="3" t="s">
        <v>867</v>
      </c>
      <c r="G562" s="3">
        <v>17</v>
      </c>
      <c r="H562" s="3">
        <v>0</v>
      </c>
      <c r="I562" s="3">
        <v>17</v>
      </c>
      <c r="J562" s="3">
        <v>0</v>
      </c>
      <c r="K562" s="3">
        <v>0</v>
      </c>
      <c r="L562" s="3">
        <v>0</v>
      </c>
      <c r="M562" s="3">
        <v>0</v>
      </c>
      <c r="N562" s="3" t="s">
        <v>868</v>
      </c>
      <c r="O562" s="3">
        <v>0</v>
      </c>
      <c r="P562" s="3">
        <v>0</v>
      </c>
      <c r="Q562" s="3">
        <v>0</v>
      </c>
      <c r="R562" s="3">
        <v>0</v>
      </c>
      <c r="S562" s="3">
        <v>1</v>
      </c>
      <c r="T562" s="3">
        <v>9</v>
      </c>
      <c r="U562" s="3">
        <v>18</v>
      </c>
      <c r="V562" s="3">
        <v>20</v>
      </c>
      <c r="W562" s="3"/>
      <c r="X562" s="3">
        <v>22.98</v>
      </c>
      <c r="Y562" s="3">
        <v>22.98</v>
      </c>
      <c r="Z562" s="3">
        <v>22.98</v>
      </c>
      <c r="AA562" s="3">
        <v>0</v>
      </c>
      <c r="AB562" s="3" t="s">
        <v>869</v>
      </c>
      <c r="AC562" s="3">
        <v>18</v>
      </c>
      <c r="AD562" s="3">
        <v>22.98</v>
      </c>
      <c r="AE562" s="3">
        <v>0</v>
      </c>
      <c r="AF562" s="3">
        <v>0</v>
      </c>
      <c r="AG562" s="3">
        <v>0</v>
      </c>
      <c r="AH562" s="3">
        <v>1.66666666666666</v>
      </c>
      <c r="AI562" s="3">
        <v>0.773993</v>
      </c>
      <c r="AJ562" s="3" t="s">
        <v>870</v>
      </c>
    </row>
    <row r="563" spans="1:36">
      <c r="A563" s="5">
        <v>43336</v>
      </c>
      <c r="B563" s="3" t="s">
        <v>2221</v>
      </c>
      <c r="C563" s="3" t="s">
        <v>2222</v>
      </c>
      <c r="D563" s="3" t="s">
        <v>2223</v>
      </c>
      <c r="E563" s="3" t="s">
        <v>2224</v>
      </c>
      <c r="F563" s="3" t="s">
        <v>867</v>
      </c>
      <c r="G563" s="3">
        <v>12</v>
      </c>
      <c r="H563" s="3">
        <v>0</v>
      </c>
      <c r="I563" s="3">
        <v>12</v>
      </c>
      <c r="J563" s="3">
        <v>0</v>
      </c>
      <c r="K563" s="3">
        <v>0</v>
      </c>
      <c r="L563" s="3">
        <v>0</v>
      </c>
      <c r="M563" s="3">
        <v>0</v>
      </c>
      <c r="N563" s="3" t="s">
        <v>868</v>
      </c>
      <c r="O563" s="3">
        <v>0</v>
      </c>
      <c r="P563" s="3">
        <v>0</v>
      </c>
      <c r="Q563" s="3">
        <v>0</v>
      </c>
      <c r="R563" s="3">
        <v>0</v>
      </c>
      <c r="S563" s="3">
        <v>5</v>
      </c>
      <c r="T563" s="3">
        <v>13</v>
      </c>
      <c r="U563" s="3">
        <v>13</v>
      </c>
      <c r="V563" s="3">
        <v>13</v>
      </c>
      <c r="W563" s="3"/>
      <c r="X563" s="3">
        <v>22.98</v>
      </c>
      <c r="Y563" s="3">
        <v>22.98</v>
      </c>
      <c r="Z563" s="3">
        <v>22.98</v>
      </c>
      <c r="AA563" s="3">
        <v>0</v>
      </c>
      <c r="AB563" s="3" t="s">
        <v>869</v>
      </c>
      <c r="AC563" s="3">
        <v>9</v>
      </c>
      <c r="AD563" s="3">
        <v>22.98</v>
      </c>
      <c r="AE563" s="3">
        <v>0</v>
      </c>
      <c r="AF563" s="3">
        <v>0</v>
      </c>
      <c r="AG563" s="3">
        <v>0</v>
      </c>
      <c r="AH563" s="3">
        <v>3.27868852459016</v>
      </c>
      <c r="AI563" s="3">
        <v>0.785376</v>
      </c>
      <c r="AJ563" s="3" t="s">
        <v>870</v>
      </c>
    </row>
    <row r="564" spans="1:36">
      <c r="A564" s="5">
        <v>43336</v>
      </c>
      <c r="B564" s="3" t="s">
        <v>2225</v>
      </c>
      <c r="C564" s="3" t="s">
        <v>2226</v>
      </c>
      <c r="D564" s="3" t="s">
        <v>2226</v>
      </c>
      <c r="E564" s="3" t="s">
        <v>2227</v>
      </c>
      <c r="F564" s="3" t="s">
        <v>867</v>
      </c>
      <c r="G564" s="3">
        <v>1</v>
      </c>
      <c r="H564" s="3">
        <v>0</v>
      </c>
      <c r="I564" s="3">
        <v>1</v>
      </c>
      <c r="J564" s="3">
        <v>0</v>
      </c>
      <c r="K564" s="3">
        <v>0</v>
      </c>
      <c r="L564" s="3">
        <v>0</v>
      </c>
      <c r="M564" s="3">
        <v>0</v>
      </c>
      <c r="N564" s="3" t="s">
        <v>868</v>
      </c>
      <c r="O564" s="3">
        <v>0</v>
      </c>
      <c r="P564" s="3">
        <v>0</v>
      </c>
      <c r="Q564" s="3">
        <v>0</v>
      </c>
      <c r="R564" s="3">
        <v>0</v>
      </c>
      <c r="S564" s="3">
        <v>0</v>
      </c>
      <c r="T564" s="3">
        <v>11</v>
      </c>
      <c r="U564" s="3">
        <v>18</v>
      </c>
      <c r="V564" s="3">
        <v>22</v>
      </c>
      <c r="W564" s="3"/>
      <c r="X564" s="3">
        <v>22.99</v>
      </c>
      <c r="Y564" s="3">
        <v>22.99</v>
      </c>
      <c r="Z564" s="3">
        <v>22.99</v>
      </c>
      <c r="AA564" s="3">
        <v>0</v>
      </c>
      <c r="AB564" s="3" t="s">
        <v>869</v>
      </c>
      <c r="AC564" s="3">
        <v>1</v>
      </c>
      <c r="AD564" s="3">
        <v>22.99</v>
      </c>
      <c r="AE564" s="3">
        <v>0</v>
      </c>
      <c r="AF564" s="3">
        <v>0</v>
      </c>
      <c r="AG564" s="3">
        <v>0</v>
      </c>
      <c r="AH564" s="3">
        <v>1.62962962962962</v>
      </c>
      <c r="AI564" s="3">
        <v>0.281276</v>
      </c>
      <c r="AJ564" s="3" t="s">
        <v>870</v>
      </c>
    </row>
    <row r="565" spans="1:36">
      <c r="A565" s="5">
        <v>43336</v>
      </c>
      <c r="B565" s="3" t="s">
        <v>565</v>
      </c>
      <c r="C565" s="3" t="s">
        <v>566</v>
      </c>
      <c r="D565" s="3" t="s">
        <v>566</v>
      </c>
      <c r="E565" s="3" t="s">
        <v>567</v>
      </c>
      <c r="F565" s="3" t="s">
        <v>867</v>
      </c>
      <c r="G565" s="3">
        <v>24</v>
      </c>
      <c r="H565" s="3">
        <v>0</v>
      </c>
      <c r="I565" s="3">
        <v>0</v>
      </c>
      <c r="J565" s="3">
        <v>24</v>
      </c>
      <c r="K565" s="3">
        <v>0</v>
      </c>
      <c r="L565" s="3">
        <v>0</v>
      </c>
      <c r="M565" s="3">
        <v>0</v>
      </c>
      <c r="N565" s="3" t="s">
        <v>868</v>
      </c>
      <c r="O565" s="3">
        <v>22</v>
      </c>
      <c r="P565" s="3">
        <v>12.52</v>
      </c>
      <c r="Q565" s="3">
        <v>0</v>
      </c>
      <c r="R565" s="3">
        <v>0</v>
      </c>
      <c r="S565" s="3">
        <v>1</v>
      </c>
      <c r="T565" s="3">
        <v>4</v>
      </c>
      <c r="U565" s="3">
        <v>5</v>
      </c>
      <c r="V565" s="3">
        <v>6</v>
      </c>
      <c r="W565" s="3"/>
      <c r="X565" s="3">
        <v>25.98</v>
      </c>
      <c r="Y565" s="3">
        <v>25.98</v>
      </c>
      <c r="Z565" s="3">
        <v>25.98</v>
      </c>
      <c r="AA565" s="3">
        <v>0</v>
      </c>
      <c r="AB565" s="3" t="s">
        <v>869</v>
      </c>
      <c r="AC565" s="3">
        <v>24</v>
      </c>
      <c r="AD565" s="3">
        <v>25.98</v>
      </c>
      <c r="AE565" s="3">
        <v>0</v>
      </c>
      <c r="AF565" s="3">
        <v>0</v>
      </c>
      <c r="AG565" s="3">
        <v>0</v>
      </c>
      <c r="AH565" s="3">
        <v>0.150943396226415</v>
      </c>
      <c r="AI565" s="3">
        <v>3.958512</v>
      </c>
      <c r="AJ565" s="3" t="s">
        <v>870</v>
      </c>
    </row>
    <row r="566" spans="1:36">
      <c r="A566" s="5">
        <v>43336</v>
      </c>
      <c r="B566" s="3" t="s">
        <v>814</v>
      </c>
      <c r="C566" s="3" t="s">
        <v>815</v>
      </c>
      <c r="D566" s="3" t="s">
        <v>815</v>
      </c>
      <c r="E566" s="3" t="s">
        <v>816</v>
      </c>
      <c r="F566" s="3" t="s">
        <v>867</v>
      </c>
      <c r="G566" s="3">
        <v>3</v>
      </c>
      <c r="H566" s="3">
        <v>0</v>
      </c>
      <c r="I566" s="3">
        <v>0</v>
      </c>
      <c r="J566" s="3">
        <v>0</v>
      </c>
      <c r="K566" s="3">
        <v>3</v>
      </c>
      <c r="L566" s="3">
        <v>0</v>
      </c>
      <c r="M566" s="3">
        <v>0</v>
      </c>
      <c r="N566" s="3" t="s">
        <v>868</v>
      </c>
      <c r="O566" s="3">
        <v>3</v>
      </c>
      <c r="P566" s="3">
        <v>2.13</v>
      </c>
      <c r="Q566" s="3">
        <v>0</v>
      </c>
      <c r="R566" s="3">
        <v>0</v>
      </c>
      <c r="S566" s="3">
        <v>0</v>
      </c>
      <c r="T566" s="3">
        <v>1</v>
      </c>
      <c r="U566" s="3">
        <v>1</v>
      </c>
      <c r="V566" s="3">
        <v>1</v>
      </c>
      <c r="W566" s="3" t="s">
        <v>871</v>
      </c>
      <c r="X566" s="3">
        <v>12</v>
      </c>
      <c r="Y566" s="3">
        <v>12</v>
      </c>
      <c r="Z566" s="3">
        <v>12</v>
      </c>
      <c r="AA566" s="3">
        <v>0</v>
      </c>
      <c r="AB566" s="3" t="s">
        <v>869</v>
      </c>
      <c r="AC566" s="3">
        <v>3</v>
      </c>
      <c r="AD566" s="3">
        <v>12</v>
      </c>
      <c r="AE566" s="3">
        <v>0</v>
      </c>
      <c r="AF566" s="3">
        <v>0</v>
      </c>
      <c r="AG566" s="3">
        <v>0</v>
      </c>
      <c r="AH566" s="3">
        <v>0.210526315789473</v>
      </c>
      <c r="AI566" s="3">
        <v>0.615255</v>
      </c>
      <c r="AJ566" s="3" t="s">
        <v>870</v>
      </c>
    </row>
    <row r="567" spans="1:36">
      <c r="A567" s="5">
        <v>43336</v>
      </c>
      <c r="B567" s="3" t="s">
        <v>2228</v>
      </c>
      <c r="C567" s="3" t="s">
        <v>2229</v>
      </c>
      <c r="D567" s="3" t="s">
        <v>2229</v>
      </c>
      <c r="E567" s="3" t="s">
        <v>2230</v>
      </c>
      <c r="F567" s="3" t="s">
        <v>867</v>
      </c>
      <c r="G567" s="3">
        <v>2</v>
      </c>
      <c r="H567" s="3">
        <v>0</v>
      </c>
      <c r="I567" s="3">
        <v>1</v>
      </c>
      <c r="J567" s="3">
        <v>1</v>
      </c>
      <c r="K567" s="3">
        <v>0</v>
      </c>
      <c r="L567" s="3">
        <v>0</v>
      </c>
      <c r="M567" s="3">
        <v>0</v>
      </c>
      <c r="N567" s="3" t="s">
        <v>868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13</v>
      </c>
      <c r="U567" s="3">
        <v>15</v>
      </c>
      <c r="V567" s="3">
        <v>17</v>
      </c>
      <c r="W567" s="3"/>
      <c r="X567" s="3">
        <v>22.99</v>
      </c>
      <c r="Y567" s="3">
        <v>22.99</v>
      </c>
      <c r="Z567" s="3">
        <v>22.99</v>
      </c>
      <c r="AA567" s="3">
        <v>0</v>
      </c>
      <c r="AB567" s="3" t="s">
        <v>869</v>
      </c>
      <c r="AC567" s="3">
        <v>1</v>
      </c>
      <c r="AD567" s="3">
        <v>22.99</v>
      </c>
      <c r="AE567" s="3">
        <v>0</v>
      </c>
      <c r="AF567" s="3">
        <v>0</v>
      </c>
      <c r="AG567" s="3">
        <v>0</v>
      </c>
      <c r="AH567" s="3">
        <v>1.36</v>
      </c>
      <c r="AI567" s="3">
        <v>0.332554</v>
      </c>
      <c r="AJ567" s="3" t="s">
        <v>870</v>
      </c>
    </row>
    <row r="568" spans="1:36">
      <c r="A568" s="5">
        <v>43336</v>
      </c>
      <c r="B568" s="3" t="s">
        <v>2231</v>
      </c>
      <c r="C568" s="3" t="s">
        <v>2232</v>
      </c>
      <c r="D568" s="3" t="s">
        <v>1954</v>
      </c>
      <c r="E568" s="3" t="s">
        <v>1955</v>
      </c>
      <c r="F568" s="3" t="s">
        <v>867</v>
      </c>
      <c r="G568" s="3">
        <v>4</v>
      </c>
      <c r="H568" s="3">
        <v>0</v>
      </c>
      <c r="I568" s="3">
        <v>4</v>
      </c>
      <c r="J568" s="3">
        <v>0</v>
      </c>
      <c r="K568" s="3">
        <v>0</v>
      </c>
      <c r="L568" s="3">
        <v>0</v>
      </c>
      <c r="M568" s="3">
        <v>0</v>
      </c>
      <c r="N568" s="3" t="s">
        <v>868</v>
      </c>
      <c r="O568" s="3">
        <v>0</v>
      </c>
      <c r="P568" s="3">
        <v>0</v>
      </c>
      <c r="Q568" s="3">
        <v>0</v>
      </c>
      <c r="R568" s="3">
        <v>0</v>
      </c>
      <c r="S568" s="3">
        <v>1</v>
      </c>
      <c r="T568" s="3">
        <v>1</v>
      </c>
      <c r="U568" s="3">
        <v>1</v>
      </c>
      <c r="V568" s="3">
        <v>1</v>
      </c>
      <c r="W568" s="3"/>
      <c r="X568" s="3">
        <v>27.98</v>
      </c>
      <c r="Y568" s="3">
        <v>27.98</v>
      </c>
      <c r="Z568" s="3">
        <v>27.98</v>
      </c>
      <c r="AA568" s="3">
        <v>0</v>
      </c>
      <c r="AB568" s="3" t="s">
        <v>869</v>
      </c>
      <c r="AC568" s="3">
        <v>4</v>
      </c>
      <c r="AD568" s="3">
        <v>27.98</v>
      </c>
      <c r="AE568" s="3">
        <v>0</v>
      </c>
      <c r="AF568" s="3">
        <v>0</v>
      </c>
      <c r="AG568" s="3">
        <v>0</v>
      </c>
      <c r="AH568" s="3">
        <v>0.6</v>
      </c>
      <c r="AI568" s="3">
        <v>0.67628</v>
      </c>
      <c r="AJ568" s="3" t="s">
        <v>870</v>
      </c>
    </row>
    <row r="569" spans="1:36">
      <c r="A569" s="5">
        <v>43336</v>
      </c>
      <c r="B569" s="3" t="s">
        <v>2233</v>
      </c>
      <c r="C569" s="3" t="s">
        <v>2234</v>
      </c>
      <c r="D569" s="3" t="s">
        <v>2235</v>
      </c>
      <c r="E569" s="3" t="s">
        <v>2236</v>
      </c>
      <c r="F569" s="3" t="s">
        <v>867</v>
      </c>
      <c r="G569" s="3">
        <v>6</v>
      </c>
      <c r="H569" s="3">
        <v>0</v>
      </c>
      <c r="I569" s="3">
        <v>6</v>
      </c>
      <c r="J569" s="3">
        <v>0</v>
      </c>
      <c r="K569" s="3">
        <v>0</v>
      </c>
      <c r="L569" s="3">
        <v>0</v>
      </c>
      <c r="M569" s="3">
        <v>0</v>
      </c>
      <c r="N569" s="3" t="s">
        <v>868</v>
      </c>
      <c r="O569" s="3">
        <v>0</v>
      </c>
      <c r="P569" s="3">
        <v>0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871</v>
      </c>
      <c r="X569" s="3">
        <v>21.98</v>
      </c>
      <c r="Y569" s="3">
        <v>21.98</v>
      </c>
      <c r="Z569" s="3">
        <v>21.98</v>
      </c>
      <c r="AA569" s="3">
        <v>0</v>
      </c>
      <c r="AB569" s="3" t="s">
        <v>883</v>
      </c>
      <c r="AC569" s="3">
        <v>0</v>
      </c>
      <c r="AD569" s="3">
        <v>18.99</v>
      </c>
      <c r="AE569" s="3">
        <v>63</v>
      </c>
      <c r="AF569" s="3">
        <v>0</v>
      </c>
      <c r="AG569" s="3">
        <v>140.768098</v>
      </c>
      <c r="AH569" s="3">
        <v>0</v>
      </c>
      <c r="AI569" s="3">
        <v>1.111158</v>
      </c>
      <c r="AJ569" s="3" t="s">
        <v>925</v>
      </c>
    </row>
    <row r="570" spans="1:36">
      <c r="A570" s="5">
        <v>43336</v>
      </c>
      <c r="B570" s="3" t="s">
        <v>2237</v>
      </c>
      <c r="C570" s="3" t="s">
        <v>2238</v>
      </c>
      <c r="D570" s="3" t="s">
        <v>2238</v>
      </c>
      <c r="E570" s="3" t="s">
        <v>2077</v>
      </c>
      <c r="F570" s="3" t="s">
        <v>867</v>
      </c>
      <c r="G570" s="3">
        <v>10</v>
      </c>
      <c r="H570" s="3">
        <v>0</v>
      </c>
      <c r="I570" s="3">
        <v>0</v>
      </c>
      <c r="J570" s="3">
        <v>1</v>
      </c>
      <c r="K570" s="3">
        <v>9</v>
      </c>
      <c r="L570" s="3">
        <v>0</v>
      </c>
      <c r="M570" s="3">
        <v>0</v>
      </c>
      <c r="N570" s="3" t="s">
        <v>868</v>
      </c>
      <c r="O570" s="3">
        <v>9</v>
      </c>
      <c r="P570" s="3">
        <v>3.58</v>
      </c>
      <c r="Q570" s="3">
        <v>0</v>
      </c>
      <c r="R570" s="3">
        <v>0</v>
      </c>
      <c r="S570" s="3">
        <v>0</v>
      </c>
      <c r="T570" s="3">
        <v>0</v>
      </c>
      <c r="U570" s="3">
        <v>0</v>
      </c>
      <c r="V570" s="3">
        <v>0</v>
      </c>
      <c r="W570" s="3"/>
      <c r="X570" s="3"/>
      <c r="Y570" s="3"/>
      <c r="Z570" s="3">
        <v>-1</v>
      </c>
      <c r="AA570" s="3">
        <v>-1</v>
      </c>
      <c r="AB570" s="3" t="s">
        <v>891</v>
      </c>
      <c r="AC570" s="3">
        <v>0</v>
      </c>
      <c r="AD570" s="3">
        <v>0</v>
      </c>
      <c r="AE570" s="3">
        <v>0</v>
      </c>
      <c r="AF570" s="3">
        <v>0</v>
      </c>
      <c r="AG570" s="3">
        <v>0</v>
      </c>
      <c r="AH570" s="3">
        <v>0</v>
      </c>
      <c r="AI570" s="3">
        <v>1.15281</v>
      </c>
      <c r="AJ570" s="3" t="s">
        <v>870</v>
      </c>
    </row>
    <row r="571" spans="1:36">
      <c r="A571" s="5">
        <v>43336</v>
      </c>
      <c r="B571" s="3" t="s">
        <v>2239</v>
      </c>
      <c r="C571" s="3" t="s">
        <v>1321</v>
      </c>
      <c r="D571" s="3" t="s">
        <v>1321</v>
      </c>
      <c r="E571" s="3" t="s">
        <v>1322</v>
      </c>
      <c r="F571" s="3" t="s">
        <v>867</v>
      </c>
      <c r="G571" s="3">
        <v>6</v>
      </c>
      <c r="H571" s="3">
        <v>0</v>
      </c>
      <c r="I571" s="3">
        <v>6</v>
      </c>
      <c r="J571" s="3">
        <v>0</v>
      </c>
      <c r="K571" s="3">
        <v>0</v>
      </c>
      <c r="L571" s="3">
        <v>0</v>
      </c>
      <c r="M571" s="3">
        <v>0</v>
      </c>
      <c r="N571" s="3" t="s">
        <v>868</v>
      </c>
      <c r="O571" s="3">
        <v>0</v>
      </c>
      <c r="P571" s="3">
        <v>0</v>
      </c>
      <c r="Q571" s="3">
        <v>0</v>
      </c>
      <c r="R571" s="3">
        <v>0</v>
      </c>
      <c r="S571" s="3">
        <v>3</v>
      </c>
      <c r="T571" s="3">
        <v>5</v>
      </c>
      <c r="U571" s="3">
        <v>10</v>
      </c>
      <c r="V571" s="3">
        <v>21</v>
      </c>
      <c r="W571" s="3"/>
      <c r="X571" s="3">
        <v>22.98</v>
      </c>
      <c r="Y571" s="3">
        <v>22.98</v>
      </c>
      <c r="Z571" s="3">
        <v>22.98</v>
      </c>
      <c r="AA571" s="3">
        <v>0</v>
      </c>
      <c r="AB571" s="3" t="s">
        <v>869</v>
      </c>
      <c r="AC571" s="3">
        <v>7</v>
      </c>
      <c r="AD571" s="3">
        <v>22.98</v>
      </c>
      <c r="AE571" s="3">
        <v>0</v>
      </c>
      <c r="AF571" s="3">
        <v>0</v>
      </c>
      <c r="AG571" s="3">
        <v>0</v>
      </c>
      <c r="AH571" s="3">
        <v>1.82608695652173</v>
      </c>
      <c r="AI571" s="3">
        <v>0.501378</v>
      </c>
      <c r="AJ571" s="3" t="s">
        <v>870</v>
      </c>
    </row>
    <row r="572" spans="1:36">
      <c r="A572" s="5">
        <v>43336</v>
      </c>
      <c r="B572" s="3" t="s">
        <v>621</v>
      </c>
      <c r="C572" s="3" t="s">
        <v>622</v>
      </c>
      <c r="D572" s="3" t="s">
        <v>622</v>
      </c>
      <c r="E572" s="3" t="s">
        <v>2240</v>
      </c>
      <c r="F572" s="3" t="s">
        <v>867</v>
      </c>
      <c r="G572" s="3">
        <v>21</v>
      </c>
      <c r="H572" s="3">
        <v>0</v>
      </c>
      <c r="I572" s="3">
        <v>1</v>
      </c>
      <c r="J572" s="3">
        <v>20</v>
      </c>
      <c r="K572" s="3">
        <v>0</v>
      </c>
      <c r="L572" s="3">
        <v>0</v>
      </c>
      <c r="M572" s="3">
        <v>0</v>
      </c>
      <c r="N572" s="3" t="s">
        <v>868</v>
      </c>
      <c r="O572" s="3">
        <v>0</v>
      </c>
      <c r="P572" s="3">
        <v>0</v>
      </c>
      <c r="Q572" s="3">
        <v>0</v>
      </c>
      <c r="R572" s="3">
        <v>0</v>
      </c>
      <c r="S572" s="3">
        <v>3</v>
      </c>
      <c r="T572" s="3">
        <v>3</v>
      </c>
      <c r="U572" s="3">
        <v>5</v>
      </c>
      <c r="V572" s="3">
        <v>6</v>
      </c>
      <c r="W572" s="3" t="s">
        <v>871</v>
      </c>
      <c r="X572" s="3">
        <v>19.98</v>
      </c>
      <c r="Y572" s="3">
        <v>19.98</v>
      </c>
      <c r="Z572" s="3">
        <v>19.98</v>
      </c>
      <c r="AA572" s="3">
        <v>0</v>
      </c>
      <c r="AB572" s="3" t="s">
        <v>883</v>
      </c>
      <c r="AC572" s="3">
        <v>0</v>
      </c>
      <c r="AD572" s="3">
        <v>16.28</v>
      </c>
      <c r="AE572" s="3">
        <v>364</v>
      </c>
      <c r="AF572" s="3">
        <v>0</v>
      </c>
      <c r="AG572" s="3">
        <v>295.495071</v>
      </c>
      <c r="AH572" s="3">
        <v>0.25531914893617</v>
      </c>
      <c r="AI572" s="3">
        <v>2.205</v>
      </c>
      <c r="AJ572" s="3" t="s">
        <v>870</v>
      </c>
    </row>
    <row r="573" spans="1:36">
      <c r="A573" s="5">
        <v>43336</v>
      </c>
      <c r="B573" s="3" t="s">
        <v>2241</v>
      </c>
      <c r="C573" s="3" t="s">
        <v>2242</v>
      </c>
      <c r="D573" s="3" t="s">
        <v>2242</v>
      </c>
      <c r="E573" s="3" t="s">
        <v>2243</v>
      </c>
      <c r="F573" s="3" t="s">
        <v>867</v>
      </c>
      <c r="G573" s="3">
        <v>14</v>
      </c>
      <c r="H573" s="3">
        <v>0</v>
      </c>
      <c r="I573" s="3">
        <v>10</v>
      </c>
      <c r="J573" s="3">
        <v>4</v>
      </c>
      <c r="K573" s="3">
        <v>0</v>
      </c>
      <c r="L573" s="3">
        <v>0</v>
      </c>
      <c r="M573" s="3">
        <v>0</v>
      </c>
      <c r="N573" s="3" t="s">
        <v>868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0</v>
      </c>
      <c r="U573" s="3">
        <v>3</v>
      </c>
      <c r="V573" s="3">
        <v>8</v>
      </c>
      <c r="W573" s="3" t="s">
        <v>871</v>
      </c>
      <c r="X573" s="3">
        <v>23.98</v>
      </c>
      <c r="Y573" s="3">
        <v>23.98</v>
      </c>
      <c r="Z573" s="3">
        <v>23.98</v>
      </c>
      <c r="AA573" s="3">
        <v>0</v>
      </c>
      <c r="AB573" s="3" t="s">
        <v>869</v>
      </c>
      <c r="AC573" s="3">
        <v>14</v>
      </c>
      <c r="AD573" s="3">
        <v>23.98</v>
      </c>
      <c r="AE573" s="3">
        <v>0</v>
      </c>
      <c r="AF573" s="3">
        <v>0</v>
      </c>
      <c r="AG573" s="3">
        <v>0</v>
      </c>
      <c r="AH573" s="3">
        <v>0.561403508771929</v>
      </c>
      <c r="AI573" s="3">
        <v>2.345588</v>
      </c>
      <c r="AJ573" s="3" t="s">
        <v>870</v>
      </c>
    </row>
    <row r="574" spans="1:36">
      <c r="A574" s="5">
        <v>43336</v>
      </c>
      <c r="B574" s="3" t="s">
        <v>727</v>
      </c>
      <c r="C574" s="3" t="s">
        <v>728</v>
      </c>
      <c r="D574" s="3" t="s">
        <v>728</v>
      </c>
      <c r="E574" s="3" t="s">
        <v>729</v>
      </c>
      <c r="F574" s="3" t="s">
        <v>867</v>
      </c>
      <c r="G574" s="3">
        <v>5</v>
      </c>
      <c r="H574" s="3">
        <v>0</v>
      </c>
      <c r="I574" s="3">
        <v>5</v>
      </c>
      <c r="J574" s="3">
        <v>0</v>
      </c>
      <c r="K574" s="3">
        <v>0</v>
      </c>
      <c r="L574" s="3">
        <v>0</v>
      </c>
      <c r="M574" s="3">
        <v>0</v>
      </c>
      <c r="N574" s="3" t="s">
        <v>868</v>
      </c>
      <c r="O574" s="3">
        <v>0</v>
      </c>
      <c r="P574" s="3">
        <v>0</v>
      </c>
      <c r="Q574" s="3">
        <v>0</v>
      </c>
      <c r="R574" s="3">
        <v>0</v>
      </c>
      <c r="S574" s="3">
        <v>0</v>
      </c>
      <c r="T574" s="3">
        <v>3</v>
      </c>
      <c r="U574" s="3">
        <v>5</v>
      </c>
      <c r="V574" s="3">
        <v>9</v>
      </c>
      <c r="W574" s="3"/>
      <c r="X574" s="3">
        <v>20.98</v>
      </c>
      <c r="Y574" s="3">
        <v>20.98</v>
      </c>
      <c r="Z574" s="3">
        <v>20.98</v>
      </c>
      <c r="AA574" s="3">
        <v>0</v>
      </c>
      <c r="AB574" s="3" t="s">
        <v>869</v>
      </c>
      <c r="AC574" s="3">
        <v>5</v>
      </c>
      <c r="AD574" s="3">
        <v>20.98</v>
      </c>
      <c r="AE574" s="3">
        <v>0</v>
      </c>
      <c r="AF574" s="3">
        <v>0</v>
      </c>
      <c r="AG574" s="3">
        <v>0</v>
      </c>
      <c r="AH574" s="3">
        <v>1.38461538461538</v>
      </c>
      <c r="AI574" s="3">
        <v>0.417815</v>
      </c>
      <c r="AJ574" s="3" t="s">
        <v>870</v>
      </c>
    </row>
    <row r="575" spans="1:36">
      <c r="A575" s="5">
        <v>43336</v>
      </c>
      <c r="B575" s="3" t="s">
        <v>139</v>
      </c>
      <c r="C575" s="3" t="s">
        <v>140</v>
      </c>
      <c r="D575" s="3" t="s">
        <v>141</v>
      </c>
      <c r="E575" s="3" t="s">
        <v>131</v>
      </c>
      <c r="F575" s="3" t="s">
        <v>867</v>
      </c>
      <c r="G575" s="3">
        <v>3</v>
      </c>
      <c r="H575" s="3">
        <v>0</v>
      </c>
      <c r="I575" s="3">
        <v>3</v>
      </c>
      <c r="J575" s="3">
        <v>0</v>
      </c>
      <c r="K575" s="3">
        <v>0</v>
      </c>
      <c r="L575" s="3">
        <v>0</v>
      </c>
      <c r="M575" s="3">
        <v>0</v>
      </c>
      <c r="N575" s="3" t="s">
        <v>868</v>
      </c>
      <c r="O575" s="3">
        <v>0</v>
      </c>
      <c r="P575" s="3">
        <v>0</v>
      </c>
      <c r="Q575" s="3">
        <v>0</v>
      </c>
      <c r="R575" s="3">
        <v>0</v>
      </c>
      <c r="S575" s="3">
        <v>0</v>
      </c>
      <c r="T575" s="3">
        <v>0</v>
      </c>
      <c r="U575" s="3">
        <v>0</v>
      </c>
      <c r="V575" s="3">
        <v>0</v>
      </c>
      <c r="W575" s="3" t="s">
        <v>871</v>
      </c>
      <c r="X575" s="3">
        <v>23.98</v>
      </c>
      <c r="Y575" s="3">
        <v>24.98</v>
      </c>
      <c r="Z575" s="3">
        <v>24.98</v>
      </c>
      <c r="AA575" s="3">
        <v>0</v>
      </c>
      <c r="AB575" s="3" t="s">
        <v>869</v>
      </c>
      <c r="AC575" s="3">
        <v>0</v>
      </c>
      <c r="AD575" s="3">
        <v>0</v>
      </c>
      <c r="AE575" s="3">
        <v>0</v>
      </c>
      <c r="AF575" s="3">
        <v>0</v>
      </c>
      <c r="AG575" s="3">
        <v>0</v>
      </c>
      <c r="AH575" s="3">
        <v>1.52941176470588</v>
      </c>
      <c r="AI575" s="3">
        <v>0.591423</v>
      </c>
      <c r="AJ575" s="3" t="s">
        <v>870</v>
      </c>
    </row>
    <row r="576" spans="1:36">
      <c r="A576" s="5">
        <v>43336</v>
      </c>
      <c r="B576" s="3" t="s">
        <v>293</v>
      </c>
      <c r="C576" s="3" t="s">
        <v>294</v>
      </c>
      <c r="D576" s="3" t="s">
        <v>295</v>
      </c>
      <c r="E576" s="3" t="s">
        <v>296</v>
      </c>
      <c r="F576" s="3" t="s">
        <v>867</v>
      </c>
      <c r="G576" s="3">
        <v>80</v>
      </c>
      <c r="H576" s="3">
        <v>0</v>
      </c>
      <c r="I576" s="3">
        <v>80</v>
      </c>
      <c r="J576" s="3">
        <v>0</v>
      </c>
      <c r="K576" s="3">
        <v>0</v>
      </c>
      <c r="L576" s="3">
        <v>0</v>
      </c>
      <c r="M576" s="3">
        <v>0</v>
      </c>
      <c r="N576" s="3" t="s">
        <v>868</v>
      </c>
      <c r="O576" s="3">
        <v>0</v>
      </c>
      <c r="P576" s="3">
        <v>0</v>
      </c>
      <c r="Q576" s="3">
        <v>0</v>
      </c>
      <c r="R576" s="3">
        <v>0</v>
      </c>
      <c r="S576" s="3">
        <v>22</v>
      </c>
      <c r="T576" s="3">
        <v>66</v>
      </c>
      <c r="U576" s="3">
        <v>66</v>
      </c>
      <c r="V576" s="3">
        <v>66</v>
      </c>
      <c r="W576" s="3"/>
      <c r="X576" s="3">
        <v>23.98</v>
      </c>
      <c r="Y576" s="3">
        <v>23.98</v>
      </c>
      <c r="Z576" s="3">
        <v>23.98</v>
      </c>
      <c r="AA576" s="3">
        <v>0</v>
      </c>
      <c r="AB576" s="3" t="s">
        <v>869</v>
      </c>
      <c r="AC576" s="3">
        <v>86</v>
      </c>
      <c r="AD576" s="3">
        <v>23.98</v>
      </c>
      <c r="AE576" s="3">
        <v>0</v>
      </c>
      <c r="AF576" s="3">
        <v>0</v>
      </c>
      <c r="AG576" s="3">
        <v>0</v>
      </c>
      <c r="AH576" s="3">
        <v>3.1141304347826</v>
      </c>
      <c r="AI576" s="3">
        <v>3.64232</v>
      </c>
      <c r="AJ576" s="3" t="s">
        <v>870</v>
      </c>
    </row>
    <row r="577" spans="1:36">
      <c r="A577" s="5">
        <v>43336</v>
      </c>
      <c r="B577" s="3" t="s">
        <v>2244</v>
      </c>
      <c r="C577" s="3" t="s">
        <v>2245</v>
      </c>
      <c r="D577" s="3" t="s">
        <v>2245</v>
      </c>
      <c r="E577" s="3" t="s">
        <v>2246</v>
      </c>
      <c r="F577" s="3" t="s">
        <v>867</v>
      </c>
      <c r="G577" s="3">
        <v>23</v>
      </c>
      <c r="H577" s="3">
        <v>0</v>
      </c>
      <c r="I577" s="3">
        <v>0</v>
      </c>
      <c r="J577" s="3">
        <v>23</v>
      </c>
      <c r="K577" s="3">
        <v>0</v>
      </c>
      <c r="L577" s="3">
        <v>0</v>
      </c>
      <c r="M577" s="3">
        <v>0</v>
      </c>
      <c r="N577" s="3" t="s">
        <v>868</v>
      </c>
      <c r="O577" s="3">
        <v>10</v>
      </c>
      <c r="P577" s="3">
        <v>5.7</v>
      </c>
      <c r="Q577" s="3">
        <v>0</v>
      </c>
      <c r="R577" s="3">
        <v>0</v>
      </c>
      <c r="S577" s="3">
        <v>0</v>
      </c>
      <c r="T577" s="3">
        <v>0</v>
      </c>
      <c r="U577" s="3">
        <v>0</v>
      </c>
      <c r="V577" s="3">
        <v>0</v>
      </c>
      <c r="W577" s="3" t="s">
        <v>871</v>
      </c>
      <c r="X577" s="3">
        <v>27.98</v>
      </c>
      <c r="Y577" s="3">
        <v>27.98</v>
      </c>
      <c r="Z577" s="3">
        <v>27.98</v>
      </c>
      <c r="AA577" s="3">
        <v>0</v>
      </c>
      <c r="AB577" s="3" t="s">
        <v>883</v>
      </c>
      <c r="AC577" s="3">
        <v>3</v>
      </c>
      <c r="AD577" s="3">
        <v>25.76</v>
      </c>
      <c r="AE577" s="3">
        <v>126</v>
      </c>
      <c r="AF577" s="3">
        <v>0</v>
      </c>
      <c r="AG577" s="3">
        <v>776.483115</v>
      </c>
      <c r="AH577" s="3">
        <v>0</v>
      </c>
      <c r="AI577" s="3">
        <v>3.802406</v>
      </c>
      <c r="AJ577" s="3" t="s">
        <v>870</v>
      </c>
    </row>
    <row r="578" spans="1:36">
      <c r="A578" s="5">
        <v>43336</v>
      </c>
      <c r="B578" s="3" t="s">
        <v>2247</v>
      </c>
      <c r="C578" s="3" t="s">
        <v>2248</v>
      </c>
      <c r="D578" s="3" t="s">
        <v>1803</v>
      </c>
      <c r="E578" s="3" t="s">
        <v>1804</v>
      </c>
      <c r="F578" s="3" t="s">
        <v>867</v>
      </c>
      <c r="G578" s="3">
        <v>6</v>
      </c>
      <c r="H578" s="3">
        <v>0</v>
      </c>
      <c r="I578" s="3">
        <v>6</v>
      </c>
      <c r="J578" s="3">
        <v>0</v>
      </c>
      <c r="K578" s="3">
        <v>0</v>
      </c>
      <c r="L578" s="3">
        <v>0</v>
      </c>
      <c r="M578" s="3">
        <v>0</v>
      </c>
      <c r="N578" s="3" t="s">
        <v>868</v>
      </c>
      <c r="O578" s="3">
        <v>0</v>
      </c>
      <c r="P578" s="3">
        <v>0</v>
      </c>
      <c r="Q578" s="3">
        <v>0</v>
      </c>
      <c r="R578" s="3">
        <v>0</v>
      </c>
      <c r="S578" s="3">
        <v>1</v>
      </c>
      <c r="T578" s="3">
        <v>2</v>
      </c>
      <c r="U578" s="3">
        <v>4</v>
      </c>
      <c r="V578" s="3">
        <v>4</v>
      </c>
      <c r="W578" s="3"/>
      <c r="X578" s="3">
        <v>22.98</v>
      </c>
      <c r="Y578" s="3">
        <v>22.98</v>
      </c>
      <c r="Z578" s="3">
        <v>22.98</v>
      </c>
      <c r="AA578" s="3">
        <v>0</v>
      </c>
      <c r="AB578" s="3" t="s">
        <v>869</v>
      </c>
      <c r="AC578" s="3">
        <v>7</v>
      </c>
      <c r="AD578" s="3">
        <v>22.98</v>
      </c>
      <c r="AE578" s="3">
        <v>0</v>
      </c>
      <c r="AF578" s="3">
        <v>0</v>
      </c>
      <c r="AG578" s="3">
        <v>0</v>
      </c>
      <c r="AH578" s="3">
        <v>0.916666666666666</v>
      </c>
      <c r="AI578" s="3">
        <v>0.420276</v>
      </c>
      <c r="AJ578" s="3" t="s">
        <v>870</v>
      </c>
    </row>
    <row r="579" spans="1:36">
      <c r="A579" s="5">
        <v>43336</v>
      </c>
      <c r="B579" s="3" t="s">
        <v>2249</v>
      </c>
      <c r="C579" s="3" t="s">
        <v>2250</v>
      </c>
      <c r="D579" s="3" t="s">
        <v>2250</v>
      </c>
      <c r="E579" s="3" t="s">
        <v>2251</v>
      </c>
      <c r="F579" s="3" t="s">
        <v>867</v>
      </c>
      <c r="G579" s="3">
        <v>24</v>
      </c>
      <c r="H579" s="3">
        <v>0</v>
      </c>
      <c r="I579" s="3">
        <v>1</v>
      </c>
      <c r="J579" s="3">
        <v>23</v>
      </c>
      <c r="K579" s="3">
        <v>0</v>
      </c>
      <c r="L579" s="3">
        <v>0</v>
      </c>
      <c r="M579" s="3">
        <v>0</v>
      </c>
      <c r="N579" s="3" t="s">
        <v>868</v>
      </c>
      <c r="O579" s="3">
        <v>23</v>
      </c>
      <c r="P579" s="3">
        <v>4.84</v>
      </c>
      <c r="Q579" s="3">
        <v>0</v>
      </c>
      <c r="R579" s="3">
        <v>0</v>
      </c>
      <c r="S579" s="3">
        <v>0</v>
      </c>
      <c r="T579" s="3">
        <v>3</v>
      </c>
      <c r="U579" s="3">
        <v>5</v>
      </c>
      <c r="V579" s="3">
        <v>7</v>
      </c>
      <c r="W579" s="3"/>
      <c r="X579" s="3">
        <v>24.98</v>
      </c>
      <c r="Y579" s="3">
        <v>24.98</v>
      </c>
      <c r="Z579" s="3">
        <v>24.98</v>
      </c>
      <c r="AA579" s="3">
        <v>0</v>
      </c>
      <c r="AB579" s="3" t="s">
        <v>869</v>
      </c>
      <c r="AC579" s="3">
        <v>24</v>
      </c>
      <c r="AD579" s="3">
        <v>24.98</v>
      </c>
      <c r="AE579" s="3">
        <v>0</v>
      </c>
      <c r="AF579" s="3">
        <v>0</v>
      </c>
      <c r="AG579" s="3">
        <v>0</v>
      </c>
      <c r="AH579" s="3">
        <v>0.254545454545454</v>
      </c>
      <c r="AI579" s="3">
        <v>1.46428799999999</v>
      </c>
      <c r="AJ579" s="3" t="s">
        <v>870</v>
      </c>
    </row>
    <row r="580" spans="1:36">
      <c r="A580" s="5">
        <v>43336</v>
      </c>
      <c r="B580" s="3" t="s">
        <v>2252</v>
      </c>
      <c r="C580" s="3" t="s">
        <v>2253</v>
      </c>
      <c r="D580" s="3" t="s">
        <v>2253</v>
      </c>
      <c r="E580" s="3" t="s">
        <v>2254</v>
      </c>
      <c r="F580" s="3" t="s">
        <v>867</v>
      </c>
      <c r="G580" s="3">
        <v>1</v>
      </c>
      <c r="H580" s="3">
        <v>0</v>
      </c>
      <c r="I580" s="3">
        <v>1</v>
      </c>
      <c r="J580" s="3">
        <v>0</v>
      </c>
      <c r="K580" s="3">
        <v>0</v>
      </c>
      <c r="L580" s="3">
        <v>0</v>
      </c>
      <c r="M580" s="3">
        <v>0</v>
      </c>
      <c r="N580" s="3" t="s">
        <v>868</v>
      </c>
      <c r="O580" s="3">
        <v>0</v>
      </c>
      <c r="P580" s="3">
        <v>0</v>
      </c>
      <c r="Q580" s="3">
        <v>0</v>
      </c>
      <c r="R580" s="3">
        <v>0</v>
      </c>
      <c r="S580" s="3">
        <v>0</v>
      </c>
      <c r="T580" s="3">
        <v>1</v>
      </c>
      <c r="U580" s="3">
        <v>1</v>
      </c>
      <c r="V580" s="3">
        <v>1</v>
      </c>
      <c r="W580" s="3"/>
      <c r="X580" s="3">
        <v>24.98</v>
      </c>
      <c r="Y580" s="3">
        <v>24.98</v>
      </c>
      <c r="Z580" s="3">
        <v>24.98</v>
      </c>
      <c r="AA580" s="3">
        <v>0</v>
      </c>
      <c r="AB580" s="3" t="s">
        <v>869</v>
      </c>
      <c r="AC580" s="3">
        <v>0</v>
      </c>
      <c r="AD580" s="3">
        <v>0</v>
      </c>
      <c r="AE580" s="3">
        <v>0</v>
      </c>
      <c r="AF580" s="3">
        <v>0</v>
      </c>
      <c r="AG580" s="3">
        <v>0</v>
      </c>
      <c r="AH580" s="3">
        <v>0.285714285714285</v>
      </c>
      <c r="AI580" s="3">
        <v>0.192969</v>
      </c>
      <c r="AJ580" s="3" t="s">
        <v>870</v>
      </c>
    </row>
    <row r="581" spans="1:36">
      <c r="A581" s="5">
        <v>43336</v>
      </c>
      <c r="B581" s="3" t="s">
        <v>2255</v>
      </c>
      <c r="C581" s="3" t="s">
        <v>2256</v>
      </c>
      <c r="D581" s="3" t="s">
        <v>2256</v>
      </c>
      <c r="E581" s="3" t="s">
        <v>2257</v>
      </c>
      <c r="F581" s="3" t="s">
        <v>867</v>
      </c>
      <c r="G581" s="3">
        <v>18</v>
      </c>
      <c r="H581" s="3">
        <v>0</v>
      </c>
      <c r="I581" s="3">
        <v>12</v>
      </c>
      <c r="J581" s="3">
        <v>6</v>
      </c>
      <c r="K581" s="3">
        <v>0</v>
      </c>
      <c r="L581" s="3">
        <v>0</v>
      </c>
      <c r="M581" s="3">
        <v>0</v>
      </c>
      <c r="N581" s="3" t="s">
        <v>868</v>
      </c>
      <c r="O581" s="3">
        <v>0</v>
      </c>
      <c r="P581" s="3">
        <v>0</v>
      </c>
      <c r="Q581" s="3">
        <v>0</v>
      </c>
      <c r="R581" s="3">
        <v>0</v>
      </c>
      <c r="S581" s="3">
        <v>2</v>
      </c>
      <c r="T581" s="3">
        <v>3</v>
      </c>
      <c r="U581" s="3">
        <v>5</v>
      </c>
      <c r="V581" s="3">
        <v>9</v>
      </c>
      <c r="W581" s="3"/>
      <c r="X581" s="3">
        <v>22.98</v>
      </c>
      <c r="Y581" s="3">
        <v>22.98</v>
      </c>
      <c r="Z581" s="3">
        <v>22.98</v>
      </c>
      <c r="AA581" s="3">
        <v>0</v>
      </c>
      <c r="AB581" s="3" t="s">
        <v>869</v>
      </c>
      <c r="AC581" s="3">
        <v>19</v>
      </c>
      <c r="AD581" s="3">
        <v>22.98</v>
      </c>
      <c r="AE581" s="3">
        <v>0</v>
      </c>
      <c r="AF581" s="3">
        <v>0</v>
      </c>
      <c r="AG581" s="3">
        <v>0</v>
      </c>
      <c r="AH581" s="3">
        <v>0.48</v>
      </c>
      <c r="AI581" s="3">
        <v>1.39077</v>
      </c>
      <c r="AJ581" s="3" t="s">
        <v>870</v>
      </c>
    </row>
    <row r="582" spans="1:36">
      <c r="A582" s="5">
        <v>43336</v>
      </c>
      <c r="B582" s="3" t="s">
        <v>2258</v>
      </c>
      <c r="C582" s="3" t="s">
        <v>2259</v>
      </c>
      <c r="D582" s="3" t="s">
        <v>1042</v>
      </c>
      <c r="E582" s="3" t="s">
        <v>1043</v>
      </c>
      <c r="F582" s="3" t="s">
        <v>867</v>
      </c>
      <c r="G582" s="3">
        <v>2</v>
      </c>
      <c r="H582" s="3">
        <v>0</v>
      </c>
      <c r="I582" s="3">
        <v>2</v>
      </c>
      <c r="J582" s="3">
        <v>0</v>
      </c>
      <c r="K582" s="3">
        <v>0</v>
      </c>
      <c r="L582" s="3">
        <v>0</v>
      </c>
      <c r="M582" s="3">
        <v>0</v>
      </c>
      <c r="N582" s="3" t="s">
        <v>868</v>
      </c>
      <c r="O582" s="3">
        <v>0</v>
      </c>
      <c r="P582" s="3">
        <v>0</v>
      </c>
      <c r="Q582" s="3">
        <v>0</v>
      </c>
      <c r="R582" s="3">
        <v>0</v>
      </c>
      <c r="S582" s="3">
        <v>1</v>
      </c>
      <c r="T582" s="3">
        <v>5</v>
      </c>
      <c r="U582" s="3">
        <v>11</v>
      </c>
      <c r="V582" s="3">
        <v>11</v>
      </c>
      <c r="W582" s="3"/>
      <c r="X582" s="3">
        <v>22.98</v>
      </c>
      <c r="Y582" s="3">
        <v>22.98</v>
      </c>
      <c r="Z582" s="3">
        <v>22.98</v>
      </c>
      <c r="AA582" s="3">
        <v>0</v>
      </c>
      <c r="AB582" s="3" t="s">
        <v>869</v>
      </c>
      <c r="AC582" s="3">
        <v>2</v>
      </c>
      <c r="AD582" s="3">
        <v>22.98</v>
      </c>
      <c r="AE582" s="3">
        <v>0</v>
      </c>
      <c r="AF582" s="3">
        <v>0</v>
      </c>
      <c r="AG582" s="3">
        <v>0</v>
      </c>
      <c r="AH582" s="3">
        <v>1.54954954954954</v>
      </c>
      <c r="AI582" s="3">
        <v>0.299386</v>
      </c>
      <c r="AJ582" s="3" t="s">
        <v>870</v>
      </c>
    </row>
    <row r="583" spans="1:36">
      <c r="A583" s="5">
        <v>43336</v>
      </c>
      <c r="B583" s="3" t="s">
        <v>2260</v>
      </c>
      <c r="C583" s="3" t="s">
        <v>2109</v>
      </c>
      <c r="D583" s="3" t="s">
        <v>2109</v>
      </c>
      <c r="E583" s="3" t="s">
        <v>2110</v>
      </c>
      <c r="F583" s="3" t="s">
        <v>867</v>
      </c>
      <c r="G583" s="3">
        <v>6</v>
      </c>
      <c r="H583" s="3">
        <v>0</v>
      </c>
      <c r="I583" s="3">
        <v>6</v>
      </c>
      <c r="J583" s="3">
        <v>0</v>
      </c>
      <c r="K583" s="3">
        <v>0</v>
      </c>
      <c r="L583" s="3">
        <v>0</v>
      </c>
      <c r="M583" s="3">
        <v>0</v>
      </c>
      <c r="N583" s="3" t="s">
        <v>868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0</v>
      </c>
      <c r="U583" s="3">
        <v>0</v>
      </c>
      <c r="V583" s="3">
        <v>0</v>
      </c>
      <c r="W583" s="3"/>
      <c r="X583" s="3"/>
      <c r="Y583" s="3"/>
      <c r="Z583" s="3">
        <v>22.98</v>
      </c>
      <c r="AA583" s="3">
        <v>-1</v>
      </c>
      <c r="AB583" s="3" t="s">
        <v>891</v>
      </c>
      <c r="AC583" s="3">
        <v>0</v>
      </c>
      <c r="AD583" s="3">
        <v>0</v>
      </c>
      <c r="AE583" s="3">
        <v>0</v>
      </c>
      <c r="AF583" s="3">
        <v>0</v>
      </c>
      <c r="AG583" s="3">
        <v>0</v>
      </c>
      <c r="AH583" s="3">
        <v>0.586206896551724</v>
      </c>
      <c r="AI583" s="3">
        <v>0.542928</v>
      </c>
      <c r="AJ583" s="3" t="s">
        <v>870</v>
      </c>
    </row>
    <row r="584" spans="1:36">
      <c r="A584" s="5">
        <v>43336</v>
      </c>
      <c r="B584" s="3" t="s">
        <v>64</v>
      </c>
      <c r="C584" s="3" t="s">
        <v>27</v>
      </c>
      <c r="D584" s="3" t="s">
        <v>27</v>
      </c>
      <c r="E584" s="3" t="s">
        <v>28</v>
      </c>
      <c r="F584" s="3" t="s">
        <v>867</v>
      </c>
      <c r="G584" s="3">
        <v>21</v>
      </c>
      <c r="H584" s="3">
        <v>0</v>
      </c>
      <c r="I584" s="3">
        <v>1</v>
      </c>
      <c r="J584" s="3">
        <v>20</v>
      </c>
      <c r="K584" s="3">
        <v>0</v>
      </c>
      <c r="L584" s="3">
        <v>0</v>
      </c>
      <c r="M584" s="3">
        <v>0</v>
      </c>
      <c r="N584" s="3" t="s">
        <v>868</v>
      </c>
      <c r="O584" s="3">
        <v>17</v>
      </c>
      <c r="P584" s="3">
        <v>3.57</v>
      </c>
      <c r="Q584" s="3">
        <v>0</v>
      </c>
      <c r="R584" s="3">
        <v>0</v>
      </c>
      <c r="S584" s="3">
        <v>0</v>
      </c>
      <c r="T584" s="3">
        <v>6</v>
      </c>
      <c r="U584" s="3">
        <v>8</v>
      </c>
      <c r="V584" s="3">
        <v>13</v>
      </c>
      <c r="W584" s="3"/>
      <c r="X584" s="3">
        <v>39.98</v>
      </c>
      <c r="Y584" s="3">
        <v>24.98</v>
      </c>
      <c r="Z584" s="3">
        <v>24.98</v>
      </c>
      <c r="AA584" s="3">
        <v>0</v>
      </c>
      <c r="AB584" s="3" t="s">
        <v>869</v>
      </c>
      <c r="AC584" s="3">
        <v>20</v>
      </c>
      <c r="AD584" s="3">
        <v>24.98</v>
      </c>
      <c r="AE584" s="3">
        <v>0</v>
      </c>
      <c r="AF584" s="3">
        <v>0</v>
      </c>
      <c r="AG584" s="3">
        <v>0</v>
      </c>
      <c r="AH584" s="3">
        <v>0.397350993377483</v>
      </c>
      <c r="AI584" s="3">
        <v>1.28125199999999</v>
      </c>
      <c r="AJ584" s="3" t="s">
        <v>870</v>
      </c>
    </row>
    <row r="585" spans="1:36">
      <c r="A585" s="5">
        <v>43336</v>
      </c>
      <c r="B585" s="3" t="s">
        <v>2261</v>
      </c>
      <c r="C585" s="3" t="s">
        <v>166</v>
      </c>
      <c r="D585" s="3" t="s">
        <v>166</v>
      </c>
      <c r="E585" s="3" t="s">
        <v>28</v>
      </c>
      <c r="F585" s="3" t="s">
        <v>867</v>
      </c>
      <c r="G585" s="3">
        <v>5</v>
      </c>
      <c r="H585" s="3">
        <v>0</v>
      </c>
      <c r="I585" s="3">
        <v>0</v>
      </c>
      <c r="J585" s="3">
        <v>2</v>
      </c>
      <c r="K585" s="3">
        <v>3</v>
      </c>
      <c r="L585" s="3">
        <v>0</v>
      </c>
      <c r="M585" s="3">
        <v>0</v>
      </c>
      <c r="N585" s="3" t="s">
        <v>868</v>
      </c>
      <c r="O585" s="3">
        <v>3</v>
      </c>
      <c r="P585" s="3">
        <v>0.63</v>
      </c>
      <c r="Q585" s="3">
        <v>0</v>
      </c>
      <c r="R585" s="3">
        <v>0</v>
      </c>
      <c r="S585" s="3">
        <v>0</v>
      </c>
      <c r="T585" s="3">
        <v>3</v>
      </c>
      <c r="U585" s="3">
        <v>3</v>
      </c>
      <c r="V585" s="3">
        <v>4</v>
      </c>
      <c r="W585" s="3"/>
      <c r="X585" s="3">
        <v>26.98</v>
      </c>
      <c r="Y585" s="3">
        <v>26.98</v>
      </c>
      <c r="Z585" s="3">
        <v>25.98</v>
      </c>
      <c r="AA585" s="3">
        <v>0</v>
      </c>
      <c r="AB585" s="3" t="s">
        <v>869</v>
      </c>
      <c r="AC585" s="3">
        <v>5</v>
      </c>
      <c r="AD585" s="3">
        <v>26.98</v>
      </c>
      <c r="AE585" s="3">
        <v>0</v>
      </c>
      <c r="AF585" s="3">
        <v>0</v>
      </c>
      <c r="AG585" s="3">
        <v>0</v>
      </c>
      <c r="AH585" s="3">
        <v>0.444444444444444</v>
      </c>
      <c r="AI585" s="3">
        <v>0.30506</v>
      </c>
      <c r="AJ585" s="3" t="s">
        <v>870</v>
      </c>
    </row>
    <row r="586" spans="1:36">
      <c r="A586" s="5">
        <v>43336</v>
      </c>
      <c r="B586" s="3" t="s">
        <v>2262</v>
      </c>
      <c r="C586" s="3" t="s">
        <v>2263</v>
      </c>
      <c r="D586" s="3" t="s">
        <v>2263</v>
      </c>
      <c r="E586" s="3" t="s">
        <v>2264</v>
      </c>
      <c r="F586" s="3" t="s">
        <v>867</v>
      </c>
      <c r="G586" s="3">
        <v>5</v>
      </c>
      <c r="H586" s="3">
        <v>0</v>
      </c>
      <c r="I586" s="3">
        <v>5</v>
      </c>
      <c r="J586" s="3">
        <v>0</v>
      </c>
      <c r="K586" s="3">
        <v>0</v>
      </c>
      <c r="L586" s="3">
        <v>0</v>
      </c>
      <c r="M586" s="3">
        <v>0</v>
      </c>
      <c r="N586" s="3" t="s">
        <v>868</v>
      </c>
      <c r="O586" s="3">
        <v>0</v>
      </c>
      <c r="P586" s="3">
        <v>0</v>
      </c>
      <c r="Q586" s="3">
        <v>0</v>
      </c>
      <c r="R586" s="3">
        <v>0</v>
      </c>
      <c r="S586" s="3">
        <v>6</v>
      </c>
      <c r="T586" s="3">
        <v>13</v>
      </c>
      <c r="U586" s="3">
        <v>15</v>
      </c>
      <c r="V586" s="3">
        <v>18</v>
      </c>
      <c r="W586" s="3"/>
      <c r="X586" s="3">
        <v>22.98</v>
      </c>
      <c r="Y586" s="3">
        <v>22.98</v>
      </c>
      <c r="Z586" s="3">
        <v>22.98</v>
      </c>
      <c r="AA586" s="3">
        <v>0</v>
      </c>
      <c r="AB586" s="3" t="s">
        <v>869</v>
      </c>
      <c r="AC586" s="3">
        <v>8</v>
      </c>
      <c r="AD586" s="3">
        <v>22.98</v>
      </c>
      <c r="AE586" s="3">
        <v>0</v>
      </c>
      <c r="AF586" s="3">
        <v>0</v>
      </c>
      <c r="AG586" s="3">
        <v>0</v>
      </c>
      <c r="AH586" s="3">
        <v>1.3090909090909</v>
      </c>
      <c r="AI586" s="3">
        <v>0.417815</v>
      </c>
      <c r="AJ586" s="3" t="s">
        <v>870</v>
      </c>
    </row>
    <row r="587" spans="1:36">
      <c r="A587" s="5">
        <v>43336</v>
      </c>
      <c r="B587" s="3" t="s">
        <v>2265</v>
      </c>
      <c r="C587" s="3" t="s">
        <v>2266</v>
      </c>
      <c r="D587" s="3" t="s">
        <v>2266</v>
      </c>
      <c r="E587" s="3" t="s">
        <v>2267</v>
      </c>
      <c r="F587" s="3" t="s">
        <v>867</v>
      </c>
      <c r="G587" s="3">
        <v>47</v>
      </c>
      <c r="H587" s="3">
        <v>0</v>
      </c>
      <c r="I587" s="3">
        <v>0</v>
      </c>
      <c r="J587" s="3">
        <v>47</v>
      </c>
      <c r="K587" s="3">
        <v>0</v>
      </c>
      <c r="L587" s="3">
        <v>0</v>
      </c>
      <c r="M587" s="3">
        <v>0</v>
      </c>
      <c r="N587" s="3" t="s">
        <v>868</v>
      </c>
      <c r="O587" s="3">
        <v>0</v>
      </c>
      <c r="P587" s="3">
        <v>0</v>
      </c>
      <c r="Q587" s="3">
        <v>0</v>
      </c>
      <c r="R587" s="3">
        <v>0</v>
      </c>
      <c r="S587" s="3">
        <v>1</v>
      </c>
      <c r="T587" s="3">
        <v>2</v>
      </c>
      <c r="U587" s="3">
        <v>2</v>
      </c>
      <c r="V587" s="3">
        <v>3</v>
      </c>
      <c r="W587" s="3" t="s">
        <v>936</v>
      </c>
      <c r="X587" s="3">
        <v>19.98</v>
      </c>
      <c r="Y587" s="3">
        <v>19.98</v>
      </c>
      <c r="Z587" s="3">
        <v>19.98</v>
      </c>
      <c r="AA587" s="3">
        <v>0</v>
      </c>
      <c r="AB587" s="3" t="s">
        <v>937</v>
      </c>
      <c r="AC587" s="3">
        <v>13</v>
      </c>
      <c r="AD587" s="3">
        <v>15.98</v>
      </c>
      <c r="AE587" s="3">
        <v>364</v>
      </c>
      <c r="AF587" s="3">
        <v>0</v>
      </c>
      <c r="AG587" s="3">
        <v>317.240592</v>
      </c>
      <c r="AH587" s="3">
        <v>0.0615384615384615</v>
      </c>
      <c r="AI587" s="3">
        <v>9.83569</v>
      </c>
      <c r="AJ587" s="3" t="s">
        <v>870</v>
      </c>
    </row>
    <row r="588" spans="1:36">
      <c r="A588" s="5">
        <v>43336</v>
      </c>
      <c r="B588" s="3" t="s">
        <v>785</v>
      </c>
      <c r="C588" s="3" t="s">
        <v>786</v>
      </c>
      <c r="D588" s="3" t="s">
        <v>786</v>
      </c>
      <c r="E588" s="3" t="s">
        <v>787</v>
      </c>
      <c r="F588" s="3" t="s">
        <v>867</v>
      </c>
      <c r="G588" s="3">
        <v>2</v>
      </c>
      <c r="H588" s="3">
        <v>0</v>
      </c>
      <c r="I588" s="3">
        <v>2</v>
      </c>
      <c r="J588" s="3">
        <v>0</v>
      </c>
      <c r="K588" s="3">
        <v>0</v>
      </c>
      <c r="L588" s="3">
        <v>0</v>
      </c>
      <c r="M588" s="3">
        <v>0</v>
      </c>
      <c r="N588" s="3" t="s">
        <v>868</v>
      </c>
      <c r="O588" s="3">
        <v>0</v>
      </c>
      <c r="P588" s="3">
        <v>0</v>
      </c>
      <c r="Q588" s="3">
        <v>0</v>
      </c>
      <c r="R588" s="3">
        <v>0</v>
      </c>
      <c r="S588" s="3">
        <v>2</v>
      </c>
      <c r="T588" s="3">
        <v>9</v>
      </c>
      <c r="U588" s="3">
        <v>15</v>
      </c>
      <c r="V588" s="3">
        <v>23</v>
      </c>
      <c r="W588" s="3"/>
      <c r="X588" s="3">
        <v>22.98</v>
      </c>
      <c r="Y588" s="3">
        <v>22.98</v>
      </c>
      <c r="Z588" s="3">
        <v>22.98</v>
      </c>
      <c r="AA588" s="3">
        <v>0</v>
      </c>
      <c r="AB588" s="3" t="s">
        <v>869</v>
      </c>
      <c r="AC588" s="3">
        <v>3</v>
      </c>
      <c r="AD588" s="3">
        <v>22.98</v>
      </c>
      <c r="AE588" s="3">
        <v>0</v>
      </c>
      <c r="AF588" s="3">
        <v>0</v>
      </c>
      <c r="AG588" s="3">
        <v>0</v>
      </c>
      <c r="AH588" s="3">
        <v>2.33333333333333</v>
      </c>
      <c r="AI588" s="3">
        <v>0.133044</v>
      </c>
      <c r="AJ588" s="3" t="s">
        <v>870</v>
      </c>
    </row>
    <row r="589" spans="1:36">
      <c r="A589" s="5">
        <v>43336</v>
      </c>
      <c r="B589" s="3" t="s">
        <v>2268</v>
      </c>
      <c r="C589" s="3" t="s">
        <v>2269</v>
      </c>
      <c r="D589" s="3" t="s">
        <v>2112</v>
      </c>
      <c r="E589" s="3" t="s">
        <v>2113</v>
      </c>
      <c r="F589" s="3" t="s">
        <v>867</v>
      </c>
      <c r="G589" s="3">
        <v>31</v>
      </c>
      <c r="H589" s="3">
        <v>0</v>
      </c>
      <c r="I589" s="3">
        <v>31</v>
      </c>
      <c r="J589" s="3">
        <v>0</v>
      </c>
      <c r="K589" s="3">
        <v>0</v>
      </c>
      <c r="L589" s="3">
        <v>0</v>
      </c>
      <c r="M589" s="3">
        <v>0</v>
      </c>
      <c r="N589" s="3" t="s">
        <v>868</v>
      </c>
      <c r="O589" s="3">
        <v>0</v>
      </c>
      <c r="P589" s="3">
        <v>0</v>
      </c>
      <c r="Q589" s="3">
        <v>0</v>
      </c>
      <c r="R589" s="3">
        <v>0</v>
      </c>
      <c r="S589" s="3">
        <v>0</v>
      </c>
      <c r="T589" s="3">
        <v>10</v>
      </c>
      <c r="U589" s="3">
        <v>17</v>
      </c>
      <c r="V589" s="3">
        <v>17</v>
      </c>
      <c r="W589" s="3"/>
      <c r="X589" s="3">
        <v>24.98</v>
      </c>
      <c r="Y589" s="3">
        <v>24.98</v>
      </c>
      <c r="Z589" s="3">
        <v>24.98</v>
      </c>
      <c r="AA589" s="3">
        <v>0</v>
      </c>
      <c r="AB589" s="3" t="s">
        <v>869</v>
      </c>
      <c r="AC589" s="3">
        <v>31</v>
      </c>
      <c r="AD589" s="3">
        <v>24.98</v>
      </c>
      <c r="AE589" s="3">
        <v>0</v>
      </c>
      <c r="AF589" s="3">
        <v>0</v>
      </c>
      <c r="AG589" s="3">
        <v>0</v>
      </c>
      <c r="AH589" s="3">
        <v>1.67375886524822</v>
      </c>
      <c r="AI589" s="3">
        <v>6.506776</v>
      </c>
      <c r="AJ589" s="3" t="s">
        <v>870</v>
      </c>
    </row>
    <row r="590" spans="1:36">
      <c r="A590" s="5">
        <v>43336</v>
      </c>
      <c r="B590" s="3" t="s">
        <v>325</v>
      </c>
      <c r="C590" s="3" t="s">
        <v>326</v>
      </c>
      <c r="D590" s="3" t="s">
        <v>327</v>
      </c>
      <c r="E590" s="3" t="s">
        <v>328</v>
      </c>
      <c r="F590" s="3" t="s">
        <v>867</v>
      </c>
      <c r="G590" s="3">
        <v>2</v>
      </c>
      <c r="H590" s="3">
        <v>0</v>
      </c>
      <c r="I590" s="3">
        <v>2</v>
      </c>
      <c r="J590" s="3">
        <v>0</v>
      </c>
      <c r="K590" s="3">
        <v>0</v>
      </c>
      <c r="L590" s="3">
        <v>0</v>
      </c>
      <c r="M590" s="3">
        <v>0</v>
      </c>
      <c r="N590" s="3" t="s">
        <v>868</v>
      </c>
      <c r="O590" s="3">
        <v>0</v>
      </c>
      <c r="P590" s="3">
        <v>0</v>
      </c>
      <c r="Q590" s="3">
        <v>0</v>
      </c>
      <c r="R590" s="3">
        <v>0</v>
      </c>
      <c r="S590" s="3">
        <v>5</v>
      </c>
      <c r="T590" s="3">
        <v>29</v>
      </c>
      <c r="U590" s="3">
        <v>40</v>
      </c>
      <c r="V590" s="3">
        <v>40</v>
      </c>
      <c r="W590" s="3"/>
      <c r="X590" s="3"/>
      <c r="Y590" s="3"/>
      <c r="Z590" s="3">
        <v>-1</v>
      </c>
      <c r="AA590" s="3">
        <v>-1</v>
      </c>
      <c r="AB590" s="3" t="s">
        <v>891</v>
      </c>
      <c r="AC590" s="3">
        <v>3</v>
      </c>
      <c r="AD590" s="3">
        <v>23.98</v>
      </c>
      <c r="AE590" s="3">
        <v>0</v>
      </c>
      <c r="AF590" s="3">
        <v>0</v>
      </c>
      <c r="AG590" s="3">
        <v>0</v>
      </c>
      <c r="AH590" s="3">
        <v>8.1860465116279</v>
      </c>
      <c r="AI590" s="3">
        <v>0.091058</v>
      </c>
      <c r="AJ590" s="3" t="s">
        <v>870</v>
      </c>
    </row>
    <row r="591" spans="1:36">
      <c r="A591" s="5">
        <v>43336</v>
      </c>
      <c r="B591" s="3" t="s">
        <v>2270</v>
      </c>
      <c r="C591" s="3" t="s">
        <v>762</v>
      </c>
      <c r="D591" s="3" t="s">
        <v>762</v>
      </c>
      <c r="E591" s="3" t="s">
        <v>763</v>
      </c>
      <c r="F591" s="3" t="s">
        <v>867</v>
      </c>
      <c r="G591" s="3">
        <v>6</v>
      </c>
      <c r="H591" s="3">
        <v>0</v>
      </c>
      <c r="I591" s="3">
        <v>1</v>
      </c>
      <c r="J591" s="3">
        <v>5</v>
      </c>
      <c r="K591" s="3">
        <v>0</v>
      </c>
      <c r="L591" s="3">
        <v>0</v>
      </c>
      <c r="M591" s="3">
        <v>0</v>
      </c>
      <c r="N591" s="3" t="s">
        <v>868</v>
      </c>
      <c r="O591" s="3">
        <v>0</v>
      </c>
      <c r="P591" s="3">
        <v>0</v>
      </c>
      <c r="Q591" s="3">
        <v>0</v>
      </c>
      <c r="R591" s="3">
        <v>0</v>
      </c>
      <c r="S591" s="3">
        <v>3</v>
      </c>
      <c r="T591" s="3">
        <v>3</v>
      </c>
      <c r="U591" s="3">
        <v>3</v>
      </c>
      <c r="V591" s="3">
        <v>10</v>
      </c>
      <c r="W591" s="3"/>
      <c r="X591" s="3">
        <v>23.98</v>
      </c>
      <c r="Y591" s="3">
        <v>23.98</v>
      </c>
      <c r="Z591" s="3">
        <v>23.98</v>
      </c>
      <c r="AA591" s="3">
        <v>0</v>
      </c>
      <c r="AB591" s="3" t="s">
        <v>883</v>
      </c>
      <c r="AC591" s="3">
        <v>0</v>
      </c>
      <c r="AD591" s="3">
        <v>21.76</v>
      </c>
      <c r="AE591" s="3">
        <v>168</v>
      </c>
      <c r="AF591" s="3">
        <v>0</v>
      </c>
      <c r="AG591" s="3">
        <v>151.544983</v>
      </c>
      <c r="AH591" s="3">
        <v>0.857142857142857</v>
      </c>
      <c r="AI591" s="3">
        <v>0.730998</v>
      </c>
      <c r="AJ591" s="3" t="s">
        <v>870</v>
      </c>
    </row>
    <row r="592" spans="1:36">
      <c r="A592" s="5">
        <v>43336</v>
      </c>
      <c r="B592" s="3" t="s">
        <v>2271</v>
      </c>
      <c r="C592" s="3" t="s">
        <v>2272</v>
      </c>
      <c r="D592" s="3" t="s">
        <v>2273</v>
      </c>
      <c r="E592" s="3" t="s">
        <v>2274</v>
      </c>
      <c r="F592" s="3" t="s">
        <v>867</v>
      </c>
      <c r="G592" s="3">
        <v>6</v>
      </c>
      <c r="H592" s="3">
        <v>0</v>
      </c>
      <c r="I592" s="3">
        <v>6</v>
      </c>
      <c r="J592" s="3">
        <v>0</v>
      </c>
      <c r="K592" s="3">
        <v>0</v>
      </c>
      <c r="L592" s="3">
        <v>0</v>
      </c>
      <c r="M592" s="3">
        <v>0</v>
      </c>
      <c r="N592" s="3" t="s">
        <v>868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936</v>
      </c>
      <c r="X592" s="3">
        <v>22.99</v>
      </c>
      <c r="Y592" s="3">
        <v>22.99</v>
      </c>
      <c r="Z592" s="3">
        <v>22.99</v>
      </c>
      <c r="AA592" s="3">
        <v>0</v>
      </c>
      <c r="AB592" s="3" t="s">
        <v>937</v>
      </c>
      <c r="AC592" s="3">
        <v>6</v>
      </c>
      <c r="AD592" s="3">
        <v>22.99</v>
      </c>
      <c r="AE592" s="3">
        <v>0</v>
      </c>
      <c r="AF592" s="3">
        <v>0</v>
      </c>
      <c r="AG592" s="3">
        <v>0</v>
      </c>
      <c r="AH592" s="3">
        <v>0</v>
      </c>
      <c r="AI592" s="3">
        <v>0.899861999999999</v>
      </c>
      <c r="AJ592" s="3" t="s">
        <v>925</v>
      </c>
    </row>
    <row r="593" spans="1:36">
      <c r="A593" s="5">
        <v>43336</v>
      </c>
      <c r="B593" s="3" t="s">
        <v>2275</v>
      </c>
      <c r="C593" s="3" t="s">
        <v>2276</v>
      </c>
      <c r="D593" s="3" t="s">
        <v>2276</v>
      </c>
      <c r="E593" s="3" t="s">
        <v>2277</v>
      </c>
      <c r="F593" s="3" t="s">
        <v>867</v>
      </c>
      <c r="G593" s="3">
        <v>3</v>
      </c>
      <c r="H593" s="3">
        <v>0</v>
      </c>
      <c r="I593" s="3">
        <v>2</v>
      </c>
      <c r="J593" s="3">
        <v>1</v>
      </c>
      <c r="K593" s="3">
        <v>0</v>
      </c>
      <c r="L593" s="3">
        <v>0</v>
      </c>
      <c r="M593" s="3">
        <v>0</v>
      </c>
      <c r="N593" s="3" t="s">
        <v>868</v>
      </c>
      <c r="O593" s="3">
        <v>0</v>
      </c>
      <c r="P593" s="3">
        <v>0</v>
      </c>
      <c r="Q593" s="3">
        <v>0</v>
      </c>
      <c r="R593" s="3">
        <v>0</v>
      </c>
      <c r="S593" s="3">
        <v>3</v>
      </c>
      <c r="T593" s="3">
        <v>9</v>
      </c>
      <c r="U593" s="3">
        <v>12</v>
      </c>
      <c r="V593" s="3">
        <v>14</v>
      </c>
      <c r="W593" s="3"/>
      <c r="X593" s="3">
        <v>26.98</v>
      </c>
      <c r="Y593" s="3">
        <v>26.98</v>
      </c>
      <c r="Z593" s="3">
        <v>26.98</v>
      </c>
      <c r="AA593" s="3">
        <v>0</v>
      </c>
      <c r="AB593" s="3" t="s">
        <v>869</v>
      </c>
      <c r="AC593" s="3">
        <v>3</v>
      </c>
      <c r="AD593" s="3">
        <v>26.98</v>
      </c>
      <c r="AE593" s="3">
        <v>0</v>
      </c>
      <c r="AF593" s="3">
        <v>0</v>
      </c>
      <c r="AG593" s="3">
        <v>0</v>
      </c>
      <c r="AH593" s="3">
        <v>1.27272727272727</v>
      </c>
      <c r="AI593" s="3">
        <v>0.396978</v>
      </c>
      <c r="AJ593" s="3" t="s">
        <v>870</v>
      </c>
    </row>
    <row r="594" spans="1:36">
      <c r="A594" s="5">
        <v>43336</v>
      </c>
      <c r="B594" s="3" t="s">
        <v>2278</v>
      </c>
      <c r="C594" s="3" t="s">
        <v>2279</v>
      </c>
      <c r="D594" s="3" t="s">
        <v>2279</v>
      </c>
      <c r="E594" s="3" t="s">
        <v>2280</v>
      </c>
      <c r="F594" s="3" t="s">
        <v>867</v>
      </c>
      <c r="G594" s="3">
        <v>3</v>
      </c>
      <c r="H594" s="3">
        <v>0</v>
      </c>
      <c r="I594" s="3">
        <v>3</v>
      </c>
      <c r="J594" s="3">
        <v>0</v>
      </c>
      <c r="K594" s="3">
        <v>0</v>
      </c>
      <c r="L594" s="3">
        <v>0</v>
      </c>
      <c r="M594" s="3">
        <v>0</v>
      </c>
      <c r="N594" s="3" t="s">
        <v>868</v>
      </c>
      <c r="O594" s="3">
        <v>0</v>
      </c>
      <c r="P594" s="3">
        <v>0</v>
      </c>
      <c r="Q594" s="3">
        <v>0</v>
      </c>
      <c r="R594" s="3">
        <v>0</v>
      </c>
      <c r="S594" s="3">
        <v>0</v>
      </c>
      <c r="T594" s="3">
        <v>3</v>
      </c>
      <c r="U594" s="3">
        <v>4</v>
      </c>
      <c r="V594" s="3">
        <v>4</v>
      </c>
      <c r="W594" s="3"/>
      <c r="X594" s="3">
        <v>39.98</v>
      </c>
      <c r="Y594" s="3">
        <v>10.98</v>
      </c>
      <c r="Z594" s="3">
        <v>10.98</v>
      </c>
      <c r="AA594" s="3">
        <v>0</v>
      </c>
      <c r="AB594" s="3" t="s">
        <v>869</v>
      </c>
      <c r="AC594" s="3">
        <v>0</v>
      </c>
      <c r="AD594" s="3">
        <v>0</v>
      </c>
      <c r="AE594" s="3">
        <v>0</v>
      </c>
      <c r="AF594" s="3">
        <v>0</v>
      </c>
      <c r="AG594" s="3">
        <v>0</v>
      </c>
      <c r="AH594" s="3">
        <v>1.14285714285714</v>
      </c>
      <c r="AI594" s="3">
        <v>0.238821</v>
      </c>
      <c r="AJ594" s="3" t="s">
        <v>870</v>
      </c>
    </row>
    <row r="595" spans="1:36">
      <c r="A595" s="5">
        <v>43336</v>
      </c>
      <c r="B595" s="3" t="s">
        <v>2281</v>
      </c>
      <c r="C595" s="3" t="s">
        <v>2282</v>
      </c>
      <c r="D595" s="3" t="s">
        <v>2283</v>
      </c>
      <c r="E595" s="3" t="s">
        <v>2284</v>
      </c>
      <c r="F595" s="3" t="s">
        <v>867</v>
      </c>
      <c r="G595" s="3">
        <v>5</v>
      </c>
      <c r="H595" s="3">
        <v>0</v>
      </c>
      <c r="I595" s="3">
        <v>5</v>
      </c>
      <c r="J595" s="3">
        <v>0</v>
      </c>
      <c r="K595" s="3">
        <v>0</v>
      </c>
      <c r="L595" s="3">
        <v>0</v>
      </c>
      <c r="M595" s="3">
        <v>0</v>
      </c>
      <c r="N595" s="3" t="s">
        <v>868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1</v>
      </c>
      <c r="U595" s="3">
        <v>1</v>
      </c>
      <c r="V595" s="3">
        <v>1</v>
      </c>
      <c r="W595" s="3"/>
      <c r="X595" s="3">
        <v>22.99</v>
      </c>
      <c r="Y595" s="3">
        <v>22.99</v>
      </c>
      <c r="Z595" s="3">
        <v>22.99</v>
      </c>
      <c r="AA595" s="3">
        <v>0</v>
      </c>
      <c r="AB595" s="3" t="s">
        <v>869</v>
      </c>
      <c r="AC595" s="3">
        <v>5</v>
      </c>
      <c r="AD595" s="3">
        <v>22.99</v>
      </c>
      <c r="AE595" s="3">
        <v>0</v>
      </c>
      <c r="AF595" s="3">
        <v>0</v>
      </c>
      <c r="AG595" s="3">
        <v>0</v>
      </c>
      <c r="AH595" s="3">
        <v>0.2</v>
      </c>
      <c r="AI595" s="3">
        <v>0.925964999999999</v>
      </c>
      <c r="AJ595" s="3" t="s">
        <v>925</v>
      </c>
    </row>
    <row r="596" spans="1:36">
      <c r="A596" s="5">
        <v>43336</v>
      </c>
      <c r="B596" s="3" t="s">
        <v>2285</v>
      </c>
      <c r="C596" s="3" t="s">
        <v>2286</v>
      </c>
      <c r="D596" s="3" t="s">
        <v>1280</v>
      </c>
      <c r="E596" s="3" t="s">
        <v>1281</v>
      </c>
      <c r="F596" s="3" t="s">
        <v>867</v>
      </c>
      <c r="G596" s="3">
        <v>1</v>
      </c>
      <c r="H596" s="3">
        <v>0</v>
      </c>
      <c r="I596" s="3">
        <v>1</v>
      </c>
      <c r="J596" s="3">
        <v>0</v>
      </c>
      <c r="K596" s="3">
        <v>0</v>
      </c>
      <c r="L596" s="3">
        <v>0</v>
      </c>
      <c r="M596" s="3">
        <v>0</v>
      </c>
      <c r="N596" s="3" t="s">
        <v>868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0</v>
      </c>
      <c r="U596" s="3">
        <v>2</v>
      </c>
      <c r="V596" s="3">
        <v>2</v>
      </c>
      <c r="W596" s="3" t="s">
        <v>871</v>
      </c>
      <c r="X596" s="3">
        <v>22.98</v>
      </c>
      <c r="Y596" s="3">
        <v>22.98</v>
      </c>
      <c r="Z596" s="3">
        <v>22.98</v>
      </c>
      <c r="AA596" s="3">
        <v>0</v>
      </c>
      <c r="AB596" s="3" t="s">
        <v>869</v>
      </c>
      <c r="AC596" s="3">
        <v>1</v>
      </c>
      <c r="AD596" s="3">
        <v>22.98</v>
      </c>
      <c r="AE596" s="3">
        <v>0</v>
      </c>
      <c r="AF596" s="3">
        <v>0</v>
      </c>
      <c r="AG596" s="3">
        <v>0</v>
      </c>
      <c r="AH596" s="3">
        <v>1.49152542372881</v>
      </c>
      <c r="AI596" s="3">
        <v>0.083563</v>
      </c>
      <c r="AJ596" s="3" t="s">
        <v>870</v>
      </c>
    </row>
    <row r="597" spans="1:36">
      <c r="A597" s="5">
        <v>43336</v>
      </c>
      <c r="B597" s="3" t="s">
        <v>2287</v>
      </c>
      <c r="C597" s="3" t="s">
        <v>2288</v>
      </c>
      <c r="D597" s="3" t="s">
        <v>2288</v>
      </c>
      <c r="E597" s="3" t="s">
        <v>2289</v>
      </c>
      <c r="F597" s="3" t="s">
        <v>867</v>
      </c>
      <c r="G597" s="3">
        <v>5</v>
      </c>
      <c r="H597" s="3">
        <v>0</v>
      </c>
      <c r="I597" s="3">
        <v>5</v>
      </c>
      <c r="J597" s="3">
        <v>0</v>
      </c>
      <c r="K597" s="3">
        <v>0</v>
      </c>
      <c r="L597" s="3">
        <v>0</v>
      </c>
      <c r="M597" s="3">
        <v>0</v>
      </c>
      <c r="N597" s="3" t="s">
        <v>868</v>
      </c>
      <c r="O597" s="3">
        <v>0</v>
      </c>
      <c r="P597" s="3">
        <v>0</v>
      </c>
      <c r="Q597" s="3">
        <v>0</v>
      </c>
      <c r="R597" s="3">
        <v>0</v>
      </c>
      <c r="S597" s="3">
        <v>1</v>
      </c>
      <c r="T597" s="3">
        <v>18</v>
      </c>
      <c r="U597" s="3">
        <v>35</v>
      </c>
      <c r="V597" s="3">
        <v>44</v>
      </c>
      <c r="W597" s="3"/>
      <c r="X597" s="3">
        <v>21.98</v>
      </c>
      <c r="Y597" s="3">
        <v>21.98</v>
      </c>
      <c r="Z597" s="3">
        <v>21.98</v>
      </c>
      <c r="AA597" s="3">
        <v>0</v>
      </c>
      <c r="AB597" s="3" t="s">
        <v>869</v>
      </c>
      <c r="AC597" s="3">
        <v>5</v>
      </c>
      <c r="AD597" s="3">
        <v>21.98</v>
      </c>
      <c r="AE597" s="3">
        <v>0</v>
      </c>
      <c r="AF597" s="3">
        <v>0</v>
      </c>
      <c r="AG597" s="3">
        <v>0</v>
      </c>
      <c r="AH597" s="3">
        <v>1.67619047619047</v>
      </c>
      <c r="AI597" s="3">
        <v>0.748464999999999</v>
      </c>
      <c r="AJ597" s="3" t="s">
        <v>870</v>
      </c>
    </row>
    <row r="598" spans="1:36">
      <c r="A598" s="5">
        <v>43336</v>
      </c>
      <c r="B598" s="3" t="s">
        <v>2290</v>
      </c>
      <c r="C598" s="3" t="s">
        <v>2291</v>
      </c>
      <c r="D598" s="3" t="s">
        <v>2291</v>
      </c>
      <c r="E598" s="3" t="s">
        <v>2292</v>
      </c>
      <c r="F598" s="3" t="s">
        <v>867</v>
      </c>
      <c r="G598" s="3">
        <v>1</v>
      </c>
      <c r="H598" s="3">
        <v>0</v>
      </c>
      <c r="I598" s="3">
        <v>1</v>
      </c>
      <c r="J598" s="3">
        <v>0</v>
      </c>
      <c r="K598" s="3">
        <v>0</v>
      </c>
      <c r="L598" s="3">
        <v>0</v>
      </c>
      <c r="M598" s="3">
        <v>0</v>
      </c>
      <c r="N598" s="3" t="s">
        <v>868</v>
      </c>
      <c r="O598" s="3">
        <v>0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2</v>
      </c>
      <c r="V598" s="3">
        <v>3</v>
      </c>
      <c r="W598" s="3" t="s">
        <v>871</v>
      </c>
      <c r="X598" s="3">
        <v>23.98</v>
      </c>
      <c r="Y598" s="3">
        <v>23.98</v>
      </c>
      <c r="Z598" s="3">
        <v>23.98</v>
      </c>
      <c r="AA598" s="3">
        <v>0</v>
      </c>
      <c r="AB598" s="3" t="s">
        <v>869</v>
      </c>
      <c r="AC598" s="3">
        <v>1</v>
      </c>
      <c r="AD598" s="3">
        <v>23.98</v>
      </c>
      <c r="AE598" s="3">
        <v>0</v>
      </c>
      <c r="AF598" s="3">
        <v>0</v>
      </c>
      <c r="AG598" s="3">
        <v>0</v>
      </c>
      <c r="AH598" s="3">
        <v>1.81818181818181</v>
      </c>
      <c r="AI598" s="3">
        <v>0.185574</v>
      </c>
      <c r="AJ598" s="3" t="s">
        <v>870</v>
      </c>
    </row>
    <row r="599" spans="1:36">
      <c r="A599" s="5">
        <v>43336</v>
      </c>
      <c r="B599" s="3" t="s">
        <v>2293</v>
      </c>
      <c r="C599" s="3" t="s">
        <v>2294</v>
      </c>
      <c r="D599" s="3" t="s">
        <v>2294</v>
      </c>
      <c r="E599" s="3" t="s">
        <v>2295</v>
      </c>
      <c r="F599" s="3" t="s">
        <v>867</v>
      </c>
      <c r="G599" s="3">
        <v>1</v>
      </c>
      <c r="H599" s="3">
        <v>0</v>
      </c>
      <c r="I599" s="3">
        <v>0</v>
      </c>
      <c r="J599" s="3">
        <v>1</v>
      </c>
      <c r="K599" s="3">
        <v>0</v>
      </c>
      <c r="L599" s="3">
        <v>0</v>
      </c>
      <c r="M599" s="3">
        <v>0</v>
      </c>
      <c r="N599" s="3" t="s">
        <v>868</v>
      </c>
      <c r="O599" s="3">
        <v>0</v>
      </c>
      <c r="P599" s="3">
        <v>0</v>
      </c>
      <c r="Q599" s="3">
        <v>0</v>
      </c>
      <c r="R599" s="3">
        <v>0</v>
      </c>
      <c r="S599" s="3">
        <v>0</v>
      </c>
      <c r="T599" s="3">
        <v>0</v>
      </c>
      <c r="U599" s="3">
        <v>0</v>
      </c>
      <c r="V599" s="3">
        <v>0</v>
      </c>
      <c r="W599" s="3" t="s">
        <v>871</v>
      </c>
      <c r="X599" s="3">
        <v>22.98</v>
      </c>
      <c r="Y599" s="3">
        <v>22.98</v>
      </c>
      <c r="Z599" s="3">
        <v>22.98</v>
      </c>
      <c r="AA599" s="3">
        <v>0</v>
      </c>
      <c r="AB599" s="3" t="s">
        <v>883</v>
      </c>
      <c r="AC599" s="3">
        <v>0</v>
      </c>
      <c r="AD599" s="3">
        <v>21.36</v>
      </c>
      <c r="AE599" s="3">
        <v>63</v>
      </c>
      <c r="AF599" s="3">
        <v>0</v>
      </c>
      <c r="AG599" s="3">
        <v>25.484466</v>
      </c>
      <c r="AH599" s="3">
        <v>0</v>
      </c>
      <c r="AI599" s="3">
        <v>0.117545</v>
      </c>
      <c r="AJ599" s="3" t="s">
        <v>870</v>
      </c>
    </row>
    <row r="600" spans="1:36">
      <c r="A600" s="5">
        <v>43336</v>
      </c>
      <c r="B600" s="3" t="s">
        <v>791</v>
      </c>
      <c r="C600" s="3" t="s">
        <v>792</v>
      </c>
      <c r="D600" s="3" t="s">
        <v>792</v>
      </c>
      <c r="E600" s="3" t="s">
        <v>793</v>
      </c>
      <c r="F600" s="3" t="s">
        <v>867</v>
      </c>
      <c r="G600" s="3">
        <v>2</v>
      </c>
      <c r="H600" s="3">
        <v>0</v>
      </c>
      <c r="I600" s="3">
        <v>0</v>
      </c>
      <c r="J600" s="3">
        <v>0</v>
      </c>
      <c r="K600" s="3">
        <v>2</v>
      </c>
      <c r="L600" s="3">
        <v>0</v>
      </c>
      <c r="M600" s="3">
        <v>0</v>
      </c>
      <c r="N600" s="3" t="s">
        <v>868</v>
      </c>
      <c r="O600" s="3">
        <v>2</v>
      </c>
      <c r="P600" s="3">
        <v>1.42</v>
      </c>
      <c r="Q600" s="3">
        <v>0</v>
      </c>
      <c r="R600" s="3">
        <v>0</v>
      </c>
      <c r="S600" s="3">
        <v>0</v>
      </c>
      <c r="T600" s="3">
        <v>0</v>
      </c>
      <c r="U600" s="3">
        <v>1</v>
      </c>
      <c r="V600" s="3">
        <v>4</v>
      </c>
      <c r="W600" s="3" t="s">
        <v>871</v>
      </c>
      <c r="X600" s="3">
        <v>39.98</v>
      </c>
      <c r="Y600" s="3">
        <v>18</v>
      </c>
      <c r="Z600" s="3">
        <v>18</v>
      </c>
      <c r="AA600" s="3">
        <v>0</v>
      </c>
      <c r="AB600" s="3" t="s">
        <v>2296</v>
      </c>
      <c r="AC600" s="3">
        <v>0</v>
      </c>
      <c r="AD600" s="3">
        <v>18</v>
      </c>
      <c r="AE600" s="3">
        <v>0</v>
      </c>
      <c r="AF600" s="3">
        <v>2</v>
      </c>
      <c r="AG600" s="3">
        <v>28.074417</v>
      </c>
      <c r="AH600" s="3">
        <v>1.23076923076923</v>
      </c>
      <c r="AI600" s="3">
        <v>0.41017</v>
      </c>
      <c r="AJ600" s="3" t="s">
        <v>870</v>
      </c>
    </row>
    <row r="601" spans="1:36">
      <c r="A601" s="5">
        <v>43336</v>
      </c>
      <c r="B601" s="3" t="s">
        <v>2297</v>
      </c>
      <c r="C601" s="3" t="s">
        <v>2298</v>
      </c>
      <c r="D601" s="3" t="s">
        <v>2299</v>
      </c>
      <c r="E601" s="3" t="s">
        <v>2300</v>
      </c>
      <c r="F601" s="3" t="s">
        <v>867</v>
      </c>
      <c r="G601" s="3">
        <v>5</v>
      </c>
      <c r="H601" s="3">
        <v>0</v>
      </c>
      <c r="I601" s="3">
        <v>5</v>
      </c>
      <c r="J601" s="3">
        <v>0</v>
      </c>
      <c r="K601" s="3">
        <v>0</v>
      </c>
      <c r="L601" s="3">
        <v>0</v>
      </c>
      <c r="M601" s="3">
        <v>0</v>
      </c>
      <c r="N601" s="3" t="s">
        <v>868</v>
      </c>
      <c r="O601" s="3">
        <v>0</v>
      </c>
      <c r="P601" s="3">
        <v>0</v>
      </c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s="3">
        <v>0</v>
      </c>
      <c r="W601" s="3" t="s">
        <v>936</v>
      </c>
      <c r="X601" s="3">
        <v>21.98</v>
      </c>
      <c r="Y601" s="3">
        <v>21.98</v>
      </c>
      <c r="Z601" s="3">
        <v>21.98</v>
      </c>
      <c r="AA601" s="3">
        <v>0</v>
      </c>
      <c r="AB601" s="3" t="s">
        <v>985</v>
      </c>
      <c r="AC601" s="3">
        <v>5</v>
      </c>
      <c r="AD601" s="3">
        <v>21.98</v>
      </c>
      <c r="AE601" s="3">
        <v>0</v>
      </c>
      <c r="AF601" s="3">
        <v>0</v>
      </c>
      <c r="AG601" s="3">
        <v>0</v>
      </c>
      <c r="AH601" s="3">
        <v>0</v>
      </c>
      <c r="AI601" s="3">
        <v>0.675595</v>
      </c>
      <c r="AJ601" s="3" t="s">
        <v>925</v>
      </c>
    </row>
    <row r="602" spans="1:36">
      <c r="A602" s="5">
        <v>43336</v>
      </c>
      <c r="B602" s="3" t="s">
        <v>440</v>
      </c>
      <c r="C602" s="3" t="s">
        <v>441</v>
      </c>
      <c r="D602" s="3" t="s">
        <v>442</v>
      </c>
      <c r="E602" s="3" t="s">
        <v>2301</v>
      </c>
      <c r="F602" s="3" t="s">
        <v>867</v>
      </c>
      <c r="G602" s="3">
        <v>24</v>
      </c>
      <c r="H602" s="3">
        <v>0</v>
      </c>
      <c r="I602" s="3">
        <v>24</v>
      </c>
      <c r="J602" s="3">
        <v>0</v>
      </c>
      <c r="K602" s="3">
        <v>0</v>
      </c>
      <c r="L602" s="3">
        <v>0</v>
      </c>
      <c r="M602" s="3">
        <v>0</v>
      </c>
      <c r="N602" s="3" t="s">
        <v>868</v>
      </c>
      <c r="O602" s="3">
        <v>0</v>
      </c>
      <c r="P602" s="3">
        <v>0</v>
      </c>
      <c r="Q602" s="3">
        <v>0</v>
      </c>
      <c r="R602" s="3">
        <v>0</v>
      </c>
      <c r="S602" s="3">
        <v>5</v>
      </c>
      <c r="T602" s="3">
        <v>5</v>
      </c>
      <c r="U602" s="3">
        <v>5</v>
      </c>
      <c r="V602" s="3">
        <v>5</v>
      </c>
      <c r="W602" s="3"/>
      <c r="X602" s="3">
        <v>39.98</v>
      </c>
      <c r="Y602" s="3">
        <v>19.98</v>
      </c>
      <c r="Z602" s="3">
        <v>19.98</v>
      </c>
      <c r="AA602" s="3">
        <v>0</v>
      </c>
      <c r="AB602" s="3" t="s">
        <v>869</v>
      </c>
      <c r="AC602" s="3">
        <v>6</v>
      </c>
      <c r="AD602" s="3">
        <v>19.98</v>
      </c>
      <c r="AE602" s="3">
        <v>0</v>
      </c>
      <c r="AF602" s="3">
        <v>0</v>
      </c>
      <c r="AG602" s="3">
        <v>0</v>
      </c>
      <c r="AH602" s="3">
        <v>2.44067796610169</v>
      </c>
      <c r="AI602" s="3">
        <v>5.02248</v>
      </c>
      <c r="AJ602" s="3" t="s">
        <v>870</v>
      </c>
    </row>
    <row r="603" spans="1:36">
      <c r="A603" s="5">
        <v>43336</v>
      </c>
      <c r="B603" s="3" t="s">
        <v>503</v>
      </c>
      <c r="C603" s="3" t="s">
        <v>504</v>
      </c>
      <c r="D603" s="3" t="s">
        <v>504</v>
      </c>
      <c r="E603" s="3" t="s">
        <v>505</v>
      </c>
      <c r="F603" s="3" t="s">
        <v>867</v>
      </c>
      <c r="G603" s="3">
        <v>8</v>
      </c>
      <c r="H603" s="3">
        <v>0</v>
      </c>
      <c r="I603" s="3">
        <v>0</v>
      </c>
      <c r="J603" s="3">
        <v>8</v>
      </c>
      <c r="K603" s="3">
        <v>0</v>
      </c>
      <c r="L603" s="3">
        <v>0</v>
      </c>
      <c r="M603" s="3">
        <v>0</v>
      </c>
      <c r="N603" s="3" t="s">
        <v>868</v>
      </c>
      <c r="O603" s="3">
        <v>0</v>
      </c>
      <c r="P603" s="3">
        <v>0</v>
      </c>
      <c r="Q603" s="3">
        <v>0</v>
      </c>
      <c r="R603" s="3">
        <v>0</v>
      </c>
      <c r="S603" s="3">
        <v>1</v>
      </c>
      <c r="T603" s="3">
        <v>2</v>
      </c>
      <c r="U603" s="3">
        <v>5</v>
      </c>
      <c r="V603" s="3">
        <v>8</v>
      </c>
      <c r="W603" s="3"/>
      <c r="X603" s="3">
        <v>22.98</v>
      </c>
      <c r="Y603" s="3">
        <v>22.98</v>
      </c>
      <c r="Z603" s="3">
        <v>22.98</v>
      </c>
      <c r="AA603" s="3">
        <v>0</v>
      </c>
      <c r="AB603" s="3" t="s">
        <v>869</v>
      </c>
      <c r="AC603" s="3">
        <v>8</v>
      </c>
      <c r="AD603" s="3">
        <v>22.98</v>
      </c>
      <c r="AE603" s="3">
        <v>0</v>
      </c>
      <c r="AF603" s="3">
        <v>0</v>
      </c>
      <c r="AG603" s="3">
        <v>0</v>
      </c>
      <c r="AH603" s="3">
        <v>0.695652173913043</v>
      </c>
      <c r="AI603" s="3">
        <v>1.705744</v>
      </c>
      <c r="AJ603" s="3" t="s">
        <v>870</v>
      </c>
    </row>
    <row r="604" spans="1:36">
      <c r="A604" s="5">
        <v>43336</v>
      </c>
      <c r="B604" s="3" t="s">
        <v>2302</v>
      </c>
      <c r="C604" s="3" t="s">
        <v>2303</v>
      </c>
      <c r="D604" s="3" t="s">
        <v>2303</v>
      </c>
      <c r="E604" s="3" t="s">
        <v>2304</v>
      </c>
      <c r="F604" s="3" t="s">
        <v>867</v>
      </c>
      <c r="G604" s="3">
        <v>4</v>
      </c>
      <c r="H604" s="3">
        <v>0</v>
      </c>
      <c r="I604" s="3">
        <v>1</v>
      </c>
      <c r="J604" s="3">
        <v>1</v>
      </c>
      <c r="K604" s="3">
        <v>0</v>
      </c>
      <c r="L604" s="3">
        <v>2</v>
      </c>
      <c r="M604" s="3">
        <v>0</v>
      </c>
      <c r="N604" s="3" t="s">
        <v>868</v>
      </c>
      <c r="O604" s="3">
        <v>2</v>
      </c>
      <c r="P604" s="3">
        <v>1.06</v>
      </c>
      <c r="Q604" s="3">
        <v>0</v>
      </c>
      <c r="R604" s="3">
        <v>0</v>
      </c>
      <c r="S604" s="3">
        <v>0</v>
      </c>
      <c r="T604" s="3">
        <v>0</v>
      </c>
      <c r="U604" s="3">
        <v>1</v>
      </c>
      <c r="V604" s="3">
        <v>6</v>
      </c>
      <c r="W604" s="3" t="s">
        <v>936</v>
      </c>
      <c r="X604" s="3">
        <v>18.98</v>
      </c>
      <c r="Y604" s="3">
        <v>18.98</v>
      </c>
      <c r="Z604" s="3">
        <v>18.98</v>
      </c>
      <c r="AA604" s="3">
        <v>0</v>
      </c>
      <c r="AB604" s="3" t="s">
        <v>937</v>
      </c>
      <c r="AC604" s="3">
        <v>1</v>
      </c>
      <c r="AD604" s="3">
        <v>17.73</v>
      </c>
      <c r="AE604" s="3">
        <v>70</v>
      </c>
      <c r="AF604" s="3">
        <v>0</v>
      </c>
      <c r="AG604" s="3">
        <v>106.69956</v>
      </c>
      <c r="AH604" s="3">
        <v>1.09090909090909</v>
      </c>
      <c r="AI604" s="3">
        <v>0.617832</v>
      </c>
      <c r="AJ604" s="3" t="s">
        <v>870</v>
      </c>
    </row>
    <row r="605" spans="1:36">
      <c r="A605" s="5">
        <v>43336</v>
      </c>
      <c r="B605" s="3" t="s">
        <v>2305</v>
      </c>
      <c r="C605" s="3" t="s">
        <v>2306</v>
      </c>
      <c r="D605" s="3" t="s">
        <v>2306</v>
      </c>
      <c r="E605" s="3" t="s">
        <v>2307</v>
      </c>
      <c r="F605" s="3" t="s">
        <v>867</v>
      </c>
      <c r="G605" s="3">
        <v>2</v>
      </c>
      <c r="H605" s="3">
        <v>0</v>
      </c>
      <c r="I605" s="3">
        <v>0</v>
      </c>
      <c r="J605" s="3">
        <v>2</v>
      </c>
      <c r="K605" s="3">
        <v>0</v>
      </c>
      <c r="L605" s="3">
        <v>0</v>
      </c>
      <c r="M605" s="3">
        <v>0</v>
      </c>
      <c r="N605" s="3" t="s">
        <v>868</v>
      </c>
      <c r="O605" s="3">
        <v>1</v>
      </c>
      <c r="P605" s="3">
        <v>2.43</v>
      </c>
      <c r="Q605" s="3">
        <v>0</v>
      </c>
      <c r="R605" s="3">
        <v>0</v>
      </c>
      <c r="S605" s="3">
        <v>0</v>
      </c>
      <c r="T605" s="3">
        <v>0</v>
      </c>
      <c r="U605" s="3">
        <v>0</v>
      </c>
      <c r="V605" s="3">
        <v>0</v>
      </c>
      <c r="W605" s="3" t="s">
        <v>936</v>
      </c>
      <c r="X605" s="3">
        <v>64.98</v>
      </c>
      <c r="Y605" s="3">
        <v>64.98</v>
      </c>
      <c r="Z605" s="3">
        <v>64.98</v>
      </c>
      <c r="AA605" s="3">
        <v>0</v>
      </c>
      <c r="AB605" s="3" t="s">
        <v>937</v>
      </c>
      <c r="AC605" s="3">
        <v>0</v>
      </c>
      <c r="AD605" s="3">
        <v>61.41</v>
      </c>
      <c r="AE605" s="3">
        <v>14</v>
      </c>
      <c r="AF605" s="3">
        <v>0</v>
      </c>
      <c r="AG605" s="3">
        <v>260.972578</v>
      </c>
      <c r="AH605" s="3">
        <v>0</v>
      </c>
      <c r="AI605" s="3">
        <v>1.40968</v>
      </c>
      <c r="AJ605" s="3" t="s">
        <v>870</v>
      </c>
    </row>
    <row r="606" spans="1:36">
      <c r="A606" s="5">
        <v>43336</v>
      </c>
      <c r="B606" s="3" t="s">
        <v>2308</v>
      </c>
      <c r="C606" s="3" t="s">
        <v>2309</v>
      </c>
      <c r="D606" s="3" t="s">
        <v>2309</v>
      </c>
      <c r="E606" s="3" t="s">
        <v>2310</v>
      </c>
      <c r="F606" s="3" t="s">
        <v>867</v>
      </c>
      <c r="G606" s="3">
        <v>15</v>
      </c>
      <c r="H606" s="3">
        <v>0</v>
      </c>
      <c r="I606" s="3">
        <v>15</v>
      </c>
      <c r="J606" s="3">
        <v>0</v>
      </c>
      <c r="K606" s="3">
        <v>0</v>
      </c>
      <c r="L606" s="3">
        <v>0</v>
      </c>
      <c r="M606" s="3">
        <v>0</v>
      </c>
      <c r="N606" s="3" t="s">
        <v>868</v>
      </c>
      <c r="O606" s="3">
        <v>0</v>
      </c>
      <c r="P606" s="3">
        <v>0</v>
      </c>
      <c r="Q606" s="3">
        <v>0</v>
      </c>
      <c r="R606" s="3">
        <v>0</v>
      </c>
      <c r="S606" s="3">
        <v>2</v>
      </c>
      <c r="T606" s="3">
        <v>7</v>
      </c>
      <c r="U606" s="3">
        <v>15</v>
      </c>
      <c r="V606" s="3">
        <v>21</v>
      </c>
      <c r="W606" s="3"/>
      <c r="X606" s="3">
        <v>22.98</v>
      </c>
      <c r="Y606" s="3">
        <v>22.98</v>
      </c>
      <c r="Z606" s="3">
        <v>22.98</v>
      </c>
      <c r="AA606" s="3">
        <v>0</v>
      </c>
      <c r="AB606" s="3" t="s">
        <v>869</v>
      </c>
      <c r="AC606" s="3">
        <v>15</v>
      </c>
      <c r="AD606" s="3">
        <v>22.98</v>
      </c>
      <c r="AE606" s="3">
        <v>0</v>
      </c>
      <c r="AF606" s="3">
        <v>0</v>
      </c>
      <c r="AG606" s="3">
        <v>0</v>
      </c>
      <c r="AH606" s="3">
        <v>1.03703703703703</v>
      </c>
      <c r="AI606" s="3">
        <v>2.245395</v>
      </c>
      <c r="AJ606" s="3" t="s">
        <v>870</v>
      </c>
    </row>
    <row r="607" spans="1:36">
      <c r="A607" s="5">
        <v>43336</v>
      </c>
      <c r="B607" s="3" t="s">
        <v>2311</v>
      </c>
      <c r="C607" s="3" t="s">
        <v>2312</v>
      </c>
      <c r="D607" s="3" t="s">
        <v>2312</v>
      </c>
      <c r="E607" s="3" t="s">
        <v>2313</v>
      </c>
      <c r="F607" s="3" t="s">
        <v>867</v>
      </c>
      <c r="G607" s="3">
        <v>2</v>
      </c>
      <c r="H607" s="3">
        <v>0</v>
      </c>
      <c r="I607" s="3">
        <v>2</v>
      </c>
      <c r="J607" s="3">
        <v>0</v>
      </c>
      <c r="K607" s="3">
        <v>0</v>
      </c>
      <c r="L607" s="3">
        <v>0</v>
      </c>
      <c r="M607" s="3">
        <v>0</v>
      </c>
      <c r="N607" s="3" t="s">
        <v>868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1</v>
      </c>
      <c r="W607" s="3" t="s">
        <v>871</v>
      </c>
      <c r="X607" s="3">
        <v>49.98</v>
      </c>
      <c r="Y607" s="3">
        <v>29.98</v>
      </c>
      <c r="Z607" s="3">
        <v>29.98</v>
      </c>
      <c r="AA607" s="3">
        <v>0</v>
      </c>
      <c r="AB607" s="3" t="s">
        <v>883</v>
      </c>
      <c r="AC607" s="3">
        <v>0</v>
      </c>
      <c r="AD607" s="3">
        <v>25.54</v>
      </c>
      <c r="AE607" s="3">
        <v>252</v>
      </c>
      <c r="AF607" s="3">
        <v>0</v>
      </c>
      <c r="AG607" s="3">
        <v>87.888697</v>
      </c>
      <c r="AH607" s="3">
        <v>0.142857142857142</v>
      </c>
      <c r="AI607" s="3">
        <v>0.58198</v>
      </c>
      <c r="AJ607" s="3" t="s">
        <v>870</v>
      </c>
    </row>
    <row r="608" spans="1:36">
      <c r="A608" s="5">
        <v>43336</v>
      </c>
      <c r="B608" s="3" t="s">
        <v>152</v>
      </c>
      <c r="C608" s="3" t="s">
        <v>153</v>
      </c>
      <c r="D608" s="3" t="s">
        <v>154</v>
      </c>
      <c r="E608" s="3" t="s">
        <v>155</v>
      </c>
      <c r="F608" s="3" t="s">
        <v>867</v>
      </c>
      <c r="G608" s="3">
        <v>8</v>
      </c>
      <c r="H608" s="3">
        <v>0</v>
      </c>
      <c r="I608" s="3">
        <v>8</v>
      </c>
      <c r="J608" s="3">
        <v>0</v>
      </c>
      <c r="K608" s="3">
        <v>0</v>
      </c>
      <c r="L608" s="3">
        <v>0</v>
      </c>
      <c r="M608" s="3">
        <v>0</v>
      </c>
      <c r="N608" s="3" t="s">
        <v>868</v>
      </c>
      <c r="O608" s="3">
        <v>0</v>
      </c>
      <c r="P608" s="3">
        <v>0</v>
      </c>
      <c r="Q608" s="3">
        <v>0</v>
      </c>
      <c r="R608" s="3">
        <v>0</v>
      </c>
      <c r="S608" s="3">
        <v>0</v>
      </c>
      <c r="T608" s="3">
        <v>7</v>
      </c>
      <c r="U608" s="3">
        <v>17</v>
      </c>
      <c r="V608" s="3">
        <v>17</v>
      </c>
      <c r="W608" s="3"/>
      <c r="X608" s="3">
        <v>21.98</v>
      </c>
      <c r="Y608" s="3">
        <v>21.98</v>
      </c>
      <c r="Z608" s="3">
        <v>21.98</v>
      </c>
      <c r="AA608" s="3">
        <v>0</v>
      </c>
      <c r="AB608" s="3" t="s">
        <v>869</v>
      </c>
      <c r="AC608" s="3">
        <v>8</v>
      </c>
      <c r="AD608" s="3">
        <v>21.98</v>
      </c>
      <c r="AE608" s="3">
        <v>0</v>
      </c>
      <c r="AF608" s="3">
        <v>0</v>
      </c>
      <c r="AG608" s="3">
        <v>0</v>
      </c>
      <c r="AH608" s="3">
        <v>1.94594594594594</v>
      </c>
      <c r="AI608" s="3">
        <v>1.197544</v>
      </c>
      <c r="AJ608" s="3" t="s">
        <v>870</v>
      </c>
    </row>
    <row r="609" spans="1:36">
      <c r="A609" s="5">
        <v>43336</v>
      </c>
      <c r="B609" s="3" t="s">
        <v>167</v>
      </c>
      <c r="C609" s="3" t="s">
        <v>168</v>
      </c>
      <c r="D609" s="3" t="s">
        <v>169</v>
      </c>
      <c r="E609" s="3" t="s">
        <v>170</v>
      </c>
      <c r="F609" s="3" t="s">
        <v>867</v>
      </c>
      <c r="G609" s="3">
        <v>29</v>
      </c>
      <c r="H609" s="3">
        <v>0</v>
      </c>
      <c r="I609" s="3">
        <v>29</v>
      </c>
      <c r="J609" s="3">
        <v>0</v>
      </c>
      <c r="K609" s="3">
        <v>0</v>
      </c>
      <c r="L609" s="3">
        <v>0</v>
      </c>
      <c r="M609" s="3">
        <v>0</v>
      </c>
      <c r="N609" s="3" t="s">
        <v>868</v>
      </c>
      <c r="O609" s="3">
        <v>0</v>
      </c>
      <c r="P609" s="3">
        <v>0</v>
      </c>
      <c r="Q609" s="3">
        <v>0</v>
      </c>
      <c r="R609" s="3">
        <v>0</v>
      </c>
      <c r="S609" s="3">
        <v>2</v>
      </c>
      <c r="T609" s="3">
        <v>9</v>
      </c>
      <c r="U609" s="3">
        <v>9</v>
      </c>
      <c r="V609" s="3">
        <v>9</v>
      </c>
      <c r="W609" s="3"/>
      <c r="X609" s="3">
        <v>22.98</v>
      </c>
      <c r="Y609" s="3">
        <v>22.98</v>
      </c>
      <c r="Z609" s="3">
        <v>22.98</v>
      </c>
      <c r="AA609" s="3">
        <v>0</v>
      </c>
      <c r="AB609" s="3" t="s">
        <v>869</v>
      </c>
      <c r="AC609" s="3">
        <v>29</v>
      </c>
      <c r="AD609" s="3">
        <v>22.98</v>
      </c>
      <c r="AE609" s="3">
        <v>0</v>
      </c>
      <c r="AF609" s="3">
        <v>0</v>
      </c>
      <c r="AG609" s="3">
        <v>0</v>
      </c>
      <c r="AH609" s="3">
        <v>0.612903225806451</v>
      </c>
      <c r="AI609" s="3">
        <v>2.624152</v>
      </c>
      <c r="AJ609" s="3" t="s">
        <v>870</v>
      </c>
    </row>
    <row r="610" spans="1:36">
      <c r="A610" s="5">
        <v>43336</v>
      </c>
      <c r="B610" s="3" t="s">
        <v>2314</v>
      </c>
      <c r="C610" s="3" t="s">
        <v>2315</v>
      </c>
      <c r="D610" s="3" t="s">
        <v>2316</v>
      </c>
      <c r="E610" s="3" t="s">
        <v>2317</v>
      </c>
      <c r="F610" s="3" t="s">
        <v>867</v>
      </c>
      <c r="G610" s="3">
        <v>10</v>
      </c>
      <c r="H610" s="3">
        <v>0</v>
      </c>
      <c r="I610" s="3">
        <v>10</v>
      </c>
      <c r="J610" s="3">
        <v>0</v>
      </c>
      <c r="K610" s="3">
        <v>0</v>
      </c>
      <c r="L610" s="3">
        <v>0</v>
      </c>
      <c r="M610" s="3">
        <v>0</v>
      </c>
      <c r="N610" s="3" t="s">
        <v>868</v>
      </c>
      <c r="O610" s="3">
        <v>0</v>
      </c>
      <c r="P610" s="3">
        <v>0</v>
      </c>
      <c r="Q610" s="3">
        <v>0</v>
      </c>
      <c r="R610" s="3">
        <v>0</v>
      </c>
      <c r="S610" s="3">
        <v>1</v>
      </c>
      <c r="T610" s="3">
        <v>5</v>
      </c>
      <c r="U610" s="3">
        <v>10</v>
      </c>
      <c r="V610" s="3">
        <v>10</v>
      </c>
      <c r="W610" s="3"/>
      <c r="X610" s="3">
        <v>22.98</v>
      </c>
      <c r="Y610" s="3">
        <v>22.98</v>
      </c>
      <c r="Z610" s="3">
        <v>22.98</v>
      </c>
      <c r="AA610" s="3">
        <v>0</v>
      </c>
      <c r="AB610" s="3" t="s">
        <v>869</v>
      </c>
      <c r="AC610" s="3">
        <v>10</v>
      </c>
      <c r="AD610" s="3">
        <v>22.98</v>
      </c>
      <c r="AE610" s="3">
        <v>0</v>
      </c>
      <c r="AF610" s="3">
        <v>0</v>
      </c>
      <c r="AG610" s="3">
        <v>0</v>
      </c>
      <c r="AH610" s="3">
        <v>1.23076923076923</v>
      </c>
      <c r="AI610" s="3">
        <v>0.90488</v>
      </c>
      <c r="AJ610" s="3" t="s">
        <v>870</v>
      </c>
    </row>
    <row r="611" spans="1:36">
      <c r="A611" s="5">
        <v>43336</v>
      </c>
      <c r="B611" s="3" t="s">
        <v>43</v>
      </c>
      <c r="C611" s="3" t="s">
        <v>44</v>
      </c>
      <c r="D611" s="3" t="s">
        <v>45</v>
      </c>
      <c r="E611" s="3" t="s">
        <v>46</v>
      </c>
      <c r="F611" s="3" t="s">
        <v>867</v>
      </c>
      <c r="G611" s="3">
        <v>21</v>
      </c>
      <c r="H611" s="3">
        <v>0</v>
      </c>
      <c r="I611" s="3">
        <v>21</v>
      </c>
      <c r="J611" s="3">
        <v>0</v>
      </c>
      <c r="K611" s="3">
        <v>0</v>
      </c>
      <c r="L611" s="3">
        <v>0</v>
      </c>
      <c r="M611" s="3">
        <v>0</v>
      </c>
      <c r="N611" s="3" t="s">
        <v>868</v>
      </c>
      <c r="O611" s="3">
        <v>0</v>
      </c>
      <c r="P611" s="3">
        <v>0</v>
      </c>
      <c r="Q611" s="3">
        <v>0</v>
      </c>
      <c r="R611" s="3">
        <v>0</v>
      </c>
      <c r="S611" s="3">
        <v>3</v>
      </c>
      <c r="T611" s="3">
        <v>22</v>
      </c>
      <c r="U611" s="3">
        <v>40</v>
      </c>
      <c r="V611" s="3">
        <v>40</v>
      </c>
      <c r="W611" s="3"/>
      <c r="X611" s="3">
        <v>23.98</v>
      </c>
      <c r="Y611" s="3">
        <v>23.98</v>
      </c>
      <c r="Z611" s="3">
        <v>23.98</v>
      </c>
      <c r="AA611" s="3">
        <v>0</v>
      </c>
      <c r="AB611" s="3" t="s">
        <v>869</v>
      </c>
      <c r="AC611" s="3">
        <v>24</v>
      </c>
      <c r="AD611" s="3">
        <v>23.98</v>
      </c>
      <c r="AE611" s="3">
        <v>0</v>
      </c>
      <c r="AF611" s="3">
        <v>0</v>
      </c>
      <c r="AG611" s="3">
        <v>0</v>
      </c>
      <c r="AH611" s="3">
        <v>4.14117647058823</v>
      </c>
      <c r="AI611" s="3">
        <v>1.401225</v>
      </c>
      <c r="AJ611" s="3" t="s">
        <v>870</v>
      </c>
    </row>
    <row r="612" spans="1:36">
      <c r="A612" s="5">
        <v>43336</v>
      </c>
      <c r="B612" s="3" t="s">
        <v>624</v>
      </c>
      <c r="C612" s="3" t="s">
        <v>473</v>
      </c>
      <c r="D612" s="3" t="s">
        <v>473</v>
      </c>
      <c r="E612" s="3" t="s">
        <v>2318</v>
      </c>
      <c r="F612" s="3" t="s">
        <v>867</v>
      </c>
      <c r="G612" s="3">
        <v>17</v>
      </c>
      <c r="H612" s="3">
        <v>0</v>
      </c>
      <c r="I612" s="3">
        <v>9</v>
      </c>
      <c r="J612" s="3">
        <v>8</v>
      </c>
      <c r="K612" s="3">
        <v>0</v>
      </c>
      <c r="L612" s="3">
        <v>0</v>
      </c>
      <c r="M612" s="3">
        <v>0</v>
      </c>
      <c r="N612" s="3" t="s">
        <v>868</v>
      </c>
      <c r="O612" s="3">
        <v>0</v>
      </c>
      <c r="P612" s="3">
        <v>0</v>
      </c>
      <c r="Q612" s="3">
        <v>0</v>
      </c>
      <c r="R612" s="3">
        <v>0</v>
      </c>
      <c r="S612" s="3">
        <v>9</v>
      </c>
      <c r="T612" s="3">
        <v>28</v>
      </c>
      <c r="U612" s="3">
        <v>48</v>
      </c>
      <c r="V612" s="3">
        <v>73</v>
      </c>
      <c r="W612" s="3"/>
      <c r="X612" s="3">
        <v>39.98</v>
      </c>
      <c r="Y612" s="3">
        <v>23.98</v>
      </c>
      <c r="Z612" s="3">
        <v>23.98</v>
      </c>
      <c r="AA612" s="3">
        <v>0</v>
      </c>
      <c r="AB612" s="3" t="s">
        <v>869</v>
      </c>
      <c r="AC612" s="3">
        <v>21</v>
      </c>
      <c r="AD612" s="3">
        <v>23.98</v>
      </c>
      <c r="AE612" s="3">
        <v>0</v>
      </c>
      <c r="AF612" s="3">
        <v>0</v>
      </c>
      <c r="AG612" s="3">
        <v>0</v>
      </c>
      <c r="AH612" s="3">
        <v>1.46733668341708</v>
      </c>
      <c r="AI612" s="3">
        <v>1.454656</v>
      </c>
      <c r="AJ612" s="3" t="s">
        <v>870</v>
      </c>
    </row>
    <row r="613" spans="1:36">
      <c r="A613" s="5">
        <v>43336</v>
      </c>
      <c r="B613" s="3" t="s">
        <v>353</v>
      </c>
      <c r="C613" s="3" t="s">
        <v>354</v>
      </c>
      <c r="D613" s="3" t="s">
        <v>355</v>
      </c>
      <c r="E613" s="3" t="s">
        <v>356</v>
      </c>
      <c r="F613" s="3" t="s">
        <v>867</v>
      </c>
      <c r="G613" s="3">
        <v>9</v>
      </c>
      <c r="H613" s="3">
        <v>0</v>
      </c>
      <c r="I613" s="3">
        <v>9</v>
      </c>
      <c r="J613" s="3">
        <v>0</v>
      </c>
      <c r="K613" s="3">
        <v>0</v>
      </c>
      <c r="L613" s="3">
        <v>0</v>
      </c>
      <c r="M613" s="3">
        <v>0</v>
      </c>
      <c r="N613" s="3" t="s">
        <v>868</v>
      </c>
      <c r="O613" s="3">
        <v>0</v>
      </c>
      <c r="P613" s="3">
        <v>0</v>
      </c>
      <c r="Q613" s="3">
        <v>0</v>
      </c>
      <c r="R613" s="3">
        <v>0</v>
      </c>
      <c r="S613" s="3">
        <v>1</v>
      </c>
      <c r="T613" s="3">
        <v>1</v>
      </c>
      <c r="U613" s="3">
        <v>1</v>
      </c>
      <c r="V613" s="3">
        <v>1</v>
      </c>
      <c r="W613" s="3"/>
      <c r="X613" s="3">
        <v>21.98</v>
      </c>
      <c r="Y613" s="3">
        <v>21.98</v>
      </c>
      <c r="Z613" s="3">
        <v>21.98</v>
      </c>
      <c r="AA613" s="3">
        <v>0</v>
      </c>
      <c r="AB613" s="3" t="s">
        <v>869</v>
      </c>
      <c r="AC613" s="3">
        <v>9</v>
      </c>
      <c r="AD613" s="3">
        <v>21.98</v>
      </c>
      <c r="AE613" s="3">
        <v>0</v>
      </c>
      <c r="AF613" s="3">
        <v>0</v>
      </c>
      <c r="AG613" s="3">
        <v>0</v>
      </c>
      <c r="AH613" s="3">
        <v>3.30434782608695</v>
      </c>
      <c r="AI613" s="3">
        <v>0.409761</v>
      </c>
      <c r="AJ613" s="3" t="s">
        <v>870</v>
      </c>
    </row>
    <row r="614" spans="1:36">
      <c r="A614" s="5">
        <v>43336</v>
      </c>
      <c r="B614" s="3" t="s">
        <v>582</v>
      </c>
      <c r="C614" s="3" t="s">
        <v>583</v>
      </c>
      <c r="D614" s="3" t="s">
        <v>583</v>
      </c>
      <c r="E614" s="3" t="s">
        <v>584</v>
      </c>
      <c r="F614" s="3" t="s">
        <v>867</v>
      </c>
      <c r="G614" s="3">
        <v>30</v>
      </c>
      <c r="H614" s="3">
        <v>0</v>
      </c>
      <c r="I614" s="3">
        <v>30</v>
      </c>
      <c r="J614" s="3">
        <v>0</v>
      </c>
      <c r="K614" s="3">
        <v>0</v>
      </c>
      <c r="L614" s="3">
        <v>0</v>
      </c>
      <c r="M614" s="3">
        <v>0</v>
      </c>
      <c r="N614" s="3" t="s">
        <v>868</v>
      </c>
      <c r="O614" s="3">
        <v>0</v>
      </c>
      <c r="P614" s="3">
        <v>0</v>
      </c>
      <c r="Q614" s="3">
        <v>0</v>
      </c>
      <c r="R614" s="3">
        <v>0</v>
      </c>
      <c r="S614" s="3">
        <v>3</v>
      </c>
      <c r="T614" s="3">
        <v>13</v>
      </c>
      <c r="U614" s="3">
        <v>28</v>
      </c>
      <c r="V614" s="3">
        <v>64</v>
      </c>
      <c r="W614" s="3"/>
      <c r="X614" s="3">
        <v>22.98</v>
      </c>
      <c r="Y614" s="3">
        <v>22.98</v>
      </c>
      <c r="Z614" s="3">
        <v>22.98</v>
      </c>
      <c r="AA614" s="3">
        <v>0</v>
      </c>
      <c r="AB614" s="3" t="s">
        <v>869</v>
      </c>
      <c r="AC614" s="3">
        <v>29</v>
      </c>
      <c r="AD614" s="3">
        <v>22.98</v>
      </c>
      <c r="AE614" s="3">
        <v>0</v>
      </c>
      <c r="AF614" s="3">
        <v>0</v>
      </c>
      <c r="AG614" s="3">
        <v>0</v>
      </c>
      <c r="AH614" s="3">
        <v>1.48837209302325</v>
      </c>
      <c r="AI614" s="3">
        <v>3.56457</v>
      </c>
      <c r="AJ614" s="3" t="s">
        <v>870</v>
      </c>
    </row>
    <row r="615" spans="1:36">
      <c r="A615" s="5">
        <v>43336</v>
      </c>
      <c r="B615" s="3" t="s">
        <v>2319</v>
      </c>
      <c r="C615" s="3" t="s">
        <v>2320</v>
      </c>
      <c r="D615" s="3" t="s">
        <v>2320</v>
      </c>
      <c r="E615" s="3" t="s">
        <v>2321</v>
      </c>
      <c r="F615" s="3" t="s">
        <v>867</v>
      </c>
      <c r="G615" s="3">
        <v>1</v>
      </c>
      <c r="H615" s="3">
        <v>0</v>
      </c>
      <c r="I615" s="3">
        <v>0</v>
      </c>
      <c r="J615" s="3">
        <v>0</v>
      </c>
      <c r="K615" s="3">
        <v>1</v>
      </c>
      <c r="L615" s="3">
        <v>0</v>
      </c>
      <c r="M615" s="3">
        <v>0</v>
      </c>
      <c r="N615" s="3" t="s">
        <v>868</v>
      </c>
      <c r="O615" s="3">
        <v>1</v>
      </c>
      <c r="P615" s="3">
        <v>0.19</v>
      </c>
      <c r="Q615" s="3">
        <v>0</v>
      </c>
      <c r="R615" s="3">
        <v>0</v>
      </c>
      <c r="S615" s="3">
        <v>0</v>
      </c>
      <c r="T615" s="3">
        <v>0</v>
      </c>
      <c r="U615" s="3">
        <v>0</v>
      </c>
      <c r="V615" s="3">
        <v>0</v>
      </c>
      <c r="W615" s="3" t="s">
        <v>936</v>
      </c>
      <c r="X615" s="3">
        <v>25</v>
      </c>
      <c r="Y615" s="3">
        <v>25</v>
      </c>
      <c r="Z615" s="3">
        <v>25</v>
      </c>
      <c r="AA615" s="3">
        <v>0</v>
      </c>
      <c r="AB615" s="3" t="s">
        <v>937</v>
      </c>
      <c r="AC615" s="3">
        <v>0</v>
      </c>
      <c r="AD615" s="3">
        <v>22.62</v>
      </c>
      <c r="AE615" s="3">
        <v>364</v>
      </c>
      <c r="AF615" s="3">
        <v>0</v>
      </c>
      <c r="AG615" s="3">
        <v>17.659421</v>
      </c>
      <c r="AH615" s="3">
        <v>0</v>
      </c>
      <c r="AI615" s="3">
        <v>0.055556</v>
      </c>
      <c r="AJ615" s="3" t="s">
        <v>898</v>
      </c>
    </row>
    <row r="616" spans="1:36">
      <c r="A616" s="5">
        <v>43336</v>
      </c>
      <c r="B616" s="3" t="s">
        <v>2322</v>
      </c>
      <c r="C616" s="3" t="s">
        <v>2323</v>
      </c>
      <c r="D616" s="3" t="s">
        <v>2323</v>
      </c>
      <c r="E616" s="3" t="s">
        <v>2324</v>
      </c>
      <c r="F616" s="3" t="s">
        <v>867</v>
      </c>
      <c r="G616" s="3">
        <v>2</v>
      </c>
      <c r="H616" s="3">
        <v>0</v>
      </c>
      <c r="I616" s="3">
        <v>0</v>
      </c>
      <c r="J616" s="3">
        <v>2</v>
      </c>
      <c r="K616" s="3">
        <v>0</v>
      </c>
      <c r="L616" s="3">
        <v>0</v>
      </c>
      <c r="M616" s="3">
        <v>0</v>
      </c>
      <c r="N616" s="3" t="s">
        <v>868</v>
      </c>
      <c r="O616" s="3">
        <v>0</v>
      </c>
      <c r="P616" s="3">
        <v>0</v>
      </c>
      <c r="Q616" s="3">
        <v>0</v>
      </c>
      <c r="R616" s="3">
        <v>0</v>
      </c>
      <c r="S616" s="3">
        <v>1</v>
      </c>
      <c r="T616" s="3">
        <v>1</v>
      </c>
      <c r="U616" s="3">
        <v>3</v>
      </c>
      <c r="V616" s="3">
        <v>4</v>
      </c>
      <c r="W616" s="3" t="s">
        <v>871</v>
      </c>
      <c r="X616" s="3">
        <v>22.98</v>
      </c>
      <c r="Y616" s="3">
        <v>12.98</v>
      </c>
      <c r="Z616" s="3">
        <v>12.98</v>
      </c>
      <c r="AA616" s="3">
        <v>0</v>
      </c>
      <c r="AB616" s="3" t="s">
        <v>869</v>
      </c>
      <c r="AC616" s="3">
        <v>2</v>
      </c>
      <c r="AD616" s="3">
        <v>12.98</v>
      </c>
      <c r="AE616" s="3">
        <v>0</v>
      </c>
      <c r="AF616" s="3">
        <v>0</v>
      </c>
      <c r="AG616" s="3">
        <v>0</v>
      </c>
      <c r="AH616" s="3">
        <v>0.8</v>
      </c>
      <c r="AI616" s="3">
        <v>0.276204</v>
      </c>
      <c r="AJ616" s="3" t="s">
        <v>870</v>
      </c>
    </row>
    <row r="617" spans="1:36">
      <c r="A617" s="5">
        <v>43336</v>
      </c>
      <c r="B617" s="3" t="s">
        <v>573</v>
      </c>
      <c r="C617" s="3" t="s">
        <v>383</v>
      </c>
      <c r="D617" s="3" t="s">
        <v>383</v>
      </c>
      <c r="E617" s="3" t="s">
        <v>384</v>
      </c>
      <c r="F617" s="3" t="s">
        <v>867</v>
      </c>
      <c r="G617" s="3">
        <v>6</v>
      </c>
      <c r="H617" s="3">
        <v>0</v>
      </c>
      <c r="I617" s="3">
        <v>6</v>
      </c>
      <c r="J617" s="3">
        <v>0</v>
      </c>
      <c r="K617" s="3">
        <v>0</v>
      </c>
      <c r="L617" s="3">
        <v>0</v>
      </c>
      <c r="M617" s="3">
        <v>0</v>
      </c>
      <c r="N617" s="3" t="s">
        <v>868</v>
      </c>
      <c r="O617" s="3">
        <v>0</v>
      </c>
      <c r="P617" s="3">
        <v>0</v>
      </c>
      <c r="Q617" s="3">
        <v>0</v>
      </c>
      <c r="R617" s="3">
        <v>0</v>
      </c>
      <c r="S617" s="3">
        <v>0</v>
      </c>
      <c r="T617" s="3">
        <v>0</v>
      </c>
      <c r="U617" s="3">
        <v>22</v>
      </c>
      <c r="V617" s="3">
        <v>106</v>
      </c>
      <c r="W617" s="3" t="s">
        <v>871</v>
      </c>
      <c r="X617" s="3">
        <v>24.98</v>
      </c>
      <c r="Y617" s="3">
        <v>24.98</v>
      </c>
      <c r="Z617" s="3">
        <v>23.98</v>
      </c>
      <c r="AA617" s="3">
        <v>0</v>
      </c>
      <c r="AB617" s="3" t="s">
        <v>869</v>
      </c>
      <c r="AC617" s="3">
        <v>6</v>
      </c>
      <c r="AD617" s="3">
        <v>24.98</v>
      </c>
      <c r="AE617" s="3">
        <v>0</v>
      </c>
      <c r="AF617" s="3">
        <v>0</v>
      </c>
      <c r="AG617" s="3">
        <v>0</v>
      </c>
      <c r="AH617" s="3">
        <v>11.4347826086956</v>
      </c>
      <c r="AI617" s="3">
        <v>0.273174</v>
      </c>
      <c r="AJ617" s="3" t="s">
        <v>870</v>
      </c>
    </row>
    <row r="618" spans="1:36">
      <c r="A618" s="5">
        <v>43336</v>
      </c>
      <c r="B618" s="3" t="s">
        <v>2325</v>
      </c>
      <c r="C618" s="3" t="s">
        <v>2326</v>
      </c>
      <c r="D618" s="3" t="s">
        <v>2326</v>
      </c>
      <c r="E618" s="3" t="s">
        <v>2327</v>
      </c>
      <c r="F618" s="3" t="s">
        <v>867</v>
      </c>
      <c r="G618" s="3">
        <v>3</v>
      </c>
      <c r="H618" s="3">
        <v>0</v>
      </c>
      <c r="I618" s="3">
        <v>0</v>
      </c>
      <c r="J618" s="3">
        <v>0</v>
      </c>
      <c r="K618" s="3">
        <v>3</v>
      </c>
      <c r="L618" s="3">
        <v>0</v>
      </c>
      <c r="M618" s="3">
        <v>0</v>
      </c>
      <c r="N618" s="3" t="s">
        <v>868</v>
      </c>
      <c r="O618" s="3">
        <v>3</v>
      </c>
      <c r="P618" s="3">
        <v>1.42</v>
      </c>
      <c r="Q618" s="3">
        <v>0</v>
      </c>
      <c r="R618" s="3">
        <v>0</v>
      </c>
      <c r="S618" s="3">
        <v>0</v>
      </c>
      <c r="T618" s="3">
        <v>1</v>
      </c>
      <c r="U618" s="3">
        <v>2</v>
      </c>
      <c r="V618" s="3">
        <v>2</v>
      </c>
      <c r="W618" s="3"/>
      <c r="X618" s="3">
        <v>24.98</v>
      </c>
      <c r="Y618" s="3">
        <v>24.98</v>
      </c>
      <c r="Z618" s="3">
        <v>24.98</v>
      </c>
      <c r="AA618" s="3">
        <v>0</v>
      </c>
      <c r="AB618" s="3" t="s">
        <v>869</v>
      </c>
      <c r="AC618" s="3">
        <v>3</v>
      </c>
      <c r="AD618" s="3">
        <v>24.98</v>
      </c>
      <c r="AE618" s="3">
        <v>0</v>
      </c>
      <c r="AF618" s="3">
        <v>0</v>
      </c>
      <c r="AG618" s="3">
        <v>0</v>
      </c>
      <c r="AH618" s="3">
        <v>0.470588235294117</v>
      </c>
      <c r="AI618" s="3">
        <v>0.411753</v>
      </c>
      <c r="AJ618" s="3" t="s">
        <v>870</v>
      </c>
    </row>
    <row r="619" spans="1:36">
      <c r="A619" s="5">
        <v>43336</v>
      </c>
      <c r="B619" s="3" t="s">
        <v>2328</v>
      </c>
      <c r="C619" s="3" t="s">
        <v>154</v>
      </c>
      <c r="D619" s="3" t="s">
        <v>154</v>
      </c>
      <c r="E619" s="3" t="s">
        <v>155</v>
      </c>
      <c r="F619" s="3" t="s">
        <v>867</v>
      </c>
      <c r="G619" s="3">
        <v>9</v>
      </c>
      <c r="H619" s="3">
        <v>0</v>
      </c>
      <c r="I619" s="3">
        <v>9</v>
      </c>
      <c r="J619" s="3">
        <v>0</v>
      </c>
      <c r="K619" s="3">
        <v>0</v>
      </c>
      <c r="L619" s="3">
        <v>0</v>
      </c>
      <c r="M619" s="3">
        <v>0</v>
      </c>
      <c r="N619" s="3" t="s">
        <v>868</v>
      </c>
      <c r="O619" s="3">
        <v>0</v>
      </c>
      <c r="P619" s="3">
        <v>0</v>
      </c>
      <c r="Q619" s="3">
        <v>0</v>
      </c>
      <c r="R619" s="3">
        <v>0</v>
      </c>
      <c r="S619" s="3">
        <v>1</v>
      </c>
      <c r="T619" s="3">
        <v>13</v>
      </c>
      <c r="U619" s="3">
        <v>21</v>
      </c>
      <c r="V619" s="3">
        <v>37</v>
      </c>
      <c r="W619" s="3"/>
      <c r="X619" s="3">
        <v>23.99</v>
      </c>
      <c r="Y619" s="3">
        <v>21.98</v>
      </c>
      <c r="Z619" s="3">
        <v>21.98</v>
      </c>
      <c r="AA619" s="3">
        <v>0</v>
      </c>
      <c r="AB619" s="3" t="s">
        <v>869</v>
      </c>
      <c r="AC619" s="3">
        <v>11</v>
      </c>
      <c r="AD619" s="3">
        <v>21.98</v>
      </c>
      <c r="AE619" s="3">
        <v>0</v>
      </c>
      <c r="AF619" s="3">
        <v>0</v>
      </c>
      <c r="AG619" s="3">
        <v>0</v>
      </c>
      <c r="AH619" s="3">
        <v>1.94594594594594</v>
      </c>
      <c r="AI619" s="3">
        <v>1.347237</v>
      </c>
      <c r="AJ619" s="3" t="s">
        <v>870</v>
      </c>
    </row>
    <row r="620" spans="1:36">
      <c r="A620" s="5">
        <v>43336</v>
      </c>
      <c r="B620" s="3" t="s">
        <v>2329</v>
      </c>
      <c r="C620" s="3" t="s">
        <v>2330</v>
      </c>
      <c r="D620" s="3" t="s">
        <v>2330</v>
      </c>
      <c r="E620" s="3" t="s">
        <v>2331</v>
      </c>
      <c r="F620" s="3" t="s">
        <v>867</v>
      </c>
      <c r="G620" s="3">
        <v>2</v>
      </c>
      <c r="H620" s="3">
        <v>0</v>
      </c>
      <c r="I620" s="3">
        <v>1</v>
      </c>
      <c r="J620" s="3">
        <v>0</v>
      </c>
      <c r="K620" s="3">
        <v>1</v>
      </c>
      <c r="L620" s="3">
        <v>0</v>
      </c>
      <c r="M620" s="3">
        <v>0</v>
      </c>
      <c r="N620" s="3" t="s">
        <v>868</v>
      </c>
      <c r="O620" s="3">
        <v>1</v>
      </c>
      <c r="P620" s="3">
        <v>0.57</v>
      </c>
      <c r="Q620" s="3">
        <v>0</v>
      </c>
      <c r="R620" s="3">
        <v>0</v>
      </c>
      <c r="S620" s="3">
        <v>2</v>
      </c>
      <c r="T620" s="3">
        <v>10</v>
      </c>
      <c r="U620" s="3">
        <v>11</v>
      </c>
      <c r="V620" s="3">
        <v>17</v>
      </c>
      <c r="W620" s="3"/>
      <c r="X620" s="3">
        <v>22.99</v>
      </c>
      <c r="Y620" s="3">
        <v>22.99</v>
      </c>
      <c r="Z620" s="3">
        <v>22.99</v>
      </c>
      <c r="AA620" s="3">
        <v>0</v>
      </c>
      <c r="AB620" s="3" t="s">
        <v>869</v>
      </c>
      <c r="AC620" s="3">
        <v>0</v>
      </c>
      <c r="AD620" s="3">
        <v>0</v>
      </c>
      <c r="AE620" s="3">
        <v>0</v>
      </c>
      <c r="AF620" s="3">
        <v>0</v>
      </c>
      <c r="AG620" s="3">
        <v>0</v>
      </c>
      <c r="AH620" s="3">
        <v>0.414634146341463</v>
      </c>
      <c r="AI620" s="3">
        <v>0.332554</v>
      </c>
      <c r="AJ620" s="3" t="s">
        <v>870</v>
      </c>
    </row>
    <row r="621" spans="1:36">
      <c r="A621" s="5">
        <v>43336</v>
      </c>
      <c r="B621" s="3" t="s">
        <v>540</v>
      </c>
      <c r="C621" s="3" t="s">
        <v>541</v>
      </c>
      <c r="D621" s="3" t="s">
        <v>541</v>
      </c>
      <c r="E621" s="3" t="s">
        <v>542</v>
      </c>
      <c r="F621" s="3" t="s">
        <v>867</v>
      </c>
      <c r="G621" s="3">
        <v>7</v>
      </c>
      <c r="H621" s="3">
        <v>0</v>
      </c>
      <c r="I621" s="3">
        <v>7</v>
      </c>
      <c r="J621" s="3">
        <v>0</v>
      </c>
      <c r="K621" s="3">
        <v>0</v>
      </c>
      <c r="L621" s="3">
        <v>0</v>
      </c>
      <c r="M621" s="3">
        <v>0</v>
      </c>
      <c r="N621" s="3" t="s">
        <v>868</v>
      </c>
      <c r="O621" s="3">
        <v>0</v>
      </c>
      <c r="P621" s="3">
        <v>0</v>
      </c>
      <c r="Q621" s="3">
        <v>0</v>
      </c>
      <c r="R621" s="3">
        <v>0</v>
      </c>
      <c r="S621" s="3">
        <v>4</v>
      </c>
      <c r="T621" s="3">
        <v>9</v>
      </c>
      <c r="U621" s="3">
        <v>17</v>
      </c>
      <c r="V621" s="3">
        <v>32</v>
      </c>
      <c r="W621" s="3"/>
      <c r="X621" s="3">
        <v>23.99</v>
      </c>
      <c r="Y621" s="3">
        <v>21.98</v>
      </c>
      <c r="Z621" s="3">
        <v>21.98</v>
      </c>
      <c r="AA621" s="3">
        <v>0</v>
      </c>
      <c r="AB621" s="3" t="s">
        <v>869</v>
      </c>
      <c r="AC621" s="3">
        <v>9</v>
      </c>
      <c r="AD621" s="3">
        <v>21.98</v>
      </c>
      <c r="AE621" s="3">
        <v>0</v>
      </c>
      <c r="AF621" s="3">
        <v>0</v>
      </c>
      <c r="AG621" s="3">
        <v>0</v>
      </c>
      <c r="AH621" s="3">
        <v>1.64102564102564</v>
      </c>
      <c r="AI621" s="3">
        <v>1.04785099999999</v>
      </c>
      <c r="AJ621" s="3" t="s">
        <v>870</v>
      </c>
    </row>
    <row r="622" spans="1:36">
      <c r="A622" s="5">
        <v>43336</v>
      </c>
      <c r="B622" s="3" t="s">
        <v>2332</v>
      </c>
      <c r="C622" s="3" t="s">
        <v>2333</v>
      </c>
      <c r="D622" s="3" t="s">
        <v>2334</v>
      </c>
      <c r="E622" s="3" t="s">
        <v>2335</v>
      </c>
      <c r="F622" s="3" t="s">
        <v>867</v>
      </c>
      <c r="G622" s="3">
        <v>43</v>
      </c>
      <c r="H622" s="3">
        <v>0</v>
      </c>
      <c r="I622" s="3">
        <v>43</v>
      </c>
      <c r="J622" s="3">
        <v>0</v>
      </c>
      <c r="K622" s="3">
        <v>0</v>
      </c>
      <c r="L622" s="3">
        <v>0</v>
      </c>
      <c r="M622" s="3">
        <v>0</v>
      </c>
      <c r="N622" s="3" t="s">
        <v>868</v>
      </c>
      <c r="O622" s="3">
        <v>0</v>
      </c>
      <c r="P622" s="3">
        <v>0</v>
      </c>
      <c r="Q622" s="3">
        <v>0</v>
      </c>
      <c r="R622" s="3">
        <v>0</v>
      </c>
      <c r="S622" s="3">
        <v>3</v>
      </c>
      <c r="T622" s="3">
        <v>15</v>
      </c>
      <c r="U622" s="3">
        <v>35</v>
      </c>
      <c r="V622" s="3">
        <v>51</v>
      </c>
      <c r="W622" s="3"/>
      <c r="X622" s="3">
        <v>69.9</v>
      </c>
      <c r="Y622" s="3">
        <v>24.98</v>
      </c>
      <c r="Z622" s="3">
        <v>24.98</v>
      </c>
      <c r="AA622" s="3">
        <v>0</v>
      </c>
      <c r="AB622" s="3" t="s">
        <v>869</v>
      </c>
      <c r="AC622" s="3">
        <v>45</v>
      </c>
      <c r="AD622" s="3">
        <v>24.98</v>
      </c>
      <c r="AE622" s="3">
        <v>0</v>
      </c>
      <c r="AF622" s="3">
        <v>0</v>
      </c>
      <c r="AG622" s="3">
        <v>0</v>
      </c>
      <c r="AH622" s="3">
        <v>2.06756756756756</v>
      </c>
      <c r="AI622" s="3">
        <v>7.467165</v>
      </c>
      <c r="AJ622" s="3" t="s">
        <v>898</v>
      </c>
    </row>
    <row r="623" spans="1:36">
      <c r="A623" s="5">
        <v>43336</v>
      </c>
      <c r="B623" s="3" t="s">
        <v>2336</v>
      </c>
      <c r="C623" s="3" t="s">
        <v>2337</v>
      </c>
      <c r="D623" s="3" t="s">
        <v>2337</v>
      </c>
      <c r="E623" s="3" t="s">
        <v>2338</v>
      </c>
      <c r="F623" s="3" t="s">
        <v>867</v>
      </c>
      <c r="G623" s="3">
        <v>8</v>
      </c>
      <c r="H623" s="3">
        <v>0</v>
      </c>
      <c r="I623" s="3">
        <v>0</v>
      </c>
      <c r="J623" s="3">
        <v>0</v>
      </c>
      <c r="K623" s="3">
        <v>8</v>
      </c>
      <c r="L623" s="3">
        <v>0</v>
      </c>
      <c r="M623" s="3">
        <v>0</v>
      </c>
      <c r="N623" s="3" t="s">
        <v>868</v>
      </c>
      <c r="O623" s="3">
        <v>8</v>
      </c>
      <c r="P623" s="3">
        <v>2.44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 t="s">
        <v>871</v>
      </c>
      <c r="X623" s="3">
        <v>23.98</v>
      </c>
      <c r="Y623" s="3">
        <v>23.98</v>
      </c>
      <c r="Z623" s="3">
        <v>23.98</v>
      </c>
      <c r="AA623" s="3">
        <v>0</v>
      </c>
      <c r="AB623" s="3" t="s">
        <v>883</v>
      </c>
      <c r="AC623" s="3">
        <v>0</v>
      </c>
      <c r="AD623" s="3">
        <v>20.87</v>
      </c>
      <c r="AE623" s="3">
        <v>154</v>
      </c>
      <c r="AF623" s="3">
        <v>0</v>
      </c>
      <c r="AG623" s="3">
        <v>177.611615</v>
      </c>
      <c r="AH623" s="3">
        <v>0</v>
      </c>
      <c r="AI623" s="3">
        <v>0.705864</v>
      </c>
      <c r="AJ623" s="3" t="s">
        <v>870</v>
      </c>
    </row>
    <row r="624" spans="1:36">
      <c r="A624" s="5">
        <v>43336</v>
      </c>
      <c r="B624" s="3" t="s">
        <v>2339</v>
      </c>
      <c r="C624" s="3" t="s">
        <v>2340</v>
      </c>
      <c r="D624" s="3" t="s">
        <v>2340</v>
      </c>
      <c r="E624" s="3" t="s">
        <v>2341</v>
      </c>
      <c r="F624" s="3" t="s">
        <v>867</v>
      </c>
      <c r="G624" s="3">
        <v>3</v>
      </c>
      <c r="H624" s="3">
        <v>0</v>
      </c>
      <c r="I624" s="3">
        <v>0</v>
      </c>
      <c r="J624" s="3">
        <v>3</v>
      </c>
      <c r="K624" s="3">
        <v>0</v>
      </c>
      <c r="L624" s="3">
        <v>0</v>
      </c>
      <c r="M624" s="3">
        <v>0</v>
      </c>
      <c r="N624" s="3" t="s">
        <v>868</v>
      </c>
      <c r="O624" s="3">
        <v>0</v>
      </c>
      <c r="P624" s="3">
        <v>0</v>
      </c>
      <c r="Q624" s="3">
        <v>0</v>
      </c>
      <c r="R624" s="3">
        <v>0</v>
      </c>
      <c r="S624" s="3">
        <v>0</v>
      </c>
      <c r="T624" s="3">
        <v>0</v>
      </c>
      <c r="U624" s="3">
        <v>0</v>
      </c>
      <c r="V624" s="3">
        <v>0</v>
      </c>
      <c r="W624" s="3" t="s">
        <v>871</v>
      </c>
      <c r="X624" s="3">
        <v>22.98</v>
      </c>
      <c r="Y624" s="3">
        <v>22.98</v>
      </c>
      <c r="Z624" s="3">
        <v>22.98</v>
      </c>
      <c r="AA624" s="3">
        <v>0</v>
      </c>
      <c r="AB624" s="3" t="s">
        <v>883</v>
      </c>
      <c r="AC624" s="3">
        <v>0</v>
      </c>
      <c r="AD624" s="3">
        <v>20.04</v>
      </c>
      <c r="AE624" s="3">
        <v>168</v>
      </c>
      <c r="AF624" s="3">
        <v>0</v>
      </c>
      <c r="AG624" s="3">
        <v>80.037445</v>
      </c>
      <c r="AH624" s="3">
        <v>0</v>
      </c>
      <c r="AI624" s="3">
        <v>0.414306</v>
      </c>
      <c r="AJ624" s="3" t="s">
        <v>870</v>
      </c>
    </row>
    <row r="625" spans="1:36">
      <c r="A625" s="5">
        <v>43336</v>
      </c>
      <c r="B625" s="3" t="s">
        <v>2342</v>
      </c>
      <c r="C625" s="3" t="s">
        <v>2343</v>
      </c>
      <c r="D625" s="3" t="s">
        <v>2343</v>
      </c>
      <c r="E625" s="3" t="s">
        <v>2344</v>
      </c>
      <c r="F625" s="3" t="s">
        <v>867</v>
      </c>
      <c r="G625" s="3">
        <v>12</v>
      </c>
      <c r="H625" s="3">
        <v>0</v>
      </c>
      <c r="I625" s="3">
        <v>12</v>
      </c>
      <c r="J625" s="3">
        <v>0</v>
      </c>
      <c r="K625" s="3">
        <v>0</v>
      </c>
      <c r="L625" s="3">
        <v>0</v>
      </c>
      <c r="M625" s="3">
        <v>0</v>
      </c>
      <c r="N625" s="3" t="s">
        <v>868</v>
      </c>
      <c r="O625" s="3">
        <v>0</v>
      </c>
      <c r="P625" s="3">
        <v>0</v>
      </c>
      <c r="Q625" s="3">
        <v>0</v>
      </c>
      <c r="R625" s="3">
        <v>0</v>
      </c>
      <c r="S625" s="3">
        <v>0</v>
      </c>
      <c r="T625" s="3">
        <v>0</v>
      </c>
      <c r="U625" s="3">
        <v>4</v>
      </c>
      <c r="V625" s="3">
        <v>5</v>
      </c>
      <c r="W625" s="3" t="s">
        <v>871</v>
      </c>
      <c r="X625" s="3">
        <v>14.98</v>
      </c>
      <c r="Y625" s="3">
        <v>14.98</v>
      </c>
      <c r="Z625" s="3">
        <v>14.98</v>
      </c>
      <c r="AA625" s="3">
        <v>0</v>
      </c>
      <c r="AB625" s="3" t="s">
        <v>869</v>
      </c>
      <c r="AC625" s="3">
        <v>11</v>
      </c>
      <c r="AD625" s="3">
        <v>14.98</v>
      </c>
      <c r="AE625" s="3">
        <v>0</v>
      </c>
      <c r="AF625" s="3">
        <v>0</v>
      </c>
      <c r="AG625" s="3">
        <v>0</v>
      </c>
      <c r="AH625" s="3">
        <v>0.285714285714285</v>
      </c>
      <c r="AI625" s="3">
        <v>1.796316</v>
      </c>
      <c r="AJ625" s="3" t="s">
        <v>870</v>
      </c>
    </row>
    <row r="626" spans="1:36">
      <c r="A626" s="5">
        <v>43336</v>
      </c>
      <c r="B626" s="3" t="s">
        <v>2345</v>
      </c>
      <c r="C626" s="3" t="s">
        <v>2346</v>
      </c>
      <c r="D626" s="3" t="s">
        <v>2347</v>
      </c>
      <c r="E626" s="3" t="s">
        <v>2348</v>
      </c>
      <c r="F626" s="3" t="s">
        <v>867</v>
      </c>
      <c r="G626" s="3">
        <v>6</v>
      </c>
      <c r="H626" s="3">
        <v>0</v>
      </c>
      <c r="I626" s="3">
        <v>6</v>
      </c>
      <c r="J626" s="3">
        <v>0</v>
      </c>
      <c r="K626" s="3">
        <v>0</v>
      </c>
      <c r="L626" s="3">
        <v>0</v>
      </c>
      <c r="M626" s="3">
        <v>0</v>
      </c>
      <c r="N626" s="3" t="s">
        <v>868</v>
      </c>
      <c r="O626" s="3">
        <v>0</v>
      </c>
      <c r="P626" s="3">
        <v>0</v>
      </c>
      <c r="Q626" s="3">
        <v>0</v>
      </c>
      <c r="R626" s="3">
        <v>0</v>
      </c>
      <c r="S626" s="3">
        <v>0</v>
      </c>
      <c r="T626" s="3">
        <v>0</v>
      </c>
      <c r="U626" s="3">
        <v>0</v>
      </c>
      <c r="V626" s="3">
        <v>0</v>
      </c>
      <c r="W626" s="3" t="s">
        <v>871</v>
      </c>
      <c r="X626" s="3">
        <v>22.99</v>
      </c>
      <c r="Y626" s="3">
        <v>22.99</v>
      </c>
      <c r="Z626" s="3">
        <v>22.99</v>
      </c>
      <c r="AA626" s="3">
        <v>0</v>
      </c>
      <c r="AB626" s="3" t="s">
        <v>883</v>
      </c>
      <c r="AC626" s="3">
        <v>0</v>
      </c>
      <c r="AD626" s="3">
        <v>19.99</v>
      </c>
      <c r="AE626" s="3">
        <v>63</v>
      </c>
      <c r="AF626" s="3">
        <v>0</v>
      </c>
      <c r="AG626" s="3">
        <v>143.935322</v>
      </c>
      <c r="AH626" s="3">
        <v>0</v>
      </c>
      <c r="AI626" s="3">
        <v>1.138668</v>
      </c>
      <c r="AJ626" s="3" t="s">
        <v>925</v>
      </c>
    </row>
    <row r="627" spans="1:36">
      <c r="A627" s="5">
        <v>43336</v>
      </c>
      <c r="B627" s="3" t="s">
        <v>463</v>
      </c>
      <c r="C627" s="3" t="s">
        <v>464</v>
      </c>
      <c r="D627" s="3" t="s">
        <v>465</v>
      </c>
      <c r="E627" s="3" t="s">
        <v>2349</v>
      </c>
      <c r="F627" s="3" t="s">
        <v>867</v>
      </c>
      <c r="G627" s="3">
        <v>3</v>
      </c>
      <c r="H627" s="3">
        <v>0</v>
      </c>
      <c r="I627" s="3">
        <v>3</v>
      </c>
      <c r="J627" s="3">
        <v>0</v>
      </c>
      <c r="K627" s="3">
        <v>0</v>
      </c>
      <c r="L627" s="3">
        <v>0</v>
      </c>
      <c r="M627" s="3">
        <v>0</v>
      </c>
      <c r="N627" s="3" t="s">
        <v>868</v>
      </c>
      <c r="O627" s="3">
        <v>0</v>
      </c>
      <c r="P627" s="3">
        <v>0</v>
      </c>
      <c r="Q627" s="3">
        <v>0</v>
      </c>
      <c r="R627" s="3">
        <v>0</v>
      </c>
      <c r="S627" s="3">
        <v>2</v>
      </c>
      <c r="T627" s="3">
        <v>2</v>
      </c>
      <c r="U627" s="3">
        <v>2</v>
      </c>
      <c r="V627" s="3">
        <v>2</v>
      </c>
      <c r="W627" s="3"/>
      <c r="X627" s="3">
        <v>19.98</v>
      </c>
      <c r="Y627" s="3">
        <v>19.98</v>
      </c>
      <c r="Z627" s="3">
        <v>19.98</v>
      </c>
      <c r="AA627" s="3">
        <v>0</v>
      </c>
      <c r="AB627" s="3" t="s">
        <v>869</v>
      </c>
      <c r="AC627" s="3">
        <v>5</v>
      </c>
      <c r="AD627" s="3">
        <v>19.98</v>
      </c>
      <c r="AE627" s="3">
        <v>0</v>
      </c>
      <c r="AF627" s="3">
        <v>0</v>
      </c>
      <c r="AG627" s="3">
        <v>0</v>
      </c>
      <c r="AH627" s="3">
        <v>2.21052631578947</v>
      </c>
      <c r="AI627" s="3">
        <v>0.318656999999999</v>
      </c>
      <c r="AJ627" s="3" t="s">
        <v>870</v>
      </c>
    </row>
    <row r="628" spans="1:36">
      <c r="A628" s="5">
        <v>43336</v>
      </c>
      <c r="B628" s="3" t="s">
        <v>2350</v>
      </c>
      <c r="C628" s="3" t="s">
        <v>2351</v>
      </c>
      <c r="D628" s="3" t="s">
        <v>2352</v>
      </c>
      <c r="E628" s="3" t="s">
        <v>546</v>
      </c>
      <c r="F628" s="3" t="s">
        <v>867</v>
      </c>
      <c r="G628" s="3">
        <v>5</v>
      </c>
      <c r="H628" s="3">
        <v>0</v>
      </c>
      <c r="I628" s="3">
        <v>5</v>
      </c>
      <c r="J628" s="3">
        <v>0</v>
      </c>
      <c r="K628" s="3">
        <v>0</v>
      </c>
      <c r="L628" s="3">
        <v>0</v>
      </c>
      <c r="M628" s="3">
        <v>0</v>
      </c>
      <c r="N628" s="3" t="s">
        <v>868</v>
      </c>
      <c r="O628" s="3">
        <v>0</v>
      </c>
      <c r="P628" s="3">
        <v>0</v>
      </c>
      <c r="Q628" s="3">
        <v>0</v>
      </c>
      <c r="R628" s="3">
        <v>0</v>
      </c>
      <c r="S628" s="3">
        <v>2</v>
      </c>
      <c r="T628" s="3">
        <v>8</v>
      </c>
      <c r="U628" s="3">
        <v>14</v>
      </c>
      <c r="V628" s="3">
        <v>15</v>
      </c>
      <c r="W628" s="3"/>
      <c r="X628" s="3">
        <v>22.98</v>
      </c>
      <c r="Y628" s="3">
        <v>22.98</v>
      </c>
      <c r="Z628" s="3">
        <v>22.98</v>
      </c>
      <c r="AA628" s="3">
        <v>0</v>
      </c>
      <c r="AB628" s="3" t="s">
        <v>869</v>
      </c>
      <c r="AC628" s="3">
        <v>5</v>
      </c>
      <c r="AD628" s="3">
        <v>22.98</v>
      </c>
      <c r="AE628" s="3">
        <v>0</v>
      </c>
      <c r="AF628" s="3">
        <v>0</v>
      </c>
      <c r="AG628" s="3">
        <v>0</v>
      </c>
      <c r="AH628" s="3">
        <v>3</v>
      </c>
      <c r="AI628" s="3">
        <v>0.227645</v>
      </c>
      <c r="AJ628" s="3" t="s">
        <v>870</v>
      </c>
    </row>
    <row r="629" spans="1:36">
      <c r="A629" s="5">
        <v>43336</v>
      </c>
      <c r="B629" s="3" t="s">
        <v>145</v>
      </c>
      <c r="C629" s="3" t="s">
        <v>146</v>
      </c>
      <c r="D629" s="3" t="s">
        <v>147</v>
      </c>
      <c r="E629" s="3" t="s">
        <v>131</v>
      </c>
      <c r="F629" s="3" t="s">
        <v>867</v>
      </c>
      <c r="G629" s="3">
        <v>1</v>
      </c>
      <c r="H629" s="3">
        <v>0</v>
      </c>
      <c r="I629" s="3">
        <v>1</v>
      </c>
      <c r="J629" s="3">
        <v>0</v>
      </c>
      <c r="K629" s="3">
        <v>0</v>
      </c>
      <c r="L629" s="3">
        <v>0</v>
      </c>
      <c r="M629" s="3">
        <v>0</v>
      </c>
      <c r="N629" s="3" t="s">
        <v>868</v>
      </c>
      <c r="O629" s="3">
        <v>0</v>
      </c>
      <c r="P629" s="3">
        <v>0</v>
      </c>
      <c r="Q629" s="3">
        <v>0</v>
      </c>
      <c r="R629" s="3">
        <v>0</v>
      </c>
      <c r="S629" s="3">
        <v>0</v>
      </c>
      <c r="T629" s="3">
        <v>0</v>
      </c>
      <c r="U629" s="3">
        <v>0</v>
      </c>
      <c r="V629" s="3">
        <v>0</v>
      </c>
      <c r="W629" s="3"/>
      <c r="X629" s="3"/>
      <c r="Y629" s="3"/>
      <c r="Z629" s="3">
        <v>-1</v>
      </c>
      <c r="AA629" s="3">
        <v>-1</v>
      </c>
      <c r="AB629" s="3" t="s">
        <v>891</v>
      </c>
      <c r="AC629" s="3">
        <v>0</v>
      </c>
      <c r="AD629" s="3">
        <v>0</v>
      </c>
      <c r="AE629" s="3">
        <v>0</v>
      </c>
      <c r="AF629" s="3">
        <v>0</v>
      </c>
      <c r="AG629" s="3">
        <v>0</v>
      </c>
      <c r="AH629" s="3">
        <v>0.150943396226415</v>
      </c>
      <c r="AI629" s="3">
        <v>0.198435</v>
      </c>
      <c r="AJ629" s="3" t="s">
        <v>870</v>
      </c>
    </row>
    <row r="630" spans="1:36">
      <c r="A630" s="5">
        <v>43336</v>
      </c>
      <c r="B630" s="3" t="s">
        <v>543</v>
      </c>
      <c r="C630" s="3" t="s">
        <v>544</v>
      </c>
      <c r="D630" s="3" t="s">
        <v>545</v>
      </c>
      <c r="E630" s="3" t="s">
        <v>546</v>
      </c>
      <c r="F630" s="3" t="s">
        <v>867</v>
      </c>
      <c r="G630" s="3">
        <v>17</v>
      </c>
      <c r="H630" s="3">
        <v>0</v>
      </c>
      <c r="I630" s="3">
        <v>17</v>
      </c>
      <c r="J630" s="3">
        <v>0</v>
      </c>
      <c r="K630" s="3">
        <v>0</v>
      </c>
      <c r="L630" s="3">
        <v>0</v>
      </c>
      <c r="M630" s="3">
        <v>0</v>
      </c>
      <c r="N630" s="3" t="s">
        <v>868</v>
      </c>
      <c r="O630" s="3">
        <v>0</v>
      </c>
      <c r="P630" s="3">
        <v>0</v>
      </c>
      <c r="Q630" s="3">
        <v>0</v>
      </c>
      <c r="R630" s="3">
        <v>0</v>
      </c>
      <c r="S630" s="3">
        <v>3</v>
      </c>
      <c r="T630" s="3">
        <v>18</v>
      </c>
      <c r="U630" s="3">
        <v>36</v>
      </c>
      <c r="V630" s="3">
        <v>39</v>
      </c>
      <c r="W630" s="3"/>
      <c r="X630" s="3">
        <v>22.98</v>
      </c>
      <c r="Y630" s="3">
        <v>23.98</v>
      </c>
      <c r="Z630" s="3">
        <v>23.98</v>
      </c>
      <c r="AA630" s="3">
        <v>0</v>
      </c>
      <c r="AB630" s="3" t="s">
        <v>869</v>
      </c>
      <c r="AC630" s="3">
        <v>19</v>
      </c>
      <c r="AD630" s="3">
        <v>23.98</v>
      </c>
      <c r="AE630" s="3">
        <v>0</v>
      </c>
      <c r="AF630" s="3">
        <v>0</v>
      </c>
      <c r="AG630" s="3">
        <v>0</v>
      </c>
      <c r="AH630" s="3">
        <v>3.34285714285714</v>
      </c>
      <c r="AI630" s="3">
        <v>0.773993</v>
      </c>
      <c r="AJ630" s="3" t="s">
        <v>870</v>
      </c>
    </row>
    <row r="631" spans="1:36">
      <c r="A631" s="5">
        <v>43336</v>
      </c>
      <c r="B631" s="3" t="s">
        <v>2353</v>
      </c>
      <c r="C631" s="3" t="s">
        <v>2354</v>
      </c>
      <c r="D631" s="3" t="s">
        <v>2354</v>
      </c>
      <c r="E631" s="3" t="s">
        <v>2355</v>
      </c>
      <c r="F631" s="3" t="s">
        <v>867</v>
      </c>
      <c r="G631" s="3">
        <v>5</v>
      </c>
      <c r="H631" s="3">
        <v>0</v>
      </c>
      <c r="I631" s="3">
        <v>3</v>
      </c>
      <c r="J631" s="3">
        <v>2</v>
      </c>
      <c r="K631" s="3">
        <v>0</v>
      </c>
      <c r="L631" s="3">
        <v>0</v>
      </c>
      <c r="M631" s="3">
        <v>0</v>
      </c>
      <c r="N631" s="3" t="s">
        <v>868</v>
      </c>
      <c r="O631" s="3">
        <v>2</v>
      </c>
      <c r="P631" s="3">
        <v>0.98</v>
      </c>
      <c r="Q631" s="3">
        <v>0</v>
      </c>
      <c r="R631" s="3">
        <v>0</v>
      </c>
      <c r="S631" s="3">
        <v>0</v>
      </c>
      <c r="T631" s="3">
        <v>0</v>
      </c>
      <c r="U631" s="3">
        <v>0</v>
      </c>
      <c r="V631" s="3">
        <v>3</v>
      </c>
      <c r="W631" s="3" t="s">
        <v>871</v>
      </c>
      <c r="X631" s="3">
        <v>23.98</v>
      </c>
      <c r="Y631" s="3">
        <v>23.98</v>
      </c>
      <c r="Z631" s="3">
        <v>23.98</v>
      </c>
      <c r="AA631" s="3">
        <v>0</v>
      </c>
      <c r="AB631" s="3" t="s">
        <v>883</v>
      </c>
      <c r="AC631" s="3">
        <v>1</v>
      </c>
      <c r="AD631" s="3">
        <v>22.09</v>
      </c>
      <c r="AE631" s="3">
        <v>91</v>
      </c>
      <c r="AF631" s="3">
        <v>0</v>
      </c>
      <c r="AG631" s="3">
        <v>151.799617</v>
      </c>
      <c r="AH631" s="3">
        <v>0.714285714285714</v>
      </c>
      <c r="AI631" s="3">
        <v>0.712499999999999</v>
      </c>
      <c r="AJ631" s="3" t="s">
        <v>870</v>
      </c>
    </row>
    <row r="632" spans="1:36">
      <c r="A632" s="5">
        <v>43336</v>
      </c>
      <c r="B632" s="3" t="s">
        <v>2356</v>
      </c>
      <c r="C632" s="3" t="s">
        <v>2357</v>
      </c>
      <c r="D632" s="3" t="s">
        <v>27</v>
      </c>
      <c r="E632" s="3" t="s">
        <v>28</v>
      </c>
      <c r="F632" s="3" t="s">
        <v>867</v>
      </c>
      <c r="G632" s="3">
        <v>21</v>
      </c>
      <c r="H632" s="3">
        <v>0</v>
      </c>
      <c r="I632" s="3">
        <v>21</v>
      </c>
      <c r="J632" s="3">
        <v>0</v>
      </c>
      <c r="K632" s="3">
        <v>0</v>
      </c>
      <c r="L632" s="3">
        <v>0</v>
      </c>
      <c r="M632" s="3">
        <v>0</v>
      </c>
      <c r="N632" s="3" t="s">
        <v>868</v>
      </c>
      <c r="O632" s="3">
        <v>0</v>
      </c>
      <c r="P632" s="3">
        <v>0</v>
      </c>
      <c r="Q632" s="3">
        <v>0</v>
      </c>
      <c r="R632" s="3">
        <v>0</v>
      </c>
      <c r="S632" s="3">
        <v>1</v>
      </c>
      <c r="T632" s="3">
        <v>1</v>
      </c>
      <c r="U632" s="3">
        <v>2</v>
      </c>
      <c r="V632" s="3">
        <v>2</v>
      </c>
      <c r="W632" s="3"/>
      <c r="X632" s="3">
        <v>24.98</v>
      </c>
      <c r="Y632" s="3">
        <v>24.98</v>
      </c>
      <c r="Z632" s="3">
        <v>24.98</v>
      </c>
      <c r="AA632" s="3">
        <v>0</v>
      </c>
      <c r="AB632" s="3" t="s">
        <v>869</v>
      </c>
      <c r="AC632" s="3">
        <v>21</v>
      </c>
      <c r="AD632" s="3">
        <v>24.98</v>
      </c>
      <c r="AE632" s="3">
        <v>0</v>
      </c>
      <c r="AF632" s="3">
        <v>0</v>
      </c>
      <c r="AG632" s="3">
        <v>0</v>
      </c>
      <c r="AH632" s="3">
        <v>0.397350993377483</v>
      </c>
      <c r="AI632" s="3">
        <v>1.28125199999999</v>
      </c>
      <c r="AJ632" s="3" t="s">
        <v>870</v>
      </c>
    </row>
    <row r="633" spans="1:36">
      <c r="A633" s="5">
        <v>43336</v>
      </c>
      <c r="B633" s="3" t="s">
        <v>2358</v>
      </c>
      <c r="C633" s="3" t="s">
        <v>2359</v>
      </c>
      <c r="D633" s="3" t="s">
        <v>2359</v>
      </c>
      <c r="E633" s="3" t="s">
        <v>2360</v>
      </c>
      <c r="F633" s="3" t="s">
        <v>867</v>
      </c>
      <c r="G633" s="3">
        <v>13</v>
      </c>
      <c r="H633" s="3">
        <v>0</v>
      </c>
      <c r="I633" s="3">
        <v>0</v>
      </c>
      <c r="J633" s="3">
        <v>11</v>
      </c>
      <c r="K633" s="3">
        <v>2</v>
      </c>
      <c r="L633" s="3">
        <v>0</v>
      </c>
      <c r="M633" s="3">
        <v>0</v>
      </c>
      <c r="N633" s="3" t="s">
        <v>868</v>
      </c>
      <c r="O633" s="3">
        <v>2</v>
      </c>
      <c r="P633" s="3">
        <v>0.95</v>
      </c>
      <c r="Q633" s="3">
        <v>0</v>
      </c>
      <c r="R633" s="3">
        <v>0</v>
      </c>
      <c r="S633" s="3">
        <v>0</v>
      </c>
      <c r="T633" s="3">
        <v>1</v>
      </c>
      <c r="U633" s="3">
        <v>3</v>
      </c>
      <c r="V633" s="3">
        <v>3</v>
      </c>
      <c r="W633" s="3" t="s">
        <v>871</v>
      </c>
      <c r="X633" s="3">
        <v>22.98</v>
      </c>
      <c r="Y633" s="3">
        <v>22.98</v>
      </c>
      <c r="Z633" s="3">
        <v>22.98</v>
      </c>
      <c r="AA633" s="3">
        <v>0</v>
      </c>
      <c r="AB633" s="3" t="s">
        <v>869</v>
      </c>
      <c r="AC633" s="3">
        <v>13</v>
      </c>
      <c r="AD633" s="3">
        <v>22.98</v>
      </c>
      <c r="AE633" s="3">
        <v>0</v>
      </c>
      <c r="AF633" s="3">
        <v>0</v>
      </c>
      <c r="AG633" s="3">
        <v>0</v>
      </c>
      <c r="AH633" s="3">
        <v>0.203389830508474</v>
      </c>
      <c r="AI633" s="3">
        <v>1.795326</v>
      </c>
      <c r="AJ633" s="3" t="s">
        <v>870</v>
      </c>
    </row>
    <row r="634" spans="1:36">
      <c r="A634" s="5">
        <v>43336</v>
      </c>
      <c r="B634" s="3" t="s">
        <v>2361</v>
      </c>
      <c r="C634" s="3" t="s">
        <v>2362</v>
      </c>
      <c r="D634" s="3" t="s">
        <v>2362</v>
      </c>
      <c r="E634" s="3" t="s">
        <v>2363</v>
      </c>
      <c r="F634" s="3" t="s">
        <v>867</v>
      </c>
      <c r="G634" s="3">
        <v>3</v>
      </c>
      <c r="H634" s="3">
        <v>0</v>
      </c>
      <c r="I634" s="3">
        <v>3</v>
      </c>
      <c r="J634" s="3">
        <v>0</v>
      </c>
      <c r="K634" s="3">
        <v>0</v>
      </c>
      <c r="L634" s="3">
        <v>0</v>
      </c>
      <c r="M634" s="3">
        <v>0</v>
      </c>
      <c r="N634" s="3" t="s">
        <v>868</v>
      </c>
      <c r="O634" s="3">
        <v>0</v>
      </c>
      <c r="P634" s="3">
        <v>0</v>
      </c>
      <c r="Q634" s="3">
        <v>0</v>
      </c>
      <c r="R634" s="3">
        <v>0</v>
      </c>
      <c r="S634" s="3">
        <v>0</v>
      </c>
      <c r="T634" s="3">
        <v>2</v>
      </c>
      <c r="U634" s="3">
        <v>4</v>
      </c>
      <c r="V634" s="3">
        <v>6</v>
      </c>
      <c r="W634" s="3"/>
      <c r="X634" s="3">
        <v>20.98</v>
      </c>
      <c r="Y634" s="3">
        <v>20.98</v>
      </c>
      <c r="Z634" s="3">
        <v>20.98</v>
      </c>
      <c r="AA634" s="3">
        <v>0</v>
      </c>
      <c r="AB634" s="3" t="s">
        <v>869</v>
      </c>
      <c r="AC634" s="3">
        <v>3</v>
      </c>
      <c r="AD634" s="3">
        <v>20.98</v>
      </c>
      <c r="AE634" s="3">
        <v>0</v>
      </c>
      <c r="AF634" s="3">
        <v>0</v>
      </c>
      <c r="AG634" s="3">
        <v>0</v>
      </c>
      <c r="AH634" s="3">
        <v>1.41176470588235</v>
      </c>
      <c r="AI634" s="3">
        <v>0.21177</v>
      </c>
      <c r="AJ634" s="3" t="s">
        <v>870</v>
      </c>
    </row>
    <row r="635" spans="1:36">
      <c r="A635" s="5">
        <v>43336</v>
      </c>
      <c r="B635" s="3" t="s">
        <v>2364</v>
      </c>
      <c r="C635" s="3" t="s">
        <v>2365</v>
      </c>
      <c r="D635" s="3" t="s">
        <v>2366</v>
      </c>
      <c r="E635" s="3" t="s">
        <v>2367</v>
      </c>
      <c r="F635" s="3" t="s">
        <v>867</v>
      </c>
      <c r="G635" s="3">
        <v>6</v>
      </c>
      <c r="H635" s="3">
        <v>0</v>
      </c>
      <c r="I635" s="3">
        <v>6</v>
      </c>
      <c r="J635" s="3">
        <v>0</v>
      </c>
      <c r="K635" s="3">
        <v>0</v>
      </c>
      <c r="L635" s="3">
        <v>0</v>
      </c>
      <c r="M635" s="3">
        <v>0</v>
      </c>
      <c r="N635" s="3" t="s">
        <v>868</v>
      </c>
      <c r="O635" s="3">
        <v>0</v>
      </c>
      <c r="P635" s="3">
        <v>0</v>
      </c>
      <c r="Q635" s="3">
        <v>0</v>
      </c>
      <c r="R635" s="3">
        <v>0</v>
      </c>
      <c r="S635" s="3">
        <v>0</v>
      </c>
      <c r="T635" s="3">
        <v>0</v>
      </c>
      <c r="U635" s="3">
        <v>0</v>
      </c>
      <c r="V635" s="3">
        <v>0</v>
      </c>
      <c r="W635" s="3" t="s">
        <v>936</v>
      </c>
      <c r="X635" s="3">
        <v>22.98</v>
      </c>
      <c r="Y635" s="3">
        <v>22.98</v>
      </c>
      <c r="Z635" s="3">
        <v>22.98</v>
      </c>
      <c r="AA635" s="3">
        <v>0</v>
      </c>
      <c r="AB635" s="3" t="s">
        <v>937</v>
      </c>
      <c r="AC635" s="3">
        <v>0</v>
      </c>
      <c r="AD635" s="3">
        <v>18.38</v>
      </c>
      <c r="AE635" s="3">
        <v>63</v>
      </c>
      <c r="AF635" s="3">
        <v>0</v>
      </c>
      <c r="AG635" s="3">
        <v>103.466868</v>
      </c>
      <c r="AH635" s="3">
        <v>0</v>
      </c>
      <c r="AI635" s="3">
        <v>0.864576</v>
      </c>
      <c r="AJ635" s="3" t="s">
        <v>925</v>
      </c>
    </row>
    <row r="636" spans="1:36">
      <c r="A636" s="5">
        <v>43336</v>
      </c>
      <c r="B636" s="3" t="s">
        <v>2368</v>
      </c>
      <c r="C636" s="3" t="s">
        <v>78</v>
      </c>
      <c r="D636" s="3" t="s">
        <v>78</v>
      </c>
      <c r="E636" s="3" t="s">
        <v>79</v>
      </c>
      <c r="F636" s="3" t="s">
        <v>867</v>
      </c>
      <c r="G636" s="3">
        <v>2</v>
      </c>
      <c r="H636" s="3">
        <v>0</v>
      </c>
      <c r="I636" s="3">
        <v>0</v>
      </c>
      <c r="J636" s="3">
        <v>2</v>
      </c>
      <c r="K636" s="3">
        <v>0</v>
      </c>
      <c r="L636" s="3">
        <v>0</v>
      </c>
      <c r="M636" s="3">
        <v>0</v>
      </c>
      <c r="N636" s="3" t="s">
        <v>868</v>
      </c>
      <c r="O636" s="3">
        <v>0</v>
      </c>
      <c r="P636" s="3">
        <v>0</v>
      </c>
      <c r="Q636" s="3">
        <v>0</v>
      </c>
      <c r="R636" s="3">
        <v>0</v>
      </c>
      <c r="S636" s="3">
        <v>2</v>
      </c>
      <c r="T636" s="3">
        <v>2</v>
      </c>
      <c r="U636" s="3">
        <v>5</v>
      </c>
      <c r="V636" s="3">
        <v>6</v>
      </c>
      <c r="W636" s="3"/>
      <c r="X636" s="3">
        <v>27.98</v>
      </c>
      <c r="Y636" s="3">
        <v>27.98</v>
      </c>
      <c r="Z636" s="3">
        <v>27.98</v>
      </c>
      <c r="AA636" s="3">
        <v>0</v>
      </c>
      <c r="AB636" s="3" t="s">
        <v>869</v>
      </c>
      <c r="AC636" s="3">
        <v>3</v>
      </c>
      <c r="AD636" s="3">
        <v>27.98</v>
      </c>
      <c r="AE636" s="3">
        <v>0</v>
      </c>
      <c r="AF636" s="3">
        <v>0</v>
      </c>
      <c r="AG636" s="3">
        <v>0</v>
      </c>
      <c r="AH636" s="3">
        <v>1.14285714285714</v>
      </c>
      <c r="AI636" s="3">
        <v>0.33814</v>
      </c>
      <c r="AJ636" s="3" t="s">
        <v>870</v>
      </c>
    </row>
    <row r="637" spans="1:36">
      <c r="A637" s="5">
        <v>43336</v>
      </c>
      <c r="B637" s="3" t="s">
        <v>2369</v>
      </c>
      <c r="C637" s="3" t="s">
        <v>2370</v>
      </c>
      <c r="D637" s="3" t="s">
        <v>2370</v>
      </c>
      <c r="E637" s="3" t="s">
        <v>2371</v>
      </c>
      <c r="F637" s="3" t="s">
        <v>867</v>
      </c>
      <c r="G637" s="3">
        <v>22</v>
      </c>
      <c r="H637" s="3">
        <v>0</v>
      </c>
      <c r="I637" s="3">
        <v>12</v>
      </c>
      <c r="J637" s="3">
        <v>10</v>
      </c>
      <c r="K637" s="3">
        <v>0</v>
      </c>
      <c r="L637" s="3">
        <v>0</v>
      </c>
      <c r="M637" s="3">
        <v>0</v>
      </c>
      <c r="N637" s="3" t="s">
        <v>868</v>
      </c>
      <c r="O637" s="3">
        <v>0</v>
      </c>
      <c r="P637" s="3">
        <v>0</v>
      </c>
      <c r="Q637" s="3">
        <v>0</v>
      </c>
      <c r="R637" s="3">
        <v>0</v>
      </c>
      <c r="S637" s="3">
        <v>1</v>
      </c>
      <c r="T637" s="3">
        <v>1</v>
      </c>
      <c r="U637" s="3">
        <v>1</v>
      </c>
      <c r="V637" s="3">
        <v>5</v>
      </c>
      <c r="W637" s="3"/>
      <c r="X637" s="3">
        <v>23.98</v>
      </c>
      <c r="Y637" s="3">
        <v>23.98</v>
      </c>
      <c r="Z637" s="3">
        <v>23.98</v>
      </c>
      <c r="AA637" s="3">
        <v>0</v>
      </c>
      <c r="AB637" s="3" t="s">
        <v>883</v>
      </c>
      <c r="AC637" s="3">
        <v>3</v>
      </c>
      <c r="AD637" s="3">
        <v>22.12</v>
      </c>
      <c r="AE637" s="3">
        <v>119</v>
      </c>
      <c r="AF637" s="3">
        <v>0</v>
      </c>
      <c r="AG637" s="3">
        <v>607.392649</v>
      </c>
      <c r="AH637" s="3">
        <v>0.240963855421686</v>
      </c>
      <c r="AI637" s="3">
        <v>2.910424</v>
      </c>
      <c r="AJ637" s="3" t="s">
        <v>870</v>
      </c>
    </row>
    <row r="638" spans="1:36">
      <c r="A638" s="5">
        <v>43336</v>
      </c>
      <c r="B638" s="3" t="s">
        <v>2372</v>
      </c>
      <c r="C638" s="3" t="s">
        <v>2373</v>
      </c>
      <c r="D638" s="3" t="s">
        <v>2374</v>
      </c>
      <c r="E638" s="3" t="s">
        <v>2375</v>
      </c>
      <c r="F638" s="3" t="s">
        <v>867</v>
      </c>
      <c r="G638" s="3">
        <v>8</v>
      </c>
      <c r="H638" s="3">
        <v>0</v>
      </c>
      <c r="I638" s="3">
        <v>8</v>
      </c>
      <c r="J638" s="3">
        <v>0</v>
      </c>
      <c r="K638" s="3">
        <v>0</v>
      </c>
      <c r="L638" s="3">
        <v>0</v>
      </c>
      <c r="M638" s="3">
        <v>0</v>
      </c>
      <c r="N638" s="3" t="s">
        <v>868</v>
      </c>
      <c r="O638" s="3">
        <v>0</v>
      </c>
      <c r="P638" s="3">
        <v>0</v>
      </c>
      <c r="Q638" s="3">
        <v>0</v>
      </c>
      <c r="R638" s="3">
        <v>0</v>
      </c>
      <c r="S638" s="3">
        <v>1</v>
      </c>
      <c r="T638" s="3">
        <v>5</v>
      </c>
      <c r="U638" s="3">
        <v>5</v>
      </c>
      <c r="V638" s="3">
        <v>5</v>
      </c>
      <c r="W638" s="3"/>
      <c r="X638" s="3">
        <v>20.98</v>
      </c>
      <c r="Y638" s="3">
        <v>20.98</v>
      </c>
      <c r="Z638" s="3">
        <v>20.98</v>
      </c>
      <c r="AA638" s="3">
        <v>0</v>
      </c>
      <c r="AB638" s="3" t="s">
        <v>869</v>
      </c>
      <c r="AC638" s="3">
        <v>8</v>
      </c>
      <c r="AD638" s="3">
        <v>20.98</v>
      </c>
      <c r="AE638" s="3">
        <v>0</v>
      </c>
      <c r="AF638" s="3">
        <v>0</v>
      </c>
      <c r="AG638" s="3">
        <v>0</v>
      </c>
      <c r="AH638" s="3">
        <v>3</v>
      </c>
      <c r="AI638" s="3">
        <v>0.668504</v>
      </c>
      <c r="AJ638" s="3" t="s">
        <v>870</v>
      </c>
    </row>
    <row r="639" spans="1:36">
      <c r="A639" s="5">
        <v>43336</v>
      </c>
      <c r="B639" s="3" t="s">
        <v>797</v>
      </c>
      <c r="C639" s="3" t="s">
        <v>798</v>
      </c>
      <c r="D639" s="3" t="s">
        <v>783</v>
      </c>
      <c r="E639" s="3" t="s">
        <v>784</v>
      </c>
      <c r="F639" s="3" t="s">
        <v>867</v>
      </c>
      <c r="G639" s="3">
        <v>9</v>
      </c>
      <c r="H639" s="3">
        <v>0</v>
      </c>
      <c r="I639" s="3">
        <v>9</v>
      </c>
      <c r="J639" s="3">
        <v>0</v>
      </c>
      <c r="K639" s="3">
        <v>0</v>
      </c>
      <c r="L639" s="3">
        <v>0</v>
      </c>
      <c r="M639" s="3">
        <v>0</v>
      </c>
      <c r="N639" s="3" t="s">
        <v>868</v>
      </c>
      <c r="O639" s="3">
        <v>0</v>
      </c>
      <c r="P639" s="3">
        <v>0</v>
      </c>
      <c r="Q639" s="3">
        <v>0</v>
      </c>
      <c r="R639" s="3">
        <v>0</v>
      </c>
      <c r="S639" s="3">
        <v>0</v>
      </c>
      <c r="T639" s="3">
        <v>0</v>
      </c>
      <c r="U639" s="3">
        <v>0</v>
      </c>
      <c r="V639" s="3">
        <v>0</v>
      </c>
      <c r="W639" s="3"/>
      <c r="X639" s="3"/>
      <c r="Y639" s="3"/>
      <c r="Z639" s="3">
        <v>-1</v>
      </c>
      <c r="AA639" s="3">
        <v>-1</v>
      </c>
      <c r="AB639" s="3" t="s">
        <v>891</v>
      </c>
      <c r="AC639" s="3">
        <v>0</v>
      </c>
      <c r="AD639" s="3">
        <v>0</v>
      </c>
      <c r="AE639" s="3">
        <v>0</v>
      </c>
      <c r="AF639" s="3">
        <v>0</v>
      </c>
      <c r="AG639" s="3">
        <v>0</v>
      </c>
      <c r="AH639" s="3">
        <v>2.22222222222222</v>
      </c>
      <c r="AI639" s="3">
        <v>0.630414</v>
      </c>
      <c r="AJ639" s="3" t="s">
        <v>870</v>
      </c>
    </row>
    <row r="640" spans="1:36">
      <c r="A640" s="5">
        <v>43336</v>
      </c>
      <c r="B640" s="3" t="s">
        <v>92</v>
      </c>
      <c r="C640" s="3" t="s">
        <v>93</v>
      </c>
      <c r="D640" s="3" t="s">
        <v>94</v>
      </c>
      <c r="E640" s="3" t="s">
        <v>95</v>
      </c>
      <c r="F640" s="3" t="s">
        <v>867</v>
      </c>
      <c r="G640" s="3">
        <v>4</v>
      </c>
      <c r="H640" s="3">
        <v>0</v>
      </c>
      <c r="I640" s="3">
        <v>4</v>
      </c>
      <c r="J640" s="3">
        <v>0</v>
      </c>
      <c r="K640" s="3">
        <v>0</v>
      </c>
      <c r="L640" s="3">
        <v>0</v>
      </c>
      <c r="M640" s="3">
        <v>0</v>
      </c>
      <c r="N640" s="3" t="s">
        <v>868</v>
      </c>
      <c r="O640" s="3">
        <v>0</v>
      </c>
      <c r="P640" s="3">
        <v>0</v>
      </c>
      <c r="Q640" s="3">
        <v>0</v>
      </c>
      <c r="R640" s="3">
        <v>0</v>
      </c>
      <c r="S640" s="3">
        <v>0</v>
      </c>
      <c r="T640" s="3">
        <v>0</v>
      </c>
      <c r="U640" s="3">
        <v>0</v>
      </c>
      <c r="V640" s="3">
        <v>0</v>
      </c>
      <c r="W640" s="3" t="s">
        <v>871</v>
      </c>
      <c r="X640" s="3">
        <v>22.98</v>
      </c>
      <c r="Y640" s="3">
        <v>22.98</v>
      </c>
      <c r="Z640" s="3">
        <v>22.98</v>
      </c>
      <c r="AA640" s="3">
        <v>0</v>
      </c>
      <c r="AB640" s="3" t="s">
        <v>869</v>
      </c>
      <c r="AC640" s="3">
        <v>5</v>
      </c>
      <c r="AD640" s="3">
        <v>22.98</v>
      </c>
      <c r="AE640" s="3">
        <v>0</v>
      </c>
      <c r="AF640" s="3">
        <v>0</v>
      </c>
      <c r="AG640" s="3">
        <v>0</v>
      </c>
      <c r="AH640" s="3">
        <v>1.6</v>
      </c>
      <c r="AI640" s="3">
        <v>0.552408</v>
      </c>
      <c r="AJ640" s="3" t="s">
        <v>870</v>
      </c>
    </row>
    <row r="641" spans="1:36">
      <c r="A641" s="5">
        <v>43336</v>
      </c>
      <c r="B641" s="3" t="s">
        <v>2376</v>
      </c>
      <c r="C641" s="3" t="s">
        <v>2377</v>
      </c>
      <c r="D641" s="3" t="s">
        <v>2378</v>
      </c>
      <c r="E641" s="3" t="s">
        <v>2379</v>
      </c>
      <c r="F641" s="3" t="s">
        <v>867</v>
      </c>
      <c r="G641" s="3">
        <v>25</v>
      </c>
      <c r="H641" s="3">
        <v>0</v>
      </c>
      <c r="I641" s="3">
        <v>25</v>
      </c>
      <c r="J641" s="3">
        <v>0</v>
      </c>
      <c r="K641" s="3">
        <v>0</v>
      </c>
      <c r="L641" s="3">
        <v>0</v>
      </c>
      <c r="M641" s="3">
        <v>0</v>
      </c>
      <c r="N641" s="3" t="s">
        <v>868</v>
      </c>
      <c r="O641" s="3">
        <v>0</v>
      </c>
      <c r="P641" s="3">
        <v>0</v>
      </c>
      <c r="Q641" s="3">
        <v>0</v>
      </c>
      <c r="R641" s="3">
        <v>0</v>
      </c>
      <c r="S641" s="3">
        <v>3</v>
      </c>
      <c r="T641" s="3">
        <v>3</v>
      </c>
      <c r="U641" s="3">
        <v>8</v>
      </c>
      <c r="V641" s="3">
        <v>8</v>
      </c>
      <c r="W641" s="3"/>
      <c r="X641" s="3">
        <v>23.99</v>
      </c>
      <c r="Y641" s="3">
        <v>22.98</v>
      </c>
      <c r="Z641" s="3">
        <v>22.98</v>
      </c>
      <c r="AA641" s="3">
        <v>0</v>
      </c>
      <c r="AB641" s="3" t="s">
        <v>869</v>
      </c>
      <c r="AC641" s="3">
        <v>30</v>
      </c>
      <c r="AD641" s="3">
        <v>22.98</v>
      </c>
      <c r="AE641" s="3">
        <v>0</v>
      </c>
      <c r="AF641" s="3">
        <v>0</v>
      </c>
      <c r="AG641" s="3">
        <v>0</v>
      </c>
      <c r="AH641" s="3">
        <v>2.91764705882352</v>
      </c>
      <c r="AI641" s="3">
        <v>3.74232499999999</v>
      </c>
      <c r="AJ641" s="3" t="s">
        <v>870</v>
      </c>
    </row>
    <row r="642" spans="1:36">
      <c r="A642" s="5">
        <v>43336</v>
      </c>
      <c r="B642" s="3" t="s">
        <v>2380</v>
      </c>
      <c r="C642" s="3" t="s">
        <v>2381</v>
      </c>
      <c r="D642" s="3" t="s">
        <v>2381</v>
      </c>
      <c r="E642" s="3" t="s">
        <v>2382</v>
      </c>
      <c r="F642" s="3" t="s">
        <v>867</v>
      </c>
      <c r="G642" s="3">
        <v>7</v>
      </c>
      <c r="H642" s="3">
        <v>0</v>
      </c>
      <c r="I642" s="3">
        <v>2</v>
      </c>
      <c r="J642" s="3">
        <v>0</v>
      </c>
      <c r="K642" s="3">
        <v>3</v>
      </c>
      <c r="L642" s="3">
        <v>2</v>
      </c>
      <c r="M642" s="3">
        <v>0</v>
      </c>
      <c r="N642" s="3" t="s">
        <v>868</v>
      </c>
      <c r="O642" s="3">
        <v>5</v>
      </c>
      <c r="P642" s="3">
        <v>3.54</v>
      </c>
      <c r="Q642" s="3">
        <v>0</v>
      </c>
      <c r="R642" s="3">
        <v>0</v>
      </c>
      <c r="S642" s="3">
        <v>0</v>
      </c>
      <c r="T642" s="3">
        <v>0</v>
      </c>
      <c r="U642" s="3">
        <v>1</v>
      </c>
      <c r="V642" s="3">
        <v>6</v>
      </c>
      <c r="W642" s="3" t="s">
        <v>871</v>
      </c>
      <c r="X642" s="3">
        <v>15</v>
      </c>
      <c r="Y642" s="3">
        <v>15</v>
      </c>
      <c r="Z642" s="3">
        <v>15</v>
      </c>
      <c r="AA642" s="3">
        <v>0</v>
      </c>
      <c r="AB642" s="3" t="s">
        <v>883</v>
      </c>
      <c r="AC642" s="3">
        <v>0</v>
      </c>
      <c r="AD642" s="3">
        <v>12.91</v>
      </c>
      <c r="AE642" s="3">
        <v>175</v>
      </c>
      <c r="AF642" s="3">
        <v>0</v>
      </c>
      <c r="AG642" s="3">
        <v>215.830613</v>
      </c>
      <c r="AH642" s="3">
        <v>0.685714285714285</v>
      </c>
      <c r="AI642" s="3">
        <v>1.435595</v>
      </c>
      <c r="AJ642" s="3" t="s">
        <v>870</v>
      </c>
    </row>
    <row r="643" spans="1:36">
      <c r="A643" s="5">
        <v>43336</v>
      </c>
      <c r="B643" s="3" t="s">
        <v>2383</v>
      </c>
      <c r="C643" s="3" t="s">
        <v>2384</v>
      </c>
      <c r="D643" s="3" t="s">
        <v>2385</v>
      </c>
      <c r="E643" s="3" t="s">
        <v>546</v>
      </c>
      <c r="F643" s="3" t="s">
        <v>867</v>
      </c>
      <c r="G643" s="3">
        <v>36</v>
      </c>
      <c r="H643" s="3">
        <v>0</v>
      </c>
      <c r="I643" s="3">
        <v>36</v>
      </c>
      <c r="J643" s="3">
        <v>0</v>
      </c>
      <c r="K643" s="3">
        <v>0</v>
      </c>
      <c r="L643" s="3">
        <v>0</v>
      </c>
      <c r="M643" s="3">
        <v>0</v>
      </c>
      <c r="N643" s="3" t="s">
        <v>868</v>
      </c>
      <c r="O643" s="3">
        <v>0</v>
      </c>
      <c r="P643" s="3">
        <v>0</v>
      </c>
      <c r="Q643" s="3">
        <v>0</v>
      </c>
      <c r="R643" s="3">
        <v>0</v>
      </c>
      <c r="S643" s="3">
        <v>1</v>
      </c>
      <c r="T643" s="3">
        <v>19</v>
      </c>
      <c r="U643" s="3">
        <v>39</v>
      </c>
      <c r="V643" s="3">
        <v>43</v>
      </c>
      <c r="W643" s="3"/>
      <c r="X643" s="3">
        <v>23.98</v>
      </c>
      <c r="Y643" s="3">
        <v>23.98</v>
      </c>
      <c r="Z643" s="3">
        <v>23.98</v>
      </c>
      <c r="AA643" s="3">
        <v>0</v>
      </c>
      <c r="AB643" s="3" t="s">
        <v>869</v>
      </c>
      <c r="AC643" s="3">
        <v>36</v>
      </c>
      <c r="AD643" s="3">
        <v>23.98</v>
      </c>
      <c r="AE643" s="3">
        <v>0</v>
      </c>
      <c r="AF643" s="3">
        <v>0</v>
      </c>
      <c r="AG643" s="3">
        <v>0</v>
      </c>
      <c r="AH643" s="3">
        <v>1.74324324324324</v>
      </c>
      <c r="AI643" s="3">
        <v>1.639044</v>
      </c>
      <c r="AJ643" s="3" t="s">
        <v>870</v>
      </c>
    </row>
    <row r="644" spans="1:36">
      <c r="A644" s="5">
        <v>43336</v>
      </c>
      <c r="B644" s="3" t="s">
        <v>2386</v>
      </c>
      <c r="C644" s="3" t="s">
        <v>2387</v>
      </c>
      <c r="D644" s="3" t="s">
        <v>2387</v>
      </c>
      <c r="E644" s="3" t="s">
        <v>2388</v>
      </c>
      <c r="F644" s="3" t="s">
        <v>867</v>
      </c>
      <c r="G644" s="3">
        <v>10</v>
      </c>
      <c r="H644" s="3">
        <v>0</v>
      </c>
      <c r="I644" s="3">
        <v>10</v>
      </c>
      <c r="J644" s="3">
        <v>0</v>
      </c>
      <c r="K644" s="3">
        <v>0</v>
      </c>
      <c r="L644" s="3">
        <v>0</v>
      </c>
      <c r="M644" s="3">
        <v>0</v>
      </c>
      <c r="N644" s="3" t="s">
        <v>868</v>
      </c>
      <c r="O644" s="3">
        <v>0</v>
      </c>
      <c r="P644" s="3">
        <v>0</v>
      </c>
      <c r="Q644" s="3">
        <v>0</v>
      </c>
      <c r="R644" s="3">
        <v>0</v>
      </c>
      <c r="S644" s="3">
        <v>0</v>
      </c>
      <c r="T644" s="3">
        <v>6</v>
      </c>
      <c r="U644" s="3">
        <v>10</v>
      </c>
      <c r="V644" s="3">
        <v>12</v>
      </c>
      <c r="W644" s="3"/>
      <c r="X644" s="3">
        <v>19.98</v>
      </c>
      <c r="Y644" s="3">
        <v>19.98</v>
      </c>
      <c r="Z644" s="3">
        <v>19.98</v>
      </c>
      <c r="AA644" s="3">
        <v>0</v>
      </c>
      <c r="AB644" s="3" t="s">
        <v>869</v>
      </c>
      <c r="AC644" s="3">
        <v>10</v>
      </c>
      <c r="AD644" s="3">
        <v>19.98</v>
      </c>
      <c r="AE644" s="3">
        <v>0</v>
      </c>
      <c r="AF644" s="3">
        <v>0</v>
      </c>
      <c r="AG644" s="3">
        <v>0</v>
      </c>
      <c r="AH644" s="3">
        <v>0.631578947368421</v>
      </c>
      <c r="AI644" s="3">
        <v>1.49692999999999</v>
      </c>
      <c r="AJ644" s="3" t="s">
        <v>870</v>
      </c>
    </row>
    <row r="645" spans="1:36">
      <c r="A645" s="5">
        <v>43336</v>
      </c>
      <c r="B645" s="3" t="s">
        <v>772</v>
      </c>
      <c r="C645" s="3" t="s">
        <v>773</v>
      </c>
      <c r="D645" s="3" t="s">
        <v>774</v>
      </c>
      <c r="E645" s="3" t="s">
        <v>775</v>
      </c>
      <c r="F645" s="3" t="s">
        <v>867</v>
      </c>
      <c r="G645" s="3">
        <v>5</v>
      </c>
      <c r="H645" s="3">
        <v>0</v>
      </c>
      <c r="I645" s="3">
        <v>5</v>
      </c>
      <c r="J645" s="3">
        <v>0</v>
      </c>
      <c r="K645" s="3">
        <v>0</v>
      </c>
      <c r="L645" s="3">
        <v>0</v>
      </c>
      <c r="M645" s="3">
        <v>0</v>
      </c>
      <c r="N645" s="3" t="s">
        <v>868</v>
      </c>
      <c r="O645" s="3">
        <v>0</v>
      </c>
      <c r="P645" s="3">
        <v>0</v>
      </c>
      <c r="Q645" s="3">
        <v>0</v>
      </c>
      <c r="R645" s="3">
        <v>0</v>
      </c>
      <c r="S645" s="3">
        <v>0</v>
      </c>
      <c r="T645" s="3">
        <v>0</v>
      </c>
      <c r="U645" s="3">
        <v>0</v>
      </c>
      <c r="V645" s="3">
        <v>0</v>
      </c>
      <c r="W645" s="3" t="s">
        <v>871</v>
      </c>
      <c r="X645" s="3">
        <v>23.98</v>
      </c>
      <c r="Y645" s="3">
        <v>23.98</v>
      </c>
      <c r="Z645" s="3">
        <v>23.98</v>
      </c>
      <c r="AA645" s="3">
        <v>0</v>
      </c>
      <c r="AB645" s="3" t="s">
        <v>883</v>
      </c>
      <c r="AC645" s="3">
        <v>0</v>
      </c>
      <c r="AD645" s="3">
        <v>19.18</v>
      </c>
      <c r="AE645" s="3">
        <v>63</v>
      </c>
      <c r="AF645" s="3">
        <v>0</v>
      </c>
      <c r="AG645" s="3">
        <v>45.959585</v>
      </c>
      <c r="AH645" s="3">
        <v>3.11111111111111</v>
      </c>
      <c r="AI645" s="3">
        <v>0.371265</v>
      </c>
      <c r="AJ645" s="3" t="s">
        <v>870</v>
      </c>
    </row>
    <row r="646" spans="1:36">
      <c r="A646" s="5">
        <v>43336</v>
      </c>
      <c r="B646" s="3" t="s">
        <v>2389</v>
      </c>
      <c r="C646" s="3" t="s">
        <v>2390</v>
      </c>
      <c r="D646" s="3" t="s">
        <v>2390</v>
      </c>
      <c r="E646" s="3" t="s">
        <v>2391</v>
      </c>
      <c r="F646" s="3" t="s">
        <v>867</v>
      </c>
      <c r="G646" s="3">
        <v>8</v>
      </c>
      <c r="H646" s="3">
        <v>0</v>
      </c>
      <c r="I646" s="3">
        <v>1</v>
      </c>
      <c r="J646" s="3">
        <v>7</v>
      </c>
      <c r="K646" s="3">
        <v>0</v>
      </c>
      <c r="L646" s="3">
        <v>0</v>
      </c>
      <c r="M646" s="3">
        <v>0</v>
      </c>
      <c r="N646" s="3" t="s">
        <v>868</v>
      </c>
      <c r="O646" s="3">
        <v>0</v>
      </c>
      <c r="P646" s="3">
        <v>0</v>
      </c>
      <c r="Q646" s="3">
        <v>0</v>
      </c>
      <c r="R646" s="3">
        <v>0</v>
      </c>
      <c r="S646" s="3">
        <v>0</v>
      </c>
      <c r="T646" s="3">
        <v>0</v>
      </c>
      <c r="U646" s="3">
        <v>0</v>
      </c>
      <c r="V646" s="3">
        <v>0</v>
      </c>
      <c r="W646" s="3" t="s">
        <v>871</v>
      </c>
      <c r="X646" s="3">
        <v>22.98</v>
      </c>
      <c r="Y646" s="3">
        <v>22.98</v>
      </c>
      <c r="Z646" s="3">
        <v>22.98</v>
      </c>
      <c r="AA646" s="3">
        <v>0</v>
      </c>
      <c r="AB646" s="3" t="s">
        <v>883</v>
      </c>
      <c r="AC646" s="3">
        <v>0</v>
      </c>
      <c r="AD646" s="3">
        <v>18.7</v>
      </c>
      <c r="AE646" s="3">
        <v>329</v>
      </c>
      <c r="AF646" s="3">
        <v>0</v>
      </c>
      <c r="AG646" s="3">
        <v>266.212059</v>
      </c>
      <c r="AH646" s="3">
        <v>0</v>
      </c>
      <c r="AI646" s="3">
        <v>1.705744</v>
      </c>
      <c r="AJ646" s="3" t="s">
        <v>870</v>
      </c>
    </row>
    <row r="647" spans="1:36">
      <c r="A647" s="5">
        <v>43336</v>
      </c>
      <c r="B647" s="3" t="s">
        <v>2392</v>
      </c>
      <c r="C647" s="3" t="s">
        <v>2393</v>
      </c>
      <c r="D647" s="3" t="s">
        <v>2393</v>
      </c>
      <c r="E647" s="3" t="s">
        <v>2394</v>
      </c>
      <c r="F647" s="3" t="s">
        <v>867</v>
      </c>
      <c r="G647" s="3">
        <v>1</v>
      </c>
      <c r="H647" s="3">
        <v>0</v>
      </c>
      <c r="I647" s="3">
        <v>0</v>
      </c>
      <c r="J647" s="3">
        <v>1</v>
      </c>
      <c r="K647" s="3">
        <v>0</v>
      </c>
      <c r="L647" s="3">
        <v>0</v>
      </c>
      <c r="M647" s="3">
        <v>0</v>
      </c>
      <c r="N647" s="3" t="s">
        <v>868</v>
      </c>
      <c r="O647" s="3">
        <v>0</v>
      </c>
      <c r="P647" s="3">
        <v>0</v>
      </c>
      <c r="Q647" s="3">
        <v>0</v>
      </c>
      <c r="R647" s="3">
        <v>0</v>
      </c>
      <c r="S647" s="3">
        <v>0</v>
      </c>
      <c r="T647" s="3">
        <v>3</v>
      </c>
      <c r="U647" s="3">
        <v>4</v>
      </c>
      <c r="V647" s="3">
        <v>9</v>
      </c>
      <c r="W647" s="3"/>
      <c r="X647" s="3">
        <v>10</v>
      </c>
      <c r="Y647" s="3">
        <v>10</v>
      </c>
      <c r="Z647" s="3">
        <v>10</v>
      </c>
      <c r="AA647" s="3">
        <v>0</v>
      </c>
      <c r="AB647" s="3" t="s">
        <v>869</v>
      </c>
      <c r="AC647" s="3">
        <v>1</v>
      </c>
      <c r="AD647" s="3">
        <v>10</v>
      </c>
      <c r="AE647" s="3">
        <v>0</v>
      </c>
      <c r="AF647" s="3">
        <v>0</v>
      </c>
      <c r="AG647" s="3">
        <v>0</v>
      </c>
      <c r="AH647" s="3">
        <v>1.8</v>
      </c>
      <c r="AI647" s="3">
        <v>0.246389</v>
      </c>
      <c r="AJ647" s="3" t="s">
        <v>870</v>
      </c>
    </row>
    <row r="648" spans="1:36">
      <c r="A648" s="5">
        <v>43336</v>
      </c>
      <c r="B648" s="3" t="s">
        <v>2395</v>
      </c>
      <c r="C648" s="3" t="s">
        <v>2396</v>
      </c>
      <c r="D648" s="3" t="s">
        <v>2396</v>
      </c>
      <c r="E648" s="3" t="s">
        <v>2397</v>
      </c>
      <c r="F648" s="3" t="s">
        <v>867</v>
      </c>
      <c r="G648" s="3">
        <v>6</v>
      </c>
      <c r="H648" s="3">
        <v>0</v>
      </c>
      <c r="I648" s="3">
        <v>6</v>
      </c>
      <c r="J648" s="3">
        <v>0</v>
      </c>
      <c r="K648" s="3">
        <v>0</v>
      </c>
      <c r="L648" s="3">
        <v>0</v>
      </c>
      <c r="M648" s="3">
        <v>0</v>
      </c>
      <c r="N648" s="3" t="s">
        <v>868</v>
      </c>
      <c r="O648" s="3">
        <v>0</v>
      </c>
      <c r="P648" s="3">
        <v>0</v>
      </c>
      <c r="Q648" s="3">
        <v>0</v>
      </c>
      <c r="R648" s="3">
        <v>0</v>
      </c>
      <c r="S648" s="3">
        <v>0</v>
      </c>
      <c r="T648" s="3">
        <v>9</v>
      </c>
      <c r="U648" s="3">
        <v>23</v>
      </c>
      <c r="V648" s="3">
        <v>36</v>
      </c>
      <c r="W648" s="3"/>
      <c r="X648" s="3"/>
      <c r="Y648" s="3"/>
      <c r="Z648" s="3">
        <v>-1</v>
      </c>
      <c r="AA648" s="3">
        <v>-1</v>
      </c>
      <c r="AB648" s="3" t="s">
        <v>891</v>
      </c>
      <c r="AC648" s="3">
        <v>0</v>
      </c>
      <c r="AD648" s="3">
        <v>0</v>
      </c>
      <c r="AE648" s="3">
        <v>0</v>
      </c>
      <c r="AF648" s="3">
        <v>0</v>
      </c>
      <c r="AG648" s="3">
        <v>0</v>
      </c>
      <c r="AH648" s="3">
        <v>2.25</v>
      </c>
      <c r="AI648" s="3">
        <v>0.744881999999999</v>
      </c>
      <c r="AJ648" s="3" t="s">
        <v>870</v>
      </c>
    </row>
    <row r="649" spans="1:36">
      <c r="A649" s="5">
        <v>43336</v>
      </c>
      <c r="B649" s="3" t="s">
        <v>500</v>
      </c>
      <c r="C649" s="3" t="s">
        <v>501</v>
      </c>
      <c r="D649" s="3" t="s">
        <v>501</v>
      </c>
      <c r="E649" s="3" t="s">
        <v>502</v>
      </c>
      <c r="F649" s="3" t="s">
        <v>867</v>
      </c>
      <c r="G649" s="3">
        <v>3</v>
      </c>
      <c r="H649" s="3">
        <v>0</v>
      </c>
      <c r="I649" s="3">
        <v>1</v>
      </c>
      <c r="J649" s="3">
        <v>2</v>
      </c>
      <c r="K649" s="3">
        <v>0</v>
      </c>
      <c r="L649" s="3">
        <v>0</v>
      </c>
      <c r="M649" s="3">
        <v>0</v>
      </c>
      <c r="N649" s="3" t="s">
        <v>868</v>
      </c>
      <c r="O649" s="3">
        <v>0</v>
      </c>
      <c r="P649" s="3">
        <v>0</v>
      </c>
      <c r="Q649" s="3">
        <v>0</v>
      </c>
      <c r="R649" s="3">
        <v>0</v>
      </c>
      <c r="S649" s="3">
        <v>0</v>
      </c>
      <c r="T649" s="3">
        <v>0</v>
      </c>
      <c r="U649" s="3">
        <v>0</v>
      </c>
      <c r="V649" s="3">
        <v>1</v>
      </c>
      <c r="W649" s="3" t="s">
        <v>871</v>
      </c>
      <c r="X649" s="3">
        <v>22.99</v>
      </c>
      <c r="Y649" s="3">
        <v>22.99</v>
      </c>
      <c r="Z649" s="3">
        <v>22.99</v>
      </c>
      <c r="AA649" s="3">
        <v>0</v>
      </c>
      <c r="AB649" s="3" t="s">
        <v>883</v>
      </c>
      <c r="AC649" s="3">
        <v>0</v>
      </c>
      <c r="AD649" s="3">
        <v>20.7</v>
      </c>
      <c r="AE649" s="3">
        <v>119</v>
      </c>
      <c r="AF649" s="3">
        <v>0</v>
      </c>
      <c r="AG649" s="3">
        <v>88.266428</v>
      </c>
      <c r="AH649" s="3">
        <v>0.166666666666666</v>
      </c>
      <c r="AI649" s="3">
        <v>0.437703</v>
      </c>
      <c r="AJ649" s="3" t="s">
        <v>870</v>
      </c>
    </row>
    <row r="650" spans="1:36">
      <c r="A650" s="5">
        <v>43336</v>
      </c>
      <c r="B650" s="3" t="s">
        <v>433</v>
      </c>
      <c r="C650" s="3" t="s">
        <v>434</v>
      </c>
      <c r="D650" s="3" t="s">
        <v>434</v>
      </c>
      <c r="E650" s="3" t="s">
        <v>435</v>
      </c>
      <c r="F650" s="3" t="s">
        <v>867</v>
      </c>
      <c r="G650" s="3">
        <v>9</v>
      </c>
      <c r="H650" s="3">
        <v>0</v>
      </c>
      <c r="I650" s="3">
        <v>1</v>
      </c>
      <c r="J650" s="3">
        <v>4</v>
      </c>
      <c r="K650" s="3">
        <v>4</v>
      </c>
      <c r="L650" s="3">
        <v>0</v>
      </c>
      <c r="M650" s="3">
        <v>0</v>
      </c>
      <c r="N650" s="3" t="s">
        <v>868</v>
      </c>
      <c r="O650" s="3">
        <v>6</v>
      </c>
      <c r="P650" s="3">
        <v>2.86</v>
      </c>
      <c r="Q650" s="3">
        <v>0</v>
      </c>
      <c r="R650" s="3">
        <v>0</v>
      </c>
      <c r="S650" s="3">
        <v>0</v>
      </c>
      <c r="T650" s="3">
        <v>1</v>
      </c>
      <c r="U650" s="3">
        <v>1</v>
      </c>
      <c r="V650" s="3">
        <v>3</v>
      </c>
      <c r="W650" s="3" t="s">
        <v>871</v>
      </c>
      <c r="X650" s="3">
        <v>22.98</v>
      </c>
      <c r="Y650" s="3">
        <v>22.98</v>
      </c>
      <c r="Z650" s="3">
        <v>22.98</v>
      </c>
      <c r="AA650" s="3">
        <v>0</v>
      </c>
      <c r="AB650" s="3" t="s">
        <v>869</v>
      </c>
      <c r="AC650" s="3">
        <v>9</v>
      </c>
      <c r="AD650" s="3">
        <v>22.98</v>
      </c>
      <c r="AE650" s="3">
        <v>0</v>
      </c>
      <c r="AF650" s="3">
        <v>0</v>
      </c>
      <c r="AG650" s="3">
        <v>0</v>
      </c>
      <c r="AH650" s="3">
        <v>0.3</v>
      </c>
      <c r="AI650" s="3">
        <v>1.242918</v>
      </c>
      <c r="AJ650" s="3" t="s">
        <v>870</v>
      </c>
    </row>
    <row r="651" spans="1:36">
      <c r="A651" s="5">
        <v>43336</v>
      </c>
      <c r="B651" s="3" t="s">
        <v>2398</v>
      </c>
      <c r="C651" s="3" t="s">
        <v>2399</v>
      </c>
      <c r="D651" s="3" t="s">
        <v>2399</v>
      </c>
      <c r="E651" s="3" t="s">
        <v>2400</v>
      </c>
      <c r="F651" s="3" t="s">
        <v>867</v>
      </c>
      <c r="G651" s="3">
        <v>4</v>
      </c>
      <c r="H651" s="3">
        <v>0</v>
      </c>
      <c r="I651" s="3">
        <v>2</v>
      </c>
      <c r="J651" s="3">
        <v>2</v>
      </c>
      <c r="K651" s="3">
        <v>0</v>
      </c>
      <c r="L651" s="3">
        <v>0</v>
      </c>
      <c r="M651" s="3">
        <v>0</v>
      </c>
      <c r="N651" s="3" t="s">
        <v>868</v>
      </c>
      <c r="O651" s="3">
        <v>0</v>
      </c>
      <c r="P651" s="3">
        <v>0</v>
      </c>
      <c r="Q651" s="3">
        <v>0</v>
      </c>
      <c r="R651" s="3">
        <v>0</v>
      </c>
      <c r="S651" s="3">
        <v>0</v>
      </c>
      <c r="T651" s="3">
        <v>9</v>
      </c>
      <c r="U651" s="3">
        <v>13</v>
      </c>
      <c r="V651" s="3">
        <v>20</v>
      </c>
      <c r="W651" s="3"/>
      <c r="X651" s="3">
        <v>14.98</v>
      </c>
      <c r="Y651" s="3">
        <v>14.98</v>
      </c>
      <c r="Z651" s="3">
        <v>14.98</v>
      </c>
      <c r="AA651" s="3">
        <v>0</v>
      </c>
      <c r="AB651" s="3" t="s">
        <v>869</v>
      </c>
      <c r="AC651" s="3">
        <v>4</v>
      </c>
      <c r="AD651" s="3">
        <v>14.98</v>
      </c>
      <c r="AE651" s="3">
        <v>0</v>
      </c>
      <c r="AF651" s="3">
        <v>0</v>
      </c>
      <c r="AG651" s="3">
        <v>0</v>
      </c>
      <c r="AH651" s="3">
        <v>0.398009950248756</v>
      </c>
      <c r="AI651" s="3">
        <v>0.590176</v>
      </c>
      <c r="AJ651" s="3" t="s">
        <v>870</v>
      </c>
    </row>
    <row r="652" spans="1:36">
      <c r="A652" s="5">
        <v>43336</v>
      </c>
      <c r="B652" s="3" t="s">
        <v>694</v>
      </c>
      <c r="C652" s="3" t="s">
        <v>695</v>
      </c>
      <c r="D652" s="3" t="s">
        <v>695</v>
      </c>
      <c r="E652" s="3" t="s">
        <v>696</v>
      </c>
      <c r="F652" s="3" t="s">
        <v>867</v>
      </c>
      <c r="G652" s="3">
        <v>11</v>
      </c>
      <c r="H652" s="3">
        <v>0</v>
      </c>
      <c r="I652" s="3">
        <v>11</v>
      </c>
      <c r="J652" s="3">
        <v>0</v>
      </c>
      <c r="K652" s="3">
        <v>0</v>
      </c>
      <c r="L652" s="3">
        <v>0</v>
      </c>
      <c r="M652" s="3">
        <v>0</v>
      </c>
      <c r="N652" s="3" t="s">
        <v>868</v>
      </c>
      <c r="O652" s="3">
        <v>0</v>
      </c>
      <c r="P652" s="3">
        <v>0</v>
      </c>
      <c r="Q652" s="3">
        <v>0</v>
      </c>
      <c r="R652" s="3">
        <v>0</v>
      </c>
      <c r="S652" s="3">
        <v>1</v>
      </c>
      <c r="T652" s="3">
        <v>7</v>
      </c>
      <c r="U652" s="3">
        <v>10</v>
      </c>
      <c r="V652" s="3">
        <v>16</v>
      </c>
      <c r="W652" s="3"/>
      <c r="X652" s="3">
        <v>23.98</v>
      </c>
      <c r="Y652" s="3">
        <v>23.98</v>
      </c>
      <c r="Z652" s="3">
        <v>23.98</v>
      </c>
      <c r="AA652" s="3">
        <v>0</v>
      </c>
      <c r="AB652" s="3" t="s">
        <v>869</v>
      </c>
      <c r="AC652" s="3">
        <v>11</v>
      </c>
      <c r="AD652" s="3">
        <v>23.98</v>
      </c>
      <c r="AE652" s="3">
        <v>0</v>
      </c>
      <c r="AF652" s="3">
        <v>0</v>
      </c>
      <c r="AG652" s="3">
        <v>0</v>
      </c>
      <c r="AH652" s="3">
        <v>1.04918032786885</v>
      </c>
      <c r="AI652" s="3">
        <v>0.913143</v>
      </c>
      <c r="AJ652" s="3" t="s">
        <v>870</v>
      </c>
    </row>
    <row r="653" spans="1:36">
      <c r="A653" s="5">
        <v>43336</v>
      </c>
      <c r="B653" s="3" t="s">
        <v>2401</v>
      </c>
      <c r="C653" s="3" t="s">
        <v>2402</v>
      </c>
      <c r="D653" s="3" t="s">
        <v>2403</v>
      </c>
      <c r="E653" s="3" t="s">
        <v>2404</v>
      </c>
      <c r="F653" s="3" t="s">
        <v>867</v>
      </c>
      <c r="G653" s="3">
        <v>8</v>
      </c>
      <c r="H653" s="3">
        <v>0</v>
      </c>
      <c r="I653" s="3">
        <v>8</v>
      </c>
      <c r="J653" s="3">
        <v>0</v>
      </c>
      <c r="K653" s="3">
        <v>0</v>
      </c>
      <c r="L653" s="3">
        <v>0</v>
      </c>
      <c r="M653" s="3">
        <v>0</v>
      </c>
      <c r="N653" s="3" t="s">
        <v>868</v>
      </c>
      <c r="O653" s="3">
        <v>0</v>
      </c>
      <c r="P653" s="3">
        <v>0</v>
      </c>
      <c r="Q653" s="3">
        <v>0</v>
      </c>
      <c r="R653" s="3">
        <v>0</v>
      </c>
      <c r="S653" s="3">
        <v>0</v>
      </c>
      <c r="T653" s="3">
        <v>0</v>
      </c>
      <c r="U653" s="3">
        <v>0</v>
      </c>
      <c r="V653" s="3">
        <v>0</v>
      </c>
      <c r="W653" s="3" t="s">
        <v>936</v>
      </c>
      <c r="X653" s="3">
        <v>22.99</v>
      </c>
      <c r="Y653" s="3">
        <v>22.99</v>
      </c>
      <c r="Z653" s="3">
        <v>22.99</v>
      </c>
      <c r="AA653" s="3">
        <v>0</v>
      </c>
      <c r="AB653" s="3" t="s">
        <v>937</v>
      </c>
      <c r="AC653" s="3">
        <v>0</v>
      </c>
      <c r="AD653" s="3">
        <v>18.99</v>
      </c>
      <c r="AE653" s="3">
        <v>63</v>
      </c>
      <c r="AF653" s="3">
        <v>0</v>
      </c>
      <c r="AG653" s="3">
        <v>162.466927</v>
      </c>
      <c r="AH653" s="3">
        <v>0</v>
      </c>
      <c r="AI653" s="3">
        <v>1.289088</v>
      </c>
      <c r="AJ653" s="3" t="s">
        <v>925</v>
      </c>
    </row>
    <row r="654" spans="1:36">
      <c r="A654" s="5">
        <v>43336</v>
      </c>
      <c r="B654" s="3" t="s">
        <v>2405</v>
      </c>
      <c r="C654" s="3" t="s">
        <v>2406</v>
      </c>
      <c r="D654" s="3" t="s">
        <v>2407</v>
      </c>
      <c r="E654" s="3" t="s">
        <v>2408</v>
      </c>
      <c r="F654" s="3" t="s">
        <v>867</v>
      </c>
      <c r="G654" s="3">
        <v>18</v>
      </c>
      <c r="H654" s="3">
        <v>0</v>
      </c>
      <c r="I654" s="3">
        <v>18</v>
      </c>
      <c r="J654" s="3">
        <v>0</v>
      </c>
      <c r="K654" s="3">
        <v>0</v>
      </c>
      <c r="L654" s="3">
        <v>0</v>
      </c>
      <c r="M654" s="3">
        <v>0</v>
      </c>
      <c r="N654" s="3" t="s">
        <v>868</v>
      </c>
      <c r="O654" s="3">
        <v>0</v>
      </c>
      <c r="P654" s="3">
        <v>0</v>
      </c>
      <c r="Q654" s="3">
        <v>0</v>
      </c>
      <c r="R654" s="3">
        <v>0</v>
      </c>
      <c r="S654" s="3">
        <v>2</v>
      </c>
      <c r="T654" s="3">
        <v>4</v>
      </c>
      <c r="U654" s="3">
        <v>5</v>
      </c>
      <c r="V654" s="3">
        <v>5</v>
      </c>
      <c r="W654" s="3"/>
      <c r="X654" s="3">
        <v>23.98</v>
      </c>
      <c r="Y654" s="3">
        <v>23.98</v>
      </c>
      <c r="Z654" s="3">
        <v>23.98</v>
      </c>
      <c r="AA654" s="3">
        <v>0</v>
      </c>
      <c r="AB654" s="3" t="s">
        <v>869</v>
      </c>
      <c r="AC654" s="3">
        <v>19</v>
      </c>
      <c r="AD654" s="3">
        <v>23.98</v>
      </c>
      <c r="AE654" s="3">
        <v>0</v>
      </c>
      <c r="AF654" s="3">
        <v>0</v>
      </c>
      <c r="AG654" s="3">
        <v>0</v>
      </c>
      <c r="AH654" s="3">
        <v>0.585365853658536</v>
      </c>
      <c r="AI654" s="3">
        <v>1.817478</v>
      </c>
      <c r="AJ654" s="3" t="s">
        <v>870</v>
      </c>
    </row>
    <row r="655" spans="1:36">
      <c r="A655" s="5">
        <v>43336</v>
      </c>
      <c r="B655" s="3" t="s">
        <v>2409</v>
      </c>
      <c r="C655" s="3" t="s">
        <v>2410</v>
      </c>
      <c r="D655" s="3" t="s">
        <v>2410</v>
      </c>
      <c r="E655" s="3" t="s">
        <v>2411</v>
      </c>
      <c r="F655" s="3" t="s">
        <v>867</v>
      </c>
      <c r="G655" s="3">
        <v>3</v>
      </c>
      <c r="H655" s="3">
        <v>0</v>
      </c>
      <c r="I655" s="3">
        <v>0</v>
      </c>
      <c r="J655" s="3">
        <v>1</v>
      </c>
      <c r="K655" s="3">
        <v>2</v>
      </c>
      <c r="L655" s="3">
        <v>0</v>
      </c>
      <c r="M655" s="3">
        <v>0</v>
      </c>
      <c r="N655" s="3" t="s">
        <v>868</v>
      </c>
      <c r="O655" s="3">
        <v>2</v>
      </c>
      <c r="P655" s="3">
        <v>0.96</v>
      </c>
      <c r="Q655" s="3">
        <v>0</v>
      </c>
      <c r="R655" s="3">
        <v>0</v>
      </c>
      <c r="S655" s="3">
        <v>0</v>
      </c>
      <c r="T655" s="3">
        <v>2</v>
      </c>
      <c r="U655" s="3">
        <v>2</v>
      </c>
      <c r="V655" s="3">
        <v>3</v>
      </c>
      <c r="W655" s="3"/>
      <c r="X655" s="3">
        <v>22.98</v>
      </c>
      <c r="Y655" s="3">
        <v>22.98</v>
      </c>
      <c r="Z655" s="3">
        <v>22.98</v>
      </c>
      <c r="AA655" s="3">
        <v>0</v>
      </c>
      <c r="AB655" s="3" t="s">
        <v>869</v>
      </c>
      <c r="AC655" s="3">
        <v>3</v>
      </c>
      <c r="AD655" s="3">
        <v>22.98</v>
      </c>
      <c r="AE655" s="3">
        <v>0</v>
      </c>
      <c r="AF655" s="3">
        <v>0</v>
      </c>
      <c r="AG655" s="3">
        <v>0</v>
      </c>
      <c r="AH655" s="3">
        <v>0.631578947368421</v>
      </c>
      <c r="AI655" s="3">
        <v>0.414306</v>
      </c>
      <c r="AJ655" s="3" t="s">
        <v>870</v>
      </c>
    </row>
    <row r="656" spans="1:36">
      <c r="A656" s="5">
        <v>43336</v>
      </c>
      <c r="B656" s="3" t="s">
        <v>2412</v>
      </c>
      <c r="C656" s="3" t="s">
        <v>2413</v>
      </c>
      <c r="D656" s="3" t="s">
        <v>2414</v>
      </c>
      <c r="E656" s="3" t="s">
        <v>2415</v>
      </c>
      <c r="F656" s="3" t="s">
        <v>867</v>
      </c>
      <c r="G656" s="3">
        <v>23</v>
      </c>
      <c r="H656" s="3">
        <v>0</v>
      </c>
      <c r="I656" s="3">
        <v>23</v>
      </c>
      <c r="J656" s="3">
        <v>0</v>
      </c>
      <c r="K656" s="3">
        <v>0</v>
      </c>
      <c r="L656" s="3">
        <v>0</v>
      </c>
      <c r="M656" s="3">
        <v>0</v>
      </c>
      <c r="N656" s="3" t="s">
        <v>868</v>
      </c>
      <c r="O656" s="3">
        <v>0</v>
      </c>
      <c r="P656" s="3">
        <v>0</v>
      </c>
      <c r="Q656" s="3">
        <v>0</v>
      </c>
      <c r="R656" s="3">
        <v>0</v>
      </c>
      <c r="S656" s="3">
        <v>2</v>
      </c>
      <c r="T656" s="3">
        <v>7</v>
      </c>
      <c r="U656" s="3">
        <v>7</v>
      </c>
      <c r="V656" s="3">
        <v>7</v>
      </c>
      <c r="W656" s="3"/>
      <c r="X656" s="3">
        <v>18.99</v>
      </c>
      <c r="Y656" s="3">
        <v>18.99</v>
      </c>
      <c r="Z656" s="3">
        <v>18.99</v>
      </c>
      <c r="AA656" s="3">
        <v>0</v>
      </c>
      <c r="AB656" s="3" t="s">
        <v>869</v>
      </c>
      <c r="AC656" s="3">
        <v>23</v>
      </c>
      <c r="AD656" s="3">
        <v>18.99</v>
      </c>
      <c r="AE656" s="3">
        <v>0</v>
      </c>
      <c r="AF656" s="3">
        <v>0</v>
      </c>
      <c r="AG656" s="3">
        <v>0</v>
      </c>
      <c r="AH656" s="3">
        <v>0.608695652173913</v>
      </c>
      <c r="AI656" s="3">
        <v>2.920632</v>
      </c>
      <c r="AJ656" s="3" t="s">
        <v>925</v>
      </c>
    </row>
    <row r="657" spans="1:36">
      <c r="A657" s="5">
        <v>43336</v>
      </c>
      <c r="B657" s="3" t="s">
        <v>2416</v>
      </c>
      <c r="C657" s="3" t="s">
        <v>1127</v>
      </c>
      <c r="D657" s="3" t="s">
        <v>1127</v>
      </c>
      <c r="E657" s="3" t="s">
        <v>1128</v>
      </c>
      <c r="F657" s="3" t="s">
        <v>867</v>
      </c>
      <c r="G657" s="3">
        <v>2</v>
      </c>
      <c r="H657" s="3">
        <v>0</v>
      </c>
      <c r="I657" s="3">
        <v>2</v>
      </c>
      <c r="J657" s="3">
        <v>0</v>
      </c>
      <c r="K657" s="3">
        <v>0</v>
      </c>
      <c r="L657" s="3">
        <v>0</v>
      </c>
      <c r="M657" s="3">
        <v>0</v>
      </c>
      <c r="N657" s="3" t="s">
        <v>868</v>
      </c>
      <c r="O657" s="3">
        <v>0</v>
      </c>
      <c r="P657" s="3">
        <v>0</v>
      </c>
      <c r="Q657" s="3">
        <v>0</v>
      </c>
      <c r="R657" s="3">
        <v>0</v>
      </c>
      <c r="S657" s="3">
        <v>0</v>
      </c>
      <c r="T657" s="3">
        <v>5</v>
      </c>
      <c r="U657" s="3">
        <v>8</v>
      </c>
      <c r="V657" s="3">
        <v>12</v>
      </c>
      <c r="W657" s="3"/>
      <c r="X657" s="3">
        <v>22.99</v>
      </c>
      <c r="Y657" s="3">
        <v>22.99</v>
      </c>
      <c r="Z657" s="3">
        <v>22.99</v>
      </c>
      <c r="AA657" s="3">
        <v>0</v>
      </c>
      <c r="AB657" s="3" t="s">
        <v>869</v>
      </c>
      <c r="AC657" s="3">
        <v>2</v>
      </c>
      <c r="AD657" s="3">
        <v>22.98</v>
      </c>
      <c r="AE657" s="3">
        <v>0</v>
      </c>
      <c r="AF657" s="3">
        <v>0</v>
      </c>
      <c r="AG657" s="3">
        <v>0</v>
      </c>
      <c r="AH657" s="3">
        <v>1.14285714285714</v>
      </c>
      <c r="AI657" s="3">
        <v>0.4043</v>
      </c>
      <c r="AJ657" s="3" t="s">
        <v>870</v>
      </c>
    </row>
    <row r="658" spans="1:36">
      <c r="A658" s="5">
        <v>43336</v>
      </c>
      <c r="B658" s="3" t="s">
        <v>2417</v>
      </c>
      <c r="C658" s="3" t="s">
        <v>2418</v>
      </c>
      <c r="D658" s="3" t="s">
        <v>2418</v>
      </c>
      <c r="E658" s="3" t="s">
        <v>131</v>
      </c>
      <c r="F658" s="3" t="s">
        <v>867</v>
      </c>
      <c r="G658" s="3">
        <v>14</v>
      </c>
      <c r="H658" s="3">
        <v>0</v>
      </c>
      <c r="I658" s="3">
        <v>5</v>
      </c>
      <c r="J658" s="3">
        <v>9</v>
      </c>
      <c r="K658" s="3">
        <v>0</v>
      </c>
      <c r="L658" s="3">
        <v>0</v>
      </c>
      <c r="M658" s="3">
        <v>0</v>
      </c>
      <c r="N658" s="3" t="s">
        <v>868</v>
      </c>
      <c r="O658" s="3">
        <v>0</v>
      </c>
      <c r="P658" s="3">
        <v>0</v>
      </c>
      <c r="Q658" s="3">
        <v>0</v>
      </c>
      <c r="R658" s="3">
        <v>0</v>
      </c>
      <c r="S658" s="3">
        <v>2</v>
      </c>
      <c r="T658" s="3">
        <v>3</v>
      </c>
      <c r="U658" s="3">
        <v>7</v>
      </c>
      <c r="V658" s="3">
        <v>9</v>
      </c>
      <c r="W658" s="3"/>
      <c r="X658" s="3">
        <v>23.99</v>
      </c>
      <c r="Y658" s="3">
        <v>23.99</v>
      </c>
      <c r="Z658" s="3">
        <v>23.99</v>
      </c>
      <c r="AA658" s="3">
        <v>0</v>
      </c>
      <c r="AB658" s="3" t="s">
        <v>883</v>
      </c>
      <c r="AC658" s="3">
        <v>11</v>
      </c>
      <c r="AD658" s="3">
        <v>22.47</v>
      </c>
      <c r="AE658" s="3">
        <v>42</v>
      </c>
      <c r="AF658" s="3">
        <v>0</v>
      </c>
      <c r="AG658" s="3">
        <v>3.846451</v>
      </c>
      <c r="AH658" s="3">
        <v>0.507042253521126</v>
      </c>
      <c r="AI658" s="3">
        <v>2.77809</v>
      </c>
      <c r="AJ658" s="3" t="s">
        <v>870</v>
      </c>
    </row>
    <row r="659" spans="1:36">
      <c r="A659" s="5">
        <v>43336</v>
      </c>
      <c r="B659" s="3" t="s">
        <v>2419</v>
      </c>
      <c r="C659" s="3" t="s">
        <v>2420</v>
      </c>
      <c r="D659" s="3" t="s">
        <v>2420</v>
      </c>
      <c r="E659" s="3" t="s">
        <v>2421</v>
      </c>
      <c r="F659" s="3" t="s">
        <v>867</v>
      </c>
      <c r="G659" s="3">
        <v>2</v>
      </c>
      <c r="H659" s="3">
        <v>0</v>
      </c>
      <c r="I659" s="3">
        <v>0</v>
      </c>
      <c r="J659" s="3">
        <v>2</v>
      </c>
      <c r="K659" s="3">
        <v>0</v>
      </c>
      <c r="L659" s="3">
        <v>0</v>
      </c>
      <c r="M659" s="3">
        <v>0</v>
      </c>
      <c r="N659" s="3" t="s">
        <v>868</v>
      </c>
      <c r="O659" s="3">
        <v>0</v>
      </c>
      <c r="P659" s="3">
        <v>0</v>
      </c>
      <c r="Q659" s="3">
        <v>0</v>
      </c>
      <c r="R659" s="3">
        <v>0</v>
      </c>
      <c r="S659" s="3">
        <v>0</v>
      </c>
      <c r="T659" s="3">
        <v>0</v>
      </c>
      <c r="U659" s="3">
        <v>0</v>
      </c>
      <c r="V659" s="3">
        <v>0</v>
      </c>
      <c r="W659" s="3" t="s">
        <v>871</v>
      </c>
      <c r="X659" s="3">
        <v>23.98</v>
      </c>
      <c r="Y659" s="3">
        <v>23.98</v>
      </c>
      <c r="Z659" s="3">
        <v>23.98</v>
      </c>
      <c r="AA659" s="3">
        <v>0</v>
      </c>
      <c r="AB659" s="3" t="s">
        <v>883</v>
      </c>
      <c r="AC659" s="3">
        <v>0</v>
      </c>
      <c r="AD659" s="3">
        <v>22.13</v>
      </c>
      <c r="AE659" s="3">
        <v>105</v>
      </c>
      <c r="AF659" s="3">
        <v>0</v>
      </c>
      <c r="AG659" s="3">
        <v>51.273501</v>
      </c>
      <c r="AH659" s="3">
        <v>0</v>
      </c>
      <c r="AI659" s="3">
        <v>0.248744</v>
      </c>
      <c r="AJ659" s="3" t="s">
        <v>870</v>
      </c>
    </row>
    <row r="660" spans="1:36">
      <c r="A660" s="5">
        <v>43336</v>
      </c>
      <c r="B660" s="3" t="s">
        <v>2422</v>
      </c>
      <c r="C660" s="3" t="s">
        <v>2423</v>
      </c>
      <c r="D660" s="3" t="s">
        <v>2424</v>
      </c>
      <c r="E660" s="3" t="s">
        <v>2425</v>
      </c>
      <c r="F660" s="3" t="s">
        <v>867</v>
      </c>
      <c r="G660" s="3">
        <v>28</v>
      </c>
      <c r="H660" s="3">
        <v>0</v>
      </c>
      <c r="I660" s="3">
        <v>28</v>
      </c>
      <c r="J660" s="3">
        <v>0</v>
      </c>
      <c r="K660" s="3">
        <v>0</v>
      </c>
      <c r="L660" s="3">
        <v>0</v>
      </c>
      <c r="M660" s="3">
        <v>0</v>
      </c>
      <c r="N660" s="3" t="s">
        <v>868</v>
      </c>
      <c r="O660" s="3">
        <v>0</v>
      </c>
      <c r="P660" s="3">
        <v>0</v>
      </c>
      <c r="Q660" s="3">
        <v>0</v>
      </c>
      <c r="R660" s="3">
        <v>0</v>
      </c>
      <c r="S660" s="3">
        <v>8</v>
      </c>
      <c r="T660" s="3">
        <v>17</v>
      </c>
      <c r="U660" s="3">
        <v>17</v>
      </c>
      <c r="V660" s="3">
        <v>17</v>
      </c>
      <c r="W660" s="3"/>
      <c r="X660" s="3">
        <v>23.98</v>
      </c>
      <c r="Y660" s="3">
        <v>23.98</v>
      </c>
      <c r="Z660" s="3">
        <v>23.98</v>
      </c>
      <c r="AA660" s="3">
        <v>0</v>
      </c>
      <c r="AB660" s="3" t="s">
        <v>869</v>
      </c>
      <c r="AC660" s="3">
        <v>31</v>
      </c>
      <c r="AD660" s="3">
        <v>23.98</v>
      </c>
      <c r="AE660" s="3">
        <v>0</v>
      </c>
      <c r="AF660" s="3">
        <v>0</v>
      </c>
      <c r="AG660" s="3">
        <v>0</v>
      </c>
      <c r="AH660" s="3">
        <v>1.21428571428571</v>
      </c>
      <c r="AI660" s="3">
        <v>1.274812</v>
      </c>
      <c r="AJ660" s="3" t="s">
        <v>870</v>
      </c>
    </row>
    <row r="661" spans="1:36">
      <c r="A661" s="5">
        <v>43336</v>
      </c>
      <c r="B661" s="3" t="s">
        <v>2426</v>
      </c>
      <c r="C661" s="3" t="s">
        <v>2427</v>
      </c>
      <c r="D661" s="3" t="s">
        <v>2253</v>
      </c>
      <c r="E661" s="3" t="s">
        <v>2254</v>
      </c>
      <c r="F661" s="3" t="s">
        <v>867</v>
      </c>
      <c r="G661" s="3">
        <v>10</v>
      </c>
      <c r="H661" s="3">
        <v>0</v>
      </c>
      <c r="I661" s="3">
        <v>10</v>
      </c>
      <c r="J661" s="3">
        <v>0</v>
      </c>
      <c r="K661" s="3">
        <v>0</v>
      </c>
      <c r="L661" s="3">
        <v>0</v>
      </c>
      <c r="M661" s="3">
        <v>0</v>
      </c>
      <c r="N661" s="3" t="s">
        <v>868</v>
      </c>
      <c r="O661" s="3">
        <v>0</v>
      </c>
      <c r="P661" s="3">
        <v>0</v>
      </c>
      <c r="Q661" s="3">
        <v>0</v>
      </c>
      <c r="R661" s="3">
        <v>0</v>
      </c>
      <c r="S661" s="3">
        <v>0</v>
      </c>
      <c r="T661" s="3">
        <v>0</v>
      </c>
      <c r="U661" s="3">
        <v>0</v>
      </c>
      <c r="V661" s="3">
        <v>0</v>
      </c>
      <c r="W661" s="3" t="s">
        <v>871</v>
      </c>
      <c r="X661" s="3">
        <v>24.98</v>
      </c>
      <c r="Y661" s="3">
        <v>24.98</v>
      </c>
      <c r="Z661" s="3">
        <v>24.98</v>
      </c>
      <c r="AA661" s="3">
        <v>0</v>
      </c>
      <c r="AB661" s="3" t="s">
        <v>869</v>
      </c>
      <c r="AC661" s="3">
        <v>10</v>
      </c>
      <c r="AD661" s="3">
        <v>24.98</v>
      </c>
      <c r="AE661" s="3">
        <v>0</v>
      </c>
      <c r="AF661" s="3">
        <v>0</v>
      </c>
      <c r="AG661" s="3">
        <v>0</v>
      </c>
      <c r="AH661" s="3">
        <v>0.285714285714285</v>
      </c>
      <c r="AI661" s="3">
        <v>1.92969</v>
      </c>
      <c r="AJ661" s="3" t="s">
        <v>870</v>
      </c>
    </row>
    <row r="662" spans="1:36">
      <c r="A662" s="5">
        <v>43336</v>
      </c>
      <c r="B662" s="3" t="s">
        <v>230</v>
      </c>
      <c r="C662" s="3" t="s">
        <v>231</v>
      </c>
      <c r="D662" s="3" t="s">
        <v>232</v>
      </c>
      <c r="E662" s="3" t="s">
        <v>233</v>
      </c>
      <c r="F662" s="3" t="s">
        <v>867</v>
      </c>
      <c r="G662" s="3">
        <v>10</v>
      </c>
      <c r="H662" s="3">
        <v>0</v>
      </c>
      <c r="I662" s="3">
        <v>10</v>
      </c>
      <c r="J662" s="3">
        <v>0</v>
      </c>
      <c r="K662" s="3">
        <v>0</v>
      </c>
      <c r="L662" s="3">
        <v>0</v>
      </c>
      <c r="M662" s="3">
        <v>0</v>
      </c>
      <c r="N662" s="3" t="s">
        <v>868</v>
      </c>
      <c r="O662" s="3">
        <v>0</v>
      </c>
      <c r="P662" s="3">
        <v>0</v>
      </c>
      <c r="Q662" s="3">
        <v>0</v>
      </c>
      <c r="R662" s="3">
        <v>0</v>
      </c>
      <c r="S662" s="3">
        <v>10</v>
      </c>
      <c r="T662" s="3">
        <v>32</v>
      </c>
      <c r="U662" s="3">
        <v>39</v>
      </c>
      <c r="V662" s="3">
        <v>39</v>
      </c>
      <c r="W662" s="3"/>
      <c r="X662" s="3">
        <v>23.98</v>
      </c>
      <c r="Y662" s="3">
        <v>23.98</v>
      </c>
      <c r="Z662" s="3">
        <v>23.98</v>
      </c>
      <c r="AA662" s="3">
        <v>0</v>
      </c>
      <c r="AB662" s="3" t="s">
        <v>869</v>
      </c>
      <c r="AC662" s="3">
        <v>11</v>
      </c>
      <c r="AD662" s="3">
        <v>23.98</v>
      </c>
      <c r="AE662" s="3">
        <v>0</v>
      </c>
      <c r="AF662" s="3">
        <v>0</v>
      </c>
      <c r="AG662" s="3">
        <v>0</v>
      </c>
      <c r="AH662" s="3">
        <v>7.25</v>
      </c>
      <c r="AI662" s="3">
        <v>1.18818999999999</v>
      </c>
      <c r="AJ662" s="3" t="s">
        <v>870</v>
      </c>
    </row>
    <row r="663" spans="1:36">
      <c r="A663" s="5">
        <v>43336</v>
      </c>
      <c r="B663" s="3" t="s">
        <v>2428</v>
      </c>
      <c r="C663" s="3" t="s">
        <v>2429</v>
      </c>
      <c r="D663" s="3" t="s">
        <v>2429</v>
      </c>
      <c r="E663" s="3" t="s">
        <v>2430</v>
      </c>
      <c r="F663" s="3" t="s">
        <v>867</v>
      </c>
      <c r="G663" s="3">
        <v>8</v>
      </c>
      <c r="H663" s="3">
        <v>0</v>
      </c>
      <c r="I663" s="3">
        <v>1</v>
      </c>
      <c r="J663" s="3">
        <v>7</v>
      </c>
      <c r="K663" s="3">
        <v>0</v>
      </c>
      <c r="L663" s="3">
        <v>0</v>
      </c>
      <c r="M663" s="3">
        <v>0</v>
      </c>
      <c r="N663" s="3" t="s">
        <v>868</v>
      </c>
      <c r="O663" s="3">
        <v>0</v>
      </c>
      <c r="P663" s="3">
        <v>0</v>
      </c>
      <c r="Q663" s="3">
        <v>0</v>
      </c>
      <c r="R663" s="3">
        <v>0</v>
      </c>
      <c r="S663" s="3">
        <v>0</v>
      </c>
      <c r="T663" s="3">
        <v>1</v>
      </c>
      <c r="U663" s="3">
        <v>2</v>
      </c>
      <c r="V663" s="3">
        <v>2</v>
      </c>
      <c r="W663" s="3"/>
      <c r="X663" s="3">
        <v>20.98</v>
      </c>
      <c r="Y663" s="3">
        <v>20.98</v>
      </c>
      <c r="Z663" s="3">
        <v>20.98</v>
      </c>
      <c r="AA663" s="3">
        <v>0</v>
      </c>
      <c r="AB663" s="3" t="s">
        <v>883</v>
      </c>
      <c r="AC663" s="3">
        <v>0</v>
      </c>
      <c r="AD663" s="3">
        <v>9.86</v>
      </c>
      <c r="AE663" s="3">
        <v>56</v>
      </c>
      <c r="AF663" s="3">
        <v>0</v>
      </c>
      <c r="AG663" s="3">
        <v>65.555034</v>
      </c>
      <c r="AH663" s="3">
        <v>0.222222222222222</v>
      </c>
      <c r="AI663" s="3">
        <v>0.668504</v>
      </c>
      <c r="AJ663" s="3" t="s">
        <v>870</v>
      </c>
    </row>
    <row r="664" spans="1:36">
      <c r="A664" s="5">
        <v>43336</v>
      </c>
      <c r="B664" s="3" t="s">
        <v>2431</v>
      </c>
      <c r="C664" s="3" t="s">
        <v>2432</v>
      </c>
      <c r="D664" s="3" t="s">
        <v>2433</v>
      </c>
      <c r="E664" s="3" t="s">
        <v>2434</v>
      </c>
      <c r="F664" s="3" t="s">
        <v>867</v>
      </c>
      <c r="G664" s="3">
        <v>27</v>
      </c>
      <c r="H664" s="3">
        <v>0</v>
      </c>
      <c r="I664" s="3">
        <v>27</v>
      </c>
      <c r="J664" s="3">
        <v>0</v>
      </c>
      <c r="K664" s="3">
        <v>0</v>
      </c>
      <c r="L664" s="3">
        <v>0</v>
      </c>
      <c r="M664" s="3">
        <v>0</v>
      </c>
      <c r="N664" s="3" t="s">
        <v>868</v>
      </c>
      <c r="O664" s="3">
        <v>0</v>
      </c>
      <c r="P664" s="3">
        <v>0</v>
      </c>
      <c r="Q664" s="3">
        <v>0</v>
      </c>
      <c r="R664" s="3">
        <v>0</v>
      </c>
      <c r="S664" s="3">
        <v>8</v>
      </c>
      <c r="T664" s="3">
        <v>8</v>
      </c>
      <c r="U664" s="3">
        <v>8</v>
      </c>
      <c r="V664" s="3">
        <v>8</v>
      </c>
      <c r="W664" s="3"/>
      <c r="X664" s="3">
        <v>39.98</v>
      </c>
      <c r="Y664" s="3">
        <v>19.98</v>
      </c>
      <c r="Z664" s="3">
        <v>19.98</v>
      </c>
      <c r="AA664" s="3">
        <v>0</v>
      </c>
      <c r="AB664" s="3" t="s">
        <v>883</v>
      </c>
      <c r="AC664" s="3">
        <v>8</v>
      </c>
      <c r="AD664" s="3">
        <v>14.27</v>
      </c>
      <c r="AE664" s="3">
        <v>84</v>
      </c>
      <c r="AF664" s="3">
        <v>0</v>
      </c>
      <c r="AG664" s="3">
        <v>58.819905</v>
      </c>
      <c r="AH664" s="3">
        <v>1.33333333333333</v>
      </c>
      <c r="AI664" s="3">
        <v>3.002481</v>
      </c>
      <c r="AJ664" s="3" t="s">
        <v>870</v>
      </c>
    </row>
    <row r="665" spans="1:36">
      <c r="A665" s="5">
        <v>43336</v>
      </c>
      <c r="B665" s="3" t="s">
        <v>2435</v>
      </c>
      <c r="C665" s="3" t="s">
        <v>2436</v>
      </c>
      <c r="D665" s="3" t="s">
        <v>2437</v>
      </c>
      <c r="E665" s="3" t="s">
        <v>2438</v>
      </c>
      <c r="F665" s="3" t="s">
        <v>867</v>
      </c>
      <c r="G665" s="3">
        <v>1</v>
      </c>
      <c r="H665" s="3">
        <v>0</v>
      </c>
      <c r="I665" s="3">
        <v>1</v>
      </c>
      <c r="J665" s="3">
        <v>0</v>
      </c>
      <c r="K665" s="3">
        <v>0</v>
      </c>
      <c r="L665" s="3">
        <v>0</v>
      </c>
      <c r="M665" s="3">
        <v>0</v>
      </c>
      <c r="N665" s="3" t="s">
        <v>868</v>
      </c>
      <c r="O665" s="3">
        <v>0</v>
      </c>
      <c r="P665" s="3">
        <v>0</v>
      </c>
      <c r="Q665" s="3">
        <v>0</v>
      </c>
      <c r="R665" s="3">
        <v>0</v>
      </c>
      <c r="S665" s="3">
        <v>1</v>
      </c>
      <c r="T665" s="3">
        <v>1</v>
      </c>
      <c r="U665" s="3">
        <v>1</v>
      </c>
      <c r="V665" s="3">
        <v>1</v>
      </c>
      <c r="W665" s="3"/>
      <c r="X665" s="3">
        <v>21.98</v>
      </c>
      <c r="Y665" s="3">
        <v>21.98</v>
      </c>
      <c r="Z665" s="3">
        <v>21.98</v>
      </c>
      <c r="AA665" s="3">
        <v>0</v>
      </c>
      <c r="AB665" s="3" t="s">
        <v>869</v>
      </c>
      <c r="AC665" s="3">
        <v>2</v>
      </c>
      <c r="AD665" s="3">
        <v>21.98</v>
      </c>
      <c r="AE665" s="3">
        <v>0</v>
      </c>
      <c r="AF665" s="3">
        <v>0</v>
      </c>
      <c r="AG665" s="3">
        <v>0</v>
      </c>
      <c r="AH665" s="3">
        <v>3.01234567901234</v>
      </c>
      <c r="AI665" s="3">
        <v>0.149693</v>
      </c>
      <c r="AJ665" s="3" t="s">
        <v>870</v>
      </c>
    </row>
    <row r="666" spans="1:36">
      <c r="A666" s="5">
        <v>43336</v>
      </c>
      <c r="B666" s="3" t="s">
        <v>488</v>
      </c>
      <c r="C666" s="3" t="s">
        <v>489</v>
      </c>
      <c r="D666" s="3" t="s">
        <v>489</v>
      </c>
      <c r="E666" s="3" t="s">
        <v>490</v>
      </c>
      <c r="F666" s="3" t="s">
        <v>867</v>
      </c>
      <c r="G666" s="3">
        <v>19</v>
      </c>
      <c r="H666" s="3">
        <v>0</v>
      </c>
      <c r="I666" s="3">
        <v>0</v>
      </c>
      <c r="J666" s="3">
        <v>19</v>
      </c>
      <c r="K666" s="3">
        <v>0</v>
      </c>
      <c r="L666" s="3">
        <v>0</v>
      </c>
      <c r="M666" s="3">
        <v>0</v>
      </c>
      <c r="N666" s="3" t="s">
        <v>868</v>
      </c>
      <c r="O666" s="3">
        <v>0</v>
      </c>
      <c r="P666" s="3">
        <v>0</v>
      </c>
      <c r="Q666" s="3">
        <v>0</v>
      </c>
      <c r="R666" s="3">
        <v>0</v>
      </c>
      <c r="S666" s="3">
        <v>0</v>
      </c>
      <c r="T666" s="3">
        <v>0</v>
      </c>
      <c r="U666" s="3">
        <v>0</v>
      </c>
      <c r="V666" s="3">
        <v>1</v>
      </c>
      <c r="W666" s="3" t="s">
        <v>871</v>
      </c>
      <c r="X666" s="3">
        <v>22.98</v>
      </c>
      <c r="Y666" s="3">
        <v>22.98</v>
      </c>
      <c r="Z666" s="3">
        <v>22.98</v>
      </c>
      <c r="AA666" s="3">
        <v>0</v>
      </c>
      <c r="AB666" s="3" t="s">
        <v>883</v>
      </c>
      <c r="AC666" s="3">
        <v>0</v>
      </c>
      <c r="AD666" s="3">
        <v>19.48</v>
      </c>
      <c r="AE666" s="3">
        <v>273</v>
      </c>
      <c r="AF666" s="3">
        <v>0</v>
      </c>
      <c r="AG666" s="3">
        <v>662.708487</v>
      </c>
      <c r="AH666" s="3">
        <v>0.0519480519480519</v>
      </c>
      <c r="AI666" s="3">
        <v>4.051142</v>
      </c>
      <c r="AJ666" s="3" t="s">
        <v>870</v>
      </c>
    </row>
    <row r="667" spans="1:36">
      <c r="A667" s="5">
        <v>43336</v>
      </c>
      <c r="B667" s="3" t="s">
        <v>2439</v>
      </c>
      <c r="C667" s="3" t="s">
        <v>2440</v>
      </c>
      <c r="D667" s="3" t="s">
        <v>2441</v>
      </c>
      <c r="E667" s="3" t="s">
        <v>2442</v>
      </c>
      <c r="F667" s="3" t="s">
        <v>867</v>
      </c>
      <c r="G667" s="3">
        <v>5</v>
      </c>
      <c r="H667" s="3">
        <v>0</v>
      </c>
      <c r="I667" s="3">
        <v>5</v>
      </c>
      <c r="J667" s="3">
        <v>0</v>
      </c>
      <c r="K667" s="3">
        <v>0</v>
      </c>
      <c r="L667" s="3">
        <v>0</v>
      </c>
      <c r="M667" s="3">
        <v>0</v>
      </c>
      <c r="N667" s="3" t="s">
        <v>868</v>
      </c>
      <c r="O667" s="3">
        <v>0</v>
      </c>
      <c r="P667" s="3">
        <v>0</v>
      </c>
      <c r="Q667" s="3">
        <v>0</v>
      </c>
      <c r="R667" s="3">
        <v>0</v>
      </c>
      <c r="S667" s="3">
        <v>0</v>
      </c>
      <c r="T667" s="3">
        <v>0</v>
      </c>
      <c r="U667" s="3">
        <v>0</v>
      </c>
      <c r="V667" s="3">
        <v>0</v>
      </c>
      <c r="W667" s="3" t="s">
        <v>871</v>
      </c>
      <c r="X667" s="3">
        <v>26.98</v>
      </c>
      <c r="Y667" s="3">
        <v>26.98</v>
      </c>
      <c r="Z667" s="3">
        <v>26.98</v>
      </c>
      <c r="AA667" s="3">
        <v>0</v>
      </c>
      <c r="AB667" s="3" t="s">
        <v>883</v>
      </c>
      <c r="AC667" s="3">
        <v>0</v>
      </c>
      <c r="AD667" s="3">
        <v>21.58</v>
      </c>
      <c r="AE667" s="3">
        <v>63</v>
      </c>
      <c r="AF667" s="3">
        <v>0</v>
      </c>
      <c r="AG667" s="3">
        <v>90.603823</v>
      </c>
      <c r="AH667" s="3">
        <v>0</v>
      </c>
      <c r="AI667" s="3">
        <v>0.661629999999999</v>
      </c>
      <c r="AJ667" s="3" t="s">
        <v>870</v>
      </c>
    </row>
    <row r="668" spans="1:36">
      <c r="A668" s="5">
        <v>43336</v>
      </c>
      <c r="B668" s="3" t="s">
        <v>529</v>
      </c>
      <c r="C668" s="3" t="s">
        <v>530</v>
      </c>
      <c r="D668" s="3" t="s">
        <v>530</v>
      </c>
      <c r="E668" s="3" t="s">
        <v>531</v>
      </c>
      <c r="F668" s="3" t="s">
        <v>867</v>
      </c>
      <c r="G668" s="3">
        <v>4</v>
      </c>
      <c r="H668" s="3">
        <v>0</v>
      </c>
      <c r="I668" s="3">
        <v>4</v>
      </c>
      <c r="J668" s="3">
        <v>0</v>
      </c>
      <c r="K668" s="3">
        <v>0</v>
      </c>
      <c r="L668" s="3">
        <v>0</v>
      </c>
      <c r="M668" s="3">
        <v>0</v>
      </c>
      <c r="N668" s="3" t="s">
        <v>868</v>
      </c>
      <c r="O668" s="3">
        <v>0</v>
      </c>
      <c r="P668" s="3">
        <v>0</v>
      </c>
      <c r="Q668" s="3">
        <v>0</v>
      </c>
      <c r="R668" s="3">
        <v>0</v>
      </c>
      <c r="S668" s="3">
        <v>3</v>
      </c>
      <c r="T668" s="3">
        <v>13</v>
      </c>
      <c r="U668" s="3">
        <v>24</v>
      </c>
      <c r="V668" s="3">
        <v>46</v>
      </c>
      <c r="W668" s="3"/>
      <c r="X668" s="3">
        <v>22.98</v>
      </c>
      <c r="Y668" s="3">
        <v>22.98</v>
      </c>
      <c r="Z668" s="3">
        <v>22.98</v>
      </c>
      <c r="AA668" s="3">
        <v>0</v>
      </c>
      <c r="AB668" s="3" t="s">
        <v>869</v>
      </c>
      <c r="AC668" s="3">
        <v>5</v>
      </c>
      <c r="AD668" s="3">
        <v>22.98</v>
      </c>
      <c r="AE668" s="3">
        <v>0</v>
      </c>
      <c r="AF668" s="3">
        <v>0</v>
      </c>
      <c r="AG668" s="3">
        <v>0</v>
      </c>
      <c r="AH668" s="3">
        <v>2.86419753086419</v>
      </c>
      <c r="AI668" s="3">
        <v>0.557144</v>
      </c>
      <c r="AJ668" s="3" t="s">
        <v>870</v>
      </c>
    </row>
    <row r="669" spans="1:36">
      <c r="A669" s="5">
        <v>43336</v>
      </c>
      <c r="B669" s="3" t="s">
        <v>2443</v>
      </c>
      <c r="C669" s="3" t="s">
        <v>2444</v>
      </c>
      <c r="D669" s="3" t="s">
        <v>2444</v>
      </c>
      <c r="E669" s="3" t="s">
        <v>2445</v>
      </c>
      <c r="F669" s="3" t="s">
        <v>867</v>
      </c>
      <c r="G669" s="3">
        <v>4</v>
      </c>
      <c r="H669" s="3">
        <v>0</v>
      </c>
      <c r="I669" s="3">
        <v>0</v>
      </c>
      <c r="J669" s="3">
        <v>4</v>
      </c>
      <c r="K669" s="3">
        <v>0</v>
      </c>
      <c r="L669" s="3">
        <v>0</v>
      </c>
      <c r="M669" s="3">
        <v>0</v>
      </c>
      <c r="N669" s="3" t="s">
        <v>868</v>
      </c>
      <c r="O669" s="3">
        <v>0</v>
      </c>
      <c r="P669" s="3">
        <v>0</v>
      </c>
      <c r="Q669" s="3">
        <v>0</v>
      </c>
      <c r="R669" s="3">
        <v>0</v>
      </c>
      <c r="S669" s="3">
        <v>1</v>
      </c>
      <c r="T669" s="3">
        <v>1</v>
      </c>
      <c r="U669" s="3">
        <v>3</v>
      </c>
      <c r="V669" s="3">
        <v>6</v>
      </c>
      <c r="W669" s="3" t="s">
        <v>871</v>
      </c>
      <c r="X669" s="3">
        <v>23.98</v>
      </c>
      <c r="Y669" s="3">
        <v>23.98</v>
      </c>
      <c r="Z669" s="3">
        <v>23.98</v>
      </c>
      <c r="AA669" s="3">
        <v>0</v>
      </c>
      <c r="AB669" s="3" t="s">
        <v>883</v>
      </c>
      <c r="AC669" s="3">
        <v>1</v>
      </c>
      <c r="AD669" s="3">
        <v>19.18</v>
      </c>
      <c r="AE669" s="3">
        <v>63</v>
      </c>
      <c r="AF669" s="3">
        <v>0</v>
      </c>
      <c r="AG669" s="3">
        <v>15.771615</v>
      </c>
      <c r="AH669" s="3">
        <v>0.923076923076923</v>
      </c>
      <c r="AI669" s="3">
        <v>0.376208</v>
      </c>
      <c r="AJ669" s="3" t="s">
        <v>870</v>
      </c>
    </row>
    <row r="670" spans="1:36">
      <c r="A670" s="5">
        <v>43336</v>
      </c>
      <c r="B670" s="3" t="s">
        <v>700</v>
      </c>
      <c r="C670" s="3" t="s">
        <v>701</v>
      </c>
      <c r="D670" s="3" t="s">
        <v>701</v>
      </c>
      <c r="E670" s="3" t="s">
        <v>702</v>
      </c>
      <c r="F670" s="3" t="s">
        <v>867</v>
      </c>
      <c r="G670" s="3">
        <v>3</v>
      </c>
      <c r="H670" s="3">
        <v>0</v>
      </c>
      <c r="I670" s="3">
        <v>3</v>
      </c>
      <c r="J670" s="3">
        <v>0</v>
      </c>
      <c r="K670" s="3">
        <v>0</v>
      </c>
      <c r="L670" s="3">
        <v>0</v>
      </c>
      <c r="M670" s="3">
        <v>0</v>
      </c>
      <c r="N670" s="3" t="s">
        <v>868</v>
      </c>
      <c r="O670" s="3">
        <v>0</v>
      </c>
      <c r="P670" s="3">
        <v>0</v>
      </c>
      <c r="Q670" s="3">
        <v>0</v>
      </c>
      <c r="R670" s="3">
        <v>0</v>
      </c>
      <c r="S670" s="3">
        <v>1</v>
      </c>
      <c r="T670" s="3">
        <v>3</v>
      </c>
      <c r="U670" s="3">
        <v>6</v>
      </c>
      <c r="V670" s="3">
        <v>8</v>
      </c>
      <c r="W670" s="3"/>
      <c r="X670" s="3">
        <v>22.98</v>
      </c>
      <c r="Y670" s="3">
        <v>22.98</v>
      </c>
      <c r="Z670" s="3">
        <v>22.98</v>
      </c>
      <c r="AA670" s="3">
        <v>0</v>
      </c>
      <c r="AB670" s="3" t="s">
        <v>869</v>
      </c>
      <c r="AC670" s="3">
        <v>3</v>
      </c>
      <c r="AD670" s="3">
        <v>22.98</v>
      </c>
      <c r="AE670" s="3">
        <v>0</v>
      </c>
      <c r="AF670" s="3">
        <v>0</v>
      </c>
      <c r="AG670" s="3">
        <v>0</v>
      </c>
      <c r="AH670" s="3">
        <v>1.39130434782608</v>
      </c>
      <c r="AI670" s="3">
        <v>0.456978</v>
      </c>
      <c r="AJ670" s="3" t="s">
        <v>870</v>
      </c>
    </row>
    <row r="671" spans="1:36">
      <c r="A671" s="5">
        <v>43336</v>
      </c>
      <c r="B671" s="3" t="s">
        <v>2446</v>
      </c>
      <c r="C671" s="3" t="s">
        <v>2447</v>
      </c>
      <c r="D671" s="3" t="s">
        <v>2447</v>
      </c>
      <c r="E671" s="3" t="s">
        <v>2448</v>
      </c>
      <c r="F671" s="3" t="s">
        <v>867</v>
      </c>
      <c r="G671" s="3">
        <v>1</v>
      </c>
      <c r="H671" s="3">
        <v>0</v>
      </c>
      <c r="I671" s="3">
        <v>0</v>
      </c>
      <c r="J671" s="3">
        <v>1</v>
      </c>
      <c r="K671" s="3">
        <v>0</v>
      </c>
      <c r="L671" s="3">
        <v>0</v>
      </c>
      <c r="M671" s="3">
        <v>0</v>
      </c>
      <c r="N671" s="3" t="s">
        <v>868</v>
      </c>
      <c r="O671" s="3">
        <v>0</v>
      </c>
      <c r="P671" s="3">
        <v>0</v>
      </c>
      <c r="Q671" s="3">
        <v>0</v>
      </c>
      <c r="R671" s="3">
        <v>0</v>
      </c>
      <c r="S671" s="3">
        <v>1</v>
      </c>
      <c r="T671" s="3">
        <v>2</v>
      </c>
      <c r="U671" s="3">
        <v>2</v>
      </c>
      <c r="V671" s="3">
        <v>3</v>
      </c>
      <c r="W671" s="3"/>
      <c r="X671" s="3">
        <v>20.98</v>
      </c>
      <c r="Y671" s="3">
        <v>20.98</v>
      </c>
      <c r="Z671" s="3">
        <v>20.98</v>
      </c>
      <c r="AA671" s="3">
        <v>0</v>
      </c>
      <c r="AB671" s="3" t="s">
        <v>869</v>
      </c>
      <c r="AC671" s="3">
        <v>2</v>
      </c>
      <c r="AD671" s="3">
        <v>20.98</v>
      </c>
      <c r="AE671" s="3">
        <v>0</v>
      </c>
      <c r="AF671" s="3">
        <v>0</v>
      </c>
      <c r="AG671" s="3">
        <v>0</v>
      </c>
      <c r="AH671" s="3">
        <v>1.09090909090909</v>
      </c>
      <c r="AI671" s="3">
        <v>0.083563</v>
      </c>
      <c r="AJ671" s="3" t="s">
        <v>870</v>
      </c>
    </row>
    <row r="672" spans="1:36">
      <c r="A672" s="5">
        <v>43336</v>
      </c>
      <c r="B672" s="3" t="s">
        <v>2449</v>
      </c>
      <c r="C672" s="3" t="s">
        <v>2450</v>
      </c>
      <c r="D672" s="3" t="s">
        <v>2450</v>
      </c>
      <c r="E672" s="3" t="s">
        <v>2451</v>
      </c>
      <c r="F672" s="3" t="s">
        <v>867</v>
      </c>
      <c r="G672" s="3">
        <v>1</v>
      </c>
      <c r="H672" s="3">
        <v>0</v>
      </c>
      <c r="I672" s="3">
        <v>0</v>
      </c>
      <c r="J672" s="3">
        <v>1</v>
      </c>
      <c r="K672" s="3">
        <v>0</v>
      </c>
      <c r="L672" s="3">
        <v>0</v>
      </c>
      <c r="M672" s="3">
        <v>0</v>
      </c>
      <c r="N672" s="3" t="s">
        <v>868</v>
      </c>
      <c r="O672" s="3">
        <v>0</v>
      </c>
      <c r="P672" s="3">
        <v>0</v>
      </c>
      <c r="Q672" s="3">
        <v>0</v>
      </c>
      <c r="R672" s="3">
        <v>0</v>
      </c>
      <c r="S672" s="3">
        <v>0</v>
      </c>
      <c r="T672" s="3">
        <v>1</v>
      </c>
      <c r="U672" s="3">
        <v>1</v>
      </c>
      <c r="V672" s="3">
        <v>1</v>
      </c>
      <c r="W672" s="3" t="s">
        <v>871</v>
      </c>
      <c r="X672" s="3">
        <v>20.98</v>
      </c>
      <c r="Y672" s="3">
        <v>20.98</v>
      </c>
      <c r="Z672" s="3">
        <v>20.98</v>
      </c>
      <c r="AA672" s="3">
        <v>0</v>
      </c>
      <c r="AB672" s="3" t="s">
        <v>869</v>
      </c>
      <c r="AC672" s="3">
        <v>1</v>
      </c>
      <c r="AD672" s="3">
        <v>20.98</v>
      </c>
      <c r="AE672" s="3">
        <v>0</v>
      </c>
      <c r="AF672" s="3">
        <v>0</v>
      </c>
      <c r="AG672" s="3">
        <v>0</v>
      </c>
      <c r="AH672" s="3">
        <v>0.571428571428571</v>
      </c>
      <c r="AI672" s="3">
        <v>0.083563</v>
      </c>
      <c r="AJ672" s="3" t="s">
        <v>870</v>
      </c>
    </row>
    <row r="673" spans="1:36">
      <c r="A673" s="5">
        <v>43336</v>
      </c>
      <c r="B673" s="3" t="s">
        <v>2452</v>
      </c>
      <c r="C673" s="3" t="s">
        <v>2453</v>
      </c>
      <c r="D673" s="3" t="s">
        <v>2454</v>
      </c>
      <c r="E673" s="3" t="s">
        <v>2455</v>
      </c>
      <c r="F673" s="3" t="s">
        <v>867</v>
      </c>
      <c r="G673" s="3">
        <v>9</v>
      </c>
      <c r="H673" s="3">
        <v>0</v>
      </c>
      <c r="I673" s="3">
        <v>9</v>
      </c>
      <c r="J673" s="3">
        <v>0</v>
      </c>
      <c r="K673" s="3">
        <v>0</v>
      </c>
      <c r="L673" s="3">
        <v>0</v>
      </c>
      <c r="M673" s="3">
        <v>0</v>
      </c>
      <c r="N673" s="3" t="s">
        <v>868</v>
      </c>
      <c r="O673" s="3">
        <v>0</v>
      </c>
      <c r="P673" s="3">
        <v>0</v>
      </c>
      <c r="Q673" s="3">
        <v>0</v>
      </c>
      <c r="R673" s="3">
        <v>0</v>
      </c>
      <c r="S673" s="3">
        <v>4</v>
      </c>
      <c r="T673" s="3">
        <v>4</v>
      </c>
      <c r="U673" s="3">
        <v>4</v>
      </c>
      <c r="V673" s="3">
        <v>4</v>
      </c>
      <c r="W673" s="3"/>
      <c r="X673" s="3">
        <v>22.98</v>
      </c>
      <c r="Y673" s="3">
        <v>22.98</v>
      </c>
      <c r="Z673" s="3">
        <v>22.98</v>
      </c>
      <c r="AA673" s="3">
        <v>0</v>
      </c>
      <c r="AB673" s="3" t="s">
        <v>869</v>
      </c>
      <c r="AC673" s="3">
        <v>4</v>
      </c>
      <c r="AD673" s="3">
        <v>22.98</v>
      </c>
      <c r="AE673" s="3">
        <v>0</v>
      </c>
      <c r="AF673" s="3">
        <v>0</v>
      </c>
      <c r="AG673" s="3">
        <v>0</v>
      </c>
      <c r="AH673" s="3">
        <v>6.4</v>
      </c>
      <c r="AI673" s="3">
        <v>1.347237</v>
      </c>
      <c r="AJ673" s="3" t="s">
        <v>870</v>
      </c>
    </row>
    <row r="674" spans="1:36">
      <c r="A674" s="5">
        <v>43336</v>
      </c>
      <c r="B674" s="3" t="s">
        <v>2456</v>
      </c>
      <c r="C674" s="3" t="s">
        <v>2457</v>
      </c>
      <c r="D674" s="3" t="s">
        <v>2457</v>
      </c>
      <c r="E674" s="3" t="s">
        <v>2458</v>
      </c>
      <c r="F674" s="3" t="s">
        <v>867</v>
      </c>
      <c r="G674" s="3">
        <v>1</v>
      </c>
      <c r="H674" s="3">
        <v>0</v>
      </c>
      <c r="I674" s="3">
        <v>1</v>
      </c>
      <c r="J674" s="3">
        <v>0</v>
      </c>
      <c r="K674" s="3">
        <v>0</v>
      </c>
      <c r="L674" s="3">
        <v>0</v>
      </c>
      <c r="M674" s="3">
        <v>0</v>
      </c>
      <c r="N674" s="3" t="s">
        <v>868</v>
      </c>
      <c r="O674" s="3">
        <v>0</v>
      </c>
      <c r="P674" s="3">
        <v>0</v>
      </c>
      <c r="Q674" s="3">
        <v>0</v>
      </c>
      <c r="R674" s="3">
        <v>0</v>
      </c>
      <c r="S674" s="3">
        <v>0</v>
      </c>
      <c r="T674" s="3">
        <v>2</v>
      </c>
      <c r="U674" s="3">
        <v>3</v>
      </c>
      <c r="V674" s="3">
        <v>5</v>
      </c>
      <c r="W674" s="3"/>
      <c r="X674" s="3">
        <v>12.98</v>
      </c>
      <c r="Y674" s="3">
        <v>12.98</v>
      </c>
      <c r="Z674" s="3">
        <v>12.98</v>
      </c>
      <c r="AA674" s="3">
        <v>0</v>
      </c>
      <c r="AB674" s="3" t="s">
        <v>869</v>
      </c>
      <c r="AC674" s="3">
        <v>1</v>
      </c>
      <c r="AD674" s="3">
        <v>12.98</v>
      </c>
      <c r="AE674" s="3">
        <v>0</v>
      </c>
      <c r="AF674" s="3">
        <v>0</v>
      </c>
      <c r="AG674" s="3">
        <v>0</v>
      </c>
      <c r="AH674" s="3">
        <v>1.81818181818181</v>
      </c>
      <c r="AI674" s="3">
        <v>0.138102</v>
      </c>
      <c r="AJ674" s="3" t="s">
        <v>870</v>
      </c>
    </row>
    <row r="675" spans="1:36">
      <c r="A675" s="5">
        <v>43336</v>
      </c>
      <c r="B675" s="3" t="s">
        <v>422</v>
      </c>
      <c r="C675" s="3" t="s">
        <v>21</v>
      </c>
      <c r="D675" s="3" t="s">
        <v>21</v>
      </c>
      <c r="E675" s="3" t="s">
        <v>22</v>
      </c>
      <c r="F675" s="3" t="s">
        <v>867</v>
      </c>
      <c r="G675" s="3">
        <v>2</v>
      </c>
      <c r="H675" s="3">
        <v>0</v>
      </c>
      <c r="I675" s="3">
        <v>2</v>
      </c>
      <c r="J675" s="3">
        <v>0</v>
      </c>
      <c r="K675" s="3">
        <v>0</v>
      </c>
      <c r="L675" s="3">
        <v>0</v>
      </c>
      <c r="M675" s="3">
        <v>0</v>
      </c>
      <c r="N675" s="3" t="s">
        <v>868</v>
      </c>
      <c r="O675" s="3">
        <v>0</v>
      </c>
      <c r="P675" s="3">
        <v>0</v>
      </c>
      <c r="Q675" s="3">
        <v>0</v>
      </c>
      <c r="R675" s="3">
        <v>0</v>
      </c>
      <c r="S675" s="3">
        <v>0</v>
      </c>
      <c r="T675" s="3">
        <v>8</v>
      </c>
      <c r="U675" s="3">
        <v>12</v>
      </c>
      <c r="V675" s="3">
        <v>13</v>
      </c>
      <c r="W675" s="3"/>
      <c r="X675" s="3">
        <v>39.98</v>
      </c>
      <c r="Y675" s="3">
        <v>18.98</v>
      </c>
      <c r="Z675" s="3">
        <v>18.98</v>
      </c>
      <c r="AA675" s="3">
        <v>0</v>
      </c>
      <c r="AB675" s="3" t="s">
        <v>869</v>
      </c>
      <c r="AC675" s="3">
        <v>2</v>
      </c>
      <c r="AD675" s="3">
        <v>18.98</v>
      </c>
      <c r="AE675" s="3">
        <v>0</v>
      </c>
      <c r="AF675" s="3">
        <v>0</v>
      </c>
      <c r="AG675" s="3">
        <v>0</v>
      </c>
      <c r="AH675" s="3">
        <v>0.547368421052631</v>
      </c>
      <c r="AI675" s="3">
        <v>0.336458</v>
      </c>
      <c r="AJ675" s="3" t="s">
        <v>870</v>
      </c>
    </row>
    <row r="676" spans="1:36">
      <c r="A676" s="5">
        <v>43336</v>
      </c>
      <c r="B676" s="3" t="s">
        <v>2459</v>
      </c>
      <c r="C676" s="3" t="s">
        <v>2460</v>
      </c>
      <c r="D676" s="3" t="s">
        <v>2460</v>
      </c>
      <c r="E676" s="3" t="s">
        <v>965</v>
      </c>
      <c r="F676" s="3" t="s">
        <v>867</v>
      </c>
      <c r="G676" s="3">
        <v>9</v>
      </c>
      <c r="H676" s="3">
        <v>0</v>
      </c>
      <c r="I676" s="3">
        <v>0</v>
      </c>
      <c r="J676" s="3">
        <v>1</v>
      </c>
      <c r="K676" s="3">
        <v>8</v>
      </c>
      <c r="L676" s="3">
        <v>0</v>
      </c>
      <c r="M676" s="3">
        <v>0</v>
      </c>
      <c r="N676" s="3" t="s">
        <v>868</v>
      </c>
      <c r="O676" s="3">
        <v>8</v>
      </c>
      <c r="P676" s="3">
        <v>1.68</v>
      </c>
      <c r="Q676" s="3">
        <v>0</v>
      </c>
      <c r="R676" s="3">
        <v>0</v>
      </c>
      <c r="S676" s="3">
        <v>0</v>
      </c>
      <c r="T676" s="3">
        <v>0</v>
      </c>
      <c r="U676" s="3">
        <v>0</v>
      </c>
      <c r="V676" s="3">
        <v>1</v>
      </c>
      <c r="W676" s="3" t="s">
        <v>871</v>
      </c>
      <c r="X676" s="3">
        <v>26.98</v>
      </c>
      <c r="Y676" s="3">
        <v>26.98</v>
      </c>
      <c r="Z676" s="3">
        <v>26.98</v>
      </c>
      <c r="AA676" s="3">
        <v>0</v>
      </c>
      <c r="AB676" s="3" t="s">
        <v>883</v>
      </c>
      <c r="AC676" s="3">
        <v>0</v>
      </c>
      <c r="AD676" s="3">
        <v>18.81</v>
      </c>
      <c r="AE676" s="3">
        <v>364</v>
      </c>
      <c r="AF676" s="3">
        <v>0</v>
      </c>
      <c r="AG676" s="3">
        <v>124.376607</v>
      </c>
      <c r="AH676" s="3">
        <v>0.108108108108108</v>
      </c>
      <c r="AI676" s="3">
        <v>0.549107999999999</v>
      </c>
      <c r="AJ676" s="3" t="s">
        <v>870</v>
      </c>
    </row>
    <row r="677" spans="1:36">
      <c r="A677" s="5">
        <v>43336</v>
      </c>
      <c r="B677" s="3" t="s">
        <v>88</v>
      </c>
      <c r="C677" s="3" t="s">
        <v>89</v>
      </c>
      <c r="D677" s="3" t="s">
        <v>90</v>
      </c>
      <c r="E677" s="3" t="s">
        <v>91</v>
      </c>
      <c r="F677" s="3" t="s">
        <v>867</v>
      </c>
      <c r="G677" s="3">
        <v>4</v>
      </c>
      <c r="H677" s="3">
        <v>0</v>
      </c>
      <c r="I677" s="3">
        <v>4</v>
      </c>
      <c r="J677" s="3">
        <v>0</v>
      </c>
      <c r="K677" s="3">
        <v>0</v>
      </c>
      <c r="L677" s="3">
        <v>0</v>
      </c>
      <c r="M677" s="3">
        <v>0</v>
      </c>
      <c r="N677" s="3" t="s">
        <v>868</v>
      </c>
      <c r="O677" s="3">
        <v>0</v>
      </c>
      <c r="P677" s="3">
        <v>0</v>
      </c>
      <c r="Q677" s="3">
        <v>0</v>
      </c>
      <c r="R677" s="3">
        <v>0</v>
      </c>
      <c r="S677" s="3">
        <v>1</v>
      </c>
      <c r="T677" s="3">
        <v>1</v>
      </c>
      <c r="U677" s="3">
        <v>1</v>
      </c>
      <c r="V677" s="3">
        <v>1</v>
      </c>
      <c r="W677" s="3"/>
      <c r="X677" s="3">
        <v>22.98</v>
      </c>
      <c r="Y677" s="3">
        <v>22.98</v>
      </c>
      <c r="Z677" s="3">
        <v>22.98</v>
      </c>
      <c r="AA677" s="3">
        <v>0</v>
      </c>
      <c r="AB677" s="3" t="s">
        <v>883</v>
      </c>
      <c r="AC677" s="3">
        <v>0</v>
      </c>
      <c r="AD677" s="3">
        <v>18.38</v>
      </c>
      <c r="AE677" s="3">
        <v>63</v>
      </c>
      <c r="AF677" s="3">
        <v>0</v>
      </c>
      <c r="AG677" s="3">
        <v>79.253898</v>
      </c>
      <c r="AH677" s="3">
        <v>1.6</v>
      </c>
      <c r="AI677" s="3">
        <v>0.552408</v>
      </c>
      <c r="AJ677" s="3" t="s">
        <v>870</v>
      </c>
    </row>
    <row r="678" spans="1:36">
      <c r="A678" s="5">
        <v>43336</v>
      </c>
      <c r="B678" s="3" t="s">
        <v>2461</v>
      </c>
      <c r="C678" s="3" t="s">
        <v>2462</v>
      </c>
      <c r="D678" s="3" t="s">
        <v>2462</v>
      </c>
      <c r="E678" s="3" t="s">
        <v>131</v>
      </c>
      <c r="F678" s="3" t="s">
        <v>867</v>
      </c>
      <c r="G678" s="3">
        <v>6</v>
      </c>
      <c r="H678" s="3">
        <v>0</v>
      </c>
      <c r="I678" s="3">
        <v>0</v>
      </c>
      <c r="J678" s="3">
        <v>6</v>
      </c>
      <c r="K678" s="3">
        <v>0</v>
      </c>
      <c r="L678" s="3">
        <v>0</v>
      </c>
      <c r="M678" s="3">
        <v>0</v>
      </c>
      <c r="N678" s="3" t="s">
        <v>868</v>
      </c>
      <c r="O678" s="3">
        <v>0</v>
      </c>
      <c r="P678" s="3">
        <v>0</v>
      </c>
      <c r="Q678" s="3">
        <v>0</v>
      </c>
      <c r="R678" s="3">
        <v>0</v>
      </c>
      <c r="S678" s="3">
        <v>2</v>
      </c>
      <c r="T678" s="3">
        <v>6</v>
      </c>
      <c r="U678" s="3">
        <v>9</v>
      </c>
      <c r="V678" s="3">
        <v>11</v>
      </c>
      <c r="W678" s="3"/>
      <c r="X678" s="3">
        <v>23.98</v>
      </c>
      <c r="Y678" s="3">
        <v>23.98</v>
      </c>
      <c r="Z678" s="3">
        <v>23.98</v>
      </c>
      <c r="AA678" s="3">
        <v>0</v>
      </c>
      <c r="AB678" s="3" t="s">
        <v>869</v>
      </c>
      <c r="AC678" s="3">
        <v>7</v>
      </c>
      <c r="AD678" s="3">
        <v>23.98</v>
      </c>
      <c r="AE678" s="3">
        <v>0</v>
      </c>
      <c r="AF678" s="3">
        <v>0</v>
      </c>
      <c r="AG678" s="3">
        <v>0</v>
      </c>
      <c r="AH678" s="3">
        <v>0.814814814814814</v>
      </c>
      <c r="AI678" s="3">
        <v>1.19061</v>
      </c>
      <c r="AJ678" s="3" t="s">
        <v>870</v>
      </c>
    </row>
    <row r="679" spans="1:36">
      <c r="A679" s="5">
        <v>43336</v>
      </c>
      <c r="B679" s="3" t="s">
        <v>2463</v>
      </c>
      <c r="C679" s="3" t="s">
        <v>2464</v>
      </c>
      <c r="D679" s="3" t="s">
        <v>2464</v>
      </c>
      <c r="E679" s="3" t="s">
        <v>2465</v>
      </c>
      <c r="F679" s="3" t="s">
        <v>867</v>
      </c>
      <c r="G679" s="3">
        <v>9</v>
      </c>
      <c r="H679" s="3">
        <v>0</v>
      </c>
      <c r="I679" s="3">
        <v>1</v>
      </c>
      <c r="J679" s="3">
        <v>8</v>
      </c>
      <c r="K679" s="3">
        <v>0</v>
      </c>
      <c r="L679" s="3">
        <v>0</v>
      </c>
      <c r="M679" s="3">
        <v>0</v>
      </c>
      <c r="N679" s="3" t="s">
        <v>868</v>
      </c>
      <c r="O679" s="3">
        <v>5</v>
      </c>
      <c r="P679" s="3">
        <v>3.68</v>
      </c>
      <c r="Q679" s="3">
        <v>0</v>
      </c>
      <c r="R679" s="3">
        <v>0</v>
      </c>
      <c r="S679" s="3">
        <v>0</v>
      </c>
      <c r="T679" s="3">
        <v>2</v>
      </c>
      <c r="U679" s="3">
        <v>3</v>
      </c>
      <c r="V679" s="3">
        <v>6</v>
      </c>
      <c r="W679" s="3"/>
      <c r="X679" s="3">
        <v>26.98</v>
      </c>
      <c r="Y679" s="3">
        <v>26.98</v>
      </c>
      <c r="Z679" s="3">
        <v>26.98</v>
      </c>
      <c r="AA679" s="3">
        <v>0</v>
      </c>
      <c r="AB679" s="3" t="s">
        <v>869</v>
      </c>
      <c r="AC679" s="3">
        <v>9</v>
      </c>
      <c r="AD679" s="3">
        <v>26.98</v>
      </c>
      <c r="AE679" s="3">
        <v>0</v>
      </c>
      <c r="AF679" s="3">
        <v>0</v>
      </c>
      <c r="AG679" s="3">
        <v>0</v>
      </c>
      <c r="AH679" s="3">
        <v>0.533333333333333</v>
      </c>
      <c r="AI679" s="3">
        <v>1.921527</v>
      </c>
      <c r="AJ679" s="3" t="s">
        <v>870</v>
      </c>
    </row>
    <row r="680" spans="1:36">
      <c r="A680" s="5">
        <v>43336</v>
      </c>
      <c r="B680" s="3" t="s">
        <v>2466</v>
      </c>
      <c r="C680" s="3" t="s">
        <v>2467</v>
      </c>
      <c r="D680" s="3" t="s">
        <v>2467</v>
      </c>
      <c r="E680" s="3" t="s">
        <v>1708</v>
      </c>
      <c r="F680" s="3" t="s">
        <v>867</v>
      </c>
      <c r="G680" s="3">
        <v>7</v>
      </c>
      <c r="H680" s="3">
        <v>0</v>
      </c>
      <c r="I680" s="3">
        <v>1</v>
      </c>
      <c r="J680" s="3">
        <v>6</v>
      </c>
      <c r="K680" s="3">
        <v>0</v>
      </c>
      <c r="L680" s="3">
        <v>0</v>
      </c>
      <c r="M680" s="3">
        <v>0</v>
      </c>
      <c r="N680" s="3" t="s">
        <v>868</v>
      </c>
      <c r="O680" s="3">
        <v>6</v>
      </c>
      <c r="P680" s="3">
        <v>1.26</v>
      </c>
      <c r="Q680" s="3">
        <v>0</v>
      </c>
      <c r="R680" s="3">
        <v>0</v>
      </c>
      <c r="S680" s="3">
        <v>0</v>
      </c>
      <c r="T680" s="3">
        <v>2</v>
      </c>
      <c r="U680" s="3">
        <v>8</v>
      </c>
      <c r="V680" s="3">
        <v>11</v>
      </c>
      <c r="W680" s="3"/>
      <c r="X680" s="3">
        <v>24.98</v>
      </c>
      <c r="Y680" s="3">
        <v>24.98</v>
      </c>
      <c r="Z680" s="3">
        <v>24.98</v>
      </c>
      <c r="AA680" s="3">
        <v>0</v>
      </c>
      <c r="AB680" s="3" t="s">
        <v>869</v>
      </c>
      <c r="AC680" s="3">
        <v>7</v>
      </c>
      <c r="AD680" s="3">
        <v>24.98</v>
      </c>
      <c r="AE680" s="3">
        <v>0</v>
      </c>
      <c r="AF680" s="3">
        <v>0</v>
      </c>
      <c r="AG680" s="3">
        <v>0</v>
      </c>
      <c r="AH680" s="3">
        <v>0.916666666666666</v>
      </c>
      <c r="AI680" s="3">
        <v>0.427083999999999</v>
      </c>
      <c r="AJ680" s="3" t="s">
        <v>870</v>
      </c>
    </row>
    <row r="681" spans="1:36">
      <c r="A681" s="5">
        <v>43336</v>
      </c>
      <c r="B681" s="3" t="s">
        <v>2468</v>
      </c>
      <c r="C681" s="3" t="s">
        <v>2469</v>
      </c>
      <c r="D681" s="3" t="s">
        <v>2469</v>
      </c>
      <c r="E681" s="3" t="s">
        <v>2470</v>
      </c>
      <c r="F681" s="3" t="s">
        <v>867</v>
      </c>
      <c r="G681" s="3">
        <v>1</v>
      </c>
      <c r="H681" s="3">
        <v>0</v>
      </c>
      <c r="I681" s="3">
        <v>1</v>
      </c>
      <c r="J681" s="3">
        <v>0</v>
      </c>
      <c r="K681" s="3">
        <v>0</v>
      </c>
      <c r="L681" s="3">
        <v>0</v>
      </c>
      <c r="M681" s="3">
        <v>0</v>
      </c>
      <c r="N681" s="3" t="s">
        <v>868</v>
      </c>
      <c r="O681" s="3">
        <v>0</v>
      </c>
      <c r="P681" s="3">
        <v>0</v>
      </c>
      <c r="Q681" s="3">
        <v>0</v>
      </c>
      <c r="R681" s="3">
        <v>0</v>
      </c>
      <c r="S681" s="3">
        <v>0</v>
      </c>
      <c r="T681" s="3">
        <v>0</v>
      </c>
      <c r="U681" s="3">
        <v>0</v>
      </c>
      <c r="V681" s="3">
        <v>1</v>
      </c>
      <c r="W681" s="3" t="s">
        <v>936</v>
      </c>
      <c r="X681" s="3">
        <v>64.98</v>
      </c>
      <c r="Y681" s="3">
        <v>64.98</v>
      </c>
      <c r="Z681" s="3">
        <v>64.98</v>
      </c>
      <c r="AA681" s="3">
        <v>0</v>
      </c>
      <c r="AB681" s="3" t="s">
        <v>937</v>
      </c>
      <c r="AC681" s="3">
        <v>0</v>
      </c>
      <c r="AD681" s="3">
        <v>60.13</v>
      </c>
      <c r="AE681" s="3">
        <v>70</v>
      </c>
      <c r="AF681" s="3">
        <v>0</v>
      </c>
      <c r="AG681" s="3">
        <v>118.799584</v>
      </c>
      <c r="AH681" s="3">
        <v>1.33333333333333</v>
      </c>
      <c r="AI681" s="3">
        <v>0.70484</v>
      </c>
      <c r="AJ681" s="3" t="s">
        <v>870</v>
      </c>
    </row>
    <row r="682" spans="1:36">
      <c r="A682" s="5">
        <v>43336</v>
      </c>
      <c r="B682" s="3" t="s">
        <v>2471</v>
      </c>
      <c r="C682" s="3" t="s">
        <v>2472</v>
      </c>
      <c r="D682" s="3" t="s">
        <v>2472</v>
      </c>
      <c r="E682" s="3" t="s">
        <v>2473</v>
      </c>
      <c r="F682" s="3" t="s">
        <v>867</v>
      </c>
      <c r="G682" s="3">
        <v>2</v>
      </c>
      <c r="H682" s="3">
        <v>0</v>
      </c>
      <c r="I682" s="3">
        <v>2</v>
      </c>
      <c r="J682" s="3">
        <v>0</v>
      </c>
      <c r="K682" s="3">
        <v>0</v>
      </c>
      <c r="L682" s="3">
        <v>0</v>
      </c>
      <c r="M682" s="3">
        <v>0</v>
      </c>
      <c r="N682" s="3" t="s">
        <v>868</v>
      </c>
      <c r="O682" s="3">
        <v>0</v>
      </c>
      <c r="P682" s="3">
        <v>0</v>
      </c>
      <c r="Q682" s="3">
        <v>0</v>
      </c>
      <c r="R682" s="3">
        <v>0</v>
      </c>
      <c r="S682" s="3">
        <v>0</v>
      </c>
      <c r="T682" s="3">
        <v>0</v>
      </c>
      <c r="U682" s="3">
        <v>1</v>
      </c>
      <c r="V682" s="3">
        <v>1</v>
      </c>
      <c r="W682" s="3" t="s">
        <v>871</v>
      </c>
      <c r="X682" s="3">
        <v>24.98</v>
      </c>
      <c r="Y682" s="3">
        <v>24.98</v>
      </c>
      <c r="Z682" s="3">
        <v>24.98</v>
      </c>
      <c r="AA682" s="3">
        <v>0</v>
      </c>
      <c r="AB682" s="3" t="s">
        <v>883</v>
      </c>
      <c r="AC682" s="3">
        <v>0</v>
      </c>
      <c r="AD682" s="3">
        <v>22.41</v>
      </c>
      <c r="AE682" s="3">
        <v>168</v>
      </c>
      <c r="AF682" s="3">
        <v>0</v>
      </c>
      <c r="AG682" s="3">
        <v>53.019455</v>
      </c>
      <c r="AH682" s="3">
        <v>0.133333333333333</v>
      </c>
      <c r="AI682" s="3">
        <v>0.274502</v>
      </c>
      <c r="AJ682" s="3" t="s">
        <v>870</v>
      </c>
    </row>
    <row r="683" spans="1:36">
      <c r="A683" s="5">
        <v>43336</v>
      </c>
      <c r="B683" s="3" t="s">
        <v>2474</v>
      </c>
      <c r="C683" s="3" t="s">
        <v>2475</v>
      </c>
      <c r="D683" s="3" t="s">
        <v>2475</v>
      </c>
      <c r="E683" s="3" t="s">
        <v>2476</v>
      </c>
      <c r="F683" s="3" t="s">
        <v>867</v>
      </c>
      <c r="G683" s="3">
        <v>4</v>
      </c>
      <c r="H683" s="3">
        <v>0</v>
      </c>
      <c r="I683" s="3">
        <v>4</v>
      </c>
      <c r="J683" s="3">
        <v>0</v>
      </c>
      <c r="K683" s="3">
        <v>0</v>
      </c>
      <c r="L683" s="3">
        <v>0</v>
      </c>
      <c r="M683" s="3">
        <v>0</v>
      </c>
      <c r="N683" s="3" t="s">
        <v>868</v>
      </c>
      <c r="O683" s="3">
        <v>0</v>
      </c>
      <c r="P683" s="3">
        <v>0</v>
      </c>
      <c r="Q683" s="3">
        <v>0</v>
      </c>
      <c r="R683" s="3">
        <v>0</v>
      </c>
      <c r="S683" s="3">
        <v>0</v>
      </c>
      <c r="T683" s="3">
        <v>5</v>
      </c>
      <c r="U683" s="3">
        <v>7</v>
      </c>
      <c r="V683" s="3">
        <v>9</v>
      </c>
      <c r="W683" s="3"/>
      <c r="X683" s="3">
        <v>26.98</v>
      </c>
      <c r="Y683" s="3">
        <v>26.98</v>
      </c>
      <c r="Z683" s="3">
        <v>26.98</v>
      </c>
      <c r="AA683" s="3">
        <v>0</v>
      </c>
      <c r="AB683" s="3" t="s">
        <v>869</v>
      </c>
      <c r="AC683" s="3">
        <v>4</v>
      </c>
      <c r="AD683" s="3">
        <v>26.98</v>
      </c>
      <c r="AE683" s="3">
        <v>0</v>
      </c>
      <c r="AF683" s="3">
        <v>0</v>
      </c>
      <c r="AG683" s="3">
        <v>0</v>
      </c>
      <c r="AH683" s="3">
        <v>1.44</v>
      </c>
      <c r="AI683" s="3">
        <v>0.529304</v>
      </c>
      <c r="AJ683" s="3" t="s">
        <v>870</v>
      </c>
    </row>
    <row r="684" spans="1:36">
      <c r="A684" s="5">
        <v>43336</v>
      </c>
      <c r="B684" s="3" t="s">
        <v>2477</v>
      </c>
      <c r="C684" s="3" t="s">
        <v>2478</v>
      </c>
      <c r="D684" s="3" t="s">
        <v>2478</v>
      </c>
      <c r="E684" s="3" t="s">
        <v>2479</v>
      </c>
      <c r="F684" s="3" t="s">
        <v>867</v>
      </c>
      <c r="G684" s="3">
        <v>2</v>
      </c>
      <c r="H684" s="3">
        <v>0</v>
      </c>
      <c r="I684" s="3">
        <v>2</v>
      </c>
      <c r="J684" s="3">
        <v>0</v>
      </c>
      <c r="K684" s="3">
        <v>0</v>
      </c>
      <c r="L684" s="3">
        <v>0</v>
      </c>
      <c r="M684" s="3">
        <v>0</v>
      </c>
      <c r="N684" s="3" t="s">
        <v>868</v>
      </c>
      <c r="O684" s="3">
        <v>0</v>
      </c>
      <c r="P684" s="3">
        <v>0</v>
      </c>
      <c r="Q684" s="3">
        <v>0</v>
      </c>
      <c r="R684" s="3">
        <v>0</v>
      </c>
      <c r="S684" s="3">
        <v>0</v>
      </c>
      <c r="T684" s="3">
        <v>0</v>
      </c>
      <c r="U684" s="3">
        <v>3</v>
      </c>
      <c r="V684" s="3">
        <v>6</v>
      </c>
      <c r="W684" s="3" t="s">
        <v>871</v>
      </c>
      <c r="X684" s="3">
        <v>19.47</v>
      </c>
      <c r="Y684" s="3">
        <v>19.47</v>
      </c>
      <c r="Z684" s="3">
        <v>19.47</v>
      </c>
      <c r="AA684" s="3">
        <v>0</v>
      </c>
      <c r="AB684" s="3" t="s">
        <v>869</v>
      </c>
      <c r="AC684" s="3">
        <v>2</v>
      </c>
      <c r="AD684" s="3">
        <v>19.47</v>
      </c>
      <c r="AE684" s="3">
        <v>0</v>
      </c>
      <c r="AF684" s="3">
        <v>0</v>
      </c>
      <c r="AG684" s="3">
        <v>0</v>
      </c>
      <c r="AH684" s="3">
        <v>0.533333333333333</v>
      </c>
      <c r="AI684" s="3">
        <v>0.427006</v>
      </c>
      <c r="AJ684" s="3" t="s">
        <v>870</v>
      </c>
    </row>
    <row r="685" spans="1:36">
      <c r="A685" s="5">
        <v>43336</v>
      </c>
      <c r="B685" s="3" t="s">
        <v>2480</v>
      </c>
      <c r="C685" s="3" t="s">
        <v>2481</v>
      </c>
      <c r="D685" s="3" t="s">
        <v>2481</v>
      </c>
      <c r="E685" s="3" t="s">
        <v>2482</v>
      </c>
      <c r="F685" s="3" t="s">
        <v>867</v>
      </c>
      <c r="G685" s="3">
        <v>1</v>
      </c>
      <c r="H685" s="3">
        <v>0</v>
      </c>
      <c r="I685" s="3">
        <v>0</v>
      </c>
      <c r="J685" s="3">
        <v>1</v>
      </c>
      <c r="K685" s="3">
        <v>0</v>
      </c>
      <c r="L685" s="3">
        <v>0</v>
      </c>
      <c r="M685" s="3">
        <v>0</v>
      </c>
      <c r="N685" s="3" t="s">
        <v>868</v>
      </c>
      <c r="O685" s="3">
        <v>1</v>
      </c>
      <c r="P685" s="3">
        <v>0.19</v>
      </c>
      <c r="Q685" s="3">
        <v>0</v>
      </c>
      <c r="R685" s="3">
        <v>0</v>
      </c>
      <c r="S685" s="3">
        <v>0</v>
      </c>
      <c r="T685" s="3">
        <v>0</v>
      </c>
      <c r="U685" s="3">
        <v>0</v>
      </c>
      <c r="V685" s="3">
        <v>2</v>
      </c>
      <c r="W685" s="3" t="s">
        <v>936</v>
      </c>
      <c r="X685" s="3">
        <v>15</v>
      </c>
      <c r="Y685" s="3">
        <v>15</v>
      </c>
      <c r="Z685" s="3">
        <v>15</v>
      </c>
      <c r="AA685" s="3">
        <v>0</v>
      </c>
      <c r="AB685" s="3" t="s">
        <v>937</v>
      </c>
      <c r="AC685" s="3">
        <v>1</v>
      </c>
      <c r="AD685" s="3">
        <v>15</v>
      </c>
      <c r="AE685" s="3">
        <v>0</v>
      </c>
      <c r="AF685" s="3">
        <v>0</v>
      </c>
      <c r="AG685" s="3">
        <v>0</v>
      </c>
      <c r="AH685" s="3">
        <v>1.33333333333333</v>
      </c>
      <c r="AI685" s="3">
        <v>0.055556</v>
      </c>
      <c r="AJ685" s="3" t="s">
        <v>898</v>
      </c>
    </row>
    <row r="686" spans="1:36">
      <c r="A686" s="5">
        <v>43336</v>
      </c>
      <c r="B686" s="3" t="s">
        <v>512</v>
      </c>
      <c r="C686" s="3" t="s">
        <v>513</v>
      </c>
      <c r="D686" s="3" t="s">
        <v>513</v>
      </c>
      <c r="E686" s="3" t="s">
        <v>514</v>
      </c>
      <c r="F686" s="3" t="s">
        <v>867</v>
      </c>
      <c r="G686" s="3">
        <v>22</v>
      </c>
      <c r="H686" s="3">
        <v>0</v>
      </c>
      <c r="I686" s="3">
        <v>2</v>
      </c>
      <c r="J686" s="3">
        <v>20</v>
      </c>
      <c r="K686" s="3">
        <v>0</v>
      </c>
      <c r="L686" s="3">
        <v>0</v>
      </c>
      <c r="M686" s="3">
        <v>0</v>
      </c>
      <c r="N686" s="3" t="s">
        <v>868</v>
      </c>
      <c r="O686" s="3">
        <v>0</v>
      </c>
      <c r="P686" s="3">
        <v>0</v>
      </c>
      <c r="Q686" s="3">
        <v>0</v>
      </c>
      <c r="R686" s="3">
        <v>0</v>
      </c>
      <c r="S686" s="3">
        <v>3</v>
      </c>
      <c r="T686" s="3">
        <v>5</v>
      </c>
      <c r="U686" s="3">
        <v>8</v>
      </c>
      <c r="V686" s="3">
        <v>11</v>
      </c>
      <c r="W686" s="3"/>
      <c r="X686" s="3">
        <v>22.98</v>
      </c>
      <c r="Y686" s="3">
        <v>22.98</v>
      </c>
      <c r="Z686" s="3">
        <v>22.98</v>
      </c>
      <c r="AA686" s="3">
        <v>0</v>
      </c>
      <c r="AB686" s="3" t="s">
        <v>869</v>
      </c>
      <c r="AC686" s="3">
        <v>24</v>
      </c>
      <c r="AD686" s="3">
        <v>22.98</v>
      </c>
      <c r="AE686" s="3">
        <v>0</v>
      </c>
      <c r="AF686" s="3">
        <v>0</v>
      </c>
      <c r="AG686" s="3">
        <v>0</v>
      </c>
      <c r="AH686" s="3">
        <v>0.411214953271028</v>
      </c>
      <c r="AI686" s="3">
        <v>2.286108</v>
      </c>
      <c r="AJ686" s="3" t="s">
        <v>870</v>
      </c>
    </row>
    <row r="687" spans="1:36">
      <c r="A687" s="5">
        <v>43336</v>
      </c>
      <c r="B687" s="3" t="s">
        <v>2483</v>
      </c>
      <c r="C687" s="3" t="s">
        <v>2484</v>
      </c>
      <c r="D687" s="3" t="s">
        <v>2484</v>
      </c>
      <c r="E687" s="3" t="s">
        <v>2485</v>
      </c>
      <c r="F687" s="3" t="s">
        <v>867</v>
      </c>
      <c r="G687" s="3">
        <v>6</v>
      </c>
      <c r="H687" s="3">
        <v>0</v>
      </c>
      <c r="I687" s="3">
        <v>0</v>
      </c>
      <c r="J687" s="3">
        <v>6</v>
      </c>
      <c r="K687" s="3">
        <v>0</v>
      </c>
      <c r="L687" s="3">
        <v>0</v>
      </c>
      <c r="M687" s="3">
        <v>0</v>
      </c>
      <c r="N687" s="3" t="s">
        <v>868</v>
      </c>
      <c r="O687" s="3">
        <v>0</v>
      </c>
      <c r="P687" s="3">
        <v>0</v>
      </c>
      <c r="Q687" s="3">
        <v>0</v>
      </c>
      <c r="R687" s="3">
        <v>0</v>
      </c>
      <c r="S687" s="3">
        <v>2</v>
      </c>
      <c r="T687" s="3">
        <v>4</v>
      </c>
      <c r="U687" s="3">
        <v>10</v>
      </c>
      <c r="V687" s="3">
        <v>13</v>
      </c>
      <c r="W687" s="3"/>
      <c r="X687" s="3">
        <v>22.98</v>
      </c>
      <c r="Y687" s="3">
        <v>22.98</v>
      </c>
      <c r="Z687" s="3">
        <v>22.98</v>
      </c>
      <c r="AA687" s="3">
        <v>0</v>
      </c>
      <c r="AB687" s="3" t="s">
        <v>883</v>
      </c>
      <c r="AC687" s="3">
        <v>2</v>
      </c>
      <c r="AD687" s="3">
        <v>18.38</v>
      </c>
      <c r="AE687" s="3">
        <v>147</v>
      </c>
      <c r="AF687" s="3">
        <v>0</v>
      </c>
      <c r="AG687" s="3">
        <v>17.788585</v>
      </c>
      <c r="AH687" s="3">
        <v>1.01960784313725</v>
      </c>
      <c r="AI687" s="3">
        <v>0.38775</v>
      </c>
      <c r="AJ687" s="3" t="s">
        <v>870</v>
      </c>
    </row>
    <row r="688" spans="1:36">
      <c r="A688" s="5">
        <v>43336</v>
      </c>
      <c r="B688" s="3" t="s">
        <v>262</v>
      </c>
      <c r="C688" s="3" t="s">
        <v>263</v>
      </c>
      <c r="D688" s="3" t="s">
        <v>264</v>
      </c>
      <c r="E688" s="3" t="s">
        <v>265</v>
      </c>
      <c r="F688" s="3" t="s">
        <v>867</v>
      </c>
      <c r="G688" s="3">
        <v>11</v>
      </c>
      <c r="H688" s="3">
        <v>0</v>
      </c>
      <c r="I688" s="3">
        <v>11</v>
      </c>
      <c r="J688" s="3">
        <v>0</v>
      </c>
      <c r="K688" s="3">
        <v>0</v>
      </c>
      <c r="L688" s="3">
        <v>0</v>
      </c>
      <c r="M688" s="3">
        <v>0</v>
      </c>
      <c r="N688" s="3" t="s">
        <v>868</v>
      </c>
      <c r="O688" s="3">
        <v>0</v>
      </c>
      <c r="P688" s="3">
        <v>0</v>
      </c>
      <c r="Q688" s="3">
        <v>0</v>
      </c>
      <c r="R688" s="3">
        <v>0</v>
      </c>
      <c r="S688" s="3">
        <v>7</v>
      </c>
      <c r="T688" s="3">
        <v>15</v>
      </c>
      <c r="U688" s="3">
        <v>19</v>
      </c>
      <c r="V688" s="3">
        <v>19</v>
      </c>
      <c r="W688" s="3"/>
      <c r="X688" s="3">
        <v>39.98</v>
      </c>
      <c r="Y688" s="3">
        <v>23.98</v>
      </c>
      <c r="Z688" s="3">
        <v>23.98</v>
      </c>
      <c r="AA688" s="3">
        <v>0</v>
      </c>
      <c r="AB688" s="3" t="s">
        <v>869</v>
      </c>
      <c r="AC688" s="3">
        <v>11</v>
      </c>
      <c r="AD688" s="3">
        <v>23.98</v>
      </c>
      <c r="AE688" s="3">
        <v>0</v>
      </c>
      <c r="AF688" s="3">
        <v>0</v>
      </c>
      <c r="AG688" s="3">
        <v>0</v>
      </c>
      <c r="AH688" s="3">
        <v>2.375</v>
      </c>
      <c r="AI688" s="3">
        <v>0.500819</v>
      </c>
      <c r="AJ688" s="3" t="s">
        <v>870</v>
      </c>
    </row>
    <row r="689" spans="1:36">
      <c r="A689" s="5">
        <v>43336</v>
      </c>
      <c r="B689" s="3" t="s">
        <v>148</v>
      </c>
      <c r="C689" s="3" t="s">
        <v>149</v>
      </c>
      <c r="D689" s="3" t="s">
        <v>150</v>
      </c>
      <c r="E689" s="3" t="s">
        <v>151</v>
      </c>
      <c r="F689" s="3" t="s">
        <v>867</v>
      </c>
      <c r="G689" s="3">
        <v>17</v>
      </c>
      <c r="H689" s="3">
        <v>0</v>
      </c>
      <c r="I689" s="3">
        <v>17</v>
      </c>
      <c r="J689" s="3">
        <v>0</v>
      </c>
      <c r="K689" s="3">
        <v>0</v>
      </c>
      <c r="L689" s="3">
        <v>0</v>
      </c>
      <c r="M689" s="3">
        <v>0</v>
      </c>
      <c r="N689" s="3" t="s">
        <v>868</v>
      </c>
      <c r="O689" s="3">
        <v>0</v>
      </c>
      <c r="P689" s="3">
        <v>0</v>
      </c>
      <c r="Q689" s="3">
        <v>0</v>
      </c>
      <c r="R689" s="3">
        <v>0</v>
      </c>
      <c r="S689" s="3">
        <v>3</v>
      </c>
      <c r="T689" s="3">
        <v>11</v>
      </c>
      <c r="U689" s="3">
        <v>16</v>
      </c>
      <c r="V689" s="3">
        <v>16</v>
      </c>
      <c r="W689" s="3"/>
      <c r="X689" s="3">
        <v>22.98</v>
      </c>
      <c r="Y689" s="3">
        <v>22.98</v>
      </c>
      <c r="Z689" s="3">
        <v>22.98</v>
      </c>
      <c r="AA689" s="3">
        <v>0</v>
      </c>
      <c r="AB689" s="3" t="s">
        <v>869</v>
      </c>
      <c r="AC689" s="3">
        <v>18</v>
      </c>
      <c r="AD689" s="3">
        <v>22.98</v>
      </c>
      <c r="AE689" s="3">
        <v>0</v>
      </c>
      <c r="AF689" s="3">
        <v>0</v>
      </c>
      <c r="AG689" s="3">
        <v>0</v>
      </c>
      <c r="AH689" s="3">
        <v>1.07865168539325</v>
      </c>
      <c r="AI689" s="3">
        <v>1.53829599999999</v>
      </c>
      <c r="AJ689" s="3" t="s">
        <v>870</v>
      </c>
    </row>
    <row r="690" spans="1:36">
      <c r="A690" s="5">
        <v>43336</v>
      </c>
      <c r="B690" s="3" t="s">
        <v>2486</v>
      </c>
      <c r="C690" s="3" t="s">
        <v>2487</v>
      </c>
      <c r="D690" s="3" t="s">
        <v>2487</v>
      </c>
      <c r="E690" s="3" t="s">
        <v>2488</v>
      </c>
      <c r="F690" s="3" t="s">
        <v>867</v>
      </c>
      <c r="G690" s="3">
        <v>27</v>
      </c>
      <c r="H690" s="3">
        <v>0</v>
      </c>
      <c r="I690" s="3">
        <v>23</v>
      </c>
      <c r="J690" s="3">
        <v>4</v>
      </c>
      <c r="K690" s="3">
        <v>0</v>
      </c>
      <c r="L690" s="3">
        <v>0</v>
      </c>
      <c r="M690" s="3">
        <v>0</v>
      </c>
      <c r="N690" s="3" t="s">
        <v>868</v>
      </c>
      <c r="O690" s="3">
        <v>0</v>
      </c>
      <c r="P690" s="3">
        <v>0</v>
      </c>
      <c r="Q690" s="3">
        <v>0</v>
      </c>
      <c r="R690" s="3">
        <v>0</v>
      </c>
      <c r="S690" s="3">
        <v>2</v>
      </c>
      <c r="T690" s="3">
        <v>11</v>
      </c>
      <c r="U690" s="3">
        <v>16</v>
      </c>
      <c r="V690" s="3">
        <v>23</v>
      </c>
      <c r="W690" s="3"/>
      <c r="X690" s="3">
        <v>22.98</v>
      </c>
      <c r="Y690" s="3">
        <v>22.98</v>
      </c>
      <c r="Z690" s="3">
        <v>22.98</v>
      </c>
      <c r="AA690" s="3">
        <v>0</v>
      </c>
      <c r="AB690" s="3" t="s">
        <v>869</v>
      </c>
      <c r="AC690" s="3">
        <v>27</v>
      </c>
      <c r="AD690" s="3">
        <v>22.98</v>
      </c>
      <c r="AE690" s="3">
        <v>0</v>
      </c>
      <c r="AF690" s="3">
        <v>0</v>
      </c>
      <c r="AG690" s="3">
        <v>0</v>
      </c>
      <c r="AH690" s="3">
        <v>0.963503649635036</v>
      </c>
      <c r="AI690" s="3">
        <v>4.04171099999999</v>
      </c>
      <c r="AJ690" s="3" t="s">
        <v>870</v>
      </c>
    </row>
    <row r="691" spans="1:36">
      <c r="A691" s="5">
        <v>43336</v>
      </c>
      <c r="B691" s="3" t="s">
        <v>2489</v>
      </c>
      <c r="C691" s="3" t="s">
        <v>2490</v>
      </c>
      <c r="D691" s="3" t="s">
        <v>2490</v>
      </c>
      <c r="E691" s="3" t="s">
        <v>2491</v>
      </c>
      <c r="F691" s="3" t="s">
        <v>867</v>
      </c>
      <c r="G691" s="3">
        <v>1</v>
      </c>
      <c r="H691" s="3">
        <v>0</v>
      </c>
      <c r="I691" s="3">
        <v>0</v>
      </c>
      <c r="J691" s="3">
        <v>1</v>
      </c>
      <c r="K691" s="3">
        <v>0</v>
      </c>
      <c r="L691" s="3">
        <v>0</v>
      </c>
      <c r="M691" s="3">
        <v>0</v>
      </c>
      <c r="N691" s="3" t="s">
        <v>868</v>
      </c>
      <c r="O691" s="3">
        <v>0</v>
      </c>
      <c r="P691" s="3">
        <v>0</v>
      </c>
      <c r="Q691" s="3">
        <v>0</v>
      </c>
      <c r="R691" s="3">
        <v>0</v>
      </c>
      <c r="S691" s="3">
        <v>0</v>
      </c>
      <c r="T691" s="3">
        <v>0</v>
      </c>
      <c r="U691" s="3">
        <v>0</v>
      </c>
      <c r="V691" s="3">
        <v>0</v>
      </c>
      <c r="W691" s="3" t="s">
        <v>871</v>
      </c>
      <c r="X691" s="3">
        <v>22.99</v>
      </c>
      <c r="Y691" s="3">
        <v>22.99</v>
      </c>
      <c r="Z691" s="3">
        <v>22.99</v>
      </c>
      <c r="AA691" s="3">
        <v>0</v>
      </c>
      <c r="AB691" s="3" t="s">
        <v>883</v>
      </c>
      <c r="AC691" s="3">
        <v>0</v>
      </c>
      <c r="AD691" s="3">
        <v>18.38</v>
      </c>
      <c r="AE691" s="3">
        <v>63</v>
      </c>
      <c r="AF691" s="3">
        <v>0</v>
      </c>
      <c r="AG691" s="3">
        <v>19.588661</v>
      </c>
      <c r="AH691" s="3">
        <v>0</v>
      </c>
      <c r="AI691" s="3">
        <v>0.145901</v>
      </c>
      <c r="AJ691" s="3" t="s">
        <v>870</v>
      </c>
    </row>
    <row r="692" spans="1:36">
      <c r="A692" s="5">
        <v>43336</v>
      </c>
      <c r="B692" s="3" t="s">
        <v>691</v>
      </c>
      <c r="C692" s="3" t="s">
        <v>692</v>
      </c>
      <c r="D692" s="3" t="s">
        <v>692</v>
      </c>
      <c r="E692" s="3" t="s">
        <v>693</v>
      </c>
      <c r="F692" s="3" t="s">
        <v>867</v>
      </c>
      <c r="G692" s="3">
        <v>6</v>
      </c>
      <c r="H692" s="3">
        <v>0</v>
      </c>
      <c r="I692" s="3">
        <v>2</v>
      </c>
      <c r="J692" s="3">
        <v>0</v>
      </c>
      <c r="K692" s="3">
        <v>4</v>
      </c>
      <c r="L692" s="3">
        <v>0</v>
      </c>
      <c r="M692" s="3">
        <v>0</v>
      </c>
      <c r="N692" s="3" t="s">
        <v>868</v>
      </c>
      <c r="O692" s="3">
        <v>4</v>
      </c>
      <c r="P692" s="3">
        <v>0.57</v>
      </c>
      <c r="Q692" s="3">
        <v>0</v>
      </c>
      <c r="R692" s="3">
        <v>0</v>
      </c>
      <c r="S692" s="3">
        <v>0</v>
      </c>
      <c r="T692" s="3">
        <v>0</v>
      </c>
      <c r="U692" s="3">
        <v>2</v>
      </c>
      <c r="V692" s="3">
        <v>2</v>
      </c>
      <c r="W692" s="3" t="s">
        <v>871</v>
      </c>
      <c r="X692" s="3">
        <v>22.98</v>
      </c>
      <c r="Y692" s="3">
        <v>22.98</v>
      </c>
      <c r="Z692" s="3">
        <v>22.98</v>
      </c>
      <c r="AA692" s="3">
        <v>0</v>
      </c>
      <c r="AB692" s="3" t="s">
        <v>883</v>
      </c>
      <c r="AC692" s="3">
        <v>0</v>
      </c>
      <c r="AD692" s="3">
        <v>18.38</v>
      </c>
      <c r="AE692" s="3">
        <v>294</v>
      </c>
      <c r="AF692" s="3">
        <v>0</v>
      </c>
      <c r="AG692" s="3">
        <v>30.472301</v>
      </c>
      <c r="AH692" s="3">
        <v>0.32</v>
      </c>
      <c r="AI692" s="3">
        <v>0.250938</v>
      </c>
      <c r="AJ692" s="3" t="s">
        <v>870</v>
      </c>
    </row>
    <row r="693" spans="1:36">
      <c r="A693" s="5">
        <v>43336</v>
      </c>
      <c r="B693" s="3" t="s">
        <v>2492</v>
      </c>
      <c r="C693" s="3" t="s">
        <v>2493</v>
      </c>
      <c r="D693" s="3" t="s">
        <v>2494</v>
      </c>
      <c r="E693" s="3" t="s">
        <v>2495</v>
      </c>
      <c r="F693" s="3" t="s">
        <v>867</v>
      </c>
      <c r="G693" s="3">
        <v>5</v>
      </c>
      <c r="H693" s="3">
        <v>0</v>
      </c>
      <c r="I693" s="3">
        <v>5</v>
      </c>
      <c r="J693" s="3">
        <v>0</v>
      </c>
      <c r="K693" s="3">
        <v>0</v>
      </c>
      <c r="L693" s="3">
        <v>0</v>
      </c>
      <c r="M693" s="3">
        <v>0</v>
      </c>
      <c r="N693" s="3" t="s">
        <v>868</v>
      </c>
      <c r="O693" s="3">
        <v>0</v>
      </c>
      <c r="P693" s="3">
        <v>0</v>
      </c>
      <c r="Q693" s="3">
        <v>0</v>
      </c>
      <c r="R693" s="3">
        <v>0</v>
      </c>
      <c r="S693" s="3">
        <v>0</v>
      </c>
      <c r="T693" s="3">
        <v>0</v>
      </c>
      <c r="U693" s="3">
        <v>0</v>
      </c>
      <c r="V693" s="3">
        <v>0</v>
      </c>
      <c r="W693" s="3" t="s">
        <v>936</v>
      </c>
      <c r="X693" s="3">
        <v>17.99</v>
      </c>
      <c r="Y693" s="3">
        <v>17.99</v>
      </c>
      <c r="Z693" s="3">
        <v>17.99</v>
      </c>
      <c r="AA693" s="3">
        <v>0</v>
      </c>
      <c r="AB693" s="3" t="s">
        <v>937</v>
      </c>
      <c r="AC693" s="3">
        <v>5</v>
      </c>
      <c r="AD693" s="3">
        <v>17.99</v>
      </c>
      <c r="AE693" s="3">
        <v>0</v>
      </c>
      <c r="AF693" s="3">
        <v>0</v>
      </c>
      <c r="AG693" s="3">
        <v>0</v>
      </c>
      <c r="AH693" s="3">
        <v>0</v>
      </c>
      <c r="AI693" s="3">
        <v>0.847654999999999</v>
      </c>
      <c r="AJ693" s="3" t="s">
        <v>925</v>
      </c>
    </row>
    <row r="694" spans="1:36">
      <c r="A694" s="5">
        <v>43336</v>
      </c>
      <c r="B694" s="3" t="s">
        <v>2496</v>
      </c>
      <c r="C694" s="3" t="s">
        <v>2497</v>
      </c>
      <c r="D694" s="3" t="s">
        <v>2497</v>
      </c>
      <c r="E694" s="3" t="s">
        <v>2498</v>
      </c>
      <c r="F694" s="3" t="s">
        <v>867</v>
      </c>
      <c r="G694" s="3">
        <v>22</v>
      </c>
      <c r="H694" s="3">
        <v>0</v>
      </c>
      <c r="I694" s="3">
        <v>1</v>
      </c>
      <c r="J694" s="3">
        <v>21</v>
      </c>
      <c r="K694" s="3">
        <v>0</v>
      </c>
      <c r="L694" s="3">
        <v>0</v>
      </c>
      <c r="M694" s="3">
        <v>0</v>
      </c>
      <c r="N694" s="3" t="s">
        <v>868</v>
      </c>
      <c r="O694" s="3">
        <v>19</v>
      </c>
      <c r="P694" s="3">
        <v>10.81</v>
      </c>
      <c r="Q694" s="3">
        <v>0</v>
      </c>
      <c r="R694" s="3">
        <v>0</v>
      </c>
      <c r="S694" s="3">
        <v>0</v>
      </c>
      <c r="T694" s="3">
        <v>1</v>
      </c>
      <c r="U694" s="3">
        <v>1</v>
      </c>
      <c r="V694" s="3">
        <v>3</v>
      </c>
      <c r="W694" s="3"/>
      <c r="X694" s="3">
        <v>25.98</v>
      </c>
      <c r="Y694" s="3">
        <v>25.98</v>
      </c>
      <c r="Z694" s="3">
        <v>25.98</v>
      </c>
      <c r="AA694" s="3">
        <v>0</v>
      </c>
      <c r="AB694" s="3" t="s">
        <v>883</v>
      </c>
      <c r="AC694" s="3">
        <v>21</v>
      </c>
      <c r="AD694" s="3">
        <v>24.58</v>
      </c>
      <c r="AE694" s="3">
        <v>21</v>
      </c>
      <c r="AF694" s="3">
        <v>0</v>
      </c>
      <c r="AG694" s="3">
        <v>0.382488</v>
      </c>
      <c r="AH694" s="3">
        <v>0.130434782608695</v>
      </c>
      <c r="AI694" s="3">
        <v>3.628636</v>
      </c>
      <c r="AJ694" s="3" t="s">
        <v>870</v>
      </c>
    </row>
    <row r="695" spans="1:36">
      <c r="A695" s="5">
        <v>43336</v>
      </c>
      <c r="B695" s="3" t="s">
        <v>2499</v>
      </c>
      <c r="C695" s="3" t="s">
        <v>2500</v>
      </c>
      <c r="D695" s="3" t="s">
        <v>2500</v>
      </c>
      <c r="E695" s="3" t="s">
        <v>2501</v>
      </c>
      <c r="F695" s="3" t="s">
        <v>867</v>
      </c>
      <c r="G695" s="3">
        <v>1</v>
      </c>
      <c r="H695" s="3">
        <v>0</v>
      </c>
      <c r="I695" s="3">
        <v>0</v>
      </c>
      <c r="J695" s="3">
        <v>1</v>
      </c>
      <c r="K695" s="3">
        <v>0</v>
      </c>
      <c r="L695" s="3">
        <v>0</v>
      </c>
      <c r="M695" s="3">
        <v>0</v>
      </c>
      <c r="N695" s="3" t="s">
        <v>868</v>
      </c>
      <c r="O695" s="3">
        <v>0</v>
      </c>
      <c r="P695" s="3">
        <v>0</v>
      </c>
      <c r="Q695" s="3">
        <v>0</v>
      </c>
      <c r="R695" s="3">
        <v>0</v>
      </c>
      <c r="S695" s="3">
        <v>0</v>
      </c>
      <c r="T695" s="3">
        <v>0</v>
      </c>
      <c r="U695" s="3">
        <v>0</v>
      </c>
      <c r="V695" s="3">
        <v>0</v>
      </c>
      <c r="W695" s="3" t="s">
        <v>871</v>
      </c>
      <c r="X695" s="3">
        <v>49.98</v>
      </c>
      <c r="Y695" s="3">
        <v>29.98</v>
      </c>
      <c r="Z695" s="3">
        <v>29.98</v>
      </c>
      <c r="AA695" s="3">
        <v>0</v>
      </c>
      <c r="AB695" s="3" t="s">
        <v>883</v>
      </c>
      <c r="AC695" s="3">
        <v>0</v>
      </c>
      <c r="AD695" s="3">
        <v>28.26</v>
      </c>
      <c r="AE695" s="3">
        <v>14</v>
      </c>
      <c r="AF695" s="3">
        <v>0</v>
      </c>
      <c r="AG695" s="3">
        <v>47.321605</v>
      </c>
      <c r="AH695" s="3">
        <v>0</v>
      </c>
      <c r="AI695" s="3">
        <v>0.266997</v>
      </c>
      <c r="AJ695" s="3" t="s">
        <v>870</v>
      </c>
    </row>
    <row r="696" spans="1:36">
      <c r="A696" s="5">
        <v>43336</v>
      </c>
      <c r="B696" s="3" t="s">
        <v>2502</v>
      </c>
      <c r="C696" s="3" t="s">
        <v>2503</v>
      </c>
      <c r="D696" s="3" t="s">
        <v>2503</v>
      </c>
      <c r="E696" s="3" t="s">
        <v>2504</v>
      </c>
      <c r="F696" s="3" t="s">
        <v>867</v>
      </c>
      <c r="G696" s="3">
        <v>1</v>
      </c>
      <c r="H696" s="3">
        <v>0</v>
      </c>
      <c r="I696" s="3">
        <v>0</v>
      </c>
      <c r="J696" s="3">
        <v>1</v>
      </c>
      <c r="K696" s="3">
        <v>0</v>
      </c>
      <c r="L696" s="3">
        <v>0</v>
      </c>
      <c r="M696" s="3">
        <v>0</v>
      </c>
      <c r="N696" s="3" t="s">
        <v>868</v>
      </c>
      <c r="O696" s="3">
        <v>1</v>
      </c>
      <c r="P696" s="3">
        <v>2.17</v>
      </c>
      <c r="Q696" s="3">
        <v>0</v>
      </c>
      <c r="R696" s="3">
        <v>0</v>
      </c>
      <c r="S696" s="3">
        <v>0</v>
      </c>
      <c r="T696" s="3">
        <v>0</v>
      </c>
      <c r="U696" s="3">
        <v>0</v>
      </c>
      <c r="V696" s="3">
        <v>1</v>
      </c>
      <c r="W696" s="3" t="s">
        <v>936</v>
      </c>
      <c r="X696" s="3">
        <v>65.98</v>
      </c>
      <c r="Y696" s="3">
        <v>65.98</v>
      </c>
      <c r="Z696" s="3">
        <v>65.98</v>
      </c>
      <c r="AA696" s="3">
        <v>0</v>
      </c>
      <c r="AB696" s="3" t="s">
        <v>937</v>
      </c>
      <c r="AC696" s="3">
        <v>0</v>
      </c>
      <c r="AD696" s="3">
        <v>60.57</v>
      </c>
      <c r="AE696" s="3">
        <v>119</v>
      </c>
      <c r="AF696" s="3">
        <v>0</v>
      </c>
      <c r="AG696" s="3">
        <v>96.611839</v>
      </c>
      <c r="AH696" s="3">
        <v>0.8</v>
      </c>
      <c r="AI696" s="3">
        <v>0.630285</v>
      </c>
      <c r="AJ696" s="3" t="s">
        <v>870</v>
      </c>
    </row>
    <row r="697" spans="1:36">
      <c r="A697" s="5">
        <v>43336</v>
      </c>
      <c r="B697" s="3" t="s">
        <v>2505</v>
      </c>
      <c r="C697" s="3" t="s">
        <v>2506</v>
      </c>
      <c r="D697" s="3" t="s">
        <v>2507</v>
      </c>
      <c r="E697" s="3" t="s">
        <v>2508</v>
      </c>
      <c r="F697" s="3" t="s">
        <v>867</v>
      </c>
      <c r="G697" s="3">
        <v>12</v>
      </c>
      <c r="H697" s="3">
        <v>0</v>
      </c>
      <c r="I697" s="3">
        <v>12</v>
      </c>
      <c r="J697" s="3">
        <v>0</v>
      </c>
      <c r="K697" s="3">
        <v>0</v>
      </c>
      <c r="L697" s="3">
        <v>0</v>
      </c>
      <c r="M697" s="3">
        <v>0</v>
      </c>
      <c r="N697" s="3" t="s">
        <v>868</v>
      </c>
      <c r="O697" s="3">
        <v>0</v>
      </c>
      <c r="P697" s="3">
        <v>0</v>
      </c>
      <c r="Q697" s="3">
        <v>0</v>
      </c>
      <c r="R697" s="3">
        <v>0</v>
      </c>
      <c r="S697" s="3">
        <v>1</v>
      </c>
      <c r="T697" s="3">
        <v>7</v>
      </c>
      <c r="U697" s="3">
        <v>11</v>
      </c>
      <c r="V697" s="3">
        <v>14</v>
      </c>
      <c r="W697" s="3" t="s">
        <v>871</v>
      </c>
      <c r="X697" s="3">
        <v>23.98</v>
      </c>
      <c r="Y697" s="3">
        <v>23.98</v>
      </c>
      <c r="Z697" s="3">
        <v>23.98</v>
      </c>
      <c r="AA697" s="3">
        <v>0</v>
      </c>
      <c r="AB697" s="3" t="s">
        <v>869</v>
      </c>
      <c r="AC697" s="3">
        <v>12</v>
      </c>
      <c r="AD697" s="3">
        <v>23.98</v>
      </c>
      <c r="AE697" s="3">
        <v>0</v>
      </c>
      <c r="AF697" s="3">
        <v>0</v>
      </c>
      <c r="AG697" s="3">
        <v>0</v>
      </c>
      <c r="AH697" s="3">
        <v>1.61538461538461</v>
      </c>
      <c r="AI697" s="3">
        <v>2.08386</v>
      </c>
      <c r="AJ697" s="3" t="s">
        <v>870</v>
      </c>
    </row>
    <row r="698" spans="1:36">
      <c r="A698" s="5">
        <v>43336</v>
      </c>
      <c r="B698" s="3" t="s">
        <v>2509</v>
      </c>
      <c r="C698" s="3" t="s">
        <v>2510</v>
      </c>
      <c r="D698" s="3" t="s">
        <v>2511</v>
      </c>
      <c r="E698" s="3" t="s">
        <v>2512</v>
      </c>
      <c r="F698" s="3" t="s">
        <v>867</v>
      </c>
      <c r="G698" s="3">
        <v>5</v>
      </c>
      <c r="H698" s="3">
        <v>0</v>
      </c>
      <c r="I698" s="3">
        <v>5</v>
      </c>
      <c r="J698" s="3">
        <v>0</v>
      </c>
      <c r="K698" s="3">
        <v>0</v>
      </c>
      <c r="L698" s="3">
        <v>0</v>
      </c>
      <c r="M698" s="3">
        <v>0</v>
      </c>
      <c r="N698" s="3" t="s">
        <v>868</v>
      </c>
      <c r="O698" s="3">
        <v>0</v>
      </c>
      <c r="P698" s="3">
        <v>0</v>
      </c>
      <c r="Q698" s="3">
        <v>0</v>
      </c>
      <c r="R698" s="3">
        <v>0</v>
      </c>
      <c r="S698" s="3">
        <v>0</v>
      </c>
      <c r="T698" s="3">
        <v>0</v>
      </c>
      <c r="U698" s="3">
        <v>0</v>
      </c>
      <c r="V698" s="3">
        <v>0</v>
      </c>
      <c r="W698" s="3" t="s">
        <v>936</v>
      </c>
      <c r="X698" s="3">
        <v>17.99</v>
      </c>
      <c r="Y698" s="3">
        <v>17.99</v>
      </c>
      <c r="Z698" s="3">
        <v>17.99</v>
      </c>
      <c r="AA698" s="3">
        <v>0</v>
      </c>
      <c r="AB698" s="3" t="s">
        <v>937</v>
      </c>
      <c r="AC698" s="3">
        <v>5</v>
      </c>
      <c r="AD698" s="3">
        <v>17.99</v>
      </c>
      <c r="AE698" s="3">
        <v>0</v>
      </c>
      <c r="AF698" s="3">
        <v>0</v>
      </c>
      <c r="AG698" s="3">
        <v>0</v>
      </c>
      <c r="AH698" s="3">
        <v>0</v>
      </c>
      <c r="AI698" s="3">
        <v>0.676424999999999</v>
      </c>
      <c r="AJ698" s="3" t="s">
        <v>925</v>
      </c>
    </row>
    <row r="699" spans="1:36">
      <c r="A699" s="5">
        <v>43336</v>
      </c>
      <c r="B699" s="3" t="s">
        <v>2513</v>
      </c>
      <c r="C699" s="3" t="s">
        <v>2514</v>
      </c>
      <c r="D699" s="3" t="s">
        <v>2514</v>
      </c>
      <c r="E699" s="3" t="s">
        <v>2515</v>
      </c>
      <c r="F699" s="3" t="s">
        <v>867</v>
      </c>
      <c r="G699" s="3">
        <v>2</v>
      </c>
      <c r="H699" s="3">
        <v>0</v>
      </c>
      <c r="I699" s="3">
        <v>0</v>
      </c>
      <c r="J699" s="3">
        <v>2</v>
      </c>
      <c r="K699" s="3">
        <v>0</v>
      </c>
      <c r="L699" s="3">
        <v>0</v>
      </c>
      <c r="M699" s="3">
        <v>0</v>
      </c>
      <c r="N699" s="3" t="s">
        <v>868</v>
      </c>
      <c r="O699" s="3">
        <v>0</v>
      </c>
      <c r="P699" s="3">
        <v>0</v>
      </c>
      <c r="Q699" s="3">
        <v>0</v>
      </c>
      <c r="R699" s="3">
        <v>0</v>
      </c>
      <c r="S699" s="3">
        <v>0</v>
      </c>
      <c r="T699" s="3">
        <v>2</v>
      </c>
      <c r="U699" s="3">
        <v>2</v>
      </c>
      <c r="V699" s="3">
        <v>3</v>
      </c>
      <c r="W699" s="3"/>
      <c r="X699" s="3">
        <v>27.98</v>
      </c>
      <c r="Y699" s="3">
        <v>27.98</v>
      </c>
      <c r="Z699" s="3">
        <v>27.98</v>
      </c>
      <c r="AA699" s="3">
        <v>0</v>
      </c>
      <c r="AB699" s="3" t="s">
        <v>869</v>
      </c>
      <c r="AC699" s="3">
        <v>2</v>
      </c>
      <c r="AD699" s="3">
        <v>27.98</v>
      </c>
      <c r="AE699" s="3">
        <v>0</v>
      </c>
      <c r="AF699" s="3">
        <v>0</v>
      </c>
      <c r="AG699" s="3">
        <v>0</v>
      </c>
      <c r="AH699" s="3">
        <v>0.8</v>
      </c>
      <c r="AI699" s="3">
        <v>0.33814</v>
      </c>
      <c r="AJ699" s="3" t="s">
        <v>870</v>
      </c>
    </row>
    <row r="700" spans="1:36">
      <c r="A700" s="5">
        <v>43336</v>
      </c>
      <c r="B700" s="3" t="s">
        <v>2516</v>
      </c>
      <c r="C700" s="3" t="s">
        <v>2517</v>
      </c>
      <c r="D700" s="3" t="s">
        <v>2517</v>
      </c>
      <c r="E700" s="3" t="s">
        <v>2518</v>
      </c>
      <c r="F700" s="3" t="s">
        <v>867</v>
      </c>
      <c r="G700" s="3">
        <v>7</v>
      </c>
      <c r="H700" s="3">
        <v>0</v>
      </c>
      <c r="I700" s="3">
        <v>0</v>
      </c>
      <c r="J700" s="3">
        <v>0</v>
      </c>
      <c r="K700" s="3">
        <v>0</v>
      </c>
      <c r="L700" s="3">
        <v>7</v>
      </c>
      <c r="M700" s="3">
        <v>0</v>
      </c>
      <c r="N700" s="3" t="s">
        <v>868</v>
      </c>
      <c r="O700" s="3">
        <v>7</v>
      </c>
      <c r="P700" s="3">
        <v>2.79</v>
      </c>
      <c r="Q700" s="3">
        <v>0</v>
      </c>
      <c r="R700" s="3">
        <v>0</v>
      </c>
      <c r="S700" s="3">
        <v>0</v>
      </c>
      <c r="T700" s="3">
        <v>1</v>
      </c>
      <c r="U700" s="3">
        <v>1</v>
      </c>
      <c r="V700" s="3">
        <v>1</v>
      </c>
      <c r="W700" s="3"/>
      <c r="X700" s="3">
        <v>25.98</v>
      </c>
      <c r="Y700" s="3">
        <v>25.98</v>
      </c>
      <c r="Z700" s="3">
        <v>25.98</v>
      </c>
      <c r="AA700" s="3">
        <v>0</v>
      </c>
      <c r="AB700" s="3" t="s">
        <v>869</v>
      </c>
      <c r="AC700" s="3">
        <v>7</v>
      </c>
      <c r="AD700" s="3">
        <v>25.98</v>
      </c>
      <c r="AE700" s="3">
        <v>0</v>
      </c>
      <c r="AF700" s="3">
        <v>0</v>
      </c>
      <c r="AG700" s="3">
        <v>0</v>
      </c>
      <c r="AH700" s="3">
        <v>0.129032258064516</v>
      </c>
      <c r="AI700" s="3">
        <v>0.806967</v>
      </c>
      <c r="AJ700" s="3" t="s">
        <v>870</v>
      </c>
    </row>
    <row r="701" spans="1:36">
      <c r="A701" s="5">
        <v>43336</v>
      </c>
      <c r="B701" s="3" t="s">
        <v>2519</v>
      </c>
      <c r="C701" s="3" t="s">
        <v>2520</v>
      </c>
      <c r="D701" s="3" t="s">
        <v>2520</v>
      </c>
      <c r="E701" s="3" t="s">
        <v>2521</v>
      </c>
      <c r="F701" s="3" t="s">
        <v>867</v>
      </c>
      <c r="G701" s="3">
        <v>2</v>
      </c>
      <c r="H701" s="3">
        <v>0</v>
      </c>
      <c r="I701" s="3">
        <v>2</v>
      </c>
      <c r="J701" s="3">
        <v>0</v>
      </c>
      <c r="K701" s="3">
        <v>0</v>
      </c>
      <c r="L701" s="3">
        <v>0</v>
      </c>
      <c r="M701" s="3">
        <v>0</v>
      </c>
      <c r="N701" s="3" t="s">
        <v>868</v>
      </c>
      <c r="O701" s="3">
        <v>0</v>
      </c>
      <c r="P701" s="3">
        <v>0</v>
      </c>
      <c r="Q701" s="3">
        <v>0</v>
      </c>
      <c r="R701" s="3">
        <v>0</v>
      </c>
      <c r="S701" s="3">
        <v>0</v>
      </c>
      <c r="T701" s="3">
        <v>2</v>
      </c>
      <c r="U701" s="3">
        <v>4</v>
      </c>
      <c r="V701" s="3">
        <v>5</v>
      </c>
      <c r="W701" s="3"/>
      <c r="X701" s="3">
        <v>39.98</v>
      </c>
      <c r="Y701" s="3">
        <v>12</v>
      </c>
      <c r="Z701" s="3">
        <v>12</v>
      </c>
      <c r="AA701" s="3">
        <v>0</v>
      </c>
      <c r="AB701" s="3" t="s">
        <v>883</v>
      </c>
      <c r="AC701" s="3">
        <v>0</v>
      </c>
      <c r="AD701" s="3">
        <v>9.6</v>
      </c>
      <c r="AE701" s="3">
        <v>63</v>
      </c>
      <c r="AF701" s="3">
        <v>0</v>
      </c>
      <c r="AG701" s="3">
        <v>1.737087</v>
      </c>
      <c r="AH701" s="3">
        <v>1.53846153846153</v>
      </c>
      <c r="AI701" s="3">
        <v>0.41017</v>
      </c>
      <c r="AJ701" s="3" t="s">
        <v>870</v>
      </c>
    </row>
    <row r="702" spans="1:36">
      <c r="A702" s="5">
        <v>43336</v>
      </c>
      <c r="B702" s="3" t="s">
        <v>2522</v>
      </c>
      <c r="C702" s="3" t="s">
        <v>2523</v>
      </c>
      <c r="D702" s="3" t="s">
        <v>2523</v>
      </c>
      <c r="E702" s="3" t="s">
        <v>2524</v>
      </c>
      <c r="F702" s="3" t="s">
        <v>867</v>
      </c>
      <c r="G702" s="3">
        <v>3</v>
      </c>
      <c r="H702" s="3">
        <v>0</v>
      </c>
      <c r="I702" s="3">
        <v>0</v>
      </c>
      <c r="J702" s="3">
        <v>0</v>
      </c>
      <c r="K702" s="3">
        <v>3</v>
      </c>
      <c r="L702" s="3">
        <v>0</v>
      </c>
      <c r="M702" s="3">
        <v>0</v>
      </c>
      <c r="N702" s="3" t="s">
        <v>868</v>
      </c>
      <c r="O702" s="3">
        <v>3</v>
      </c>
      <c r="P702" s="3">
        <v>0.83</v>
      </c>
      <c r="Q702" s="3">
        <v>0</v>
      </c>
      <c r="R702" s="3">
        <v>0</v>
      </c>
      <c r="S702" s="3">
        <v>0</v>
      </c>
      <c r="T702" s="3">
        <v>1</v>
      </c>
      <c r="U702" s="3">
        <v>1</v>
      </c>
      <c r="V702" s="3">
        <v>1</v>
      </c>
      <c r="W702" s="3" t="s">
        <v>871</v>
      </c>
      <c r="X702" s="3">
        <v>12</v>
      </c>
      <c r="Y702" s="3">
        <v>12</v>
      </c>
      <c r="Z702" s="3">
        <v>12</v>
      </c>
      <c r="AA702" s="3">
        <v>0</v>
      </c>
      <c r="AB702" s="3" t="s">
        <v>869</v>
      </c>
      <c r="AC702" s="3">
        <v>3</v>
      </c>
      <c r="AD702" s="3">
        <v>12</v>
      </c>
      <c r="AE702" s="3">
        <v>0</v>
      </c>
      <c r="AF702" s="3">
        <v>0</v>
      </c>
      <c r="AG702" s="3">
        <v>0</v>
      </c>
      <c r="AH702" s="3">
        <v>0.266666666666666</v>
      </c>
      <c r="AI702" s="3">
        <v>0.241719</v>
      </c>
      <c r="AJ702" s="3" t="s">
        <v>870</v>
      </c>
    </row>
    <row r="703" spans="1:36">
      <c r="A703" s="5">
        <v>43336</v>
      </c>
      <c r="B703" s="3" t="s">
        <v>2525</v>
      </c>
      <c r="C703" s="3" t="s">
        <v>2526</v>
      </c>
      <c r="D703" s="3" t="s">
        <v>2526</v>
      </c>
      <c r="E703" s="3" t="s">
        <v>2527</v>
      </c>
      <c r="F703" s="3" t="s">
        <v>867</v>
      </c>
      <c r="G703" s="3">
        <v>5</v>
      </c>
      <c r="H703" s="3">
        <v>0</v>
      </c>
      <c r="I703" s="3">
        <v>0</v>
      </c>
      <c r="J703" s="3">
        <v>5</v>
      </c>
      <c r="K703" s="3">
        <v>0</v>
      </c>
      <c r="L703" s="3">
        <v>0</v>
      </c>
      <c r="M703" s="3">
        <v>0</v>
      </c>
      <c r="N703" s="3" t="s">
        <v>868</v>
      </c>
      <c r="O703" s="3">
        <v>0</v>
      </c>
      <c r="P703" s="3">
        <v>0</v>
      </c>
      <c r="Q703" s="3">
        <v>0</v>
      </c>
      <c r="R703" s="3">
        <v>0</v>
      </c>
      <c r="S703" s="3">
        <v>0</v>
      </c>
      <c r="T703" s="3">
        <v>5</v>
      </c>
      <c r="U703" s="3">
        <v>7</v>
      </c>
      <c r="V703" s="3">
        <v>8</v>
      </c>
      <c r="W703" s="3"/>
      <c r="X703" s="3">
        <v>23.98</v>
      </c>
      <c r="Y703" s="3">
        <v>23.98</v>
      </c>
      <c r="Z703" s="3">
        <v>23.98</v>
      </c>
      <c r="AA703" s="3">
        <v>0</v>
      </c>
      <c r="AB703" s="3" t="s">
        <v>869</v>
      </c>
      <c r="AC703" s="3">
        <v>5</v>
      </c>
      <c r="AD703" s="3">
        <v>23.98</v>
      </c>
      <c r="AE703" s="3">
        <v>0</v>
      </c>
      <c r="AF703" s="3">
        <v>0</v>
      </c>
      <c r="AG703" s="3">
        <v>0</v>
      </c>
      <c r="AH703" s="3">
        <v>0.8</v>
      </c>
      <c r="AI703" s="3">
        <v>0.651215</v>
      </c>
      <c r="AJ703" s="3" t="s">
        <v>870</v>
      </c>
    </row>
    <row r="704" spans="1:36">
      <c r="A704" s="5">
        <v>43336</v>
      </c>
      <c r="B704" s="3" t="s">
        <v>2528</v>
      </c>
      <c r="C704" s="3" t="s">
        <v>2529</v>
      </c>
      <c r="D704" s="3" t="s">
        <v>2530</v>
      </c>
      <c r="E704" s="3" t="s">
        <v>2531</v>
      </c>
      <c r="F704" s="3" t="s">
        <v>867</v>
      </c>
      <c r="G704" s="3">
        <v>23</v>
      </c>
      <c r="H704" s="3">
        <v>0</v>
      </c>
      <c r="I704" s="3">
        <v>23</v>
      </c>
      <c r="J704" s="3">
        <v>0</v>
      </c>
      <c r="K704" s="3">
        <v>0</v>
      </c>
      <c r="L704" s="3">
        <v>0</v>
      </c>
      <c r="M704" s="3">
        <v>0</v>
      </c>
      <c r="N704" s="3" t="s">
        <v>868</v>
      </c>
      <c r="O704" s="3">
        <v>0</v>
      </c>
      <c r="P704" s="3">
        <v>0</v>
      </c>
      <c r="Q704" s="3">
        <v>0</v>
      </c>
      <c r="R704" s="3">
        <v>0</v>
      </c>
      <c r="S704" s="3">
        <v>0</v>
      </c>
      <c r="T704" s="3">
        <v>1</v>
      </c>
      <c r="U704" s="3">
        <v>1</v>
      </c>
      <c r="V704" s="3">
        <v>1</v>
      </c>
      <c r="W704" s="3"/>
      <c r="X704" s="3">
        <v>22.98</v>
      </c>
      <c r="Y704" s="3">
        <v>22.98</v>
      </c>
      <c r="Z704" s="3">
        <v>22.98</v>
      </c>
      <c r="AA704" s="3">
        <v>0</v>
      </c>
      <c r="AB704" s="3" t="s">
        <v>883</v>
      </c>
      <c r="AC704" s="3">
        <v>1</v>
      </c>
      <c r="AD704" s="3">
        <v>17.54</v>
      </c>
      <c r="AE704" s="3">
        <v>364</v>
      </c>
      <c r="AF704" s="3">
        <v>0</v>
      </c>
      <c r="AG704" s="3">
        <v>255.836492</v>
      </c>
      <c r="AH704" s="3">
        <v>0.423529411764705</v>
      </c>
      <c r="AI704" s="3">
        <v>2.081224</v>
      </c>
      <c r="AJ704" s="3" t="s">
        <v>870</v>
      </c>
    </row>
    <row r="705" spans="1:36">
      <c r="A705" s="5">
        <v>43336</v>
      </c>
      <c r="B705" s="3" t="s">
        <v>2532</v>
      </c>
      <c r="C705" s="3" t="s">
        <v>2533</v>
      </c>
      <c r="D705" s="3" t="s">
        <v>2534</v>
      </c>
      <c r="E705" s="3" t="s">
        <v>2535</v>
      </c>
      <c r="F705" s="3" t="s">
        <v>867</v>
      </c>
      <c r="G705" s="3">
        <v>6</v>
      </c>
      <c r="H705" s="3">
        <v>0</v>
      </c>
      <c r="I705" s="3">
        <v>6</v>
      </c>
      <c r="J705" s="3">
        <v>0</v>
      </c>
      <c r="K705" s="3">
        <v>0</v>
      </c>
      <c r="L705" s="3">
        <v>0</v>
      </c>
      <c r="M705" s="3">
        <v>0</v>
      </c>
      <c r="N705" s="3" t="s">
        <v>868</v>
      </c>
      <c r="O705" s="3">
        <v>0</v>
      </c>
      <c r="P705" s="3">
        <v>0</v>
      </c>
      <c r="Q705" s="3">
        <v>0</v>
      </c>
      <c r="R705" s="3">
        <v>0</v>
      </c>
      <c r="S705" s="3">
        <v>0</v>
      </c>
      <c r="T705" s="3">
        <v>0</v>
      </c>
      <c r="U705" s="3">
        <v>0</v>
      </c>
      <c r="V705" s="3">
        <v>0</v>
      </c>
      <c r="W705" s="3" t="s">
        <v>871</v>
      </c>
      <c r="X705" s="3">
        <v>21.98</v>
      </c>
      <c r="Y705" s="3">
        <v>21.98</v>
      </c>
      <c r="Z705" s="3">
        <v>21.98</v>
      </c>
      <c r="AA705" s="3">
        <v>0</v>
      </c>
      <c r="AB705" s="3" t="s">
        <v>869</v>
      </c>
      <c r="AC705" s="3">
        <v>6</v>
      </c>
      <c r="AD705" s="3">
        <v>21.98</v>
      </c>
      <c r="AE705" s="3">
        <v>0</v>
      </c>
      <c r="AF705" s="3">
        <v>0</v>
      </c>
      <c r="AG705" s="3">
        <v>0</v>
      </c>
      <c r="AH705" s="3">
        <v>0</v>
      </c>
      <c r="AI705" s="3">
        <v>0.82431</v>
      </c>
      <c r="AJ705" s="3" t="s">
        <v>925</v>
      </c>
    </row>
    <row r="706" spans="1:36">
      <c r="A706" s="5">
        <v>43336</v>
      </c>
      <c r="B706" s="3" t="s">
        <v>2536</v>
      </c>
      <c r="C706" s="3" t="s">
        <v>2537</v>
      </c>
      <c r="D706" s="3" t="s">
        <v>2538</v>
      </c>
      <c r="E706" s="3" t="s">
        <v>2539</v>
      </c>
      <c r="F706" s="3" t="s">
        <v>867</v>
      </c>
      <c r="G706" s="3">
        <v>24</v>
      </c>
      <c r="H706" s="3">
        <v>0</v>
      </c>
      <c r="I706" s="3">
        <v>24</v>
      </c>
      <c r="J706" s="3">
        <v>0</v>
      </c>
      <c r="K706" s="3">
        <v>0</v>
      </c>
      <c r="L706" s="3">
        <v>0</v>
      </c>
      <c r="M706" s="3">
        <v>0</v>
      </c>
      <c r="N706" s="3" t="s">
        <v>868</v>
      </c>
      <c r="O706" s="3">
        <v>0</v>
      </c>
      <c r="P706" s="3">
        <v>0</v>
      </c>
      <c r="Q706" s="3">
        <v>0</v>
      </c>
      <c r="R706" s="3">
        <v>0</v>
      </c>
      <c r="S706" s="3">
        <v>2</v>
      </c>
      <c r="T706" s="3">
        <v>6</v>
      </c>
      <c r="U706" s="3">
        <v>8</v>
      </c>
      <c r="V706" s="3">
        <v>8</v>
      </c>
      <c r="W706" s="3"/>
      <c r="X706" s="3">
        <v>22.98</v>
      </c>
      <c r="Y706" s="3">
        <v>22.98</v>
      </c>
      <c r="Z706" s="3">
        <v>22.98</v>
      </c>
      <c r="AA706" s="3">
        <v>0</v>
      </c>
      <c r="AB706" s="3" t="s">
        <v>869</v>
      </c>
      <c r="AC706" s="3">
        <v>24</v>
      </c>
      <c r="AD706" s="3">
        <v>22.98</v>
      </c>
      <c r="AE706" s="3">
        <v>0</v>
      </c>
      <c r="AF706" s="3">
        <v>0</v>
      </c>
      <c r="AG706" s="3">
        <v>0</v>
      </c>
      <c r="AH706" s="3">
        <v>0.28235294117647</v>
      </c>
      <c r="AI706" s="3">
        <v>2.171712</v>
      </c>
      <c r="AJ706" s="3" t="s">
        <v>870</v>
      </c>
    </row>
    <row r="707" spans="1:36">
      <c r="A707" s="5">
        <v>43336</v>
      </c>
      <c r="B707" s="3" t="s">
        <v>2540</v>
      </c>
      <c r="C707" s="3" t="s">
        <v>2541</v>
      </c>
      <c r="D707" s="3" t="s">
        <v>2541</v>
      </c>
      <c r="E707" s="3" t="s">
        <v>2542</v>
      </c>
      <c r="F707" s="3" t="s">
        <v>867</v>
      </c>
      <c r="G707" s="3">
        <v>15</v>
      </c>
      <c r="H707" s="3">
        <v>0</v>
      </c>
      <c r="I707" s="3">
        <v>0</v>
      </c>
      <c r="J707" s="3">
        <v>15</v>
      </c>
      <c r="K707" s="3">
        <v>0</v>
      </c>
      <c r="L707" s="3">
        <v>0</v>
      </c>
      <c r="M707" s="3">
        <v>0</v>
      </c>
      <c r="N707" s="3" t="s">
        <v>868</v>
      </c>
      <c r="O707" s="3">
        <v>0</v>
      </c>
      <c r="P707" s="3">
        <v>0</v>
      </c>
      <c r="Q707" s="3">
        <v>0</v>
      </c>
      <c r="R707" s="3">
        <v>0</v>
      </c>
      <c r="S707" s="3">
        <v>0</v>
      </c>
      <c r="T707" s="3">
        <v>2</v>
      </c>
      <c r="U707" s="3">
        <v>3</v>
      </c>
      <c r="V707" s="3">
        <v>4</v>
      </c>
      <c r="W707" s="3" t="s">
        <v>871</v>
      </c>
      <c r="X707" s="3">
        <v>22.99</v>
      </c>
      <c r="Y707" s="3">
        <v>22.99</v>
      </c>
      <c r="Z707" s="3">
        <v>22.99</v>
      </c>
      <c r="AA707" s="3">
        <v>0</v>
      </c>
      <c r="AB707" s="3" t="s">
        <v>883</v>
      </c>
      <c r="AC707" s="3">
        <v>0</v>
      </c>
      <c r="AD707" s="3">
        <v>16.04</v>
      </c>
      <c r="AE707" s="3">
        <v>315</v>
      </c>
      <c r="AF707" s="3">
        <v>0</v>
      </c>
      <c r="AG707" s="3">
        <v>225.353231</v>
      </c>
      <c r="AH707" s="3">
        <v>0.136752136752136</v>
      </c>
      <c r="AI707" s="3">
        <v>1.95744</v>
      </c>
      <c r="AJ707" s="3" t="s">
        <v>870</v>
      </c>
    </row>
    <row r="708" spans="1:36">
      <c r="A708" s="5">
        <v>43336</v>
      </c>
      <c r="B708" s="3" t="s">
        <v>2543</v>
      </c>
      <c r="C708" s="3" t="s">
        <v>2544</v>
      </c>
      <c r="D708" s="3" t="s">
        <v>2544</v>
      </c>
      <c r="E708" s="3" t="s">
        <v>2545</v>
      </c>
      <c r="F708" s="3" t="s">
        <v>867</v>
      </c>
      <c r="G708" s="3">
        <v>1</v>
      </c>
      <c r="H708" s="3">
        <v>0</v>
      </c>
      <c r="I708" s="3">
        <v>0</v>
      </c>
      <c r="J708" s="3">
        <v>1</v>
      </c>
      <c r="K708" s="3">
        <v>0</v>
      </c>
      <c r="L708" s="3">
        <v>0</v>
      </c>
      <c r="M708" s="3">
        <v>0</v>
      </c>
      <c r="N708" s="3" t="s">
        <v>868</v>
      </c>
      <c r="O708" s="3">
        <v>1</v>
      </c>
      <c r="P708" s="3">
        <v>0.3</v>
      </c>
      <c r="Q708" s="3">
        <v>0</v>
      </c>
      <c r="R708" s="3">
        <v>0</v>
      </c>
      <c r="S708" s="3">
        <v>0</v>
      </c>
      <c r="T708" s="3">
        <v>0</v>
      </c>
      <c r="U708" s="3">
        <v>0</v>
      </c>
      <c r="V708" s="3">
        <v>1</v>
      </c>
      <c r="W708" s="3" t="s">
        <v>936</v>
      </c>
      <c r="X708" s="3">
        <v>22.98</v>
      </c>
      <c r="Y708" s="3">
        <v>22.98</v>
      </c>
      <c r="Z708" s="3">
        <v>22.98</v>
      </c>
      <c r="AA708" s="3">
        <v>0</v>
      </c>
      <c r="AB708" s="3" t="s">
        <v>937</v>
      </c>
      <c r="AC708" s="3">
        <v>0</v>
      </c>
      <c r="AD708" s="3">
        <v>21.53</v>
      </c>
      <c r="AE708" s="3">
        <v>49</v>
      </c>
      <c r="AF708" s="3">
        <v>0</v>
      </c>
      <c r="AG708" s="3">
        <v>20.697892</v>
      </c>
      <c r="AH708" s="3">
        <v>0.8</v>
      </c>
      <c r="AI708" s="3">
        <v>0.087712</v>
      </c>
      <c r="AJ708" s="3" t="s">
        <v>870</v>
      </c>
    </row>
    <row r="709" spans="1:36">
      <c r="A709" s="5">
        <v>43336</v>
      </c>
      <c r="B709" s="3" t="s">
        <v>2546</v>
      </c>
      <c r="C709" s="3" t="s">
        <v>2547</v>
      </c>
      <c r="D709" s="3" t="s">
        <v>2547</v>
      </c>
      <c r="E709" s="3" t="s">
        <v>2548</v>
      </c>
      <c r="F709" s="3" t="s">
        <v>867</v>
      </c>
      <c r="G709" s="3">
        <v>6</v>
      </c>
      <c r="H709" s="3">
        <v>0</v>
      </c>
      <c r="I709" s="3">
        <v>6</v>
      </c>
      <c r="J709" s="3">
        <v>0</v>
      </c>
      <c r="K709" s="3">
        <v>0</v>
      </c>
      <c r="L709" s="3">
        <v>0</v>
      </c>
      <c r="M709" s="3">
        <v>0</v>
      </c>
      <c r="N709" s="3" t="s">
        <v>868</v>
      </c>
      <c r="O709" s="3">
        <v>0</v>
      </c>
      <c r="P709" s="3">
        <v>0</v>
      </c>
      <c r="Q709" s="3">
        <v>0</v>
      </c>
      <c r="R709" s="3">
        <v>0</v>
      </c>
      <c r="S709" s="3">
        <v>0</v>
      </c>
      <c r="T709" s="3">
        <v>0</v>
      </c>
      <c r="U709" s="3">
        <v>1</v>
      </c>
      <c r="V709" s="3">
        <v>43</v>
      </c>
      <c r="W709" s="3"/>
      <c r="X709" s="3"/>
      <c r="Y709" s="3"/>
      <c r="Z709" s="3">
        <v>-1</v>
      </c>
      <c r="AA709" s="3">
        <v>-1</v>
      </c>
      <c r="AB709" s="3" t="s">
        <v>891</v>
      </c>
      <c r="AC709" s="3">
        <v>0</v>
      </c>
      <c r="AD709" s="3">
        <v>0</v>
      </c>
      <c r="AE709" s="3">
        <v>0</v>
      </c>
      <c r="AF709" s="3">
        <v>0</v>
      </c>
      <c r="AG709" s="3">
        <v>0</v>
      </c>
      <c r="AH709" s="3">
        <v>5.73333333333333</v>
      </c>
      <c r="AI709" s="3">
        <v>0.25506</v>
      </c>
      <c r="AJ709" s="3" t="s">
        <v>870</v>
      </c>
    </row>
    <row r="710" spans="1:36">
      <c r="A710" s="5">
        <v>43336</v>
      </c>
      <c r="B710" s="3" t="s">
        <v>2549</v>
      </c>
      <c r="C710" s="3" t="s">
        <v>2550</v>
      </c>
      <c r="D710" s="3" t="s">
        <v>2550</v>
      </c>
      <c r="E710" s="3" t="s">
        <v>2551</v>
      </c>
      <c r="F710" s="3" t="s">
        <v>867</v>
      </c>
      <c r="G710" s="3">
        <v>12</v>
      </c>
      <c r="H710" s="3">
        <v>0</v>
      </c>
      <c r="I710" s="3">
        <v>12</v>
      </c>
      <c r="J710" s="3">
        <v>0</v>
      </c>
      <c r="K710" s="3">
        <v>0</v>
      </c>
      <c r="L710" s="3">
        <v>0</v>
      </c>
      <c r="M710" s="3">
        <v>0</v>
      </c>
      <c r="N710" s="3" t="s">
        <v>868</v>
      </c>
      <c r="O710" s="3">
        <v>0</v>
      </c>
      <c r="P710" s="3">
        <v>0</v>
      </c>
      <c r="Q710" s="3">
        <v>0</v>
      </c>
      <c r="R710" s="3">
        <v>0</v>
      </c>
      <c r="S710" s="3">
        <v>0</v>
      </c>
      <c r="T710" s="3">
        <v>6</v>
      </c>
      <c r="U710" s="3">
        <v>9</v>
      </c>
      <c r="V710" s="3">
        <v>17</v>
      </c>
      <c r="W710" s="3"/>
      <c r="X710" s="3">
        <v>22.98</v>
      </c>
      <c r="Y710" s="3">
        <v>22.98</v>
      </c>
      <c r="Z710" s="3">
        <v>22.98</v>
      </c>
      <c r="AA710" s="3">
        <v>0</v>
      </c>
      <c r="AB710" s="3" t="s">
        <v>869</v>
      </c>
      <c r="AC710" s="3">
        <v>12</v>
      </c>
      <c r="AD710" s="3">
        <v>22.98</v>
      </c>
      <c r="AE710" s="3">
        <v>0</v>
      </c>
      <c r="AF710" s="3">
        <v>0</v>
      </c>
      <c r="AG710" s="3">
        <v>0</v>
      </c>
      <c r="AH710" s="3">
        <v>1.11475409836065</v>
      </c>
      <c r="AI710" s="3">
        <v>1.002756</v>
      </c>
      <c r="AJ710" s="3" t="s">
        <v>870</v>
      </c>
    </row>
    <row r="711" spans="1:36">
      <c r="A711" s="5">
        <v>43336</v>
      </c>
      <c r="B711" s="3" t="s">
        <v>2552</v>
      </c>
      <c r="C711" s="3" t="s">
        <v>2553</v>
      </c>
      <c r="D711" s="3" t="s">
        <v>2554</v>
      </c>
      <c r="E711" s="3" t="s">
        <v>2555</v>
      </c>
      <c r="F711" s="3" t="s">
        <v>867</v>
      </c>
      <c r="G711" s="3">
        <v>7</v>
      </c>
      <c r="H711" s="3">
        <v>0</v>
      </c>
      <c r="I711" s="3">
        <v>7</v>
      </c>
      <c r="J711" s="3">
        <v>0</v>
      </c>
      <c r="K711" s="3">
        <v>0</v>
      </c>
      <c r="L711" s="3">
        <v>0</v>
      </c>
      <c r="M711" s="3">
        <v>0</v>
      </c>
      <c r="N711" s="3" t="s">
        <v>868</v>
      </c>
      <c r="O711" s="3">
        <v>0</v>
      </c>
      <c r="P711" s="3">
        <v>0</v>
      </c>
      <c r="Q711" s="3">
        <v>0</v>
      </c>
      <c r="R711" s="3">
        <v>0</v>
      </c>
      <c r="S711" s="3">
        <v>0</v>
      </c>
      <c r="T711" s="3">
        <v>0</v>
      </c>
      <c r="U711" s="3">
        <v>0</v>
      </c>
      <c r="V711" s="3">
        <v>0</v>
      </c>
      <c r="W711" s="3" t="s">
        <v>936</v>
      </c>
      <c r="X711" s="3">
        <v>22.99</v>
      </c>
      <c r="Y711" s="3">
        <v>22.99</v>
      </c>
      <c r="Z711" s="3">
        <v>22.99</v>
      </c>
      <c r="AA711" s="3">
        <v>0</v>
      </c>
      <c r="AB711" s="3" t="s">
        <v>937</v>
      </c>
      <c r="AC711" s="3">
        <v>0</v>
      </c>
      <c r="AD711" s="3">
        <v>18.99</v>
      </c>
      <c r="AE711" s="3">
        <v>63</v>
      </c>
      <c r="AF711" s="3">
        <v>0</v>
      </c>
      <c r="AG711" s="3">
        <v>143.372056</v>
      </c>
      <c r="AH711" s="3">
        <v>0</v>
      </c>
      <c r="AI711" s="3">
        <v>1.129233</v>
      </c>
      <c r="AJ711" s="3" t="s">
        <v>925</v>
      </c>
    </row>
    <row r="712" spans="1:36">
      <c r="A712" s="5">
        <v>43336</v>
      </c>
      <c r="B712" s="3" t="s">
        <v>401</v>
      </c>
      <c r="C712" s="3" t="s">
        <v>24</v>
      </c>
      <c r="D712" s="3" t="s">
        <v>24</v>
      </c>
      <c r="E712" s="3" t="s">
        <v>25</v>
      </c>
      <c r="F712" s="3" t="s">
        <v>867</v>
      </c>
      <c r="G712" s="3">
        <v>2</v>
      </c>
      <c r="H712" s="3">
        <v>0</v>
      </c>
      <c r="I712" s="3">
        <v>1</v>
      </c>
      <c r="J712" s="3">
        <v>1</v>
      </c>
      <c r="K712" s="3">
        <v>0</v>
      </c>
      <c r="L712" s="3">
        <v>0</v>
      </c>
      <c r="M712" s="3">
        <v>0</v>
      </c>
      <c r="N712" s="3" t="s">
        <v>868</v>
      </c>
      <c r="O712" s="3">
        <v>0</v>
      </c>
      <c r="P712" s="3">
        <v>0</v>
      </c>
      <c r="Q712" s="3">
        <v>0</v>
      </c>
      <c r="R712" s="3">
        <v>0</v>
      </c>
      <c r="S712" s="3">
        <v>1</v>
      </c>
      <c r="T712" s="3">
        <v>4</v>
      </c>
      <c r="U712" s="3">
        <v>4</v>
      </c>
      <c r="V712" s="3">
        <v>9</v>
      </c>
      <c r="W712" s="3"/>
      <c r="X712" s="3">
        <v>12.98</v>
      </c>
      <c r="Y712" s="3">
        <v>12.98</v>
      </c>
      <c r="Z712" s="3">
        <v>12.98</v>
      </c>
      <c r="AA712" s="3">
        <v>0</v>
      </c>
      <c r="AB712" s="3" t="s">
        <v>869</v>
      </c>
      <c r="AC712" s="3">
        <v>2</v>
      </c>
      <c r="AD712" s="3">
        <v>12.98</v>
      </c>
      <c r="AE712" s="3">
        <v>0</v>
      </c>
      <c r="AF712" s="3">
        <v>0</v>
      </c>
      <c r="AG712" s="3">
        <v>0</v>
      </c>
      <c r="AH712" s="3">
        <v>0.292682926829268</v>
      </c>
      <c r="AI712" s="3">
        <v>0.330556</v>
      </c>
      <c r="AJ712" s="3" t="s">
        <v>870</v>
      </c>
    </row>
    <row r="713" spans="1:36">
      <c r="A713" s="5">
        <v>43336</v>
      </c>
      <c r="B713" s="3" t="s">
        <v>768</v>
      </c>
      <c r="C713" s="3" t="s">
        <v>769</v>
      </c>
      <c r="D713" s="3" t="s">
        <v>770</v>
      </c>
      <c r="E713" s="3" t="s">
        <v>771</v>
      </c>
      <c r="F713" s="3" t="s">
        <v>867</v>
      </c>
      <c r="G713" s="3">
        <v>5</v>
      </c>
      <c r="H713" s="3">
        <v>0</v>
      </c>
      <c r="I713" s="3">
        <v>5</v>
      </c>
      <c r="J713" s="3">
        <v>0</v>
      </c>
      <c r="K713" s="3">
        <v>0</v>
      </c>
      <c r="L713" s="3">
        <v>0</v>
      </c>
      <c r="M713" s="3">
        <v>0</v>
      </c>
      <c r="N713" s="3" t="s">
        <v>868</v>
      </c>
      <c r="O713" s="3">
        <v>0</v>
      </c>
      <c r="P713" s="3">
        <v>0</v>
      </c>
      <c r="Q713" s="3">
        <v>0</v>
      </c>
      <c r="R713" s="3">
        <v>0</v>
      </c>
      <c r="S713" s="3">
        <v>0</v>
      </c>
      <c r="T713" s="3">
        <v>0</v>
      </c>
      <c r="U713" s="3">
        <v>0</v>
      </c>
      <c r="V713" s="3">
        <v>0</v>
      </c>
      <c r="W713" s="3" t="s">
        <v>871</v>
      </c>
      <c r="X713" s="3">
        <v>23.98</v>
      </c>
      <c r="Y713" s="3">
        <v>23.98</v>
      </c>
      <c r="Z713" s="3">
        <v>23.98</v>
      </c>
      <c r="AA713" s="3">
        <v>0</v>
      </c>
      <c r="AB713" s="3" t="s">
        <v>869</v>
      </c>
      <c r="AC713" s="3">
        <v>0</v>
      </c>
      <c r="AD713" s="3">
        <v>0</v>
      </c>
      <c r="AE713" s="3">
        <v>0</v>
      </c>
      <c r="AF713" s="3">
        <v>0</v>
      </c>
      <c r="AG713" s="3">
        <v>0</v>
      </c>
      <c r="AH713" s="3">
        <v>2.94736842105263</v>
      </c>
      <c r="AI713" s="3">
        <v>0.56875</v>
      </c>
      <c r="AJ713" s="3" t="s">
        <v>870</v>
      </c>
    </row>
    <row r="714" spans="1:36">
      <c r="A714" s="5">
        <v>43336</v>
      </c>
      <c r="B714" s="3" t="s">
        <v>497</v>
      </c>
      <c r="C714" s="3" t="s">
        <v>498</v>
      </c>
      <c r="D714" s="3" t="s">
        <v>498</v>
      </c>
      <c r="E714" s="3" t="s">
        <v>499</v>
      </c>
      <c r="F714" s="3" t="s">
        <v>867</v>
      </c>
      <c r="G714" s="3">
        <v>7</v>
      </c>
      <c r="H714" s="3">
        <v>0</v>
      </c>
      <c r="I714" s="3">
        <v>0</v>
      </c>
      <c r="J714" s="3">
        <v>7</v>
      </c>
      <c r="K714" s="3">
        <v>0</v>
      </c>
      <c r="L714" s="3">
        <v>0</v>
      </c>
      <c r="M714" s="3">
        <v>0</v>
      </c>
      <c r="N714" s="3" t="s">
        <v>868</v>
      </c>
      <c r="O714" s="3">
        <v>0</v>
      </c>
      <c r="P714" s="3">
        <v>0</v>
      </c>
      <c r="Q714" s="3">
        <v>0</v>
      </c>
      <c r="R714" s="3">
        <v>0</v>
      </c>
      <c r="S714" s="3">
        <v>7</v>
      </c>
      <c r="T714" s="3">
        <v>8</v>
      </c>
      <c r="U714" s="3">
        <v>9</v>
      </c>
      <c r="V714" s="3">
        <v>12</v>
      </c>
      <c r="W714" s="3"/>
      <c r="X714" s="3">
        <v>22.99</v>
      </c>
      <c r="Y714" s="3">
        <v>22.99</v>
      </c>
      <c r="Z714" s="3">
        <v>22.99</v>
      </c>
      <c r="AA714" s="3">
        <v>0</v>
      </c>
      <c r="AB714" s="3" t="s">
        <v>883</v>
      </c>
      <c r="AC714" s="3">
        <v>0</v>
      </c>
      <c r="AD714" s="3">
        <v>17.94</v>
      </c>
      <c r="AE714" s="3">
        <v>168</v>
      </c>
      <c r="AF714" s="3">
        <v>0</v>
      </c>
      <c r="AG714" s="3">
        <v>127.392321</v>
      </c>
      <c r="AH714" s="3">
        <v>0.786885245901639</v>
      </c>
      <c r="AI714" s="3">
        <v>1.021307</v>
      </c>
      <c r="AJ714" s="3" t="s">
        <v>870</v>
      </c>
    </row>
    <row r="715" spans="1:36">
      <c r="A715" s="5">
        <v>43336</v>
      </c>
      <c r="B715" s="3" t="s">
        <v>2556</v>
      </c>
      <c r="C715" s="3" t="s">
        <v>2557</v>
      </c>
      <c r="D715" s="3" t="s">
        <v>2557</v>
      </c>
      <c r="E715" s="3" t="s">
        <v>2558</v>
      </c>
      <c r="F715" s="3" t="s">
        <v>867</v>
      </c>
      <c r="G715" s="3">
        <v>1</v>
      </c>
      <c r="H715" s="3">
        <v>0</v>
      </c>
      <c r="I715" s="3">
        <v>0</v>
      </c>
      <c r="J715" s="3">
        <v>0</v>
      </c>
      <c r="K715" s="3">
        <v>1</v>
      </c>
      <c r="L715" s="3">
        <v>0</v>
      </c>
      <c r="M715" s="3">
        <v>0</v>
      </c>
      <c r="N715" s="3" t="s">
        <v>868</v>
      </c>
      <c r="O715" s="3">
        <v>1</v>
      </c>
      <c r="P715" s="3">
        <v>0.88</v>
      </c>
      <c r="Q715" s="3">
        <v>0</v>
      </c>
      <c r="R715" s="3">
        <v>0</v>
      </c>
      <c r="S715" s="3">
        <v>0</v>
      </c>
      <c r="T715" s="3">
        <v>0</v>
      </c>
      <c r="U715" s="3">
        <v>0</v>
      </c>
      <c r="V715" s="3">
        <v>0</v>
      </c>
      <c r="W715" s="3" t="s">
        <v>871</v>
      </c>
      <c r="X715" s="3">
        <v>49.98</v>
      </c>
      <c r="Y715" s="3">
        <v>29.98</v>
      </c>
      <c r="Z715" s="3">
        <v>29.98</v>
      </c>
      <c r="AA715" s="3">
        <v>0</v>
      </c>
      <c r="AB715" s="3" t="s">
        <v>883</v>
      </c>
      <c r="AC715" s="3">
        <v>0</v>
      </c>
      <c r="AD715" s="3">
        <v>28.2</v>
      </c>
      <c r="AE715" s="3">
        <v>21</v>
      </c>
      <c r="AF715" s="3">
        <v>0</v>
      </c>
      <c r="AG715" s="3">
        <v>45.806146</v>
      </c>
      <c r="AH715" s="3">
        <v>0</v>
      </c>
      <c r="AI715" s="3">
        <v>0.255792</v>
      </c>
      <c r="AJ715" s="3" t="s">
        <v>870</v>
      </c>
    </row>
    <row r="716" spans="1:36">
      <c r="A716" s="5">
        <v>43336</v>
      </c>
      <c r="B716" s="3" t="s">
        <v>2559</v>
      </c>
      <c r="C716" s="3" t="s">
        <v>2560</v>
      </c>
      <c r="D716" s="3" t="s">
        <v>2560</v>
      </c>
      <c r="E716" s="3" t="s">
        <v>2561</v>
      </c>
      <c r="F716" s="3" t="s">
        <v>867</v>
      </c>
      <c r="G716" s="3">
        <v>2</v>
      </c>
      <c r="H716" s="3">
        <v>0</v>
      </c>
      <c r="I716" s="3">
        <v>1</v>
      </c>
      <c r="J716" s="3">
        <v>1</v>
      </c>
      <c r="K716" s="3">
        <v>0</v>
      </c>
      <c r="L716" s="3">
        <v>0</v>
      </c>
      <c r="M716" s="3">
        <v>0</v>
      </c>
      <c r="N716" s="3" t="s">
        <v>868</v>
      </c>
      <c r="O716" s="3">
        <v>0</v>
      </c>
      <c r="P716" s="3">
        <v>0</v>
      </c>
      <c r="Q716" s="3">
        <v>0</v>
      </c>
      <c r="R716" s="3">
        <v>0</v>
      </c>
      <c r="S716" s="3">
        <v>0</v>
      </c>
      <c r="T716" s="3">
        <v>1</v>
      </c>
      <c r="U716" s="3">
        <v>3</v>
      </c>
      <c r="V716" s="3">
        <v>6</v>
      </c>
      <c r="W716" s="3" t="s">
        <v>871</v>
      </c>
      <c r="X716" s="3">
        <v>22.99</v>
      </c>
      <c r="Y716" s="3">
        <v>22.99</v>
      </c>
      <c r="Z716" s="3">
        <v>22.99</v>
      </c>
      <c r="AA716" s="3">
        <v>0</v>
      </c>
      <c r="AB716" s="3" t="s">
        <v>883</v>
      </c>
      <c r="AC716" s="3">
        <v>2</v>
      </c>
      <c r="AD716" s="3">
        <v>22.98</v>
      </c>
      <c r="AE716" s="3">
        <v>0</v>
      </c>
      <c r="AF716" s="3">
        <v>0</v>
      </c>
      <c r="AG716" s="3">
        <v>0</v>
      </c>
      <c r="AH716" s="3">
        <v>0.324324324324324</v>
      </c>
      <c r="AI716" s="3">
        <v>0.325024</v>
      </c>
      <c r="AJ716" s="3" t="s">
        <v>870</v>
      </c>
    </row>
    <row r="717" spans="1:36">
      <c r="A717" s="5">
        <v>43336</v>
      </c>
      <c r="B717" s="3" t="s">
        <v>817</v>
      </c>
      <c r="C717" s="3" t="s">
        <v>818</v>
      </c>
      <c r="D717" s="3" t="s">
        <v>786</v>
      </c>
      <c r="E717" s="3" t="s">
        <v>787</v>
      </c>
      <c r="F717" s="3" t="s">
        <v>867</v>
      </c>
      <c r="G717" s="3">
        <v>7</v>
      </c>
      <c r="H717" s="3">
        <v>0</v>
      </c>
      <c r="I717" s="3">
        <v>7</v>
      </c>
      <c r="J717" s="3">
        <v>0</v>
      </c>
      <c r="K717" s="3">
        <v>0</v>
      </c>
      <c r="L717" s="3">
        <v>0</v>
      </c>
      <c r="M717" s="3">
        <v>0</v>
      </c>
      <c r="N717" s="3" t="s">
        <v>868</v>
      </c>
      <c r="O717" s="3">
        <v>0</v>
      </c>
      <c r="P717" s="3">
        <v>0</v>
      </c>
      <c r="Q717" s="3">
        <v>0</v>
      </c>
      <c r="R717" s="3">
        <v>0</v>
      </c>
      <c r="S717" s="3">
        <v>0</v>
      </c>
      <c r="T717" s="3">
        <v>0</v>
      </c>
      <c r="U717" s="3">
        <v>5</v>
      </c>
      <c r="V717" s="3">
        <v>5</v>
      </c>
      <c r="W717" s="3" t="s">
        <v>871</v>
      </c>
      <c r="X717" s="3">
        <v>22.98</v>
      </c>
      <c r="Y717" s="3">
        <v>22.98</v>
      </c>
      <c r="Z717" s="3">
        <v>22.98</v>
      </c>
      <c r="AA717" s="3">
        <v>0</v>
      </c>
      <c r="AB717" s="3" t="s">
        <v>869</v>
      </c>
      <c r="AC717" s="3">
        <v>0</v>
      </c>
      <c r="AD717" s="3">
        <v>0</v>
      </c>
      <c r="AE717" s="3">
        <v>0</v>
      </c>
      <c r="AF717" s="3">
        <v>0</v>
      </c>
      <c r="AG717" s="3">
        <v>0</v>
      </c>
      <c r="AH717" s="3">
        <v>2.33333333333333</v>
      </c>
      <c r="AI717" s="3">
        <v>0.465654</v>
      </c>
      <c r="AJ717" s="3" t="s">
        <v>870</v>
      </c>
    </row>
    <row r="718" spans="1:36">
      <c r="A718" s="5">
        <v>43336</v>
      </c>
      <c r="B718" s="3" t="s">
        <v>2562</v>
      </c>
      <c r="C718" s="3" t="s">
        <v>2563</v>
      </c>
      <c r="D718" s="3" t="s">
        <v>1531</v>
      </c>
      <c r="E718" s="3" t="s">
        <v>1532</v>
      </c>
      <c r="F718" s="3" t="s">
        <v>867</v>
      </c>
      <c r="G718" s="3">
        <v>2</v>
      </c>
      <c r="H718" s="3">
        <v>0</v>
      </c>
      <c r="I718" s="3">
        <v>2</v>
      </c>
      <c r="J718" s="3">
        <v>0</v>
      </c>
      <c r="K718" s="3">
        <v>0</v>
      </c>
      <c r="L718" s="3">
        <v>0</v>
      </c>
      <c r="M718" s="3">
        <v>0</v>
      </c>
      <c r="N718" s="3" t="s">
        <v>868</v>
      </c>
      <c r="O718" s="3">
        <v>0</v>
      </c>
      <c r="P718" s="3">
        <v>0</v>
      </c>
      <c r="Q718" s="3">
        <v>0</v>
      </c>
      <c r="R718" s="3">
        <v>0</v>
      </c>
      <c r="S718" s="3">
        <v>1</v>
      </c>
      <c r="T718" s="3">
        <v>3</v>
      </c>
      <c r="U718" s="3">
        <v>5</v>
      </c>
      <c r="V718" s="3">
        <v>5</v>
      </c>
      <c r="W718" s="3"/>
      <c r="X718" s="3">
        <v>21.98</v>
      </c>
      <c r="Y718" s="3">
        <v>21.98</v>
      </c>
      <c r="Z718" s="3">
        <v>21.98</v>
      </c>
      <c r="AA718" s="3">
        <v>0</v>
      </c>
      <c r="AB718" s="3" t="s">
        <v>869</v>
      </c>
      <c r="AC718" s="3">
        <v>2</v>
      </c>
      <c r="AD718" s="3">
        <v>21.98</v>
      </c>
      <c r="AE718" s="3">
        <v>0</v>
      </c>
      <c r="AF718" s="3">
        <v>0</v>
      </c>
      <c r="AG718" s="3">
        <v>0</v>
      </c>
      <c r="AH718" s="3">
        <v>0.732394366197183</v>
      </c>
      <c r="AI718" s="3">
        <v>0.136</v>
      </c>
      <c r="AJ718" s="3" t="s">
        <v>870</v>
      </c>
    </row>
    <row r="719" spans="1:36">
      <c r="A719" s="5">
        <v>43336</v>
      </c>
      <c r="B719" s="3" t="s">
        <v>2564</v>
      </c>
      <c r="C719" s="3" t="s">
        <v>2565</v>
      </c>
      <c r="D719" s="3" t="s">
        <v>2566</v>
      </c>
      <c r="E719" s="3" t="s">
        <v>2567</v>
      </c>
      <c r="F719" s="3" t="s">
        <v>867</v>
      </c>
      <c r="G719" s="3">
        <v>5</v>
      </c>
      <c r="H719" s="3">
        <v>0</v>
      </c>
      <c r="I719" s="3">
        <v>5</v>
      </c>
      <c r="J719" s="3">
        <v>0</v>
      </c>
      <c r="K719" s="3">
        <v>0</v>
      </c>
      <c r="L719" s="3">
        <v>0</v>
      </c>
      <c r="M719" s="3">
        <v>0</v>
      </c>
      <c r="N719" s="3" t="s">
        <v>868</v>
      </c>
      <c r="O719" s="3">
        <v>0</v>
      </c>
      <c r="P719" s="3">
        <v>0</v>
      </c>
      <c r="Q719" s="3">
        <v>0</v>
      </c>
      <c r="R719" s="3">
        <v>0</v>
      </c>
      <c r="S719" s="3">
        <v>0</v>
      </c>
      <c r="T719" s="3">
        <v>0</v>
      </c>
      <c r="U719" s="3">
        <v>0</v>
      </c>
      <c r="V719" s="3">
        <v>0</v>
      </c>
      <c r="W719" s="3" t="s">
        <v>936</v>
      </c>
      <c r="X719" s="3">
        <v>17.99</v>
      </c>
      <c r="Y719" s="3">
        <v>17.99</v>
      </c>
      <c r="Z719" s="3">
        <v>17.99</v>
      </c>
      <c r="AA719" s="3">
        <v>0</v>
      </c>
      <c r="AB719" s="3" t="s">
        <v>937</v>
      </c>
      <c r="AC719" s="3">
        <v>5</v>
      </c>
      <c r="AD719" s="3">
        <v>17.99</v>
      </c>
      <c r="AE719" s="3">
        <v>0</v>
      </c>
      <c r="AF719" s="3">
        <v>0</v>
      </c>
      <c r="AG719" s="3">
        <v>0</v>
      </c>
      <c r="AH719" s="3">
        <v>0</v>
      </c>
      <c r="AI719" s="3">
        <v>0.57823</v>
      </c>
      <c r="AJ719" s="3" t="s">
        <v>925</v>
      </c>
    </row>
    <row r="720" spans="1:36">
      <c r="A720" s="5">
        <v>43336</v>
      </c>
      <c r="B720" s="3" t="s">
        <v>2568</v>
      </c>
      <c r="C720" s="3" t="s">
        <v>2569</v>
      </c>
      <c r="D720" s="3" t="s">
        <v>2570</v>
      </c>
      <c r="E720" s="3" t="s">
        <v>2571</v>
      </c>
      <c r="F720" s="3" t="s">
        <v>867</v>
      </c>
      <c r="G720" s="3">
        <v>4</v>
      </c>
      <c r="H720" s="3">
        <v>0</v>
      </c>
      <c r="I720" s="3">
        <v>4</v>
      </c>
      <c r="J720" s="3">
        <v>0</v>
      </c>
      <c r="K720" s="3">
        <v>0</v>
      </c>
      <c r="L720" s="3">
        <v>0</v>
      </c>
      <c r="M720" s="3">
        <v>0</v>
      </c>
      <c r="N720" s="3" t="s">
        <v>868</v>
      </c>
      <c r="O720" s="3">
        <v>0</v>
      </c>
      <c r="P720" s="3">
        <v>0</v>
      </c>
      <c r="Q720" s="3">
        <v>0</v>
      </c>
      <c r="R720" s="3">
        <v>0</v>
      </c>
      <c r="S720" s="3">
        <v>0</v>
      </c>
      <c r="T720" s="3">
        <v>0</v>
      </c>
      <c r="U720" s="3">
        <v>0</v>
      </c>
      <c r="V720" s="3">
        <v>0</v>
      </c>
      <c r="W720" s="3" t="s">
        <v>871</v>
      </c>
      <c r="X720" s="3">
        <v>26.98</v>
      </c>
      <c r="Y720" s="3">
        <v>26.98</v>
      </c>
      <c r="Z720" s="3">
        <v>26.98</v>
      </c>
      <c r="AA720" s="3">
        <v>0</v>
      </c>
      <c r="AB720" s="3" t="s">
        <v>883</v>
      </c>
      <c r="AC720" s="3">
        <v>0</v>
      </c>
      <c r="AD720" s="3">
        <v>21.58</v>
      </c>
      <c r="AE720" s="3">
        <v>63</v>
      </c>
      <c r="AF720" s="3">
        <v>0</v>
      </c>
      <c r="AG720" s="3">
        <v>90.603823</v>
      </c>
      <c r="AH720" s="3">
        <v>0</v>
      </c>
      <c r="AI720" s="3">
        <v>0.529304</v>
      </c>
      <c r="AJ720" s="3" t="s">
        <v>870</v>
      </c>
    </row>
    <row r="721" spans="1:36">
      <c r="A721" s="5">
        <v>43336</v>
      </c>
      <c r="B721" s="3" t="s">
        <v>2572</v>
      </c>
      <c r="C721" s="3" t="s">
        <v>2573</v>
      </c>
      <c r="D721" s="3" t="s">
        <v>2574</v>
      </c>
      <c r="E721" s="3" t="s">
        <v>2575</v>
      </c>
      <c r="F721" s="3" t="s">
        <v>867</v>
      </c>
      <c r="G721" s="3">
        <v>12</v>
      </c>
      <c r="H721" s="3">
        <v>0</v>
      </c>
      <c r="I721" s="3">
        <v>12</v>
      </c>
      <c r="J721" s="3">
        <v>0</v>
      </c>
      <c r="K721" s="3">
        <v>0</v>
      </c>
      <c r="L721" s="3">
        <v>0</v>
      </c>
      <c r="M721" s="3">
        <v>0</v>
      </c>
      <c r="N721" s="3" t="s">
        <v>868</v>
      </c>
      <c r="O721" s="3">
        <v>0</v>
      </c>
      <c r="P721" s="3">
        <v>0</v>
      </c>
      <c r="Q721" s="3">
        <v>0</v>
      </c>
      <c r="R721" s="3">
        <v>0</v>
      </c>
      <c r="S721" s="3">
        <v>3</v>
      </c>
      <c r="T721" s="3">
        <v>3</v>
      </c>
      <c r="U721" s="3">
        <v>5</v>
      </c>
      <c r="V721" s="3">
        <v>5</v>
      </c>
      <c r="W721" s="3"/>
      <c r="X721" s="3">
        <v>22.98</v>
      </c>
      <c r="Y721" s="3">
        <v>22.98</v>
      </c>
      <c r="Z721" s="3">
        <v>22.98</v>
      </c>
      <c r="AA721" s="3">
        <v>0</v>
      </c>
      <c r="AB721" s="3" t="s">
        <v>869</v>
      </c>
      <c r="AC721" s="3">
        <v>12</v>
      </c>
      <c r="AD721" s="3">
        <v>22.98</v>
      </c>
      <c r="AE721" s="3">
        <v>0</v>
      </c>
      <c r="AF721" s="3">
        <v>0</v>
      </c>
      <c r="AG721" s="3">
        <v>0</v>
      </c>
      <c r="AH721" s="3">
        <v>3.47058823529411</v>
      </c>
      <c r="AI721" s="3">
        <v>1.796316</v>
      </c>
      <c r="AJ721" s="3" t="s">
        <v>870</v>
      </c>
    </row>
    <row r="722" spans="1:36">
      <c r="A722" s="5">
        <v>43336</v>
      </c>
      <c r="B722" s="3" t="s">
        <v>2576</v>
      </c>
      <c r="C722" s="3" t="s">
        <v>2577</v>
      </c>
      <c r="D722" s="3" t="s">
        <v>2578</v>
      </c>
      <c r="E722" s="3" t="s">
        <v>2579</v>
      </c>
      <c r="F722" s="3" t="s">
        <v>867</v>
      </c>
      <c r="G722" s="3">
        <v>6</v>
      </c>
      <c r="H722" s="3">
        <v>0</v>
      </c>
      <c r="I722" s="3">
        <v>6</v>
      </c>
      <c r="J722" s="3">
        <v>0</v>
      </c>
      <c r="K722" s="3">
        <v>0</v>
      </c>
      <c r="L722" s="3">
        <v>0</v>
      </c>
      <c r="M722" s="3">
        <v>0</v>
      </c>
      <c r="N722" s="3" t="s">
        <v>868</v>
      </c>
      <c r="O722" s="3">
        <v>0</v>
      </c>
      <c r="P722" s="3">
        <v>0</v>
      </c>
      <c r="Q722" s="3">
        <v>0</v>
      </c>
      <c r="R722" s="3">
        <v>0</v>
      </c>
      <c r="S722" s="3">
        <v>0</v>
      </c>
      <c r="T722" s="3">
        <v>0</v>
      </c>
      <c r="U722" s="3">
        <v>0</v>
      </c>
      <c r="V722" s="3">
        <v>0</v>
      </c>
      <c r="W722" s="3" t="s">
        <v>871</v>
      </c>
      <c r="X722" s="3">
        <v>17.99</v>
      </c>
      <c r="Y722" s="3">
        <v>17.99</v>
      </c>
      <c r="Z722" s="3">
        <v>17.99</v>
      </c>
      <c r="AA722" s="3">
        <v>0</v>
      </c>
      <c r="AB722" s="3" t="s">
        <v>869</v>
      </c>
      <c r="AC722" s="3">
        <v>0</v>
      </c>
      <c r="AD722" s="3">
        <v>17.99</v>
      </c>
      <c r="AE722" s="3">
        <v>63</v>
      </c>
      <c r="AF722" s="3">
        <v>0</v>
      </c>
      <c r="AG722" s="3">
        <v>100.883198</v>
      </c>
      <c r="AH722" s="3">
        <v>0</v>
      </c>
      <c r="AI722" s="3">
        <v>0.840402</v>
      </c>
      <c r="AJ722" s="3" t="s">
        <v>925</v>
      </c>
    </row>
    <row r="723" spans="1:36">
      <c r="A723" s="5">
        <v>43336</v>
      </c>
      <c r="B723" s="3" t="s">
        <v>2580</v>
      </c>
      <c r="C723" s="3" t="s">
        <v>2581</v>
      </c>
      <c r="D723" s="3" t="s">
        <v>2581</v>
      </c>
      <c r="E723" s="3" t="s">
        <v>2582</v>
      </c>
      <c r="F723" s="3" t="s">
        <v>867</v>
      </c>
      <c r="G723" s="3">
        <v>2</v>
      </c>
      <c r="H723" s="3">
        <v>0</v>
      </c>
      <c r="I723" s="3">
        <v>2</v>
      </c>
      <c r="J723" s="3">
        <v>0</v>
      </c>
      <c r="K723" s="3">
        <v>0</v>
      </c>
      <c r="L723" s="3">
        <v>0</v>
      </c>
      <c r="M723" s="3">
        <v>0</v>
      </c>
      <c r="N723" s="3" t="s">
        <v>868</v>
      </c>
      <c r="O723" s="3">
        <v>0</v>
      </c>
      <c r="P723" s="3">
        <v>0</v>
      </c>
      <c r="Q723" s="3">
        <v>0</v>
      </c>
      <c r="R723" s="3">
        <v>0</v>
      </c>
      <c r="S723" s="3">
        <v>3</v>
      </c>
      <c r="T723" s="3">
        <v>10</v>
      </c>
      <c r="U723" s="3">
        <v>15</v>
      </c>
      <c r="V723" s="3">
        <v>26</v>
      </c>
      <c r="W723" s="3"/>
      <c r="X723" s="3">
        <v>22.98</v>
      </c>
      <c r="Y723" s="3">
        <v>22.98</v>
      </c>
      <c r="Z723" s="3">
        <v>22.98</v>
      </c>
      <c r="AA723" s="3">
        <v>0</v>
      </c>
      <c r="AB723" s="3" t="s">
        <v>869</v>
      </c>
      <c r="AC723" s="3">
        <v>3</v>
      </c>
      <c r="AD723" s="3">
        <v>22.98</v>
      </c>
      <c r="AE723" s="3">
        <v>0</v>
      </c>
      <c r="AF723" s="3">
        <v>0</v>
      </c>
      <c r="AG723" s="3">
        <v>0</v>
      </c>
      <c r="AH723" s="3">
        <v>1.92592592592592</v>
      </c>
      <c r="AI723" s="3">
        <v>0.006154</v>
      </c>
      <c r="AJ723" s="3" t="s">
        <v>870</v>
      </c>
    </row>
    <row r="724" spans="1:36">
      <c r="A724" s="5">
        <v>43336</v>
      </c>
      <c r="B724" s="3" t="s">
        <v>2583</v>
      </c>
      <c r="C724" s="3" t="s">
        <v>2584</v>
      </c>
      <c r="D724" s="3" t="s">
        <v>2169</v>
      </c>
      <c r="E724" s="3" t="s">
        <v>2170</v>
      </c>
      <c r="F724" s="3" t="s">
        <v>867</v>
      </c>
      <c r="G724" s="3">
        <v>11</v>
      </c>
      <c r="H724" s="3">
        <v>0</v>
      </c>
      <c r="I724" s="3">
        <v>11</v>
      </c>
      <c r="J724" s="3">
        <v>0</v>
      </c>
      <c r="K724" s="3">
        <v>0</v>
      </c>
      <c r="L724" s="3">
        <v>0</v>
      </c>
      <c r="M724" s="3">
        <v>0</v>
      </c>
      <c r="N724" s="3" t="s">
        <v>868</v>
      </c>
      <c r="O724" s="3">
        <v>0</v>
      </c>
      <c r="P724" s="3">
        <v>0</v>
      </c>
      <c r="Q724" s="3">
        <v>0</v>
      </c>
      <c r="R724" s="3">
        <v>0</v>
      </c>
      <c r="S724" s="3">
        <v>0</v>
      </c>
      <c r="T724" s="3">
        <v>0</v>
      </c>
      <c r="U724" s="3">
        <v>0</v>
      </c>
      <c r="V724" s="3">
        <v>0</v>
      </c>
      <c r="W724" s="3" t="s">
        <v>871</v>
      </c>
      <c r="X724" s="3">
        <v>26.98</v>
      </c>
      <c r="Y724" s="3">
        <v>26.98</v>
      </c>
      <c r="Z724" s="3">
        <v>26.98</v>
      </c>
      <c r="AA724" s="3">
        <v>0</v>
      </c>
      <c r="AB724" s="3" t="s">
        <v>883</v>
      </c>
      <c r="AC724" s="3">
        <v>0</v>
      </c>
      <c r="AD724" s="3">
        <v>21.09</v>
      </c>
      <c r="AE724" s="3">
        <v>364</v>
      </c>
      <c r="AF724" s="3">
        <v>0</v>
      </c>
      <c r="AG724" s="3">
        <v>89.305664</v>
      </c>
      <c r="AH724" s="3">
        <v>0.258064516129032</v>
      </c>
      <c r="AI724" s="3">
        <v>0.671132</v>
      </c>
      <c r="AJ724" s="3" t="s">
        <v>870</v>
      </c>
    </row>
    <row r="725" spans="1:36">
      <c r="A725" s="5">
        <v>43336</v>
      </c>
      <c r="B725" s="3" t="s">
        <v>2585</v>
      </c>
      <c r="C725" s="3" t="s">
        <v>2586</v>
      </c>
      <c r="D725" s="3" t="s">
        <v>1900</v>
      </c>
      <c r="E725" s="3" t="s">
        <v>1901</v>
      </c>
      <c r="F725" s="3" t="s">
        <v>867</v>
      </c>
      <c r="G725" s="3">
        <v>10</v>
      </c>
      <c r="H725" s="3">
        <v>0</v>
      </c>
      <c r="I725" s="3">
        <v>10</v>
      </c>
      <c r="J725" s="3">
        <v>0</v>
      </c>
      <c r="K725" s="3">
        <v>0</v>
      </c>
      <c r="L725" s="3">
        <v>0</v>
      </c>
      <c r="M725" s="3">
        <v>0</v>
      </c>
      <c r="N725" s="3" t="s">
        <v>868</v>
      </c>
      <c r="O725" s="3">
        <v>0</v>
      </c>
      <c r="P725" s="3">
        <v>0</v>
      </c>
      <c r="Q725" s="3">
        <v>0</v>
      </c>
      <c r="R725" s="3">
        <v>0</v>
      </c>
      <c r="S725" s="3">
        <v>0</v>
      </c>
      <c r="T725" s="3">
        <v>0</v>
      </c>
      <c r="U725" s="3">
        <v>0</v>
      </c>
      <c r="V725" s="3">
        <v>0</v>
      </c>
      <c r="W725" s="3" t="s">
        <v>871</v>
      </c>
      <c r="X725" s="3">
        <v>24.98</v>
      </c>
      <c r="Y725" s="3">
        <v>24.98</v>
      </c>
      <c r="Z725" s="3">
        <v>20.98</v>
      </c>
      <c r="AA725" s="3">
        <v>0</v>
      </c>
      <c r="AB725" s="3" t="s">
        <v>869</v>
      </c>
      <c r="AC725" s="3">
        <v>10</v>
      </c>
      <c r="AD725" s="3">
        <v>24.98</v>
      </c>
      <c r="AE725" s="3">
        <v>0</v>
      </c>
      <c r="AF725" s="3">
        <v>0</v>
      </c>
      <c r="AG725" s="3">
        <v>0</v>
      </c>
      <c r="AH725" s="3">
        <v>0.28169014084507</v>
      </c>
      <c r="AI725" s="3">
        <v>1.16493</v>
      </c>
      <c r="AJ725" s="3" t="s">
        <v>870</v>
      </c>
    </row>
    <row r="726" spans="1:36">
      <c r="A726" s="5">
        <v>43336</v>
      </c>
      <c r="B726" s="3" t="s">
        <v>2587</v>
      </c>
      <c r="C726" s="3" t="s">
        <v>2588</v>
      </c>
      <c r="D726" s="3" t="s">
        <v>2588</v>
      </c>
      <c r="E726" s="3" t="s">
        <v>2589</v>
      </c>
      <c r="F726" s="3" t="s">
        <v>867</v>
      </c>
      <c r="G726" s="3">
        <v>4</v>
      </c>
      <c r="H726" s="3">
        <v>0</v>
      </c>
      <c r="I726" s="3">
        <v>0</v>
      </c>
      <c r="J726" s="3">
        <v>4</v>
      </c>
      <c r="K726" s="3">
        <v>0</v>
      </c>
      <c r="L726" s="3">
        <v>0</v>
      </c>
      <c r="M726" s="3">
        <v>0</v>
      </c>
      <c r="N726" s="3" t="s">
        <v>868</v>
      </c>
      <c r="O726" s="3">
        <v>0</v>
      </c>
      <c r="P726" s="3">
        <v>0</v>
      </c>
      <c r="Q726" s="3">
        <v>0</v>
      </c>
      <c r="R726" s="3">
        <v>0</v>
      </c>
      <c r="S726" s="3">
        <v>0</v>
      </c>
      <c r="T726" s="3">
        <v>3</v>
      </c>
      <c r="U726" s="3">
        <v>4</v>
      </c>
      <c r="V726" s="3">
        <v>4</v>
      </c>
      <c r="W726" s="3"/>
      <c r="X726" s="3">
        <v>22.98</v>
      </c>
      <c r="Y726" s="3">
        <v>22.98</v>
      </c>
      <c r="Z726" s="3">
        <v>22.98</v>
      </c>
      <c r="AA726" s="3">
        <v>0</v>
      </c>
      <c r="AB726" s="3" t="s">
        <v>869</v>
      </c>
      <c r="AC726" s="3">
        <v>4</v>
      </c>
      <c r="AD726" s="3">
        <v>22.98</v>
      </c>
      <c r="AE726" s="3">
        <v>0</v>
      </c>
      <c r="AF726" s="3">
        <v>0</v>
      </c>
      <c r="AG726" s="3">
        <v>0</v>
      </c>
      <c r="AH726" s="3">
        <v>0.592592592592592</v>
      </c>
      <c r="AI726" s="3">
        <v>0.334252</v>
      </c>
      <c r="AJ726" s="3" t="s">
        <v>870</v>
      </c>
    </row>
    <row r="727" spans="1:36">
      <c r="A727" s="5">
        <v>43336</v>
      </c>
      <c r="B727" s="3" t="s">
        <v>2590</v>
      </c>
      <c r="C727" s="3" t="s">
        <v>2591</v>
      </c>
      <c r="D727" s="3" t="s">
        <v>2592</v>
      </c>
      <c r="E727" s="3" t="s">
        <v>2593</v>
      </c>
      <c r="F727" s="3" t="s">
        <v>867</v>
      </c>
      <c r="G727" s="3">
        <v>6</v>
      </c>
      <c r="H727" s="3">
        <v>0</v>
      </c>
      <c r="I727" s="3">
        <v>6</v>
      </c>
      <c r="J727" s="3">
        <v>0</v>
      </c>
      <c r="K727" s="3">
        <v>0</v>
      </c>
      <c r="L727" s="3">
        <v>0</v>
      </c>
      <c r="M727" s="3">
        <v>0</v>
      </c>
      <c r="N727" s="3" t="s">
        <v>868</v>
      </c>
      <c r="O727" s="3">
        <v>0</v>
      </c>
      <c r="P727" s="3">
        <v>0</v>
      </c>
      <c r="Q727" s="3">
        <v>0</v>
      </c>
      <c r="R727" s="3">
        <v>0</v>
      </c>
      <c r="S727" s="3">
        <v>0</v>
      </c>
      <c r="T727" s="3">
        <v>0</v>
      </c>
      <c r="U727" s="3">
        <v>0</v>
      </c>
      <c r="V727" s="3">
        <v>0</v>
      </c>
      <c r="W727" s="3" t="s">
        <v>936</v>
      </c>
      <c r="X727" s="3">
        <v>22.98</v>
      </c>
      <c r="Y727" s="3">
        <v>22.98</v>
      </c>
      <c r="Z727" s="3">
        <v>22.98</v>
      </c>
      <c r="AA727" s="3">
        <v>0</v>
      </c>
      <c r="AB727" s="3" t="s">
        <v>937</v>
      </c>
      <c r="AC727" s="3">
        <v>0</v>
      </c>
      <c r="AD727" s="3">
        <v>18.38</v>
      </c>
      <c r="AE727" s="3">
        <v>63</v>
      </c>
      <c r="AF727" s="3">
        <v>0</v>
      </c>
      <c r="AG727" s="3">
        <v>71.2739</v>
      </c>
      <c r="AH727" s="3">
        <v>0</v>
      </c>
      <c r="AI727" s="3">
        <v>0.559134</v>
      </c>
      <c r="AJ727" s="3" t="s">
        <v>925</v>
      </c>
    </row>
    <row r="728" spans="1:36">
      <c r="A728" s="5">
        <v>43336</v>
      </c>
      <c r="B728" s="3" t="s">
        <v>2594</v>
      </c>
      <c r="C728" s="3" t="s">
        <v>2595</v>
      </c>
      <c r="D728" s="3" t="s">
        <v>2595</v>
      </c>
      <c r="E728" s="3" t="s">
        <v>2596</v>
      </c>
      <c r="F728" s="3" t="s">
        <v>867</v>
      </c>
      <c r="G728" s="3">
        <v>8</v>
      </c>
      <c r="H728" s="3">
        <v>0</v>
      </c>
      <c r="I728" s="3">
        <v>8</v>
      </c>
      <c r="J728" s="3">
        <v>0</v>
      </c>
      <c r="K728" s="3">
        <v>0</v>
      </c>
      <c r="L728" s="3">
        <v>0</v>
      </c>
      <c r="M728" s="3">
        <v>0</v>
      </c>
      <c r="N728" s="3" t="s">
        <v>868</v>
      </c>
      <c r="O728" s="3">
        <v>0</v>
      </c>
      <c r="P728" s="3">
        <v>0</v>
      </c>
      <c r="Q728" s="3">
        <v>0</v>
      </c>
      <c r="R728" s="3">
        <v>0</v>
      </c>
      <c r="S728" s="3">
        <v>0</v>
      </c>
      <c r="T728" s="3">
        <v>0</v>
      </c>
      <c r="U728" s="3">
        <v>0</v>
      </c>
      <c r="V728" s="3">
        <v>0</v>
      </c>
      <c r="W728" s="3" t="s">
        <v>871</v>
      </c>
      <c r="X728" s="3">
        <v>27.98</v>
      </c>
      <c r="Y728" s="3">
        <v>27.98</v>
      </c>
      <c r="Z728" s="3">
        <v>27.98</v>
      </c>
      <c r="AA728" s="3">
        <v>0</v>
      </c>
      <c r="AB728" s="3" t="s">
        <v>883</v>
      </c>
      <c r="AC728" s="3">
        <v>5</v>
      </c>
      <c r="AD728" s="3">
        <v>26.4</v>
      </c>
      <c r="AE728" s="3">
        <v>21</v>
      </c>
      <c r="AF728" s="3">
        <v>0</v>
      </c>
      <c r="AG728" s="3">
        <v>296.34603</v>
      </c>
      <c r="AH728" s="3">
        <v>0</v>
      </c>
      <c r="AI728" s="3">
        <v>1.35256</v>
      </c>
      <c r="AJ728" s="3" t="s">
        <v>870</v>
      </c>
    </row>
    <row r="729" spans="1:36">
      <c r="A729" s="5">
        <v>43336</v>
      </c>
      <c r="B729" s="3" t="s">
        <v>2597</v>
      </c>
      <c r="C729" s="3" t="s">
        <v>2598</v>
      </c>
      <c r="D729" s="3" t="s">
        <v>2599</v>
      </c>
      <c r="E729" s="3" t="s">
        <v>2600</v>
      </c>
      <c r="F729" s="3" t="s">
        <v>867</v>
      </c>
      <c r="G729" s="3">
        <v>6</v>
      </c>
      <c r="H729" s="3">
        <v>0</v>
      </c>
      <c r="I729" s="3">
        <v>6</v>
      </c>
      <c r="J729" s="3">
        <v>0</v>
      </c>
      <c r="K729" s="3">
        <v>0</v>
      </c>
      <c r="L729" s="3">
        <v>0</v>
      </c>
      <c r="M729" s="3">
        <v>0</v>
      </c>
      <c r="N729" s="3" t="s">
        <v>868</v>
      </c>
      <c r="O729" s="3">
        <v>0</v>
      </c>
      <c r="P729" s="3">
        <v>0</v>
      </c>
      <c r="Q729" s="3">
        <v>0</v>
      </c>
      <c r="R729" s="3">
        <v>0</v>
      </c>
      <c r="S729" s="3">
        <v>0</v>
      </c>
      <c r="T729" s="3">
        <v>0</v>
      </c>
      <c r="U729" s="3">
        <v>0</v>
      </c>
      <c r="V729" s="3">
        <v>0</v>
      </c>
      <c r="W729" s="3" t="s">
        <v>936</v>
      </c>
      <c r="X729" s="3">
        <v>22.99</v>
      </c>
      <c r="Y729" s="3">
        <v>22.99</v>
      </c>
      <c r="Z729" s="3">
        <v>22.99</v>
      </c>
      <c r="AA729" s="3">
        <v>0</v>
      </c>
      <c r="AB729" s="3" t="s">
        <v>937</v>
      </c>
      <c r="AC729" s="3">
        <v>0</v>
      </c>
      <c r="AD729" s="3">
        <v>18.99</v>
      </c>
      <c r="AE729" s="3">
        <v>63</v>
      </c>
      <c r="AF729" s="3">
        <v>0</v>
      </c>
      <c r="AG729" s="3">
        <v>100.294543</v>
      </c>
      <c r="AH729" s="3">
        <v>0</v>
      </c>
      <c r="AI729" s="3">
        <v>0.758382</v>
      </c>
      <c r="AJ729" s="3" t="s">
        <v>925</v>
      </c>
    </row>
    <row r="730" spans="1:36">
      <c r="A730" s="5">
        <v>43336</v>
      </c>
      <c r="B730" s="3" t="s">
        <v>2601</v>
      </c>
      <c r="C730" s="3" t="s">
        <v>2602</v>
      </c>
      <c r="D730" s="3" t="s">
        <v>1059</v>
      </c>
      <c r="E730" s="3" t="s">
        <v>1060</v>
      </c>
      <c r="F730" s="3" t="s">
        <v>867</v>
      </c>
      <c r="G730" s="3">
        <v>6</v>
      </c>
      <c r="H730" s="3">
        <v>0</v>
      </c>
      <c r="I730" s="3">
        <v>6</v>
      </c>
      <c r="J730" s="3">
        <v>0</v>
      </c>
      <c r="K730" s="3">
        <v>0</v>
      </c>
      <c r="L730" s="3">
        <v>0</v>
      </c>
      <c r="M730" s="3">
        <v>0</v>
      </c>
      <c r="N730" s="3" t="s">
        <v>868</v>
      </c>
      <c r="O730" s="3">
        <v>0</v>
      </c>
      <c r="P730" s="3">
        <v>0</v>
      </c>
      <c r="Q730" s="3">
        <v>0</v>
      </c>
      <c r="R730" s="3">
        <v>0</v>
      </c>
      <c r="S730" s="3">
        <v>0</v>
      </c>
      <c r="T730" s="3">
        <v>1</v>
      </c>
      <c r="U730" s="3">
        <v>1</v>
      </c>
      <c r="V730" s="3">
        <v>1</v>
      </c>
      <c r="W730" s="3"/>
      <c r="X730" s="3">
        <v>26.98</v>
      </c>
      <c r="Y730" s="3">
        <v>26.98</v>
      </c>
      <c r="Z730" s="3">
        <v>26.98</v>
      </c>
      <c r="AA730" s="3">
        <v>0</v>
      </c>
      <c r="AB730" s="3" t="s">
        <v>869</v>
      </c>
      <c r="AC730" s="3">
        <v>6</v>
      </c>
      <c r="AD730" s="3">
        <v>26.98</v>
      </c>
      <c r="AE730" s="3">
        <v>0</v>
      </c>
      <c r="AF730" s="3">
        <v>0</v>
      </c>
      <c r="AG730" s="3">
        <v>0</v>
      </c>
      <c r="AH730" s="3">
        <v>0.352941176470588</v>
      </c>
      <c r="AI730" s="3">
        <v>0.366071999999999</v>
      </c>
      <c r="AJ730" s="3" t="s">
        <v>870</v>
      </c>
    </row>
    <row r="731" spans="1:36">
      <c r="A731" s="5">
        <v>43336</v>
      </c>
      <c r="B731" s="3" t="s">
        <v>756</v>
      </c>
      <c r="C731" s="3" t="s">
        <v>757</v>
      </c>
      <c r="D731" s="3" t="s">
        <v>758</v>
      </c>
      <c r="E731" s="3" t="s">
        <v>759</v>
      </c>
      <c r="F731" s="3" t="s">
        <v>867</v>
      </c>
      <c r="G731" s="3">
        <v>3</v>
      </c>
      <c r="H731" s="3">
        <v>0</v>
      </c>
      <c r="I731" s="3">
        <v>3</v>
      </c>
      <c r="J731" s="3">
        <v>0</v>
      </c>
      <c r="K731" s="3">
        <v>0</v>
      </c>
      <c r="L731" s="3">
        <v>0</v>
      </c>
      <c r="M731" s="3">
        <v>0</v>
      </c>
      <c r="N731" s="3" t="s">
        <v>868</v>
      </c>
      <c r="O731" s="3">
        <v>0</v>
      </c>
      <c r="P731" s="3">
        <v>0</v>
      </c>
      <c r="Q731" s="3">
        <v>0</v>
      </c>
      <c r="R731" s="3">
        <v>0</v>
      </c>
      <c r="S731" s="3">
        <v>2</v>
      </c>
      <c r="T731" s="3">
        <v>2</v>
      </c>
      <c r="U731" s="3">
        <v>2</v>
      </c>
      <c r="V731" s="3">
        <v>2</v>
      </c>
      <c r="W731" s="3" t="s">
        <v>871</v>
      </c>
      <c r="X731" s="3">
        <v>22.98</v>
      </c>
      <c r="Y731" s="3">
        <v>22.98</v>
      </c>
      <c r="Z731" s="3">
        <v>22.98</v>
      </c>
      <c r="AA731" s="3">
        <v>0</v>
      </c>
      <c r="AB731" s="3" t="s">
        <v>869</v>
      </c>
      <c r="AC731" s="3">
        <v>3</v>
      </c>
      <c r="AD731" s="3">
        <v>22.98</v>
      </c>
      <c r="AE731" s="3">
        <v>0</v>
      </c>
      <c r="AF731" s="3">
        <v>0</v>
      </c>
      <c r="AG731" s="3">
        <v>0</v>
      </c>
      <c r="AH731" s="3">
        <v>3.13043478260869</v>
      </c>
      <c r="AI731" s="3">
        <v>0.250689</v>
      </c>
      <c r="AJ731" s="3" t="s">
        <v>870</v>
      </c>
    </row>
    <row r="732" spans="1:36">
      <c r="A732" s="5">
        <v>43336</v>
      </c>
      <c r="B732" s="3" t="s">
        <v>2603</v>
      </c>
      <c r="C732" s="3" t="s">
        <v>2604</v>
      </c>
      <c r="D732" s="3" t="s">
        <v>2291</v>
      </c>
      <c r="E732" s="3" t="s">
        <v>2292</v>
      </c>
      <c r="F732" s="3" t="s">
        <v>867</v>
      </c>
      <c r="G732" s="3">
        <v>1</v>
      </c>
      <c r="H732" s="3">
        <v>0</v>
      </c>
      <c r="I732" s="3">
        <v>1</v>
      </c>
      <c r="J732" s="3">
        <v>0</v>
      </c>
      <c r="K732" s="3">
        <v>0</v>
      </c>
      <c r="L732" s="3">
        <v>0</v>
      </c>
      <c r="M732" s="3">
        <v>0</v>
      </c>
      <c r="N732" s="3" t="s">
        <v>868</v>
      </c>
      <c r="O732" s="3">
        <v>0</v>
      </c>
      <c r="P732" s="3">
        <v>0</v>
      </c>
      <c r="Q732" s="3">
        <v>0</v>
      </c>
      <c r="R732" s="3">
        <v>0</v>
      </c>
      <c r="S732" s="3">
        <v>1</v>
      </c>
      <c r="T732" s="3">
        <v>2</v>
      </c>
      <c r="U732" s="3">
        <v>2</v>
      </c>
      <c r="V732" s="3">
        <v>2</v>
      </c>
      <c r="W732" s="3"/>
      <c r="X732" s="3"/>
      <c r="Y732" s="3"/>
      <c r="Z732" s="3">
        <v>23.98</v>
      </c>
      <c r="AA732" s="3">
        <v>-1</v>
      </c>
      <c r="AB732" s="3" t="s">
        <v>891</v>
      </c>
      <c r="AC732" s="3">
        <v>1</v>
      </c>
      <c r="AD732" s="3">
        <v>23.98</v>
      </c>
      <c r="AE732" s="3">
        <v>0</v>
      </c>
      <c r="AF732" s="3">
        <v>0</v>
      </c>
      <c r="AG732" s="3">
        <v>0</v>
      </c>
      <c r="AH732" s="3">
        <v>1.81818181818181</v>
      </c>
      <c r="AI732" s="3">
        <v>0.185574</v>
      </c>
      <c r="AJ732" s="3" t="s">
        <v>870</v>
      </c>
    </row>
    <row r="733" spans="1:36">
      <c r="A733" s="5">
        <v>43336</v>
      </c>
      <c r="B733" s="3" t="s">
        <v>2605</v>
      </c>
      <c r="C733" s="3" t="s">
        <v>2606</v>
      </c>
      <c r="D733" s="3" t="s">
        <v>2607</v>
      </c>
      <c r="E733" s="3" t="s">
        <v>2608</v>
      </c>
      <c r="F733" s="3" t="s">
        <v>867</v>
      </c>
      <c r="G733" s="3">
        <v>24</v>
      </c>
      <c r="H733" s="3">
        <v>0</v>
      </c>
      <c r="I733" s="3">
        <v>24</v>
      </c>
      <c r="J733" s="3">
        <v>0</v>
      </c>
      <c r="K733" s="3">
        <v>0</v>
      </c>
      <c r="L733" s="3">
        <v>0</v>
      </c>
      <c r="M733" s="3">
        <v>0</v>
      </c>
      <c r="N733" s="3" t="s">
        <v>868</v>
      </c>
      <c r="O733" s="3">
        <v>0</v>
      </c>
      <c r="P733" s="3">
        <v>0</v>
      </c>
      <c r="Q733" s="3">
        <v>0</v>
      </c>
      <c r="R733" s="3">
        <v>0</v>
      </c>
      <c r="S733" s="3">
        <v>1</v>
      </c>
      <c r="T733" s="3">
        <v>7</v>
      </c>
      <c r="U733" s="3">
        <v>7</v>
      </c>
      <c r="V733" s="3">
        <v>7</v>
      </c>
      <c r="W733" s="3"/>
      <c r="X733" s="3">
        <v>18.99</v>
      </c>
      <c r="Y733" s="3">
        <v>18.99</v>
      </c>
      <c r="Z733" s="3">
        <v>18.99</v>
      </c>
      <c r="AA733" s="3">
        <v>0</v>
      </c>
      <c r="AB733" s="3" t="s">
        <v>869</v>
      </c>
      <c r="AC733" s="3">
        <v>24</v>
      </c>
      <c r="AD733" s="3">
        <v>18.99</v>
      </c>
      <c r="AE733" s="3">
        <v>0</v>
      </c>
      <c r="AF733" s="3">
        <v>0</v>
      </c>
      <c r="AG733" s="3">
        <v>0</v>
      </c>
      <c r="AH733" s="3">
        <v>0.56</v>
      </c>
      <c r="AI733" s="3">
        <v>3.24683999999999</v>
      </c>
      <c r="AJ733" s="3" t="s">
        <v>925</v>
      </c>
    </row>
    <row r="734" spans="1:36">
      <c r="A734" s="5">
        <v>43336</v>
      </c>
      <c r="B734" s="3" t="s">
        <v>2609</v>
      </c>
      <c r="C734" s="3" t="s">
        <v>2610</v>
      </c>
      <c r="D734" s="3" t="s">
        <v>991</v>
      </c>
      <c r="E734" s="3" t="s">
        <v>992</v>
      </c>
      <c r="F734" s="3" t="s">
        <v>867</v>
      </c>
      <c r="G734" s="3">
        <v>9</v>
      </c>
      <c r="H734" s="3">
        <v>0</v>
      </c>
      <c r="I734" s="3">
        <v>9</v>
      </c>
      <c r="J734" s="3">
        <v>0</v>
      </c>
      <c r="K734" s="3">
        <v>0</v>
      </c>
      <c r="L734" s="3">
        <v>0</v>
      </c>
      <c r="M734" s="3">
        <v>0</v>
      </c>
      <c r="N734" s="3" t="s">
        <v>868</v>
      </c>
      <c r="O734" s="3">
        <v>0</v>
      </c>
      <c r="P734" s="3">
        <v>0</v>
      </c>
      <c r="Q734" s="3">
        <v>0</v>
      </c>
      <c r="R734" s="3">
        <v>0</v>
      </c>
      <c r="S734" s="3">
        <v>0</v>
      </c>
      <c r="T734" s="3">
        <v>3</v>
      </c>
      <c r="U734" s="3">
        <v>6</v>
      </c>
      <c r="V734" s="3">
        <v>6</v>
      </c>
      <c r="W734" s="3"/>
      <c r="X734" s="3">
        <v>21.98</v>
      </c>
      <c r="Y734" s="3">
        <v>21.98</v>
      </c>
      <c r="Z734" s="3">
        <v>21.98</v>
      </c>
      <c r="AA734" s="3">
        <v>0</v>
      </c>
      <c r="AB734" s="3" t="s">
        <v>869</v>
      </c>
      <c r="AC734" s="3">
        <v>9</v>
      </c>
      <c r="AD734" s="3">
        <v>21.98</v>
      </c>
      <c r="AE734" s="3">
        <v>0</v>
      </c>
      <c r="AF734" s="3">
        <v>0</v>
      </c>
      <c r="AG734" s="3">
        <v>0</v>
      </c>
      <c r="AH734" s="3">
        <v>0.469135802469135</v>
      </c>
      <c r="AI734" s="3">
        <v>1.347237</v>
      </c>
      <c r="AJ734" s="3" t="s">
        <v>870</v>
      </c>
    </row>
    <row r="735" spans="1:36">
      <c r="A735" s="5">
        <v>43336</v>
      </c>
      <c r="B735" s="3" t="s">
        <v>2611</v>
      </c>
      <c r="C735" s="3" t="s">
        <v>958</v>
      </c>
      <c r="D735" s="3" t="s">
        <v>958</v>
      </c>
      <c r="E735" s="3" t="s">
        <v>959</v>
      </c>
      <c r="F735" s="3" t="s">
        <v>867</v>
      </c>
      <c r="G735" s="3">
        <v>1</v>
      </c>
      <c r="H735" s="3">
        <v>0</v>
      </c>
      <c r="I735" s="3">
        <v>0</v>
      </c>
      <c r="J735" s="3">
        <v>1</v>
      </c>
      <c r="K735" s="3">
        <v>0</v>
      </c>
      <c r="L735" s="3">
        <v>0</v>
      </c>
      <c r="M735" s="3">
        <v>0</v>
      </c>
      <c r="N735" s="3" t="s">
        <v>868</v>
      </c>
      <c r="O735" s="3">
        <v>0</v>
      </c>
      <c r="P735" s="3">
        <v>0</v>
      </c>
      <c r="Q735" s="3">
        <v>0</v>
      </c>
      <c r="R735" s="3">
        <v>0</v>
      </c>
      <c r="S735" s="3">
        <v>0</v>
      </c>
      <c r="T735" s="3">
        <v>2</v>
      </c>
      <c r="U735" s="3">
        <v>2</v>
      </c>
      <c r="V735" s="3">
        <v>2</v>
      </c>
      <c r="W735" s="3"/>
      <c r="X735" s="3">
        <v>25.98</v>
      </c>
      <c r="Y735" s="3">
        <v>25.98</v>
      </c>
      <c r="Z735" s="3">
        <v>25.98</v>
      </c>
      <c r="AA735" s="3">
        <v>0</v>
      </c>
      <c r="AB735" s="3" t="s">
        <v>869</v>
      </c>
      <c r="AC735" s="3">
        <v>1</v>
      </c>
      <c r="AD735" s="3">
        <v>25.98</v>
      </c>
      <c r="AE735" s="3">
        <v>0</v>
      </c>
      <c r="AF735" s="3">
        <v>0</v>
      </c>
      <c r="AG735" s="3">
        <v>0</v>
      </c>
      <c r="AH735" s="3">
        <v>0.266666666666666</v>
      </c>
      <c r="AI735" s="3">
        <v>0.115281</v>
      </c>
      <c r="AJ735" s="3" t="s">
        <v>870</v>
      </c>
    </row>
    <row r="736" spans="1:36">
      <c r="A736" s="5">
        <v>43336</v>
      </c>
      <c r="B736" s="3" t="s">
        <v>2612</v>
      </c>
      <c r="C736" s="3" t="s">
        <v>2613</v>
      </c>
      <c r="D736" s="3" t="s">
        <v>2613</v>
      </c>
      <c r="E736" s="3" t="s">
        <v>2614</v>
      </c>
      <c r="F736" s="3" t="s">
        <v>867</v>
      </c>
      <c r="G736" s="3">
        <v>11</v>
      </c>
      <c r="H736" s="3">
        <v>0</v>
      </c>
      <c r="I736" s="3">
        <v>1</v>
      </c>
      <c r="J736" s="3">
        <v>0</v>
      </c>
      <c r="K736" s="3">
        <v>1</v>
      </c>
      <c r="L736" s="3">
        <v>9</v>
      </c>
      <c r="M736" s="3">
        <v>0</v>
      </c>
      <c r="N736" s="3" t="s">
        <v>868</v>
      </c>
      <c r="O736" s="3">
        <v>10</v>
      </c>
      <c r="P736" s="3">
        <v>3.49</v>
      </c>
      <c r="Q736" s="3">
        <v>0</v>
      </c>
      <c r="R736" s="3">
        <v>0</v>
      </c>
      <c r="S736" s="3">
        <v>1</v>
      </c>
      <c r="T736" s="3">
        <v>5</v>
      </c>
      <c r="U736" s="3">
        <v>6</v>
      </c>
      <c r="V736" s="3">
        <v>8</v>
      </c>
      <c r="W736" s="3"/>
      <c r="X736" s="3">
        <v>22.98</v>
      </c>
      <c r="Y736" s="3">
        <v>22.98</v>
      </c>
      <c r="Z736" s="3">
        <v>22.98</v>
      </c>
      <c r="AA736" s="3">
        <v>0</v>
      </c>
      <c r="AB736" s="3" t="s">
        <v>869</v>
      </c>
      <c r="AC736" s="3">
        <v>11</v>
      </c>
      <c r="AD736" s="3">
        <v>22.98</v>
      </c>
      <c r="AE736" s="3">
        <v>0</v>
      </c>
      <c r="AF736" s="3">
        <v>0</v>
      </c>
      <c r="AG736" s="3">
        <v>0</v>
      </c>
      <c r="AH736" s="3">
        <v>0.516129032258064</v>
      </c>
      <c r="AI736" s="3">
        <v>1.110681</v>
      </c>
      <c r="AJ736" s="3" t="s">
        <v>870</v>
      </c>
    </row>
    <row r="737" spans="1:36">
      <c r="A737" s="5">
        <v>43336</v>
      </c>
      <c r="B737" s="3" t="s">
        <v>2615</v>
      </c>
      <c r="C737" s="3" t="s">
        <v>2616</v>
      </c>
      <c r="D737" s="3" t="s">
        <v>2616</v>
      </c>
      <c r="E737" s="3" t="s">
        <v>2617</v>
      </c>
      <c r="F737" s="3" t="s">
        <v>867</v>
      </c>
      <c r="G737" s="3">
        <v>23</v>
      </c>
      <c r="H737" s="3">
        <v>0</v>
      </c>
      <c r="I737" s="3">
        <v>0</v>
      </c>
      <c r="J737" s="3">
        <v>15</v>
      </c>
      <c r="K737" s="3">
        <v>8</v>
      </c>
      <c r="L737" s="3">
        <v>0</v>
      </c>
      <c r="M737" s="3">
        <v>0</v>
      </c>
      <c r="N737" s="3" t="s">
        <v>868</v>
      </c>
      <c r="O737" s="3">
        <v>22</v>
      </c>
      <c r="P737" s="3">
        <v>4.63</v>
      </c>
      <c r="Q737" s="3">
        <v>0</v>
      </c>
      <c r="R737" s="3">
        <v>0</v>
      </c>
      <c r="S737" s="3">
        <v>0</v>
      </c>
      <c r="T737" s="3">
        <v>0</v>
      </c>
      <c r="U737" s="3">
        <v>0</v>
      </c>
      <c r="V737" s="3">
        <v>0</v>
      </c>
      <c r="W737" s="3"/>
      <c r="X737" s="3"/>
      <c r="Y737" s="3"/>
      <c r="Z737" s="3">
        <v>-1</v>
      </c>
      <c r="AA737" s="3">
        <v>-1</v>
      </c>
      <c r="AB737" s="3" t="s">
        <v>891</v>
      </c>
      <c r="AC737" s="3">
        <v>0</v>
      </c>
      <c r="AD737" s="3">
        <v>0</v>
      </c>
      <c r="AE737" s="3">
        <v>0</v>
      </c>
      <c r="AF737" s="3">
        <v>0</v>
      </c>
      <c r="AG737" s="3">
        <v>0</v>
      </c>
      <c r="AH737" s="3">
        <v>0.28</v>
      </c>
      <c r="AI737" s="3">
        <v>1.403276</v>
      </c>
      <c r="AJ737" s="3" t="s">
        <v>870</v>
      </c>
    </row>
    <row r="738" spans="1:36">
      <c r="A738" s="5">
        <v>43336</v>
      </c>
      <c r="B738" s="3" t="s">
        <v>2618</v>
      </c>
      <c r="C738" s="3" t="s">
        <v>134</v>
      </c>
      <c r="D738" s="3" t="s">
        <v>134</v>
      </c>
      <c r="E738" s="3" t="s">
        <v>135</v>
      </c>
      <c r="F738" s="3" t="s">
        <v>867</v>
      </c>
      <c r="G738" s="3">
        <v>2</v>
      </c>
      <c r="H738" s="3">
        <v>0</v>
      </c>
      <c r="I738" s="3">
        <v>1</v>
      </c>
      <c r="J738" s="3">
        <v>1</v>
      </c>
      <c r="K738" s="3">
        <v>0</v>
      </c>
      <c r="L738" s="3">
        <v>0</v>
      </c>
      <c r="M738" s="3">
        <v>0</v>
      </c>
      <c r="N738" s="3" t="s">
        <v>868</v>
      </c>
      <c r="O738" s="3">
        <v>1</v>
      </c>
      <c r="P738" s="3">
        <v>0.68</v>
      </c>
      <c r="Q738" s="3">
        <v>0</v>
      </c>
      <c r="R738" s="3">
        <v>0</v>
      </c>
      <c r="S738" s="3">
        <v>0</v>
      </c>
      <c r="T738" s="3">
        <v>1</v>
      </c>
      <c r="U738" s="3">
        <v>2</v>
      </c>
      <c r="V738" s="3">
        <v>2</v>
      </c>
      <c r="W738" s="3"/>
      <c r="X738" s="3">
        <v>23.99</v>
      </c>
      <c r="Y738" s="3">
        <v>23.99</v>
      </c>
      <c r="Z738" s="3">
        <v>23.99</v>
      </c>
      <c r="AA738" s="3">
        <v>0</v>
      </c>
      <c r="AB738" s="3" t="s">
        <v>869</v>
      </c>
      <c r="AC738" s="3">
        <v>2</v>
      </c>
      <c r="AD738" s="3">
        <v>23.99</v>
      </c>
      <c r="AE738" s="3">
        <v>0</v>
      </c>
      <c r="AF738" s="3">
        <v>0</v>
      </c>
      <c r="AG738" s="3">
        <v>0</v>
      </c>
      <c r="AH738" s="3">
        <v>0.16</v>
      </c>
      <c r="AI738" s="3">
        <v>0.39687</v>
      </c>
      <c r="AJ738" s="3" t="s">
        <v>870</v>
      </c>
    </row>
    <row r="739" spans="1:36">
      <c r="A739" s="5">
        <v>43336</v>
      </c>
      <c r="B739" s="3" t="s">
        <v>2619</v>
      </c>
      <c r="C739" s="3" t="s">
        <v>2620</v>
      </c>
      <c r="D739" s="3" t="s">
        <v>2620</v>
      </c>
      <c r="E739" s="3" t="s">
        <v>2621</v>
      </c>
      <c r="F739" s="3" t="s">
        <v>867</v>
      </c>
      <c r="G739" s="3">
        <v>5</v>
      </c>
      <c r="H739" s="3">
        <v>0</v>
      </c>
      <c r="I739" s="3">
        <v>2</v>
      </c>
      <c r="J739" s="3">
        <v>3</v>
      </c>
      <c r="K739" s="3">
        <v>0</v>
      </c>
      <c r="L739" s="3">
        <v>0</v>
      </c>
      <c r="M739" s="3">
        <v>0</v>
      </c>
      <c r="N739" s="3" t="s">
        <v>868</v>
      </c>
      <c r="O739" s="3">
        <v>0</v>
      </c>
      <c r="P739" s="3">
        <v>0</v>
      </c>
      <c r="Q739" s="3">
        <v>0</v>
      </c>
      <c r="R739" s="3">
        <v>0</v>
      </c>
      <c r="S739" s="3">
        <v>0</v>
      </c>
      <c r="T739" s="3">
        <v>2</v>
      </c>
      <c r="U739" s="3">
        <v>6</v>
      </c>
      <c r="V739" s="3">
        <v>9</v>
      </c>
      <c r="W739" s="3"/>
      <c r="X739" s="3">
        <v>22.98</v>
      </c>
      <c r="Y739" s="3">
        <v>22.98</v>
      </c>
      <c r="Z739" s="3">
        <v>22.98</v>
      </c>
      <c r="AA739" s="3">
        <v>0</v>
      </c>
      <c r="AB739" s="3" t="s">
        <v>869</v>
      </c>
      <c r="AC739" s="3">
        <v>5</v>
      </c>
      <c r="AD739" s="3">
        <v>22.98</v>
      </c>
      <c r="AE739" s="3">
        <v>0</v>
      </c>
      <c r="AF739" s="3">
        <v>0</v>
      </c>
      <c r="AG739" s="3">
        <v>0</v>
      </c>
      <c r="AH739" s="3">
        <v>1.05882352941176</v>
      </c>
      <c r="AI739" s="3">
        <v>0.35023</v>
      </c>
      <c r="AJ739" s="3" t="s">
        <v>870</v>
      </c>
    </row>
    <row r="740" spans="1:36">
      <c r="A740" s="5">
        <v>43336</v>
      </c>
      <c r="B740" s="3" t="s">
        <v>2622</v>
      </c>
      <c r="C740" s="3" t="s">
        <v>2623</v>
      </c>
      <c r="D740" s="3" t="s">
        <v>2623</v>
      </c>
      <c r="E740" s="3" t="s">
        <v>2624</v>
      </c>
      <c r="F740" s="3" t="s">
        <v>867</v>
      </c>
      <c r="G740" s="3">
        <v>1</v>
      </c>
      <c r="H740" s="3">
        <v>0</v>
      </c>
      <c r="I740" s="3">
        <v>1</v>
      </c>
      <c r="J740" s="3">
        <v>0</v>
      </c>
      <c r="K740" s="3">
        <v>0</v>
      </c>
      <c r="L740" s="3">
        <v>0</v>
      </c>
      <c r="M740" s="3">
        <v>0</v>
      </c>
      <c r="N740" s="3" t="s">
        <v>868</v>
      </c>
      <c r="O740" s="3">
        <v>0</v>
      </c>
      <c r="P740" s="3">
        <v>0</v>
      </c>
      <c r="Q740" s="3">
        <v>0</v>
      </c>
      <c r="R740" s="3">
        <v>0</v>
      </c>
      <c r="S740" s="3">
        <v>1</v>
      </c>
      <c r="T740" s="3">
        <v>3</v>
      </c>
      <c r="U740" s="3">
        <v>3</v>
      </c>
      <c r="V740" s="3">
        <v>4</v>
      </c>
      <c r="W740" s="3" t="s">
        <v>871</v>
      </c>
      <c r="X740" s="3">
        <v>22.99</v>
      </c>
      <c r="Y740" s="3">
        <v>22.99</v>
      </c>
      <c r="Z740" s="3">
        <v>22.99</v>
      </c>
      <c r="AA740" s="3">
        <v>0</v>
      </c>
      <c r="AB740" s="3" t="s">
        <v>869</v>
      </c>
      <c r="AC740" s="3">
        <v>0</v>
      </c>
      <c r="AD740" s="3">
        <v>0</v>
      </c>
      <c r="AE740" s="3">
        <v>0</v>
      </c>
      <c r="AF740" s="3">
        <v>0</v>
      </c>
      <c r="AG740" s="3">
        <v>0</v>
      </c>
      <c r="AH740" s="3">
        <v>0.163265306122448</v>
      </c>
      <c r="AI740" s="3">
        <v>0.078603</v>
      </c>
      <c r="AJ740" s="3" t="s">
        <v>870</v>
      </c>
    </row>
    <row r="741" spans="1:36">
      <c r="A741" s="5">
        <v>43336</v>
      </c>
      <c r="B741" s="3" t="s">
        <v>2625</v>
      </c>
      <c r="C741" s="3" t="s">
        <v>2626</v>
      </c>
      <c r="D741" s="3" t="s">
        <v>2626</v>
      </c>
      <c r="E741" s="3" t="s">
        <v>2627</v>
      </c>
      <c r="F741" s="3" t="s">
        <v>867</v>
      </c>
      <c r="G741" s="3">
        <v>39</v>
      </c>
      <c r="H741" s="3">
        <v>0</v>
      </c>
      <c r="I741" s="3">
        <v>3</v>
      </c>
      <c r="J741" s="3">
        <v>30</v>
      </c>
      <c r="K741" s="3">
        <v>6</v>
      </c>
      <c r="L741" s="3">
        <v>0</v>
      </c>
      <c r="M741" s="3">
        <v>0</v>
      </c>
      <c r="N741" s="3" t="s">
        <v>868</v>
      </c>
      <c r="O741" s="3">
        <v>6</v>
      </c>
      <c r="P741" s="3">
        <v>2.24</v>
      </c>
      <c r="Q741" s="3">
        <v>0</v>
      </c>
      <c r="R741" s="3">
        <v>0</v>
      </c>
      <c r="S741" s="3">
        <v>0</v>
      </c>
      <c r="T741" s="3">
        <v>3</v>
      </c>
      <c r="U741" s="3">
        <v>7</v>
      </c>
      <c r="V741" s="3">
        <v>9</v>
      </c>
      <c r="W741" s="3"/>
      <c r="X741" s="3">
        <v>22.99</v>
      </c>
      <c r="Y741" s="3">
        <v>22.99</v>
      </c>
      <c r="Z741" s="3">
        <v>22.99</v>
      </c>
      <c r="AA741" s="3">
        <v>0</v>
      </c>
      <c r="AB741" s="3" t="s">
        <v>883</v>
      </c>
      <c r="AC741" s="3">
        <v>0</v>
      </c>
      <c r="AD741" s="3">
        <v>13.12</v>
      </c>
      <c r="AE741" s="3">
        <v>210</v>
      </c>
      <c r="AF741" s="3">
        <v>0</v>
      </c>
      <c r="AG741" s="3">
        <v>582.699483</v>
      </c>
      <c r="AH741" s="3">
        <v>0.214285714285714</v>
      </c>
      <c r="AI741" s="3">
        <v>4.219176</v>
      </c>
      <c r="AJ741" s="3" t="s">
        <v>870</v>
      </c>
    </row>
    <row r="742" spans="1:36">
      <c r="A742" s="5">
        <v>43336</v>
      </c>
      <c r="B742" s="3" t="s">
        <v>2628</v>
      </c>
      <c r="C742" s="3" t="s">
        <v>2629</v>
      </c>
      <c r="D742" s="3" t="s">
        <v>2629</v>
      </c>
      <c r="E742" s="3" t="s">
        <v>2630</v>
      </c>
      <c r="F742" s="3" t="s">
        <v>867</v>
      </c>
      <c r="G742" s="3">
        <v>1</v>
      </c>
      <c r="H742" s="3">
        <v>0</v>
      </c>
      <c r="I742" s="3">
        <v>0</v>
      </c>
      <c r="J742" s="3">
        <v>1</v>
      </c>
      <c r="K742" s="3">
        <v>0</v>
      </c>
      <c r="L742" s="3">
        <v>0</v>
      </c>
      <c r="M742" s="3">
        <v>0</v>
      </c>
      <c r="N742" s="3" t="s">
        <v>868</v>
      </c>
      <c r="O742" s="3">
        <v>0</v>
      </c>
      <c r="P742" s="3">
        <v>0</v>
      </c>
      <c r="Q742" s="3">
        <v>0</v>
      </c>
      <c r="R742" s="3">
        <v>0</v>
      </c>
      <c r="S742" s="3">
        <v>0</v>
      </c>
      <c r="T742" s="3">
        <v>0</v>
      </c>
      <c r="U742" s="3">
        <v>0</v>
      </c>
      <c r="V742" s="3">
        <v>0</v>
      </c>
      <c r="W742" s="3" t="s">
        <v>936</v>
      </c>
      <c r="X742" s="3">
        <v>18.98</v>
      </c>
      <c r="Y742" s="3">
        <v>18.98</v>
      </c>
      <c r="Z742" s="3">
        <v>18.98</v>
      </c>
      <c r="AA742" s="3">
        <v>0</v>
      </c>
      <c r="AB742" s="3" t="s">
        <v>937</v>
      </c>
      <c r="AC742" s="3">
        <v>1</v>
      </c>
      <c r="AD742" s="3">
        <v>18.98</v>
      </c>
      <c r="AE742" s="3">
        <v>0</v>
      </c>
      <c r="AF742" s="3">
        <v>0</v>
      </c>
      <c r="AG742" s="3">
        <v>0</v>
      </c>
      <c r="AH742" s="3">
        <v>0</v>
      </c>
      <c r="AI742" s="3">
        <v>0.144466</v>
      </c>
      <c r="AJ742" s="3" t="s">
        <v>870</v>
      </c>
    </row>
    <row r="743" spans="1:36">
      <c r="A743" s="5">
        <v>43336</v>
      </c>
      <c r="B743" s="3" t="s">
        <v>2631</v>
      </c>
      <c r="C743" s="3" t="s">
        <v>2632</v>
      </c>
      <c r="D743" s="3" t="s">
        <v>2632</v>
      </c>
      <c r="E743" s="3" t="s">
        <v>2633</v>
      </c>
      <c r="F743" s="3" t="s">
        <v>867</v>
      </c>
      <c r="G743" s="3">
        <v>3</v>
      </c>
      <c r="H743" s="3">
        <v>0</v>
      </c>
      <c r="I743" s="3">
        <v>0</v>
      </c>
      <c r="J743" s="3">
        <v>2</v>
      </c>
      <c r="K743" s="3">
        <v>1</v>
      </c>
      <c r="L743" s="3">
        <v>0</v>
      </c>
      <c r="M743" s="3">
        <v>0</v>
      </c>
      <c r="N743" s="3" t="s">
        <v>868</v>
      </c>
      <c r="O743" s="3">
        <v>1</v>
      </c>
      <c r="P743" s="3">
        <v>0.47</v>
      </c>
      <c r="Q743" s="3">
        <v>0</v>
      </c>
      <c r="R743" s="3">
        <v>0</v>
      </c>
      <c r="S743" s="3">
        <v>0</v>
      </c>
      <c r="T743" s="3">
        <v>0</v>
      </c>
      <c r="U743" s="3">
        <v>0</v>
      </c>
      <c r="V743" s="3">
        <v>1</v>
      </c>
      <c r="W743" s="3" t="s">
        <v>871</v>
      </c>
      <c r="X743" s="3">
        <v>24.98</v>
      </c>
      <c r="Y743" s="3">
        <v>24.98</v>
      </c>
      <c r="Z743" s="3">
        <v>24.98</v>
      </c>
      <c r="AA743" s="3">
        <v>0</v>
      </c>
      <c r="AB743" s="3" t="s">
        <v>883</v>
      </c>
      <c r="AC743" s="3">
        <v>1</v>
      </c>
      <c r="AD743" s="3">
        <v>23.52</v>
      </c>
      <c r="AE743" s="3">
        <v>42</v>
      </c>
      <c r="AF743" s="3">
        <v>0</v>
      </c>
      <c r="AG743" s="3">
        <v>88.959392</v>
      </c>
      <c r="AH743" s="3">
        <v>0.307692307692307</v>
      </c>
      <c r="AI743" s="3">
        <v>0.411753</v>
      </c>
      <c r="AJ743" s="3" t="s">
        <v>870</v>
      </c>
    </row>
    <row r="744" spans="1:36">
      <c r="A744" s="5">
        <v>43336</v>
      </c>
      <c r="B744" s="3" t="s">
        <v>2634</v>
      </c>
      <c r="C744" s="3" t="s">
        <v>2635</v>
      </c>
      <c r="D744" s="3" t="s">
        <v>2636</v>
      </c>
      <c r="E744" s="3" t="s">
        <v>2637</v>
      </c>
      <c r="F744" s="3" t="s">
        <v>867</v>
      </c>
      <c r="G744" s="3">
        <v>42</v>
      </c>
      <c r="H744" s="3">
        <v>0</v>
      </c>
      <c r="I744" s="3">
        <v>42</v>
      </c>
      <c r="J744" s="3">
        <v>0</v>
      </c>
      <c r="K744" s="3">
        <v>0</v>
      </c>
      <c r="L744" s="3">
        <v>0</v>
      </c>
      <c r="M744" s="3">
        <v>0</v>
      </c>
      <c r="N744" s="3" t="s">
        <v>868</v>
      </c>
      <c r="O744" s="3">
        <v>0</v>
      </c>
      <c r="P744" s="3">
        <v>0</v>
      </c>
      <c r="Q744" s="3">
        <v>0</v>
      </c>
      <c r="R744" s="3">
        <v>0</v>
      </c>
      <c r="S744" s="3">
        <v>6</v>
      </c>
      <c r="T744" s="3">
        <v>19</v>
      </c>
      <c r="U744" s="3">
        <v>20</v>
      </c>
      <c r="V744" s="3">
        <v>20</v>
      </c>
      <c r="W744" s="3"/>
      <c r="X744" s="3">
        <v>69.9</v>
      </c>
      <c r="Y744" s="3">
        <v>22.98</v>
      </c>
      <c r="Z744" s="3">
        <v>22.98</v>
      </c>
      <c r="AA744" s="3">
        <v>0</v>
      </c>
      <c r="AB744" s="3" t="s">
        <v>869</v>
      </c>
      <c r="AC744" s="3">
        <v>42</v>
      </c>
      <c r="AD744" s="3">
        <v>22.98</v>
      </c>
      <c r="AE744" s="3">
        <v>0</v>
      </c>
      <c r="AF744" s="3">
        <v>0</v>
      </c>
      <c r="AG744" s="3">
        <v>0</v>
      </c>
      <c r="AH744" s="3">
        <v>0.597014925373134</v>
      </c>
      <c r="AI744" s="3">
        <v>7.29351</v>
      </c>
      <c r="AJ744" s="3" t="s">
        <v>870</v>
      </c>
    </row>
    <row r="745" spans="1:36">
      <c r="A745" s="5">
        <v>43336</v>
      </c>
      <c r="B745" s="3" t="s">
        <v>2638</v>
      </c>
      <c r="C745" s="3" t="s">
        <v>878</v>
      </c>
      <c r="D745" s="3" t="s">
        <v>878</v>
      </c>
      <c r="E745" s="3" t="s">
        <v>879</v>
      </c>
      <c r="F745" s="3" t="s">
        <v>867</v>
      </c>
      <c r="G745" s="3">
        <v>1</v>
      </c>
      <c r="H745" s="3">
        <v>0</v>
      </c>
      <c r="I745" s="3">
        <v>1</v>
      </c>
      <c r="J745" s="3">
        <v>0</v>
      </c>
      <c r="K745" s="3">
        <v>0</v>
      </c>
      <c r="L745" s="3">
        <v>0</v>
      </c>
      <c r="M745" s="3">
        <v>0</v>
      </c>
      <c r="N745" s="3" t="s">
        <v>868</v>
      </c>
      <c r="O745" s="3">
        <v>0</v>
      </c>
      <c r="P745" s="3">
        <v>0</v>
      </c>
      <c r="Q745" s="3">
        <v>0</v>
      </c>
      <c r="R745" s="3">
        <v>0</v>
      </c>
      <c r="S745" s="3">
        <v>0</v>
      </c>
      <c r="T745" s="3">
        <v>0</v>
      </c>
      <c r="U745" s="3">
        <v>1</v>
      </c>
      <c r="V745" s="3">
        <v>3</v>
      </c>
      <c r="W745" s="3" t="s">
        <v>871</v>
      </c>
      <c r="X745" s="3">
        <v>27.98</v>
      </c>
      <c r="Y745" s="3">
        <v>27.98</v>
      </c>
      <c r="Z745" s="3">
        <v>27.98</v>
      </c>
      <c r="AA745" s="3">
        <v>0</v>
      </c>
      <c r="AB745" s="3" t="s">
        <v>869</v>
      </c>
      <c r="AC745" s="3">
        <v>1</v>
      </c>
      <c r="AD745" s="3">
        <v>27.98</v>
      </c>
      <c r="AE745" s="3">
        <v>0</v>
      </c>
      <c r="AF745" s="3">
        <v>0</v>
      </c>
      <c r="AG745" s="3">
        <v>0</v>
      </c>
      <c r="AH745" s="3">
        <v>1.2</v>
      </c>
      <c r="AI745" s="3">
        <v>0.16907</v>
      </c>
      <c r="AJ745" s="3" t="s">
        <v>870</v>
      </c>
    </row>
    <row r="746" spans="1:36">
      <c r="A746" s="5">
        <v>43336</v>
      </c>
      <c r="B746" s="3" t="s">
        <v>2639</v>
      </c>
      <c r="C746" s="3" t="s">
        <v>193</v>
      </c>
      <c r="D746" s="3" t="s">
        <v>193</v>
      </c>
      <c r="E746" s="3" t="s">
        <v>194</v>
      </c>
      <c r="F746" s="3" t="s">
        <v>867</v>
      </c>
      <c r="G746" s="3">
        <v>2</v>
      </c>
      <c r="H746" s="3">
        <v>0</v>
      </c>
      <c r="I746" s="3">
        <v>2</v>
      </c>
      <c r="J746" s="3">
        <v>0</v>
      </c>
      <c r="K746" s="3">
        <v>0</v>
      </c>
      <c r="L746" s="3">
        <v>0</v>
      </c>
      <c r="M746" s="3">
        <v>0</v>
      </c>
      <c r="N746" s="3" t="s">
        <v>868</v>
      </c>
      <c r="O746" s="3">
        <v>0</v>
      </c>
      <c r="P746" s="3">
        <v>0</v>
      </c>
      <c r="Q746" s="3">
        <v>0</v>
      </c>
      <c r="R746" s="3">
        <v>0</v>
      </c>
      <c r="S746" s="3">
        <v>2</v>
      </c>
      <c r="T746" s="3">
        <v>5</v>
      </c>
      <c r="U746" s="3">
        <v>15</v>
      </c>
      <c r="V746" s="3">
        <v>25</v>
      </c>
      <c r="W746" s="3" t="s">
        <v>871</v>
      </c>
      <c r="X746" s="3">
        <v>22.99</v>
      </c>
      <c r="Y746" s="3">
        <v>22.99</v>
      </c>
      <c r="Z746" s="3">
        <v>22.99</v>
      </c>
      <c r="AA746" s="3">
        <v>0</v>
      </c>
      <c r="AB746" s="3" t="s">
        <v>883</v>
      </c>
      <c r="AC746" s="3">
        <v>2</v>
      </c>
      <c r="AD746" s="3">
        <v>22.98</v>
      </c>
      <c r="AE746" s="3">
        <v>0</v>
      </c>
      <c r="AF746" s="3">
        <v>0</v>
      </c>
      <c r="AG746" s="3">
        <v>0</v>
      </c>
      <c r="AH746" s="3">
        <v>2.15384615384615</v>
      </c>
      <c r="AI746" s="3">
        <v>0.260486</v>
      </c>
      <c r="AJ746" s="3" t="s">
        <v>870</v>
      </c>
    </row>
    <row r="747" spans="1:36">
      <c r="A747" s="5">
        <v>43336</v>
      </c>
      <c r="B747" s="3" t="s">
        <v>2640</v>
      </c>
      <c r="C747" s="3" t="s">
        <v>2028</v>
      </c>
      <c r="D747" s="3" t="s">
        <v>2028</v>
      </c>
      <c r="E747" s="3" t="s">
        <v>2029</v>
      </c>
      <c r="F747" s="3" t="s">
        <v>867</v>
      </c>
      <c r="G747" s="3">
        <v>1</v>
      </c>
      <c r="H747" s="3">
        <v>0</v>
      </c>
      <c r="I747" s="3">
        <v>0</v>
      </c>
      <c r="J747" s="3">
        <v>1</v>
      </c>
      <c r="K747" s="3">
        <v>0</v>
      </c>
      <c r="L747" s="3">
        <v>0</v>
      </c>
      <c r="M747" s="3">
        <v>0</v>
      </c>
      <c r="N747" s="3" t="s">
        <v>868</v>
      </c>
      <c r="O747" s="3">
        <v>0</v>
      </c>
      <c r="P747" s="3">
        <v>0</v>
      </c>
      <c r="Q747" s="3">
        <v>0</v>
      </c>
      <c r="R747" s="3">
        <v>0</v>
      </c>
      <c r="S747" s="3">
        <v>0</v>
      </c>
      <c r="T747" s="3">
        <v>2</v>
      </c>
      <c r="U747" s="3">
        <v>2</v>
      </c>
      <c r="V747" s="3">
        <v>4</v>
      </c>
      <c r="W747" s="3"/>
      <c r="X747" s="3">
        <v>22.98</v>
      </c>
      <c r="Y747" s="3">
        <v>22.98</v>
      </c>
      <c r="Z747" s="3">
        <v>22.98</v>
      </c>
      <c r="AA747" s="3">
        <v>0</v>
      </c>
      <c r="AB747" s="3" t="s">
        <v>869</v>
      </c>
      <c r="AC747" s="3">
        <v>1</v>
      </c>
      <c r="AD747" s="3">
        <v>22.98</v>
      </c>
      <c r="AE747" s="3">
        <v>0</v>
      </c>
      <c r="AF747" s="3">
        <v>0</v>
      </c>
      <c r="AG747" s="3">
        <v>0</v>
      </c>
      <c r="AH747" s="3">
        <v>0.516129032258064</v>
      </c>
      <c r="AI747" s="3">
        <v>0.170147</v>
      </c>
      <c r="AJ747" s="3" t="s">
        <v>870</v>
      </c>
    </row>
    <row r="748" spans="1:36">
      <c r="A748" s="5">
        <v>43336</v>
      </c>
      <c r="B748" s="3" t="s">
        <v>2641</v>
      </c>
      <c r="C748" s="3" t="s">
        <v>2642</v>
      </c>
      <c r="D748" s="3" t="s">
        <v>719</v>
      </c>
      <c r="E748" s="3" t="s">
        <v>720</v>
      </c>
      <c r="F748" s="3" t="s">
        <v>867</v>
      </c>
      <c r="G748" s="3">
        <v>8</v>
      </c>
      <c r="H748" s="3">
        <v>0</v>
      </c>
      <c r="I748" s="3">
        <v>8</v>
      </c>
      <c r="J748" s="3">
        <v>0</v>
      </c>
      <c r="K748" s="3">
        <v>0</v>
      </c>
      <c r="L748" s="3">
        <v>0</v>
      </c>
      <c r="M748" s="3">
        <v>0</v>
      </c>
      <c r="N748" s="3" t="s">
        <v>868</v>
      </c>
      <c r="O748" s="3">
        <v>0</v>
      </c>
      <c r="P748" s="3">
        <v>0</v>
      </c>
      <c r="Q748" s="3">
        <v>0</v>
      </c>
      <c r="R748" s="3">
        <v>0</v>
      </c>
      <c r="S748" s="3">
        <v>0</v>
      </c>
      <c r="T748" s="3">
        <v>1</v>
      </c>
      <c r="U748" s="3">
        <v>2</v>
      </c>
      <c r="V748" s="3">
        <v>2</v>
      </c>
      <c r="W748" s="3"/>
      <c r="X748" s="3">
        <v>20.98</v>
      </c>
      <c r="Y748" s="3">
        <v>20.98</v>
      </c>
      <c r="Z748" s="3">
        <v>20.98</v>
      </c>
      <c r="AA748" s="3">
        <v>0</v>
      </c>
      <c r="AB748" s="3" t="s">
        <v>883</v>
      </c>
      <c r="AC748" s="3">
        <v>3</v>
      </c>
      <c r="AD748" s="3">
        <v>17.38</v>
      </c>
      <c r="AE748" s="3">
        <v>77</v>
      </c>
      <c r="AF748" s="3">
        <v>0</v>
      </c>
      <c r="AG748" s="3">
        <v>6.537726</v>
      </c>
      <c r="AH748" s="3">
        <v>1.21739130434782</v>
      </c>
      <c r="AI748" s="3">
        <v>0.668504</v>
      </c>
      <c r="AJ748" s="3" t="s">
        <v>870</v>
      </c>
    </row>
    <row r="749" spans="1:36">
      <c r="A749" s="5">
        <v>43336</v>
      </c>
      <c r="B749" s="3" t="s">
        <v>2643</v>
      </c>
      <c r="C749" s="3" t="s">
        <v>2644</v>
      </c>
      <c r="D749" s="3" t="s">
        <v>2644</v>
      </c>
      <c r="E749" s="3" t="s">
        <v>2645</v>
      </c>
      <c r="F749" s="3" t="s">
        <v>867</v>
      </c>
      <c r="G749" s="3">
        <v>4</v>
      </c>
      <c r="H749" s="3">
        <v>0</v>
      </c>
      <c r="I749" s="3">
        <v>0</v>
      </c>
      <c r="J749" s="3">
        <v>4</v>
      </c>
      <c r="K749" s="3">
        <v>0</v>
      </c>
      <c r="L749" s="3">
        <v>0</v>
      </c>
      <c r="M749" s="3">
        <v>0</v>
      </c>
      <c r="N749" s="3" t="s">
        <v>868</v>
      </c>
      <c r="O749" s="3">
        <v>3</v>
      </c>
      <c r="P749" s="3">
        <v>0.72</v>
      </c>
      <c r="Q749" s="3">
        <v>0</v>
      </c>
      <c r="R749" s="3">
        <v>0</v>
      </c>
      <c r="S749" s="3">
        <v>1</v>
      </c>
      <c r="T749" s="3">
        <v>3</v>
      </c>
      <c r="U749" s="3">
        <v>4</v>
      </c>
      <c r="V749" s="3">
        <v>6</v>
      </c>
      <c r="W749" s="3"/>
      <c r="X749" s="3">
        <v>22.98</v>
      </c>
      <c r="Y749" s="3">
        <v>22.98</v>
      </c>
      <c r="Z749" s="3">
        <v>22.98</v>
      </c>
      <c r="AA749" s="3">
        <v>0</v>
      </c>
      <c r="AB749" s="3" t="s">
        <v>883</v>
      </c>
      <c r="AC749" s="3">
        <v>0</v>
      </c>
      <c r="AD749" s="3">
        <v>10.52</v>
      </c>
      <c r="AE749" s="3">
        <v>35</v>
      </c>
      <c r="AF749" s="3">
        <v>0</v>
      </c>
      <c r="AG749" s="3">
        <v>31.076935</v>
      </c>
      <c r="AH749" s="3">
        <v>0.827586206896551</v>
      </c>
      <c r="AI749" s="3">
        <v>0.280184</v>
      </c>
      <c r="AJ749" s="3" t="s">
        <v>870</v>
      </c>
    </row>
    <row r="750" spans="1:36">
      <c r="A750" s="5">
        <v>43336</v>
      </c>
      <c r="B750" s="3" t="s">
        <v>2646</v>
      </c>
      <c r="C750" s="3" t="s">
        <v>2647</v>
      </c>
      <c r="D750" s="3" t="s">
        <v>2647</v>
      </c>
      <c r="E750" s="3" t="s">
        <v>2648</v>
      </c>
      <c r="F750" s="3" t="s">
        <v>867</v>
      </c>
      <c r="G750" s="3">
        <v>16</v>
      </c>
      <c r="H750" s="3">
        <v>0</v>
      </c>
      <c r="I750" s="3">
        <v>16</v>
      </c>
      <c r="J750" s="3">
        <v>0</v>
      </c>
      <c r="K750" s="3">
        <v>0</v>
      </c>
      <c r="L750" s="3">
        <v>0</v>
      </c>
      <c r="M750" s="3">
        <v>0</v>
      </c>
      <c r="N750" s="3" t="s">
        <v>868</v>
      </c>
      <c r="O750" s="3">
        <v>0</v>
      </c>
      <c r="P750" s="3">
        <v>0</v>
      </c>
      <c r="Q750" s="3">
        <v>0</v>
      </c>
      <c r="R750" s="3">
        <v>0</v>
      </c>
      <c r="S750" s="3">
        <v>0</v>
      </c>
      <c r="T750" s="3">
        <v>0</v>
      </c>
      <c r="U750" s="3">
        <v>1</v>
      </c>
      <c r="V750" s="3">
        <v>2</v>
      </c>
      <c r="W750" s="3" t="s">
        <v>871</v>
      </c>
      <c r="X750" s="3">
        <v>22.99</v>
      </c>
      <c r="Y750" s="3">
        <v>22.99</v>
      </c>
      <c r="Z750" s="3">
        <v>22.99</v>
      </c>
      <c r="AA750" s="3">
        <v>0</v>
      </c>
      <c r="AB750" s="3" t="s">
        <v>883</v>
      </c>
      <c r="AC750" s="3">
        <v>5</v>
      </c>
      <c r="AD750" s="3">
        <v>18.38</v>
      </c>
      <c r="AE750" s="3">
        <v>364</v>
      </c>
      <c r="AF750" s="3">
        <v>0</v>
      </c>
      <c r="AG750" s="3">
        <v>62.312377</v>
      </c>
      <c r="AH750" s="3">
        <v>0.115942028985507</v>
      </c>
      <c r="AI750" s="3">
        <v>2.334416</v>
      </c>
      <c r="AJ750" s="3" t="s">
        <v>870</v>
      </c>
    </row>
    <row r="751" spans="1:36">
      <c r="A751" s="5">
        <v>43336</v>
      </c>
      <c r="B751" s="3" t="s">
        <v>2649</v>
      </c>
      <c r="C751" s="3" t="s">
        <v>2650</v>
      </c>
      <c r="D751" s="3" t="s">
        <v>2650</v>
      </c>
      <c r="E751" s="3" t="s">
        <v>2651</v>
      </c>
      <c r="F751" s="3" t="s">
        <v>867</v>
      </c>
      <c r="G751" s="3">
        <v>4</v>
      </c>
      <c r="H751" s="3">
        <v>0</v>
      </c>
      <c r="I751" s="3">
        <v>0</v>
      </c>
      <c r="J751" s="3">
        <v>4</v>
      </c>
      <c r="K751" s="3">
        <v>0</v>
      </c>
      <c r="L751" s="3">
        <v>0</v>
      </c>
      <c r="M751" s="3">
        <v>0</v>
      </c>
      <c r="N751" s="3" t="s">
        <v>868</v>
      </c>
      <c r="O751" s="3">
        <v>3</v>
      </c>
      <c r="P751" s="3">
        <v>2.21</v>
      </c>
      <c r="Q751" s="3">
        <v>0</v>
      </c>
      <c r="R751" s="3">
        <v>0</v>
      </c>
      <c r="S751" s="3">
        <v>0</v>
      </c>
      <c r="T751" s="3">
        <v>0</v>
      </c>
      <c r="U751" s="3">
        <v>2</v>
      </c>
      <c r="V751" s="3">
        <v>3</v>
      </c>
      <c r="W751" s="3" t="s">
        <v>871</v>
      </c>
      <c r="X751" s="3">
        <v>25.98</v>
      </c>
      <c r="Y751" s="3">
        <v>25.98</v>
      </c>
      <c r="Z751" s="3">
        <v>25.98</v>
      </c>
      <c r="AA751" s="3">
        <v>0</v>
      </c>
      <c r="AB751" s="3" t="s">
        <v>883</v>
      </c>
      <c r="AC751" s="3">
        <v>0</v>
      </c>
      <c r="AD751" s="3">
        <v>23.71</v>
      </c>
      <c r="AE751" s="3">
        <v>119</v>
      </c>
      <c r="AF751" s="3">
        <v>0</v>
      </c>
      <c r="AG751" s="3">
        <v>132.778908</v>
      </c>
      <c r="AH751" s="3">
        <v>0.571428571428571</v>
      </c>
      <c r="AI751" s="3">
        <v>0.854012</v>
      </c>
      <c r="AJ751" s="3" t="s">
        <v>870</v>
      </c>
    </row>
    <row r="752" spans="1:36">
      <c r="A752" s="5">
        <v>43336</v>
      </c>
      <c r="B752" s="3" t="s">
        <v>2652</v>
      </c>
      <c r="C752" s="3" t="s">
        <v>2653</v>
      </c>
      <c r="D752" s="3" t="s">
        <v>2654</v>
      </c>
      <c r="E752" s="3" t="s">
        <v>2655</v>
      </c>
      <c r="F752" s="3" t="s">
        <v>867</v>
      </c>
      <c r="G752" s="3">
        <v>10</v>
      </c>
      <c r="H752" s="3">
        <v>0</v>
      </c>
      <c r="I752" s="3">
        <v>10</v>
      </c>
      <c r="J752" s="3">
        <v>0</v>
      </c>
      <c r="K752" s="3">
        <v>0</v>
      </c>
      <c r="L752" s="3">
        <v>0</v>
      </c>
      <c r="M752" s="3">
        <v>0</v>
      </c>
      <c r="N752" s="3" t="s">
        <v>868</v>
      </c>
      <c r="O752" s="3">
        <v>0</v>
      </c>
      <c r="P752" s="3">
        <v>0</v>
      </c>
      <c r="Q752" s="3">
        <v>0</v>
      </c>
      <c r="R752" s="3">
        <v>0</v>
      </c>
      <c r="S752" s="3">
        <v>0</v>
      </c>
      <c r="T752" s="3">
        <v>0</v>
      </c>
      <c r="U752" s="3">
        <v>0</v>
      </c>
      <c r="V752" s="3">
        <v>0</v>
      </c>
      <c r="W752" s="3" t="s">
        <v>871</v>
      </c>
      <c r="X752" s="3">
        <v>27.98</v>
      </c>
      <c r="Y752" s="3">
        <v>27.98</v>
      </c>
      <c r="Z752" s="3">
        <v>27.98</v>
      </c>
      <c r="AA752" s="3">
        <v>0</v>
      </c>
      <c r="AB752" s="3" t="s">
        <v>869</v>
      </c>
      <c r="AC752" s="3">
        <v>10</v>
      </c>
      <c r="AD752" s="3">
        <v>27.98</v>
      </c>
      <c r="AE752" s="3">
        <v>0</v>
      </c>
      <c r="AF752" s="3">
        <v>0</v>
      </c>
      <c r="AG752" s="3">
        <v>0</v>
      </c>
      <c r="AH752" s="3">
        <v>1.06666666666666</v>
      </c>
      <c r="AI752" s="3">
        <v>1.6907</v>
      </c>
      <c r="AJ752" s="3" t="s">
        <v>870</v>
      </c>
    </row>
    <row r="753" spans="1:36">
      <c r="A753" s="5">
        <v>43336</v>
      </c>
      <c r="B753" s="3" t="s">
        <v>2656</v>
      </c>
      <c r="C753" s="3" t="s">
        <v>2657</v>
      </c>
      <c r="D753" s="3" t="s">
        <v>2657</v>
      </c>
      <c r="E753" s="3" t="s">
        <v>2658</v>
      </c>
      <c r="F753" s="3" t="s">
        <v>867</v>
      </c>
      <c r="G753" s="3">
        <v>8</v>
      </c>
      <c r="H753" s="3">
        <v>0</v>
      </c>
      <c r="I753" s="3">
        <v>6</v>
      </c>
      <c r="J753" s="3">
        <v>2</v>
      </c>
      <c r="K753" s="3">
        <v>0</v>
      </c>
      <c r="L753" s="3">
        <v>0</v>
      </c>
      <c r="M753" s="3">
        <v>0</v>
      </c>
      <c r="N753" s="3" t="s">
        <v>868</v>
      </c>
      <c r="O753" s="3">
        <v>0</v>
      </c>
      <c r="P753" s="3">
        <v>0</v>
      </c>
      <c r="Q753" s="3">
        <v>0</v>
      </c>
      <c r="R753" s="3">
        <v>0</v>
      </c>
      <c r="S753" s="3">
        <v>0</v>
      </c>
      <c r="T753" s="3">
        <v>0</v>
      </c>
      <c r="U753" s="3">
        <v>0</v>
      </c>
      <c r="V753" s="3">
        <v>0</v>
      </c>
      <c r="W753" s="3" t="s">
        <v>871</v>
      </c>
      <c r="X753" s="3">
        <v>27.98</v>
      </c>
      <c r="Y753" s="3">
        <v>27.98</v>
      </c>
      <c r="Z753" s="3">
        <v>27.98</v>
      </c>
      <c r="AA753" s="3">
        <v>0</v>
      </c>
      <c r="AB753" s="3" t="s">
        <v>883</v>
      </c>
      <c r="AC753" s="3">
        <v>0</v>
      </c>
      <c r="AD753" s="3">
        <v>25.22</v>
      </c>
      <c r="AE753" s="3">
        <v>140</v>
      </c>
      <c r="AF753" s="3">
        <v>0</v>
      </c>
      <c r="AG753" s="3">
        <v>280.459835</v>
      </c>
      <c r="AH753" s="3">
        <v>0</v>
      </c>
      <c r="AI753" s="3">
        <v>1.35256</v>
      </c>
      <c r="AJ753" s="3" t="s">
        <v>870</v>
      </c>
    </row>
    <row r="754" spans="1:36">
      <c r="A754" s="5">
        <v>43336</v>
      </c>
      <c r="B754" s="3" t="s">
        <v>2659</v>
      </c>
      <c r="C754" s="3" t="s">
        <v>2660</v>
      </c>
      <c r="D754" s="3" t="s">
        <v>2660</v>
      </c>
      <c r="E754" s="3" t="s">
        <v>2661</v>
      </c>
      <c r="F754" s="3" t="s">
        <v>867</v>
      </c>
      <c r="G754" s="3">
        <v>1</v>
      </c>
      <c r="H754" s="3">
        <v>0</v>
      </c>
      <c r="I754" s="3">
        <v>0</v>
      </c>
      <c r="J754" s="3">
        <v>1</v>
      </c>
      <c r="K754" s="3">
        <v>0</v>
      </c>
      <c r="L754" s="3">
        <v>0</v>
      </c>
      <c r="M754" s="3">
        <v>0</v>
      </c>
      <c r="N754" s="3" t="s">
        <v>868</v>
      </c>
      <c r="O754" s="3">
        <v>0</v>
      </c>
      <c r="P754" s="3">
        <v>0</v>
      </c>
      <c r="Q754" s="3">
        <v>0</v>
      </c>
      <c r="R754" s="3">
        <v>0</v>
      </c>
      <c r="S754" s="3">
        <v>0</v>
      </c>
      <c r="T754" s="3">
        <v>0</v>
      </c>
      <c r="U754" s="3">
        <v>0</v>
      </c>
      <c r="V754" s="3">
        <v>0</v>
      </c>
      <c r="W754" s="3" t="s">
        <v>871</v>
      </c>
      <c r="X754" s="3">
        <v>49.98</v>
      </c>
      <c r="Y754" s="3">
        <v>29.98</v>
      </c>
      <c r="Z754" s="3">
        <v>29.98</v>
      </c>
      <c r="AA754" s="3">
        <v>0</v>
      </c>
      <c r="AB754" s="3" t="s">
        <v>869</v>
      </c>
      <c r="AC754" s="3">
        <v>1</v>
      </c>
      <c r="AD754" s="3">
        <v>29.98</v>
      </c>
      <c r="AE754" s="3">
        <v>0</v>
      </c>
      <c r="AF754" s="3">
        <v>0</v>
      </c>
      <c r="AG754" s="3">
        <v>0</v>
      </c>
      <c r="AH754" s="3">
        <v>0</v>
      </c>
      <c r="AI754" s="3">
        <v>0.266997</v>
      </c>
      <c r="AJ754" s="3" t="s">
        <v>870</v>
      </c>
    </row>
    <row r="755" spans="1:36">
      <c r="A755" s="5">
        <v>43336</v>
      </c>
      <c r="B755" s="3" t="s">
        <v>2662</v>
      </c>
      <c r="C755" s="3" t="s">
        <v>2663</v>
      </c>
      <c r="D755" s="3" t="s">
        <v>2663</v>
      </c>
      <c r="E755" s="3" t="s">
        <v>2664</v>
      </c>
      <c r="F755" s="3" t="s">
        <v>867</v>
      </c>
      <c r="G755" s="3">
        <v>19</v>
      </c>
      <c r="H755" s="3">
        <v>0</v>
      </c>
      <c r="I755" s="3">
        <v>0</v>
      </c>
      <c r="J755" s="3">
        <v>16</v>
      </c>
      <c r="K755" s="3">
        <v>2</v>
      </c>
      <c r="L755" s="3">
        <v>1</v>
      </c>
      <c r="M755" s="3">
        <v>0</v>
      </c>
      <c r="N755" s="3" t="s">
        <v>868</v>
      </c>
      <c r="O755" s="3">
        <v>3</v>
      </c>
      <c r="P755" s="3">
        <v>1.73</v>
      </c>
      <c r="Q755" s="3">
        <v>0</v>
      </c>
      <c r="R755" s="3">
        <v>0</v>
      </c>
      <c r="S755" s="3">
        <v>0</v>
      </c>
      <c r="T755" s="3">
        <v>0</v>
      </c>
      <c r="U755" s="3">
        <v>0</v>
      </c>
      <c r="V755" s="3">
        <v>2</v>
      </c>
      <c r="W755" s="3" t="s">
        <v>871</v>
      </c>
      <c r="X755" s="3">
        <v>23.98</v>
      </c>
      <c r="Y755" s="3">
        <v>23.98</v>
      </c>
      <c r="Z755" s="3">
        <v>23.98</v>
      </c>
      <c r="AA755" s="3">
        <v>0</v>
      </c>
      <c r="AB755" s="3" t="s">
        <v>883</v>
      </c>
      <c r="AC755" s="3">
        <v>0</v>
      </c>
      <c r="AD755" s="3">
        <v>19.89</v>
      </c>
      <c r="AE755" s="3">
        <v>224</v>
      </c>
      <c r="AF755" s="3">
        <v>0</v>
      </c>
      <c r="AG755" s="3">
        <v>579.691457</v>
      </c>
      <c r="AH755" s="3">
        <v>0.102564102564102</v>
      </c>
      <c r="AI755" s="3">
        <v>3.18329799999999</v>
      </c>
      <c r="AJ755" s="3" t="s">
        <v>870</v>
      </c>
    </row>
    <row r="756" spans="1:36">
      <c r="A756" s="5">
        <v>43336</v>
      </c>
      <c r="B756" s="3" t="s">
        <v>2665</v>
      </c>
      <c r="C756" s="3" t="s">
        <v>2666</v>
      </c>
      <c r="D756" s="3" t="s">
        <v>2666</v>
      </c>
      <c r="E756" s="3" t="s">
        <v>2667</v>
      </c>
      <c r="F756" s="3" t="s">
        <v>867</v>
      </c>
      <c r="G756" s="3">
        <v>1</v>
      </c>
      <c r="H756" s="3">
        <v>0</v>
      </c>
      <c r="I756" s="3">
        <v>0</v>
      </c>
      <c r="J756" s="3">
        <v>0</v>
      </c>
      <c r="K756" s="3">
        <v>1</v>
      </c>
      <c r="L756" s="3">
        <v>0</v>
      </c>
      <c r="M756" s="3">
        <v>0</v>
      </c>
      <c r="N756" s="3" t="s">
        <v>868</v>
      </c>
      <c r="O756" s="3">
        <v>1</v>
      </c>
      <c r="P756" s="3">
        <v>0.71</v>
      </c>
      <c r="Q756" s="3">
        <v>0</v>
      </c>
      <c r="R756" s="3">
        <v>0</v>
      </c>
      <c r="S756" s="3">
        <v>0</v>
      </c>
      <c r="T756" s="3">
        <v>1</v>
      </c>
      <c r="U756" s="3">
        <v>4</v>
      </c>
      <c r="V756" s="3">
        <v>4</v>
      </c>
      <c r="W756" s="3" t="s">
        <v>871</v>
      </c>
      <c r="X756" s="3">
        <v>12</v>
      </c>
      <c r="Y756" s="3">
        <v>12</v>
      </c>
      <c r="Z756" s="3">
        <v>12</v>
      </c>
      <c r="AA756" s="3">
        <v>0</v>
      </c>
      <c r="AB756" s="3" t="s">
        <v>869</v>
      </c>
      <c r="AC756" s="3">
        <v>1</v>
      </c>
      <c r="AD756" s="3">
        <v>12</v>
      </c>
      <c r="AE756" s="3">
        <v>0</v>
      </c>
      <c r="AF756" s="3">
        <v>0</v>
      </c>
      <c r="AG756" s="3">
        <v>0</v>
      </c>
      <c r="AH756" s="3">
        <v>1.23076923076923</v>
      </c>
      <c r="AI756" s="3">
        <v>0.205085</v>
      </c>
      <c r="AJ756" s="3" t="s">
        <v>870</v>
      </c>
    </row>
    <row r="757" spans="1:36">
      <c r="A757" s="5">
        <v>43336</v>
      </c>
      <c r="B757" s="3" t="s">
        <v>2668</v>
      </c>
      <c r="C757" s="3" t="s">
        <v>2669</v>
      </c>
      <c r="D757" s="3" t="s">
        <v>2669</v>
      </c>
      <c r="E757" s="3" t="s">
        <v>2670</v>
      </c>
      <c r="F757" s="3" t="s">
        <v>867</v>
      </c>
      <c r="G757" s="3">
        <v>1</v>
      </c>
      <c r="H757" s="3">
        <v>0</v>
      </c>
      <c r="I757" s="3">
        <v>1</v>
      </c>
      <c r="J757" s="3">
        <v>0</v>
      </c>
      <c r="K757" s="3">
        <v>0</v>
      </c>
      <c r="L757" s="3">
        <v>0</v>
      </c>
      <c r="M757" s="3">
        <v>0</v>
      </c>
      <c r="N757" s="3" t="s">
        <v>868</v>
      </c>
      <c r="O757" s="3">
        <v>0</v>
      </c>
      <c r="P757" s="3">
        <v>0</v>
      </c>
      <c r="Q757" s="3">
        <v>0</v>
      </c>
      <c r="R757" s="3">
        <v>0</v>
      </c>
      <c r="S757" s="3">
        <v>0</v>
      </c>
      <c r="T757" s="3">
        <v>1</v>
      </c>
      <c r="U757" s="3">
        <v>3</v>
      </c>
      <c r="V757" s="3">
        <v>5</v>
      </c>
      <c r="W757" s="3"/>
      <c r="X757" s="3">
        <v>22.98</v>
      </c>
      <c r="Y757" s="3">
        <v>22.98</v>
      </c>
      <c r="Z757" s="3">
        <v>22.98</v>
      </c>
      <c r="AA757" s="3">
        <v>0</v>
      </c>
      <c r="AB757" s="3" t="s">
        <v>869</v>
      </c>
      <c r="AC757" s="3">
        <v>0</v>
      </c>
      <c r="AD757" s="3">
        <v>0</v>
      </c>
      <c r="AE757" s="3">
        <v>0</v>
      </c>
      <c r="AF757" s="3">
        <v>0</v>
      </c>
      <c r="AG757" s="3">
        <v>0</v>
      </c>
      <c r="AH757" s="3">
        <v>1.2</v>
      </c>
      <c r="AI757" s="3">
        <v>0.148345</v>
      </c>
      <c r="AJ757" s="3" t="s">
        <v>870</v>
      </c>
    </row>
    <row r="758" spans="1:36">
      <c r="A758" s="5">
        <v>43336</v>
      </c>
      <c r="B758" s="3" t="s">
        <v>2671</v>
      </c>
      <c r="C758" s="3" t="s">
        <v>2672</v>
      </c>
      <c r="D758" s="3" t="s">
        <v>2672</v>
      </c>
      <c r="E758" s="3" t="s">
        <v>2673</v>
      </c>
      <c r="F758" s="3" t="s">
        <v>867</v>
      </c>
      <c r="G758" s="3">
        <v>16</v>
      </c>
      <c r="H758" s="3">
        <v>0</v>
      </c>
      <c r="I758" s="3">
        <v>15</v>
      </c>
      <c r="J758" s="3">
        <v>1</v>
      </c>
      <c r="K758" s="3">
        <v>0</v>
      </c>
      <c r="L758" s="3">
        <v>0</v>
      </c>
      <c r="M758" s="3">
        <v>0</v>
      </c>
      <c r="N758" s="3" t="s">
        <v>868</v>
      </c>
      <c r="O758" s="3">
        <v>0</v>
      </c>
      <c r="P758" s="3">
        <v>0</v>
      </c>
      <c r="Q758" s="3">
        <v>0</v>
      </c>
      <c r="R758" s="3">
        <v>0</v>
      </c>
      <c r="S758" s="3">
        <v>3</v>
      </c>
      <c r="T758" s="3">
        <v>5</v>
      </c>
      <c r="U758" s="3">
        <v>7</v>
      </c>
      <c r="V758" s="3">
        <v>9</v>
      </c>
      <c r="W758" s="3"/>
      <c r="X758" s="3">
        <v>22.98</v>
      </c>
      <c r="Y758" s="3">
        <v>22.98</v>
      </c>
      <c r="Z758" s="3">
        <v>22.98</v>
      </c>
      <c r="AA758" s="3">
        <v>0</v>
      </c>
      <c r="AB758" s="3" t="s">
        <v>869</v>
      </c>
      <c r="AC758" s="3">
        <v>18</v>
      </c>
      <c r="AD758" s="3">
        <v>22.98</v>
      </c>
      <c r="AE758" s="3">
        <v>0</v>
      </c>
      <c r="AF758" s="3">
        <v>0</v>
      </c>
      <c r="AG758" s="3">
        <v>0</v>
      </c>
      <c r="AH758" s="3">
        <v>0.514285714285714</v>
      </c>
      <c r="AI758" s="3">
        <v>1.337008</v>
      </c>
      <c r="AJ758" s="3" t="s">
        <v>870</v>
      </c>
    </row>
    <row r="759" spans="1:36">
      <c r="A759" s="5">
        <v>43336</v>
      </c>
      <c r="B759" s="3" t="s">
        <v>2674</v>
      </c>
      <c r="C759" s="3" t="s">
        <v>2675</v>
      </c>
      <c r="D759" s="3" t="s">
        <v>2675</v>
      </c>
      <c r="E759" s="3" t="s">
        <v>2676</v>
      </c>
      <c r="F759" s="3" t="s">
        <v>867</v>
      </c>
      <c r="G759" s="3">
        <v>10</v>
      </c>
      <c r="H759" s="3">
        <v>0</v>
      </c>
      <c r="I759" s="3">
        <v>0</v>
      </c>
      <c r="J759" s="3">
        <v>10</v>
      </c>
      <c r="K759" s="3">
        <v>0</v>
      </c>
      <c r="L759" s="3">
        <v>0</v>
      </c>
      <c r="M759" s="3">
        <v>0</v>
      </c>
      <c r="N759" s="3" t="s">
        <v>868</v>
      </c>
      <c r="O759" s="3">
        <v>10</v>
      </c>
      <c r="P759" s="3">
        <v>5.69</v>
      </c>
      <c r="Q759" s="3">
        <v>0</v>
      </c>
      <c r="R759" s="3">
        <v>0</v>
      </c>
      <c r="S759" s="3">
        <v>0</v>
      </c>
      <c r="T759" s="3">
        <v>0</v>
      </c>
      <c r="U759" s="3">
        <v>0</v>
      </c>
      <c r="V759" s="3">
        <v>0</v>
      </c>
      <c r="W759" s="3" t="s">
        <v>936</v>
      </c>
      <c r="X759" s="3">
        <v>27.98</v>
      </c>
      <c r="Y759" s="3">
        <v>27.98</v>
      </c>
      <c r="Z759" s="3">
        <v>27.98</v>
      </c>
      <c r="AA759" s="3">
        <v>0</v>
      </c>
      <c r="AB759" s="3" t="s">
        <v>937</v>
      </c>
      <c r="AC759" s="3">
        <v>0</v>
      </c>
      <c r="AD759" s="3">
        <v>22.38</v>
      </c>
      <c r="AE759" s="3">
        <v>63</v>
      </c>
      <c r="AF759" s="3">
        <v>0</v>
      </c>
      <c r="AG759" s="3">
        <v>222.753179</v>
      </c>
      <c r="AH759" s="3">
        <v>0</v>
      </c>
      <c r="AI759" s="3">
        <v>1.64938</v>
      </c>
      <c r="AJ759" s="3" t="s">
        <v>870</v>
      </c>
    </row>
    <row r="760" spans="1:36">
      <c r="A760" s="5">
        <v>43336</v>
      </c>
      <c r="B760" s="3" t="s">
        <v>679</v>
      </c>
      <c r="C760" s="3" t="s">
        <v>680</v>
      </c>
      <c r="D760" s="3" t="s">
        <v>680</v>
      </c>
      <c r="E760" s="3" t="s">
        <v>681</v>
      </c>
      <c r="F760" s="3" t="s">
        <v>867</v>
      </c>
      <c r="G760" s="3">
        <v>10</v>
      </c>
      <c r="H760" s="3">
        <v>0</v>
      </c>
      <c r="I760" s="3">
        <v>10</v>
      </c>
      <c r="J760" s="3">
        <v>0</v>
      </c>
      <c r="K760" s="3">
        <v>0</v>
      </c>
      <c r="L760" s="3">
        <v>0</v>
      </c>
      <c r="M760" s="3">
        <v>0</v>
      </c>
      <c r="N760" s="3" t="s">
        <v>868</v>
      </c>
      <c r="O760" s="3">
        <v>0</v>
      </c>
      <c r="P760" s="3">
        <v>0</v>
      </c>
      <c r="Q760" s="3">
        <v>0</v>
      </c>
      <c r="R760" s="3">
        <v>0</v>
      </c>
      <c r="S760" s="3">
        <v>2</v>
      </c>
      <c r="T760" s="3">
        <v>11</v>
      </c>
      <c r="U760" s="3">
        <v>14</v>
      </c>
      <c r="V760" s="3">
        <v>24</v>
      </c>
      <c r="W760" s="3"/>
      <c r="X760" s="3">
        <v>22.98</v>
      </c>
      <c r="Y760" s="3">
        <v>22.98</v>
      </c>
      <c r="Z760" s="3">
        <v>22.98</v>
      </c>
      <c r="AA760" s="3">
        <v>0</v>
      </c>
      <c r="AB760" s="3" t="s">
        <v>869</v>
      </c>
      <c r="AC760" s="3">
        <v>11</v>
      </c>
      <c r="AD760" s="3">
        <v>22.98</v>
      </c>
      <c r="AE760" s="3">
        <v>0</v>
      </c>
      <c r="AF760" s="3">
        <v>0</v>
      </c>
      <c r="AG760" s="3">
        <v>0</v>
      </c>
      <c r="AH760" s="3">
        <v>1.5</v>
      </c>
      <c r="AI760" s="3">
        <v>0.83563</v>
      </c>
      <c r="AJ760" s="3" t="s">
        <v>870</v>
      </c>
    </row>
    <row r="761" spans="1:36">
      <c r="A761" s="5">
        <v>43336</v>
      </c>
      <c r="B761" s="3" t="s">
        <v>2677</v>
      </c>
      <c r="C761" s="3" t="s">
        <v>2678</v>
      </c>
      <c r="D761" s="3" t="s">
        <v>2678</v>
      </c>
      <c r="E761" s="3" t="s">
        <v>2679</v>
      </c>
      <c r="F761" s="3" t="s">
        <v>867</v>
      </c>
      <c r="G761" s="3">
        <v>16</v>
      </c>
      <c r="H761" s="3">
        <v>0</v>
      </c>
      <c r="I761" s="3">
        <v>16</v>
      </c>
      <c r="J761" s="3">
        <v>0</v>
      </c>
      <c r="K761" s="3">
        <v>0</v>
      </c>
      <c r="L761" s="3">
        <v>0</v>
      </c>
      <c r="M761" s="3">
        <v>0</v>
      </c>
      <c r="N761" s="3" t="s">
        <v>868</v>
      </c>
      <c r="O761" s="3">
        <v>0</v>
      </c>
      <c r="P761" s="3">
        <v>0</v>
      </c>
      <c r="Q761" s="3">
        <v>0</v>
      </c>
      <c r="R761" s="3">
        <v>0</v>
      </c>
      <c r="S761" s="3">
        <v>4</v>
      </c>
      <c r="T761" s="3">
        <v>16</v>
      </c>
      <c r="U761" s="3">
        <v>40</v>
      </c>
      <c r="V761" s="3">
        <v>59</v>
      </c>
      <c r="W761" s="3"/>
      <c r="X761" s="3">
        <v>22.98</v>
      </c>
      <c r="Y761" s="3">
        <v>22.98</v>
      </c>
      <c r="Z761" s="3">
        <v>22.98</v>
      </c>
      <c r="AA761" s="3">
        <v>0</v>
      </c>
      <c r="AB761" s="3" t="s">
        <v>869</v>
      </c>
      <c r="AC761" s="3">
        <v>17</v>
      </c>
      <c r="AD761" s="3">
        <v>22.98</v>
      </c>
      <c r="AE761" s="3">
        <v>0</v>
      </c>
      <c r="AF761" s="3">
        <v>0</v>
      </c>
      <c r="AG761" s="3">
        <v>0</v>
      </c>
      <c r="AH761" s="3">
        <v>2.59340659340659</v>
      </c>
      <c r="AI761" s="3">
        <v>2.395088</v>
      </c>
      <c r="AJ761" s="3" t="s">
        <v>870</v>
      </c>
    </row>
    <row r="762" spans="1:36">
      <c r="A762" s="5">
        <v>43336</v>
      </c>
      <c r="B762" s="3" t="s">
        <v>2680</v>
      </c>
      <c r="C762" s="3" t="s">
        <v>2681</v>
      </c>
      <c r="D762" s="3" t="s">
        <v>1576</v>
      </c>
      <c r="E762" s="3" t="s">
        <v>1577</v>
      </c>
      <c r="F762" s="3" t="s">
        <v>867</v>
      </c>
      <c r="G762" s="3">
        <v>2</v>
      </c>
      <c r="H762" s="3">
        <v>0</v>
      </c>
      <c r="I762" s="3">
        <v>2</v>
      </c>
      <c r="J762" s="3">
        <v>0</v>
      </c>
      <c r="K762" s="3">
        <v>0</v>
      </c>
      <c r="L762" s="3">
        <v>0</v>
      </c>
      <c r="M762" s="3">
        <v>0</v>
      </c>
      <c r="N762" s="3" t="s">
        <v>868</v>
      </c>
      <c r="O762" s="3">
        <v>0</v>
      </c>
      <c r="P762" s="3">
        <v>0</v>
      </c>
      <c r="Q762" s="3">
        <v>0</v>
      </c>
      <c r="R762" s="3">
        <v>0</v>
      </c>
      <c r="S762" s="3">
        <v>0</v>
      </c>
      <c r="T762" s="3">
        <v>5</v>
      </c>
      <c r="U762" s="3">
        <v>6</v>
      </c>
      <c r="V762" s="3">
        <v>6</v>
      </c>
      <c r="W762" s="3"/>
      <c r="X762" s="3">
        <v>45.98</v>
      </c>
      <c r="Y762" s="3">
        <v>27.98</v>
      </c>
      <c r="Z762" s="3">
        <v>27.98</v>
      </c>
      <c r="AA762" s="3">
        <v>0</v>
      </c>
      <c r="AB762" s="3" t="s">
        <v>869</v>
      </c>
      <c r="AC762" s="3">
        <v>2</v>
      </c>
      <c r="AD762" s="3">
        <v>27.98</v>
      </c>
      <c r="AE762" s="3">
        <v>0</v>
      </c>
      <c r="AF762" s="3">
        <v>0</v>
      </c>
      <c r="AG762" s="3">
        <v>0</v>
      </c>
      <c r="AH762" s="3">
        <v>2.94736842105263</v>
      </c>
      <c r="AI762" s="3">
        <v>0.33814</v>
      </c>
      <c r="AJ762" s="3" t="s">
        <v>870</v>
      </c>
    </row>
    <row r="763" spans="1:36">
      <c r="A763" s="5">
        <v>43336</v>
      </c>
      <c r="B763" s="3" t="s">
        <v>2682</v>
      </c>
      <c r="C763" s="3" t="s">
        <v>2683</v>
      </c>
      <c r="D763" s="3" t="s">
        <v>2683</v>
      </c>
      <c r="E763" s="3" t="s">
        <v>2684</v>
      </c>
      <c r="F763" s="3" t="s">
        <v>867</v>
      </c>
      <c r="G763" s="3">
        <v>2</v>
      </c>
      <c r="H763" s="3">
        <v>0</v>
      </c>
      <c r="I763" s="3">
        <v>2</v>
      </c>
      <c r="J763" s="3">
        <v>0</v>
      </c>
      <c r="K763" s="3">
        <v>0</v>
      </c>
      <c r="L763" s="3">
        <v>0</v>
      </c>
      <c r="M763" s="3">
        <v>0</v>
      </c>
      <c r="N763" s="3" t="s">
        <v>868</v>
      </c>
      <c r="O763" s="3">
        <v>0</v>
      </c>
      <c r="P763" s="3">
        <v>0</v>
      </c>
      <c r="Q763" s="3">
        <v>0</v>
      </c>
      <c r="R763" s="3">
        <v>0</v>
      </c>
      <c r="S763" s="3">
        <v>0</v>
      </c>
      <c r="T763" s="3">
        <v>0</v>
      </c>
      <c r="U763" s="3">
        <v>1</v>
      </c>
      <c r="V763" s="3">
        <v>4</v>
      </c>
      <c r="W763" s="3" t="s">
        <v>871</v>
      </c>
      <c r="X763" s="3">
        <v>32.99</v>
      </c>
      <c r="Y763" s="3">
        <v>23.99</v>
      </c>
      <c r="Z763" s="3">
        <v>23.99</v>
      </c>
      <c r="AA763" s="3">
        <v>0</v>
      </c>
      <c r="AB763" s="3" t="s">
        <v>869</v>
      </c>
      <c r="AC763" s="3">
        <v>3</v>
      </c>
      <c r="AD763" s="3">
        <v>23.99</v>
      </c>
      <c r="AE763" s="3">
        <v>0</v>
      </c>
      <c r="AF763" s="3">
        <v>0</v>
      </c>
      <c r="AG763" s="3">
        <v>0</v>
      </c>
      <c r="AH763" s="3">
        <v>0.727272727272727</v>
      </c>
      <c r="AI763" s="3">
        <v>0.399362</v>
      </c>
      <c r="AJ763" s="3" t="s">
        <v>870</v>
      </c>
    </row>
    <row r="764" spans="1:36">
      <c r="A764" s="5">
        <v>43336</v>
      </c>
      <c r="B764" s="3" t="s">
        <v>100</v>
      </c>
      <c r="C764" s="3" t="s">
        <v>101</v>
      </c>
      <c r="D764" s="3" t="s">
        <v>102</v>
      </c>
      <c r="E764" s="3" t="s">
        <v>103</v>
      </c>
      <c r="F764" s="3" t="s">
        <v>867</v>
      </c>
      <c r="G764" s="3">
        <v>5</v>
      </c>
      <c r="H764" s="3">
        <v>0</v>
      </c>
      <c r="I764" s="3">
        <v>5</v>
      </c>
      <c r="J764" s="3">
        <v>0</v>
      </c>
      <c r="K764" s="3">
        <v>0</v>
      </c>
      <c r="L764" s="3">
        <v>0</v>
      </c>
      <c r="M764" s="3">
        <v>0</v>
      </c>
      <c r="N764" s="3" t="s">
        <v>868</v>
      </c>
      <c r="O764" s="3">
        <v>0</v>
      </c>
      <c r="P764" s="3">
        <v>0</v>
      </c>
      <c r="Q764" s="3">
        <v>0</v>
      </c>
      <c r="R764" s="3">
        <v>0</v>
      </c>
      <c r="S764" s="3">
        <v>0</v>
      </c>
      <c r="T764" s="3">
        <v>0</v>
      </c>
      <c r="U764" s="3">
        <v>0</v>
      </c>
      <c r="V764" s="3">
        <v>0</v>
      </c>
      <c r="W764" s="3" t="s">
        <v>871</v>
      </c>
      <c r="X764" s="3">
        <v>22.98</v>
      </c>
      <c r="Y764" s="3">
        <v>22.98</v>
      </c>
      <c r="Z764" s="3">
        <v>22.98</v>
      </c>
      <c r="AA764" s="3">
        <v>0</v>
      </c>
      <c r="AB764" s="3" t="s">
        <v>883</v>
      </c>
      <c r="AC764" s="3">
        <v>0</v>
      </c>
      <c r="AD764" s="3">
        <v>18.38</v>
      </c>
      <c r="AE764" s="3">
        <v>63</v>
      </c>
      <c r="AF764" s="3">
        <v>0</v>
      </c>
      <c r="AG764" s="3">
        <v>79.253898</v>
      </c>
      <c r="AH764" s="3">
        <v>0</v>
      </c>
      <c r="AI764" s="3">
        <v>0.69051</v>
      </c>
      <c r="AJ764" s="3" t="s">
        <v>870</v>
      </c>
    </row>
    <row r="765" spans="1:36">
      <c r="A765" s="5">
        <v>43336</v>
      </c>
      <c r="B765" s="3" t="s">
        <v>2685</v>
      </c>
      <c r="C765" s="3" t="s">
        <v>2686</v>
      </c>
      <c r="D765" s="3" t="s">
        <v>2686</v>
      </c>
      <c r="E765" s="3" t="s">
        <v>2687</v>
      </c>
      <c r="F765" s="3" t="s">
        <v>867</v>
      </c>
      <c r="G765" s="3">
        <v>32</v>
      </c>
      <c r="H765" s="3">
        <v>0</v>
      </c>
      <c r="I765" s="3">
        <v>5</v>
      </c>
      <c r="J765" s="3">
        <v>27</v>
      </c>
      <c r="K765" s="3">
        <v>0</v>
      </c>
      <c r="L765" s="3">
        <v>0</v>
      </c>
      <c r="M765" s="3">
        <v>0</v>
      </c>
      <c r="N765" s="3" t="s">
        <v>868</v>
      </c>
      <c r="O765" s="3">
        <v>0</v>
      </c>
      <c r="P765" s="3">
        <v>0</v>
      </c>
      <c r="Q765" s="3">
        <v>0</v>
      </c>
      <c r="R765" s="3">
        <v>0</v>
      </c>
      <c r="S765" s="3">
        <v>3</v>
      </c>
      <c r="T765" s="3">
        <v>7</v>
      </c>
      <c r="U765" s="3">
        <v>8</v>
      </c>
      <c r="V765" s="3">
        <v>14</v>
      </c>
      <c r="W765" s="3"/>
      <c r="X765" s="3">
        <v>39.98</v>
      </c>
      <c r="Y765" s="3">
        <v>22.98</v>
      </c>
      <c r="Z765" s="3">
        <v>22.98</v>
      </c>
      <c r="AA765" s="3">
        <v>0</v>
      </c>
      <c r="AB765" s="3" t="s">
        <v>869</v>
      </c>
      <c r="AC765" s="3">
        <v>34</v>
      </c>
      <c r="AD765" s="3">
        <v>22.98</v>
      </c>
      <c r="AE765" s="3">
        <v>0</v>
      </c>
      <c r="AF765" s="3">
        <v>0</v>
      </c>
      <c r="AG765" s="3">
        <v>0</v>
      </c>
      <c r="AH765" s="3">
        <v>0.366013071895424</v>
      </c>
      <c r="AI765" s="3">
        <v>6.822976</v>
      </c>
      <c r="AJ765" s="3" t="s">
        <v>870</v>
      </c>
    </row>
    <row r="766" spans="1:36">
      <c r="A766" s="5">
        <v>43336</v>
      </c>
      <c r="B766" s="3" t="s">
        <v>2688</v>
      </c>
      <c r="C766" s="3" t="s">
        <v>2689</v>
      </c>
      <c r="D766" s="3" t="s">
        <v>2689</v>
      </c>
      <c r="E766" s="3" t="s">
        <v>2690</v>
      </c>
      <c r="F766" s="3" t="s">
        <v>867</v>
      </c>
      <c r="G766" s="3">
        <v>1</v>
      </c>
      <c r="H766" s="3">
        <v>0</v>
      </c>
      <c r="I766" s="3">
        <v>1</v>
      </c>
      <c r="J766" s="3">
        <v>0</v>
      </c>
      <c r="K766" s="3">
        <v>0</v>
      </c>
      <c r="L766" s="3">
        <v>0</v>
      </c>
      <c r="M766" s="3">
        <v>0</v>
      </c>
      <c r="N766" s="3" t="s">
        <v>868</v>
      </c>
      <c r="O766" s="3">
        <v>0</v>
      </c>
      <c r="P766" s="3">
        <v>0</v>
      </c>
      <c r="Q766" s="3">
        <v>0</v>
      </c>
      <c r="R766" s="3">
        <v>0</v>
      </c>
      <c r="S766" s="3">
        <v>0</v>
      </c>
      <c r="T766" s="3">
        <v>0</v>
      </c>
      <c r="U766" s="3">
        <v>0</v>
      </c>
      <c r="V766" s="3">
        <v>0</v>
      </c>
      <c r="W766" s="3" t="s">
        <v>936</v>
      </c>
      <c r="X766" s="3">
        <v>65.98</v>
      </c>
      <c r="Y766" s="3">
        <v>65.98</v>
      </c>
      <c r="Z766" s="3">
        <v>65.98</v>
      </c>
      <c r="AA766" s="3">
        <v>0</v>
      </c>
      <c r="AB766" s="3" t="s">
        <v>937</v>
      </c>
      <c r="AC766" s="3">
        <v>0</v>
      </c>
      <c r="AD766" s="3">
        <v>61.13</v>
      </c>
      <c r="AE766" s="3">
        <v>91</v>
      </c>
      <c r="AF766" s="3">
        <v>0</v>
      </c>
      <c r="AG766" s="3">
        <v>89.522299</v>
      </c>
      <c r="AH766" s="3">
        <v>0</v>
      </c>
      <c r="AI766" s="3">
        <v>0.546875</v>
      </c>
      <c r="AJ766" s="3" t="s">
        <v>870</v>
      </c>
    </row>
    <row r="767" spans="1:36">
      <c r="A767" s="5">
        <v>43336</v>
      </c>
      <c r="B767" s="3" t="s">
        <v>821</v>
      </c>
      <c r="C767" s="3" t="s">
        <v>822</v>
      </c>
      <c r="D767" s="3" t="s">
        <v>823</v>
      </c>
      <c r="E767" s="3" t="s">
        <v>824</v>
      </c>
      <c r="F767" s="3" t="s">
        <v>867</v>
      </c>
      <c r="G767" s="3">
        <v>6</v>
      </c>
      <c r="H767" s="3">
        <v>0</v>
      </c>
      <c r="I767" s="3">
        <v>6</v>
      </c>
      <c r="J767" s="3">
        <v>0</v>
      </c>
      <c r="K767" s="3">
        <v>0</v>
      </c>
      <c r="L767" s="3">
        <v>0</v>
      </c>
      <c r="M767" s="3">
        <v>0</v>
      </c>
      <c r="N767" s="3" t="s">
        <v>868</v>
      </c>
      <c r="O767" s="3">
        <v>0</v>
      </c>
      <c r="P767" s="3">
        <v>0</v>
      </c>
      <c r="Q767" s="3">
        <v>0</v>
      </c>
      <c r="R767" s="3">
        <v>0</v>
      </c>
      <c r="S767" s="3">
        <v>0</v>
      </c>
      <c r="T767" s="3">
        <v>2</v>
      </c>
      <c r="U767" s="3">
        <v>2</v>
      </c>
      <c r="V767" s="3">
        <v>2</v>
      </c>
      <c r="W767" s="3"/>
      <c r="X767" s="3">
        <v>22.98</v>
      </c>
      <c r="Y767" s="3">
        <v>22.98</v>
      </c>
      <c r="Z767" s="3">
        <v>22.98</v>
      </c>
      <c r="AA767" s="3">
        <v>0</v>
      </c>
      <c r="AB767" s="3" t="s">
        <v>869</v>
      </c>
      <c r="AC767" s="3">
        <v>0</v>
      </c>
      <c r="AD767" s="3">
        <v>0</v>
      </c>
      <c r="AE767" s="3">
        <v>0</v>
      </c>
      <c r="AF767" s="3">
        <v>0</v>
      </c>
      <c r="AG767" s="3">
        <v>0</v>
      </c>
      <c r="AH767" s="3">
        <v>2.73170731707317</v>
      </c>
      <c r="AI767" s="3">
        <v>0.420276</v>
      </c>
      <c r="AJ767" s="3" t="s">
        <v>870</v>
      </c>
    </row>
    <row r="768" spans="1:36">
      <c r="A768" s="5">
        <v>43336</v>
      </c>
      <c r="B768" s="3" t="s">
        <v>2691</v>
      </c>
      <c r="C768" s="3" t="s">
        <v>2692</v>
      </c>
      <c r="D768" s="3" t="s">
        <v>2692</v>
      </c>
      <c r="E768" s="3" t="s">
        <v>2693</v>
      </c>
      <c r="F768" s="3" t="s">
        <v>867</v>
      </c>
      <c r="G768" s="3">
        <v>23</v>
      </c>
      <c r="H768" s="3">
        <v>0</v>
      </c>
      <c r="I768" s="3">
        <v>5</v>
      </c>
      <c r="J768" s="3">
        <v>18</v>
      </c>
      <c r="K768" s="3">
        <v>0</v>
      </c>
      <c r="L768" s="3">
        <v>0</v>
      </c>
      <c r="M768" s="3">
        <v>0</v>
      </c>
      <c r="N768" s="3" t="s">
        <v>868</v>
      </c>
      <c r="O768" s="3">
        <v>0</v>
      </c>
      <c r="P768" s="3">
        <v>0</v>
      </c>
      <c r="Q768" s="3">
        <v>0</v>
      </c>
      <c r="R768" s="3">
        <v>0</v>
      </c>
      <c r="S768" s="3">
        <v>1</v>
      </c>
      <c r="T768" s="3">
        <v>7</v>
      </c>
      <c r="U768" s="3">
        <v>9</v>
      </c>
      <c r="V768" s="3">
        <v>9</v>
      </c>
      <c r="W768" s="3"/>
      <c r="X768" s="3">
        <v>22.98</v>
      </c>
      <c r="Y768" s="3">
        <v>22.98</v>
      </c>
      <c r="Z768" s="3">
        <v>22.98</v>
      </c>
      <c r="AA768" s="3">
        <v>0</v>
      </c>
      <c r="AB768" s="3" t="s">
        <v>869</v>
      </c>
      <c r="AC768" s="3">
        <v>23</v>
      </c>
      <c r="AD768" s="3">
        <v>22.98</v>
      </c>
      <c r="AE768" s="3">
        <v>0</v>
      </c>
      <c r="AF768" s="3">
        <v>0</v>
      </c>
      <c r="AG768" s="3">
        <v>0</v>
      </c>
      <c r="AH768" s="3">
        <v>0.321428571428571</v>
      </c>
      <c r="AI768" s="3">
        <v>3.112636</v>
      </c>
      <c r="AJ768" s="3" t="s">
        <v>870</v>
      </c>
    </row>
    <row r="769" spans="1:36">
      <c r="A769" s="5">
        <v>43336</v>
      </c>
      <c r="B769" s="3" t="s">
        <v>2694</v>
      </c>
      <c r="C769" s="3" t="s">
        <v>2695</v>
      </c>
      <c r="D769" s="3" t="s">
        <v>2695</v>
      </c>
      <c r="E769" s="3" t="s">
        <v>2696</v>
      </c>
      <c r="F769" s="3" t="s">
        <v>867</v>
      </c>
      <c r="G769" s="3">
        <v>1</v>
      </c>
      <c r="H769" s="3">
        <v>0</v>
      </c>
      <c r="I769" s="3">
        <v>0</v>
      </c>
      <c r="J769" s="3">
        <v>1</v>
      </c>
      <c r="K769" s="3">
        <v>0</v>
      </c>
      <c r="L769" s="3">
        <v>0</v>
      </c>
      <c r="M769" s="3">
        <v>0</v>
      </c>
      <c r="N769" s="3" t="s">
        <v>868</v>
      </c>
      <c r="O769" s="3">
        <v>0</v>
      </c>
      <c r="P769" s="3">
        <v>0</v>
      </c>
      <c r="Q769" s="3">
        <v>0</v>
      </c>
      <c r="R769" s="3">
        <v>0</v>
      </c>
      <c r="S769" s="3">
        <v>0</v>
      </c>
      <c r="T769" s="3">
        <v>0</v>
      </c>
      <c r="U769" s="3">
        <v>0</v>
      </c>
      <c r="V769" s="3">
        <v>0</v>
      </c>
      <c r="W769" s="3" t="s">
        <v>871</v>
      </c>
      <c r="X769" s="3">
        <v>22.98</v>
      </c>
      <c r="Y769" s="3">
        <v>22.98</v>
      </c>
      <c r="Z769" s="3">
        <v>22.98</v>
      </c>
      <c r="AA769" s="3">
        <v>0</v>
      </c>
      <c r="AB769" s="3" t="s">
        <v>869</v>
      </c>
      <c r="AC769" s="3">
        <v>1</v>
      </c>
      <c r="AD769" s="3">
        <v>22.98</v>
      </c>
      <c r="AE769" s="3">
        <v>0</v>
      </c>
      <c r="AF769" s="3">
        <v>0</v>
      </c>
      <c r="AG769" s="3">
        <v>0</v>
      </c>
      <c r="AH769" s="3">
        <v>0</v>
      </c>
      <c r="AI769" s="3">
        <v>0.117545</v>
      </c>
      <c r="AJ769" s="3" t="s">
        <v>870</v>
      </c>
    </row>
    <row r="770" spans="1:36">
      <c r="A770" s="5">
        <v>43336</v>
      </c>
      <c r="B770" s="3" t="s">
        <v>2697</v>
      </c>
      <c r="C770" s="3" t="s">
        <v>2698</v>
      </c>
      <c r="D770" s="3" t="s">
        <v>2698</v>
      </c>
      <c r="E770" s="3" t="s">
        <v>1551</v>
      </c>
      <c r="F770" s="3" t="s">
        <v>867</v>
      </c>
      <c r="G770" s="3">
        <v>33</v>
      </c>
      <c r="H770" s="3">
        <v>0</v>
      </c>
      <c r="I770" s="3">
        <v>0</v>
      </c>
      <c r="J770" s="3">
        <v>30</v>
      </c>
      <c r="K770" s="3">
        <v>3</v>
      </c>
      <c r="L770" s="3">
        <v>0</v>
      </c>
      <c r="M770" s="3">
        <v>0</v>
      </c>
      <c r="N770" s="3" t="s">
        <v>868</v>
      </c>
      <c r="O770" s="3">
        <v>33</v>
      </c>
      <c r="P770" s="3">
        <v>18.78</v>
      </c>
      <c r="Q770" s="3">
        <v>0</v>
      </c>
      <c r="R770" s="3">
        <v>0</v>
      </c>
      <c r="S770" s="3">
        <v>0</v>
      </c>
      <c r="T770" s="3">
        <v>0</v>
      </c>
      <c r="U770" s="3">
        <v>0</v>
      </c>
      <c r="V770" s="3">
        <v>0</v>
      </c>
      <c r="W770" s="3" t="s">
        <v>936</v>
      </c>
      <c r="X770" s="3">
        <v>45.98</v>
      </c>
      <c r="Y770" s="3">
        <v>45.98</v>
      </c>
      <c r="Z770" s="3">
        <v>45.98</v>
      </c>
      <c r="AA770" s="3">
        <v>0</v>
      </c>
      <c r="AB770" s="3" t="s">
        <v>883</v>
      </c>
      <c r="AC770" s="3">
        <v>0</v>
      </c>
      <c r="AD770" s="3">
        <v>24.96</v>
      </c>
      <c r="AE770" s="3">
        <v>364</v>
      </c>
      <c r="AF770" s="3">
        <v>0</v>
      </c>
      <c r="AG770" s="3">
        <v>952.792181</v>
      </c>
      <c r="AH770" s="3">
        <v>0</v>
      </c>
      <c r="AI770" s="3">
        <v>5.442954</v>
      </c>
      <c r="AJ770" s="3" t="s">
        <v>870</v>
      </c>
    </row>
    <row r="771" spans="1:36">
      <c r="A771" s="5">
        <v>43336</v>
      </c>
      <c r="B771" s="3" t="s">
        <v>2699</v>
      </c>
      <c r="C771" s="3" t="s">
        <v>2700</v>
      </c>
      <c r="D771" s="3" t="s">
        <v>2700</v>
      </c>
      <c r="E771" s="3" t="s">
        <v>2701</v>
      </c>
      <c r="F771" s="3" t="s">
        <v>867</v>
      </c>
      <c r="G771" s="3">
        <v>17</v>
      </c>
      <c r="H771" s="3">
        <v>0</v>
      </c>
      <c r="I771" s="3">
        <v>6</v>
      </c>
      <c r="J771" s="3">
        <v>11</v>
      </c>
      <c r="K771" s="3">
        <v>0</v>
      </c>
      <c r="L771" s="3">
        <v>0</v>
      </c>
      <c r="M771" s="3">
        <v>0</v>
      </c>
      <c r="N771" s="3" t="s">
        <v>868</v>
      </c>
      <c r="O771" s="3">
        <v>0</v>
      </c>
      <c r="P771" s="3">
        <v>0</v>
      </c>
      <c r="Q771" s="3">
        <v>0</v>
      </c>
      <c r="R771" s="3">
        <v>0</v>
      </c>
      <c r="S771" s="3">
        <v>0</v>
      </c>
      <c r="T771" s="3">
        <v>2</v>
      </c>
      <c r="U771" s="3">
        <v>4</v>
      </c>
      <c r="V771" s="3">
        <v>12</v>
      </c>
      <c r="W771" s="3" t="s">
        <v>871</v>
      </c>
      <c r="X771" s="3">
        <v>22.99</v>
      </c>
      <c r="Y771" s="3">
        <v>22.99</v>
      </c>
      <c r="Z771" s="3">
        <v>22.99</v>
      </c>
      <c r="AA771" s="3">
        <v>0</v>
      </c>
      <c r="AB771" s="3" t="s">
        <v>883</v>
      </c>
      <c r="AC771" s="3">
        <v>17</v>
      </c>
      <c r="AD771" s="3">
        <v>22.98</v>
      </c>
      <c r="AE771" s="3">
        <v>0</v>
      </c>
      <c r="AF771" s="3">
        <v>0</v>
      </c>
      <c r="AG771" s="3">
        <v>0</v>
      </c>
      <c r="AH771" s="3">
        <v>0.6</v>
      </c>
      <c r="AI771" s="3">
        <v>3.43655</v>
      </c>
      <c r="AJ771" s="3" t="s">
        <v>870</v>
      </c>
    </row>
    <row r="772" spans="1:36">
      <c r="A772" s="5">
        <v>43336</v>
      </c>
      <c r="B772" s="3" t="s">
        <v>2702</v>
      </c>
      <c r="C772" s="3" t="s">
        <v>2703</v>
      </c>
      <c r="D772" s="3" t="s">
        <v>2703</v>
      </c>
      <c r="E772" s="3" t="s">
        <v>2704</v>
      </c>
      <c r="F772" s="3" t="s">
        <v>867</v>
      </c>
      <c r="G772" s="3">
        <v>1</v>
      </c>
      <c r="H772" s="3">
        <v>0</v>
      </c>
      <c r="I772" s="3">
        <v>1</v>
      </c>
      <c r="J772" s="3">
        <v>0</v>
      </c>
      <c r="K772" s="3">
        <v>0</v>
      </c>
      <c r="L772" s="3">
        <v>0</v>
      </c>
      <c r="M772" s="3">
        <v>0</v>
      </c>
      <c r="N772" s="3" t="s">
        <v>868</v>
      </c>
      <c r="O772" s="3">
        <v>0</v>
      </c>
      <c r="P772" s="3">
        <v>0</v>
      </c>
      <c r="Q772" s="3">
        <v>0</v>
      </c>
      <c r="R772" s="3">
        <v>0</v>
      </c>
      <c r="S772" s="3">
        <v>0</v>
      </c>
      <c r="T772" s="3">
        <v>0</v>
      </c>
      <c r="U772" s="3">
        <v>5</v>
      </c>
      <c r="V772" s="3">
        <v>17</v>
      </c>
      <c r="W772" s="3"/>
      <c r="X772" s="3"/>
      <c r="Y772" s="3"/>
      <c r="Z772" s="3">
        <v>-1</v>
      </c>
      <c r="AA772" s="3">
        <v>-1</v>
      </c>
      <c r="AB772" s="3" t="s">
        <v>891</v>
      </c>
      <c r="AC772" s="3">
        <v>0</v>
      </c>
      <c r="AD772" s="3">
        <v>0</v>
      </c>
      <c r="AE772" s="3">
        <v>0</v>
      </c>
      <c r="AF772" s="3">
        <v>0</v>
      </c>
      <c r="AG772" s="3">
        <v>0</v>
      </c>
      <c r="AH772" s="3">
        <v>3.23809523809523</v>
      </c>
      <c r="AI772" s="3">
        <v>0.045529</v>
      </c>
      <c r="AJ772" s="3" t="s">
        <v>870</v>
      </c>
    </row>
    <row r="773" spans="1:36">
      <c r="A773" s="5">
        <v>43336</v>
      </c>
      <c r="B773" s="3" t="s">
        <v>266</v>
      </c>
      <c r="C773" s="3" t="s">
        <v>267</v>
      </c>
      <c r="D773" s="3" t="s">
        <v>268</v>
      </c>
      <c r="E773" s="3" t="s">
        <v>269</v>
      </c>
      <c r="F773" s="3" t="s">
        <v>867</v>
      </c>
      <c r="G773" s="3">
        <v>18</v>
      </c>
      <c r="H773" s="3">
        <v>0</v>
      </c>
      <c r="I773" s="3">
        <v>18</v>
      </c>
      <c r="J773" s="3">
        <v>0</v>
      </c>
      <c r="K773" s="3">
        <v>0</v>
      </c>
      <c r="L773" s="3">
        <v>0</v>
      </c>
      <c r="M773" s="3">
        <v>0</v>
      </c>
      <c r="N773" s="3" t="s">
        <v>868</v>
      </c>
      <c r="O773" s="3">
        <v>0</v>
      </c>
      <c r="P773" s="3">
        <v>0</v>
      </c>
      <c r="Q773" s="3">
        <v>0</v>
      </c>
      <c r="R773" s="3">
        <v>0</v>
      </c>
      <c r="S773" s="3">
        <v>1</v>
      </c>
      <c r="T773" s="3">
        <v>17</v>
      </c>
      <c r="U773" s="3">
        <v>20</v>
      </c>
      <c r="V773" s="3">
        <v>20</v>
      </c>
      <c r="W773" s="3"/>
      <c r="X773" s="3">
        <v>14.98</v>
      </c>
      <c r="Y773" s="3">
        <v>17.98</v>
      </c>
      <c r="Z773" s="3">
        <v>17.98</v>
      </c>
      <c r="AA773" s="3">
        <v>0</v>
      </c>
      <c r="AB773" s="3" t="s">
        <v>869</v>
      </c>
      <c r="AC773" s="3">
        <v>21</v>
      </c>
      <c r="AD773" s="3">
        <v>17.98</v>
      </c>
      <c r="AE773" s="3">
        <v>0</v>
      </c>
      <c r="AF773" s="3">
        <v>0</v>
      </c>
      <c r="AG773" s="3">
        <v>0</v>
      </c>
      <c r="AH773" s="3">
        <v>0.933333333333333</v>
      </c>
      <c r="AI773" s="3">
        <v>0.819522</v>
      </c>
      <c r="AJ773" s="3" t="s">
        <v>870</v>
      </c>
    </row>
    <row r="774" spans="1:36">
      <c r="A774" s="5">
        <v>43336</v>
      </c>
      <c r="B774" s="3" t="s">
        <v>2705</v>
      </c>
      <c r="C774" s="3" t="s">
        <v>2706</v>
      </c>
      <c r="D774" s="3" t="s">
        <v>2707</v>
      </c>
      <c r="E774" s="3" t="s">
        <v>2708</v>
      </c>
      <c r="F774" s="3" t="s">
        <v>867</v>
      </c>
      <c r="G774" s="3">
        <v>2</v>
      </c>
      <c r="H774" s="3">
        <v>0</v>
      </c>
      <c r="I774" s="3">
        <v>2</v>
      </c>
      <c r="J774" s="3">
        <v>0</v>
      </c>
      <c r="K774" s="3">
        <v>0</v>
      </c>
      <c r="L774" s="3">
        <v>0</v>
      </c>
      <c r="M774" s="3">
        <v>0</v>
      </c>
      <c r="N774" s="3" t="s">
        <v>868</v>
      </c>
      <c r="O774" s="3">
        <v>0</v>
      </c>
      <c r="P774" s="3">
        <v>0</v>
      </c>
      <c r="Q774" s="3">
        <v>0</v>
      </c>
      <c r="R774" s="3">
        <v>0</v>
      </c>
      <c r="S774" s="3">
        <v>0</v>
      </c>
      <c r="T774" s="3">
        <v>0</v>
      </c>
      <c r="U774" s="3">
        <v>0</v>
      </c>
      <c r="V774" s="3">
        <v>0</v>
      </c>
      <c r="W774" s="3" t="s">
        <v>936</v>
      </c>
      <c r="X774" s="3">
        <v>39.98</v>
      </c>
      <c r="Y774" s="3">
        <v>19.98</v>
      </c>
      <c r="Z774" s="3">
        <v>19.98</v>
      </c>
      <c r="AA774" s="3">
        <v>0</v>
      </c>
      <c r="AB774" s="3" t="s">
        <v>985</v>
      </c>
      <c r="AC774" s="3">
        <v>0</v>
      </c>
      <c r="AD774" s="3">
        <v>0</v>
      </c>
      <c r="AE774" s="3">
        <v>0</v>
      </c>
      <c r="AF774" s="3">
        <v>0</v>
      </c>
      <c r="AG774" s="3">
        <v>0</v>
      </c>
      <c r="AH774" s="3">
        <v>0</v>
      </c>
      <c r="AI774" s="3">
        <v>0.41854</v>
      </c>
      <c r="AJ774" s="3" t="s">
        <v>870</v>
      </c>
    </row>
    <row r="775" spans="1:36">
      <c r="A775" s="5">
        <v>43336</v>
      </c>
      <c r="B775" s="3" t="s">
        <v>2709</v>
      </c>
      <c r="C775" s="3" t="s">
        <v>2710</v>
      </c>
      <c r="D775" s="3" t="s">
        <v>2711</v>
      </c>
      <c r="E775" s="3" t="s">
        <v>2712</v>
      </c>
      <c r="F775" s="3" t="s">
        <v>867</v>
      </c>
      <c r="G775" s="3">
        <v>6</v>
      </c>
      <c r="H775" s="3">
        <v>0</v>
      </c>
      <c r="I775" s="3">
        <v>6</v>
      </c>
      <c r="J775" s="3">
        <v>0</v>
      </c>
      <c r="K775" s="3">
        <v>0</v>
      </c>
      <c r="L775" s="3">
        <v>0</v>
      </c>
      <c r="M775" s="3">
        <v>0</v>
      </c>
      <c r="N775" s="3" t="s">
        <v>868</v>
      </c>
      <c r="O775" s="3">
        <v>0</v>
      </c>
      <c r="P775" s="3">
        <v>0</v>
      </c>
      <c r="Q775" s="3">
        <v>0</v>
      </c>
      <c r="R775" s="3">
        <v>0</v>
      </c>
      <c r="S775" s="3">
        <v>0</v>
      </c>
      <c r="T775" s="3">
        <v>0</v>
      </c>
      <c r="U775" s="3">
        <v>0</v>
      </c>
      <c r="V775" s="3">
        <v>0</v>
      </c>
      <c r="W775" s="3" t="s">
        <v>936</v>
      </c>
      <c r="X775" s="3">
        <v>22.99</v>
      </c>
      <c r="Y775" s="3">
        <v>22.99</v>
      </c>
      <c r="Z775" s="3">
        <v>22.99</v>
      </c>
      <c r="AA775" s="3">
        <v>0</v>
      </c>
      <c r="AB775" s="3" t="s">
        <v>937</v>
      </c>
      <c r="AC775" s="3">
        <v>0</v>
      </c>
      <c r="AD775" s="3">
        <v>18.39</v>
      </c>
      <c r="AE775" s="3">
        <v>63</v>
      </c>
      <c r="AF775" s="3">
        <v>0</v>
      </c>
      <c r="AG775" s="3">
        <v>111.433691</v>
      </c>
      <c r="AH775" s="3">
        <v>0</v>
      </c>
      <c r="AI775" s="3">
        <v>0.859374</v>
      </c>
      <c r="AJ775" s="3" t="s">
        <v>925</v>
      </c>
    </row>
    <row r="776" spans="1:36">
      <c r="A776" s="5">
        <v>43336</v>
      </c>
      <c r="B776" s="3" t="s">
        <v>2713</v>
      </c>
      <c r="C776" s="3" t="s">
        <v>2714</v>
      </c>
      <c r="D776" s="3" t="s">
        <v>2715</v>
      </c>
      <c r="E776" s="3" t="s">
        <v>2716</v>
      </c>
      <c r="F776" s="3" t="s">
        <v>867</v>
      </c>
      <c r="G776" s="3">
        <v>6</v>
      </c>
      <c r="H776" s="3">
        <v>0</v>
      </c>
      <c r="I776" s="3">
        <v>6</v>
      </c>
      <c r="J776" s="3">
        <v>0</v>
      </c>
      <c r="K776" s="3">
        <v>0</v>
      </c>
      <c r="L776" s="3">
        <v>0</v>
      </c>
      <c r="M776" s="3">
        <v>0</v>
      </c>
      <c r="N776" s="3" t="s">
        <v>868</v>
      </c>
      <c r="O776" s="3">
        <v>0</v>
      </c>
      <c r="P776" s="3">
        <v>0</v>
      </c>
      <c r="Q776" s="3">
        <v>0</v>
      </c>
      <c r="R776" s="3">
        <v>0</v>
      </c>
      <c r="S776" s="3">
        <v>0</v>
      </c>
      <c r="T776" s="3">
        <v>0</v>
      </c>
      <c r="U776" s="3">
        <v>0</v>
      </c>
      <c r="V776" s="3">
        <v>0</v>
      </c>
      <c r="W776" s="3" t="s">
        <v>936</v>
      </c>
      <c r="X776" s="3">
        <v>22.98</v>
      </c>
      <c r="Y776" s="3">
        <v>22.98</v>
      </c>
      <c r="Z776" s="3">
        <v>22.98</v>
      </c>
      <c r="AA776" s="3">
        <v>0</v>
      </c>
      <c r="AB776" s="3" t="s">
        <v>937</v>
      </c>
      <c r="AC776" s="3">
        <v>0</v>
      </c>
      <c r="AD776" s="3">
        <v>18.38</v>
      </c>
      <c r="AE776" s="3">
        <v>63</v>
      </c>
      <c r="AF776" s="3">
        <v>0</v>
      </c>
      <c r="AG776" s="3">
        <v>142.554732</v>
      </c>
      <c r="AH776" s="3">
        <v>0</v>
      </c>
      <c r="AI776" s="3">
        <v>1.23749999999999</v>
      </c>
      <c r="AJ776" s="3" t="s">
        <v>925</v>
      </c>
    </row>
    <row r="777" spans="1:36">
      <c r="A777" s="5">
        <v>43336</v>
      </c>
      <c r="B777" s="3" t="s">
        <v>2717</v>
      </c>
      <c r="C777" s="3" t="s">
        <v>2718</v>
      </c>
      <c r="D777" s="3" t="s">
        <v>2718</v>
      </c>
      <c r="E777" s="3" t="s">
        <v>2719</v>
      </c>
      <c r="F777" s="3" t="s">
        <v>867</v>
      </c>
      <c r="G777" s="3">
        <v>3</v>
      </c>
      <c r="H777" s="3">
        <v>0</v>
      </c>
      <c r="I777" s="3">
        <v>0</v>
      </c>
      <c r="J777" s="3">
        <v>2</v>
      </c>
      <c r="K777" s="3">
        <v>1</v>
      </c>
      <c r="L777" s="3">
        <v>0</v>
      </c>
      <c r="M777" s="3">
        <v>0</v>
      </c>
      <c r="N777" s="3" t="s">
        <v>868</v>
      </c>
      <c r="O777" s="3">
        <v>2</v>
      </c>
      <c r="P777" s="3">
        <v>0.79</v>
      </c>
      <c r="Q777" s="3">
        <v>0</v>
      </c>
      <c r="R777" s="3">
        <v>0</v>
      </c>
      <c r="S777" s="3">
        <v>1</v>
      </c>
      <c r="T777" s="3">
        <v>2</v>
      </c>
      <c r="U777" s="3">
        <v>8</v>
      </c>
      <c r="V777" s="3">
        <v>13</v>
      </c>
      <c r="W777" s="3" t="s">
        <v>871</v>
      </c>
      <c r="X777" s="3">
        <v>18.98</v>
      </c>
      <c r="Y777" s="3">
        <v>18.98</v>
      </c>
      <c r="Z777" s="3">
        <v>18.98</v>
      </c>
      <c r="AA777" s="3">
        <v>0</v>
      </c>
      <c r="AB777" s="3" t="s">
        <v>869</v>
      </c>
      <c r="AC777" s="3">
        <v>4</v>
      </c>
      <c r="AD777" s="3">
        <v>18.98</v>
      </c>
      <c r="AE777" s="3">
        <v>0</v>
      </c>
      <c r="AF777" s="3">
        <v>0</v>
      </c>
      <c r="AG777" s="3">
        <v>0</v>
      </c>
      <c r="AH777" s="3">
        <v>0.436974789915966</v>
      </c>
      <c r="AI777" s="3">
        <v>0.343749</v>
      </c>
      <c r="AJ777" s="3" t="s">
        <v>870</v>
      </c>
    </row>
    <row r="778" spans="1:36">
      <c r="A778" s="5">
        <v>43336</v>
      </c>
      <c r="B778" s="3" t="s">
        <v>2720</v>
      </c>
      <c r="C778" s="3" t="s">
        <v>2721</v>
      </c>
      <c r="D778" s="3" t="s">
        <v>2721</v>
      </c>
      <c r="E778" s="3" t="s">
        <v>2722</v>
      </c>
      <c r="F778" s="3" t="s">
        <v>867</v>
      </c>
      <c r="G778" s="3">
        <v>6</v>
      </c>
      <c r="H778" s="3">
        <v>0</v>
      </c>
      <c r="I778" s="3">
        <v>1</v>
      </c>
      <c r="J778" s="3">
        <v>5</v>
      </c>
      <c r="K778" s="3">
        <v>0</v>
      </c>
      <c r="L778" s="3">
        <v>0</v>
      </c>
      <c r="M778" s="3">
        <v>0</v>
      </c>
      <c r="N778" s="3" t="s">
        <v>868</v>
      </c>
      <c r="O778" s="3">
        <v>5</v>
      </c>
      <c r="P778" s="3">
        <v>3.68</v>
      </c>
      <c r="Q778" s="3">
        <v>0</v>
      </c>
      <c r="R778" s="3">
        <v>0</v>
      </c>
      <c r="S778" s="3">
        <v>0</v>
      </c>
      <c r="T778" s="3">
        <v>0</v>
      </c>
      <c r="U778" s="3">
        <v>1</v>
      </c>
      <c r="V778" s="3">
        <v>5</v>
      </c>
      <c r="W778" s="3" t="s">
        <v>871</v>
      </c>
      <c r="X778" s="3">
        <v>26.98</v>
      </c>
      <c r="Y778" s="3">
        <v>26.98</v>
      </c>
      <c r="Z778" s="3">
        <v>26.98</v>
      </c>
      <c r="AA778" s="3">
        <v>0</v>
      </c>
      <c r="AB778" s="3" t="s">
        <v>883</v>
      </c>
      <c r="AC778" s="3">
        <v>0</v>
      </c>
      <c r="AD778" s="3">
        <v>24.22</v>
      </c>
      <c r="AE778" s="3">
        <v>140</v>
      </c>
      <c r="AF778" s="3">
        <v>0</v>
      </c>
      <c r="AG778" s="3">
        <v>226.65058</v>
      </c>
      <c r="AH778" s="3">
        <v>0.48780487804878</v>
      </c>
      <c r="AI778" s="3">
        <v>1.281018</v>
      </c>
      <c r="AJ778" s="3" t="s">
        <v>870</v>
      </c>
    </row>
    <row r="779" spans="1:36">
      <c r="A779" s="5">
        <v>43336</v>
      </c>
      <c r="B779" s="3" t="s">
        <v>2723</v>
      </c>
      <c r="C779" s="3" t="s">
        <v>2724</v>
      </c>
      <c r="D779" s="3" t="s">
        <v>2725</v>
      </c>
      <c r="E779" s="3" t="s">
        <v>2726</v>
      </c>
      <c r="F779" s="3" t="s">
        <v>867</v>
      </c>
      <c r="G779" s="3">
        <v>5</v>
      </c>
      <c r="H779" s="3">
        <v>0</v>
      </c>
      <c r="I779" s="3">
        <v>5</v>
      </c>
      <c r="J779" s="3">
        <v>0</v>
      </c>
      <c r="K779" s="3">
        <v>0</v>
      </c>
      <c r="L779" s="3">
        <v>0</v>
      </c>
      <c r="M779" s="3">
        <v>0</v>
      </c>
      <c r="N779" s="3" t="s">
        <v>868</v>
      </c>
      <c r="O779" s="3">
        <v>0</v>
      </c>
      <c r="P779" s="3">
        <v>0</v>
      </c>
      <c r="Q779" s="3">
        <v>0</v>
      </c>
      <c r="R779" s="3">
        <v>0</v>
      </c>
      <c r="S779" s="3">
        <v>1</v>
      </c>
      <c r="T779" s="3">
        <v>1</v>
      </c>
      <c r="U779" s="3">
        <v>1</v>
      </c>
      <c r="V779" s="3">
        <v>1</v>
      </c>
      <c r="W779" s="3" t="s">
        <v>936</v>
      </c>
      <c r="X779" s="3">
        <v>22.99</v>
      </c>
      <c r="Y779" s="3">
        <v>22.99</v>
      </c>
      <c r="Z779" s="3">
        <v>22.99</v>
      </c>
      <c r="AA779" s="3">
        <v>0</v>
      </c>
      <c r="AB779" s="3" t="s">
        <v>937</v>
      </c>
      <c r="AC779" s="3">
        <v>0</v>
      </c>
      <c r="AD779" s="3">
        <v>18.39</v>
      </c>
      <c r="AE779" s="3">
        <v>63</v>
      </c>
      <c r="AF779" s="3">
        <v>0</v>
      </c>
      <c r="AG779" s="3">
        <v>111.433691</v>
      </c>
      <c r="AH779" s="3">
        <v>0.2</v>
      </c>
      <c r="AI779" s="3">
        <v>0.716145</v>
      </c>
      <c r="AJ779" s="3" t="s">
        <v>925</v>
      </c>
    </row>
    <row r="780" spans="1:36">
      <c r="A780" s="5">
        <v>43336</v>
      </c>
      <c r="B780" s="3" t="s">
        <v>2727</v>
      </c>
      <c r="C780" s="3" t="s">
        <v>2728</v>
      </c>
      <c r="D780" s="3" t="s">
        <v>2728</v>
      </c>
      <c r="E780" s="3" t="s">
        <v>2729</v>
      </c>
      <c r="F780" s="3" t="s">
        <v>867</v>
      </c>
      <c r="G780" s="3">
        <v>1</v>
      </c>
      <c r="H780" s="3">
        <v>0</v>
      </c>
      <c r="I780" s="3">
        <v>0</v>
      </c>
      <c r="J780" s="3">
        <v>0</v>
      </c>
      <c r="K780" s="3">
        <v>1</v>
      </c>
      <c r="L780" s="3">
        <v>0</v>
      </c>
      <c r="M780" s="3">
        <v>0</v>
      </c>
      <c r="N780" s="3" t="s">
        <v>868</v>
      </c>
      <c r="O780" s="3">
        <v>1</v>
      </c>
      <c r="P780" s="3">
        <v>0.38</v>
      </c>
      <c r="Q780" s="3">
        <v>0</v>
      </c>
      <c r="R780" s="3">
        <v>0</v>
      </c>
      <c r="S780" s="3">
        <v>0</v>
      </c>
      <c r="T780" s="3">
        <v>0</v>
      </c>
      <c r="U780" s="3">
        <v>0</v>
      </c>
      <c r="V780" s="3">
        <v>1</v>
      </c>
      <c r="W780" s="3" t="s">
        <v>871</v>
      </c>
      <c r="X780" s="3">
        <v>22.98</v>
      </c>
      <c r="Y780" s="3">
        <v>22.98</v>
      </c>
      <c r="Z780" s="3">
        <v>22.98</v>
      </c>
      <c r="AA780" s="3">
        <v>0</v>
      </c>
      <c r="AB780" s="3" t="s">
        <v>869</v>
      </c>
      <c r="AC780" s="3">
        <v>1</v>
      </c>
      <c r="AD780" s="3">
        <v>22.98</v>
      </c>
      <c r="AE780" s="3">
        <v>0</v>
      </c>
      <c r="AF780" s="3">
        <v>0</v>
      </c>
      <c r="AG780" s="3">
        <v>0</v>
      </c>
      <c r="AH780" s="3">
        <v>0.0909090909090909</v>
      </c>
      <c r="AI780" s="3">
        <v>0.110329</v>
      </c>
      <c r="AJ780" s="3" t="s">
        <v>870</v>
      </c>
    </row>
    <row r="781" spans="1:36">
      <c r="A781" s="5">
        <v>43336</v>
      </c>
      <c r="B781" s="3" t="s">
        <v>2730</v>
      </c>
      <c r="C781" s="3" t="s">
        <v>2731</v>
      </c>
      <c r="D781" s="3" t="s">
        <v>2731</v>
      </c>
      <c r="E781" s="3" t="s">
        <v>2732</v>
      </c>
      <c r="F781" s="3" t="s">
        <v>867</v>
      </c>
      <c r="G781" s="3">
        <v>8</v>
      </c>
      <c r="H781" s="3">
        <v>0</v>
      </c>
      <c r="I781" s="3">
        <v>8</v>
      </c>
      <c r="J781" s="3">
        <v>0</v>
      </c>
      <c r="K781" s="3">
        <v>0</v>
      </c>
      <c r="L781" s="3">
        <v>0</v>
      </c>
      <c r="M781" s="3">
        <v>0</v>
      </c>
      <c r="N781" s="3" t="s">
        <v>868</v>
      </c>
      <c r="O781" s="3">
        <v>0</v>
      </c>
      <c r="P781" s="3">
        <v>0</v>
      </c>
      <c r="Q781" s="3">
        <v>0</v>
      </c>
      <c r="R781" s="3">
        <v>0</v>
      </c>
      <c r="S781" s="3">
        <v>0</v>
      </c>
      <c r="T781" s="3">
        <v>0</v>
      </c>
      <c r="U781" s="3">
        <v>0</v>
      </c>
      <c r="V781" s="3">
        <v>0</v>
      </c>
      <c r="W781" s="3" t="s">
        <v>871</v>
      </c>
      <c r="X781" s="3">
        <v>27.98</v>
      </c>
      <c r="Y781" s="3">
        <v>27.98</v>
      </c>
      <c r="Z781" s="3">
        <v>27.98</v>
      </c>
      <c r="AA781" s="3">
        <v>0</v>
      </c>
      <c r="AB781" s="3" t="s">
        <v>883</v>
      </c>
      <c r="AC781" s="3">
        <v>0</v>
      </c>
      <c r="AD781" s="3">
        <v>23.87</v>
      </c>
      <c r="AE781" s="3">
        <v>224</v>
      </c>
      <c r="AF781" s="3">
        <v>0</v>
      </c>
      <c r="AG781" s="3">
        <v>250.376539</v>
      </c>
      <c r="AH781" s="3">
        <v>0</v>
      </c>
      <c r="AI781" s="3">
        <v>1.35256</v>
      </c>
      <c r="AJ781" s="3" t="s">
        <v>870</v>
      </c>
    </row>
    <row r="782" spans="1:36">
      <c r="A782" s="5">
        <v>43336</v>
      </c>
      <c r="B782" s="3" t="s">
        <v>2733</v>
      </c>
      <c r="C782" s="3" t="s">
        <v>2734</v>
      </c>
      <c r="D782" s="3" t="s">
        <v>2735</v>
      </c>
      <c r="E782" s="3" t="s">
        <v>2736</v>
      </c>
      <c r="F782" s="3" t="s">
        <v>867</v>
      </c>
      <c r="G782" s="3">
        <v>6</v>
      </c>
      <c r="H782" s="3">
        <v>0</v>
      </c>
      <c r="I782" s="3">
        <v>6</v>
      </c>
      <c r="J782" s="3">
        <v>0</v>
      </c>
      <c r="K782" s="3">
        <v>0</v>
      </c>
      <c r="L782" s="3">
        <v>0</v>
      </c>
      <c r="M782" s="3">
        <v>0</v>
      </c>
      <c r="N782" s="3" t="s">
        <v>868</v>
      </c>
      <c r="O782" s="3">
        <v>0</v>
      </c>
      <c r="P782" s="3">
        <v>0</v>
      </c>
      <c r="Q782" s="3">
        <v>0</v>
      </c>
      <c r="R782" s="3">
        <v>0</v>
      </c>
      <c r="S782" s="3">
        <v>0</v>
      </c>
      <c r="T782" s="3">
        <v>0</v>
      </c>
      <c r="U782" s="3">
        <v>0</v>
      </c>
      <c r="V782" s="3">
        <v>0</v>
      </c>
      <c r="W782" s="3" t="s">
        <v>871</v>
      </c>
      <c r="X782" s="3">
        <v>17.99</v>
      </c>
      <c r="Y782" s="3">
        <v>17.99</v>
      </c>
      <c r="Z782" s="3">
        <v>17.99</v>
      </c>
      <c r="AA782" s="3">
        <v>0</v>
      </c>
      <c r="AB782" s="3" t="s">
        <v>869</v>
      </c>
      <c r="AC782" s="3">
        <v>0</v>
      </c>
      <c r="AD782" s="3">
        <v>17.99</v>
      </c>
      <c r="AE782" s="3">
        <v>63</v>
      </c>
      <c r="AF782" s="3">
        <v>0</v>
      </c>
      <c r="AG782" s="3">
        <v>149.730621</v>
      </c>
      <c r="AH782" s="3">
        <v>0</v>
      </c>
      <c r="AI782" s="3">
        <v>1.304106</v>
      </c>
      <c r="AJ782" s="3" t="s">
        <v>925</v>
      </c>
    </row>
    <row r="783" spans="1:36">
      <c r="A783" s="5">
        <v>43336</v>
      </c>
      <c r="B783" s="3" t="s">
        <v>2737</v>
      </c>
      <c r="C783" s="3" t="s">
        <v>2738</v>
      </c>
      <c r="D783" s="3" t="s">
        <v>2738</v>
      </c>
      <c r="E783" s="3" t="s">
        <v>2739</v>
      </c>
      <c r="F783" s="3" t="s">
        <v>867</v>
      </c>
      <c r="G783" s="3">
        <v>1</v>
      </c>
      <c r="H783" s="3">
        <v>0</v>
      </c>
      <c r="I783" s="3">
        <v>0</v>
      </c>
      <c r="J783" s="3">
        <v>1</v>
      </c>
      <c r="K783" s="3">
        <v>0</v>
      </c>
      <c r="L783" s="3">
        <v>0</v>
      </c>
      <c r="M783" s="3">
        <v>0</v>
      </c>
      <c r="N783" s="3" t="s">
        <v>868</v>
      </c>
      <c r="O783" s="3">
        <v>1</v>
      </c>
      <c r="P783" s="3">
        <v>0.95</v>
      </c>
      <c r="Q783" s="3">
        <v>0</v>
      </c>
      <c r="R783" s="3">
        <v>0</v>
      </c>
      <c r="S783" s="3">
        <v>0</v>
      </c>
      <c r="T783" s="3">
        <v>0</v>
      </c>
      <c r="U783" s="3">
        <v>0</v>
      </c>
      <c r="V783" s="3">
        <v>0</v>
      </c>
      <c r="W783" s="3" t="s">
        <v>871</v>
      </c>
      <c r="X783" s="3">
        <v>49.98</v>
      </c>
      <c r="Y783" s="3">
        <v>29.98</v>
      </c>
      <c r="Z783" s="3">
        <v>29.98</v>
      </c>
      <c r="AA783" s="3">
        <v>0</v>
      </c>
      <c r="AB783" s="3" t="s">
        <v>869</v>
      </c>
      <c r="AC783" s="3">
        <v>1</v>
      </c>
      <c r="AD783" s="3">
        <v>29.98</v>
      </c>
      <c r="AE783" s="3">
        <v>0</v>
      </c>
      <c r="AF783" s="3">
        <v>0</v>
      </c>
      <c r="AG783" s="3">
        <v>0</v>
      </c>
      <c r="AH783" s="3">
        <v>0</v>
      </c>
      <c r="AI783" s="3">
        <v>0.276754</v>
      </c>
      <c r="AJ783" s="3" t="s">
        <v>870</v>
      </c>
    </row>
    <row r="784" spans="1:36">
      <c r="A784" s="5">
        <v>43336</v>
      </c>
      <c r="B784" s="3" t="s">
        <v>2740</v>
      </c>
      <c r="C784" s="3" t="s">
        <v>2741</v>
      </c>
      <c r="D784" s="3" t="s">
        <v>2741</v>
      </c>
      <c r="E784" s="3" t="s">
        <v>2742</v>
      </c>
      <c r="F784" s="3" t="s">
        <v>867</v>
      </c>
      <c r="G784" s="3">
        <v>8</v>
      </c>
      <c r="H784" s="3">
        <v>0</v>
      </c>
      <c r="I784" s="3">
        <v>0</v>
      </c>
      <c r="J784" s="3">
        <v>0</v>
      </c>
      <c r="K784" s="3">
        <v>8</v>
      </c>
      <c r="L784" s="3">
        <v>0</v>
      </c>
      <c r="M784" s="3">
        <v>0</v>
      </c>
      <c r="N784" s="3" t="s">
        <v>868</v>
      </c>
      <c r="O784" s="3">
        <v>8</v>
      </c>
      <c r="P784" s="3">
        <v>6.19</v>
      </c>
      <c r="Q784" s="3">
        <v>0</v>
      </c>
      <c r="R784" s="3">
        <v>0</v>
      </c>
      <c r="S784" s="3">
        <v>0</v>
      </c>
      <c r="T784" s="3">
        <v>2</v>
      </c>
      <c r="U784" s="3">
        <v>5</v>
      </c>
      <c r="V784" s="3">
        <v>5</v>
      </c>
      <c r="W784" s="3"/>
      <c r="X784" s="3">
        <v>21.98</v>
      </c>
      <c r="Y784" s="3">
        <v>21.98</v>
      </c>
      <c r="Z784" s="3">
        <v>21.98</v>
      </c>
      <c r="AA784" s="3">
        <v>0</v>
      </c>
      <c r="AB784" s="3" t="s">
        <v>869</v>
      </c>
      <c r="AC784" s="3">
        <v>8</v>
      </c>
      <c r="AD784" s="3">
        <v>21.98</v>
      </c>
      <c r="AE784" s="3">
        <v>0</v>
      </c>
      <c r="AF784" s="3">
        <v>0</v>
      </c>
      <c r="AG784" s="3">
        <v>0</v>
      </c>
      <c r="AH784" s="3">
        <v>0.121951219512195</v>
      </c>
      <c r="AI784" s="3">
        <v>1.796872</v>
      </c>
      <c r="AJ784" s="3" t="s">
        <v>870</v>
      </c>
    </row>
    <row r="785" spans="1:36">
      <c r="A785" s="5">
        <v>43336</v>
      </c>
      <c r="B785" s="3" t="s">
        <v>2743</v>
      </c>
      <c r="C785" s="3" t="s">
        <v>2744</v>
      </c>
      <c r="D785" s="3" t="s">
        <v>2744</v>
      </c>
      <c r="E785" s="3" t="s">
        <v>2745</v>
      </c>
      <c r="F785" s="3" t="s">
        <v>867</v>
      </c>
      <c r="G785" s="3">
        <v>6</v>
      </c>
      <c r="H785" s="3">
        <v>0</v>
      </c>
      <c r="I785" s="3">
        <v>6</v>
      </c>
      <c r="J785" s="3">
        <v>0</v>
      </c>
      <c r="K785" s="3">
        <v>0</v>
      </c>
      <c r="L785" s="3">
        <v>0</v>
      </c>
      <c r="M785" s="3">
        <v>0</v>
      </c>
      <c r="N785" s="3" t="s">
        <v>868</v>
      </c>
      <c r="O785" s="3">
        <v>0</v>
      </c>
      <c r="P785" s="3">
        <v>0</v>
      </c>
      <c r="Q785" s="3">
        <v>0</v>
      </c>
      <c r="R785" s="3">
        <v>0</v>
      </c>
      <c r="S785" s="3">
        <v>0</v>
      </c>
      <c r="T785" s="3">
        <v>2</v>
      </c>
      <c r="U785" s="3">
        <v>3</v>
      </c>
      <c r="V785" s="3">
        <v>3</v>
      </c>
      <c r="W785" s="3"/>
      <c r="X785" s="3">
        <v>27.98</v>
      </c>
      <c r="Y785" s="3">
        <v>27.98</v>
      </c>
      <c r="Z785" s="3">
        <v>27.98</v>
      </c>
      <c r="AA785" s="3">
        <v>0</v>
      </c>
      <c r="AB785" s="3" t="s">
        <v>869</v>
      </c>
      <c r="AC785" s="3">
        <v>6</v>
      </c>
      <c r="AD785" s="3">
        <v>27.98</v>
      </c>
      <c r="AE785" s="3">
        <v>0</v>
      </c>
      <c r="AF785" s="3">
        <v>0</v>
      </c>
      <c r="AG785" s="3">
        <v>0</v>
      </c>
      <c r="AH785" s="3">
        <v>0.4</v>
      </c>
      <c r="AI785" s="3">
        <v>1.01441999999999</v>
      </c>
      <c r="AJ785" s="3" t="s">
        <v>870</v>
      </c>
    </row>
    <row r="786" spans="1:36">
      <c r="A786" s="5">
        <v>43336</v>
      </c>
      <c r="B786" s="3" t="s">
        <v>2746</v>
      </c>
      <c r="C786" s="3" t="s">
        <v>2747</v>
      </c>
      <c r="D786" s="3" t="s">
        <v>2748</v>
      </c>
      <c r="E786" s="3" t="s">
        <v>2749</v>
      </c>
      <c r="F786" s="3" t="s">
        <v>867</v>
      </c>
      <c r="G786" s="3">
        <v>20</v>
      </c>
      <c r="H786" s="3">
        <v>0</v>
      </c>
      <c r="I786" s="3">
        <v>20</v>
      </c>
      <c r="J786" s="3">
        <v>0</v>
      </c>
      <c r="K786" s="3">
        <v>0</v>
      </c>
      <c r="L786" s="3">
        <v>0</v>
      </c>
      <c r="M786" s="3">
        <v>0</v>
      </c>
      <c r="N786" s="3" t="s">
        <v>868</v>
      </c>
      <c r="O786" s="3">
        <v>0</v>
      </c>
      <c r="P786" s="3">
        <v>0</v>
      </c>
      <c r="Q786" s="3">
        <v>0</v>
      </c>
      <c r="R786" s="3">
        <v>0</v>
      </c>
      <c r="S786" s="3">
        <v>0</v>
      </c>
      <c r="T786" s="3">
        <v>1</v>
      </c>
      <c r="U786" s="3">
        <v>1</v>
      </c>
      <c r="V786" s="3">
        <v>1</v>
      </c>
      <c r="W786" s="3"/>
      <c r="X786" s="3">
        <v>21.98</v>
      </c>
      <c r="Y786" s="3">
        <v>21.98</v>
      </c>
      <c r="Z786" s="3">
        <v>21.98</v>
      </c>
      <c r="AA786" s="3">
        <v>0</v>
      </c>
      <c r="AB786" s="3" t="s">
        <v>869</v>
      </c>
      <c r="AC786" s="3">
        <v>19</v>
      </c>
      <c r="AD786" s="3">
        <v>21.98</v>
      </c>
      <c r="AE786" s="3">
        <v>0</v>
      </c>
      <c r="AF786" s="3">
        <v>0</v>
      </c>
      <c r="AG786" s="3">
        <v>0</v>
      </c>
      <c r="AH786" s="3">
        <v>0.075</v>
      </c>
      <c r="AI786" s="3">
        <v>1.35</v>
      </c>
      <c r="AJ786" s="3" t="s">
        <v>870</v>
      </c>
    </row>
    <row r="787" spans="1:36">
      <c r="A787" s="5">
        <v>43336</v>
      </c>
      <c r="B787" s="3" t="s">
        <v>2750</v>
      </c>
      <c r="C787" s="3" t="s">
        <v>2751</v>
      </c>
      <c r="D787" s="3" t="s">
        <v>2751</v>
      </c>
      <c r="E787" s="3" t="s">
        <v>2752</v>
      </c>
      <c r="F787" s="3" t="s">
        <v>867</v>
      </c>
      <c r="G787" s="3">
        <v>6</v>
      </c>
      <c r="H787" s="3">
        <v>0</v>
      </c>
      <c r="I787" s="3">
        <v>0</v>
      </c>
      <c r="J787" s="3">
        <v>6</v>
      </c>
      <c r="K787" s="3">
        <v>0</v>
      </c>
      <c r="L787" s="3">
        <v>0</v>
      </c>
      <c r="M787" s="3">
        <v>0</v>
      </c>
      <c r="N787" s="3" t="s">
        <v>868</v>
      </c>
      <c r="O787" s="3">
        <v>0</v>
      </c>
      <c r="P787" s="3">
        <v>0</v>
      </c>
      <c r="Q787" s="3">
        <v>0</v>
      </c>
      <c r="R787" s="3">
        <v>0</v>
      </c>
      <c r="S787" s="3">
        <v>0</v>
      </c>
      <c r="T787" s="3">
        <v>5</v>
      </c>
      <c r="U787" s="3">
        <v>7</v>
      </c>
      <c r="V787" s="3">
        <v>11</v>
      </c>
      <c r="W787" s="3"/>
      <c r="X787" s="3">
        <v>22.98</v>
      </c>
      <c r="Y787" s="3">
        <v>22.98</v>
      </c>
      <c r="Z787" s="3">
        <v>22.98</v>
      </c>
      <c r="AA787" s="3">
        <v>0</v>
      </c>
      <c r="AB787" s="3" t="s">
        <v>869</v>
      </c>
      <c r="AC787" s="3">
        <v>6</v>
      </c>
      <c r="AD787" s="3">
        <v>22.98</v>
      </c>
      <c r="AE787" s="3">
        <v>0</v>
      </c>
      <c r="AF787" s="3">
        <v>0</v>
      </c>
      <c r="AG787" s="3">
        <v>0</v>
      </c>
      <c r="AH787" s="3">
        <v>0.936170212765957</v>
      </c>
      <c r="AI787" s="3">
        <v>0.811992</v>
      </c>
      <c r="AJ787" s="3" t="s">
        <v>870</v>
      </c>
    </row>
    <row r="788" spans="1:36">
      <c r="A788" s="5">
        <v>43336</v>
      </c>
      <c r="B788" s="3" t="s">
        <v>2753</v>
      </c>
      <c r="C788" s="3" t="s">
        <v>2754</v>
      </c>
      <c r="D788" s="3" t="s">
        <v>2755</v>
      </c>
      <c r="E788" s="3" t="s">
        <v>2756</v>
      </c>
      <c r="F788" s="3" t="s">
        <v>867</v>
      </c>
      <c r="G788" s="3">
        <v>6</v>
      </c>
      <c r="H788" s="3">
        <v>0</v>
      </c>
      <c r="I788" s="3">
        <v>6</v>
      </c>
      <c r="J788" s="3">
        <v>0</v>
      </c>
      <c r="K788" s="3">
        <v>0</v>
      </c>
      <c r="L788" s="3">
        <v>0</v>
      </c>
      <c r="M788" s="3">
        <v>0</v>
      </c>
      <c r="N788" s="3" t="s">
        <v>868</v>
      </c>
      <c r="O788" s="3">
        <v>0</v>
      </c>
      <c r="P788" s="3">
        <v>0</v>
      </c>
      <c r="Q788" s="3">
        <v>0</v>
      </c>
      <c r="R788" s="3">
        <v>0</v>
      </c>
      <c r="S788" s="3">
        <v>0</v>
      </c>
      <c r="T788" s="3">
        <v>0</v>
      </c>
      <c r="U788" s="3">
        <v>0</v>
      </c>
      <c r="V788" s="3">
        <v>0</v>
      </c>
      <c r="W788" s="3" t="s">
        <v>936</v>
      </c>
      <c r="X788" s="3">
        <v>22.98</v>
      </c>
      <c r="Y788" s="3">
        <v>22.98</v>
      </c>
      <c r="Z788" s="3">
        <v>22.98</v>
      </c>
      <c r="AA788" s="3">
        <v>0</v>
      </c>
      <c r="AB788" s="3" t="s">
        <v>937</v>
      </c>
      <c r="AC788" s="3">
        <v>0</v>
      </c>
      <c r="AD788" s="3">
        <v>18.38</v>
      </c>
      <c r="AE788" s="3">
        <v>63</v>
      </c>
      <c r="AF788" s="3">
        <v>0</v>
      </c>
      <c r="AG788" s="3">
        <v>103.055233</v>
      </c>
      <c r="AH788" s="3">
        <v>0</v>
      </c>
      <c r="AI788" s="3">
        <v>0.861665999999999</v>
      </c>
      <c r="AJ788" s="3" t="s">
        <v>925</v>
      </c>
    </row>
    <row r="789" spans="1:36">
      <c r="A789" s="5">
        <v>43336</v>
      </c>
      <c r="B789" s="3" t="s">
        <v>2757</v>
      </c>
      <c r="C789" s="3" t="s">
        <v>2758</v>
      </c>
      <c r="D789" s="3" t="s">
        <v>2758</v>
      </c>
      <c r="E789" s="3" t="s">
        <v>2759</v>
      </c>
      <c r="F789" s="3" t="s">
        <v>867</v>
      </c>
      <c r="G789" s="3">
        <v>4</v>
      </c>
      <c r="H789" s="3">
        <v>0</v>
      </c>
      <c r="I789" s="3">
        <v>0</v>
      </c>
      <c r="J789" s="3">
        <v>4</v>
      </c>
      <c r="K789" s="3">
        <v>0</v>
      </c>
      <c r="L789" s="3">
        <v>0</v>
      </c>
      <c r="M789" s="3">
        <v>0</v>
      </c>
      <c r="N789" s="3" t="s">
        <v>868</v>
      </c>
      <c r="O789" s="3">
        <v>0</v>
      </c>
      <c r="P789" s="3">
        <v>0</v>
      </c>
      <c r="Q789" s="3">
        <v>0</v>
      </c>
      <c r="R789" s="3">
        <v>0</v>
      </c>
      <c r="S789" s="3">
        <v>2</v>
      </c>
      <c r="T789" s="3">
        <v>8</v>
      </c>
      <c r="U789" s="3">
        <v>14</v>
      </c>
      <c r="V789" s="3">
        <v>16</v>
      </c>
      <c r="W789" s="3"/>
      <c r="X789" s="3">
        <v>26.98</v>
      </c>
      <c r="Y789" s="3">
        <v>26.98</v>
      </c>
      <c r="Z789" s="3">
        <v>26.98</v>
      </c>
      <c r="AA789" s="3">
        <v>0</v>
      </c>
      <c r="AB789" s="3" t="s">
        <v>869</v>
      </c>
      <c r="AC789" s="3">
        <v>6</v>
      </c>
      <c r="AD789" s="3">
        <v>26.98</v>
      </c>
      <c r="AE789" s="3">
        <v>0</v>
      </c>
      <c r="AF789" s="3">
        <v>0</v>
      </c>
      <c r="AG789" s="3">
        <v>0</v>
      </c>
      <c r="AH789" s="3">
        <v>1.10344827586206</v>
      </c>
      <c r="AI789" s="3">
        <v>0.529304</v>
      </c>
      <c r="AJ789" s="3" t="s">
        <v>870</v>
      </c>
    </row>
    <row r="790" spans="1:36">
      <c r="A790" s="5">
        <v>43336</v>
      </c>
      <c r="B790" s="3" t="s">
        <v>2760</v>
      </c>
      <c r="C790" s="3" t="s">
        <v>2761</v>
      </c>
      <c r="D790" s="3" t="s">
        <v>2761</v>
      </c>
      <c r="E790" s="3" t="s">
        <v>2676</v>
      </c>
      <c r="F790" s="3" t="s">
        <v>867</v>
      </c>
      <c r="G790" s="3">
        <v>2</v>
      </c>
      <c r="H790" s="3">
        <v>0</v>
      </c>
      <c r="I790" s="3">
        <v>0</v>
      </c>
      <c r="J790" s="3">
        <v>1</v>
      </c>
      <c r="K790" s="3">
        <v>1</v>
      </c>
      <c r="L790" s="3">
        <v>0</v>
      </c>
      <c r="M790" s="3">
        <v>0</v>
      </c>
      <c r="N790" s="3" t="s">
        <v>868</v>
      </c>
      <c r="O790" s="3">
        <v>1</v>
      </c>
      <c r="P790" s="3">
        <v>0.4</v>
      </c>
      <c r="Q790" s="3">
        <v>0</v>
      </c>
      <c r="R790" s="3">
        <v>0</v>
      </c>
      <c r="S790" s="3">
        <v>1</v>
      </c>
      <c r="T790" s="3">
        <v>1</v>
      </c>
      <c r="U790" s="3">
        <v>1</v>
      </c>
      <c r="V790" s="3">
        <v>2</v>
      </c>
      <c r="W790" s="3"/>
      <c r="X790" s="3">
        <v>25.98</v>
      </c>
      <c r="Y790" s="3">
        <v>25.98</v>
      </c>
      <c r="Z790" s="3">
        <v>25.98</v>
      </c>
      <c r="AA790" s="3">
        <v>0</v>
      </c>
      <c r="AB790" s="3" t="s">
        <v>883</v>
      </c>
      <c r="AC790" s="3">
        <v>0</v>
      </c>
      <c r="AD790" s="3">
        <v>24.09</v>
      </c>
      <c r="AE790" s="3">
        <v>98</v>
      </c>
      <c r="AF790" s="3">
        <v>0</v>
      </c>
      <c r="AG790" s="3">
        <v>81.100279</v>
      </c>
      <c r="AH790" s="3">
        <v>0.666666666666666</v>
      </c>
      <c r="AI790" s="3">
        <v>0.230562</v>
      </c>
      <c r="AJ790" s="3" t="s">
        <v>870</v>
      </c>
    </row>
    <row r="791" spans="1:36">
      <c r="A791" s="5">
        <v>43336</v>
      </c>
      <c r="B791" s="3" t="s">
        <v>164</v>
      </c>
      <c r="C791" s="3" t="s">
        <v>165</v>
      </c>
      <c r="D791" s="3" t="s">
        <v>166</v>
      </c>
      <c r="E791" s="3" t="s">
        <v>28</v>
      </c>
      <c r="F791" s="3" t="s">
        <v>867</v>
      </c>
      <c r="G791" s="3">
        <v>6</v>
      </c>
      <c r="H791" s="3">
        <v>0</v>
      </c>
      <c r="I791" s="3">
        <v>6</v>
      </c>
      <c r="J791" s="3">
        <v>0</v>
      </c>
      <c r="K791" s="3">
        <v>0</v>
      </c>
      <c r="L791" s="3">
        <v>0</v>
      </c>
      <c r="M791" s="3">
        <v>0</v>
      </c>
      <c r="N791" s="3" t="s">
        <v>868</v>
      </c>
      <c r="O791" s="3">
        <v>0</v>
      </c>
      <c r="P791" s="3">
        <v>0</v>
      </c>
      <c r="Q791" s="3">
        <v>0</v>
      </c>
      <c r="R791" s="3">
        <v>0</v>
      </c>
      <c r="S791" s="3">
        <v>0</v>
      </c>
      <c r="T791" s="3">
        <v>0</v>
      </c>
      <c r="U791" s="3">
        <v>0</v>
      </c>
      <c r="V791" s="3">
        <v>0</v>
      </c>
      <c r="W791" s="3" t="s">
        <v>871</v>
      </c>
      <c r="X791" s="3">
        <v>49.98</v>
      </c>
      <c r="Y791" s="3">
        <v>25.98</v>
      </c>
      <c r="Z791" s="3">
        <v>25.98</v>
      </c>
      <c r="AA791" s="3">
        <v>0</v>
      </c>
      <c r="AB791" s="3" t="s">
        <v>869</v>
      </c>
      <c r="AC791" s="3">
        <v>0</v>
      </c>
      <c r="AD791" s="3">
        <v>0</v>
      </c>
      <c r="AE791" s="3">
        <v>0</v>
      </c>
      <c r="AF791" s="3">
        <v>0</v>
      </c>
      <c r="AG791" s="3">
        <v>0</v>
      </c>
      <c r="AH791" s="3">
        <v>0.444444444444444</v>
      </c>
      <c r="AI791" s="3">
        <v>0.366071999999999</v>
      </c>
      <c r="AJ791" s="3" t="s">
        <v>870</v>
      </c>
    </row>
    <row r="792" spans="1:36">
      <c r="A792" s="5">
        <v>43336</v>
      </c>
      <c r="B792" s="3" t="s">
        <v>2762</v>
      </c>
      <c r="C792" s="3" t="s">
        <v>189</v>
      </c>
      <c r="D792" s="3" t="s">
        <v>189</v>
      </c>
      <c r="E792" s="3" t="s">
        <v>190</v>
      </c>
      <c r="F792" s="3" t="s">
        <v>867</v>
      </c>
      <c r="G792" s="3">
        <v>3</v>
      </c>
      <c r="H792" s="3">
        <v>0</v>
      </c>
      <c r="I792" s="3">
        <v>0</v>
      </c>
      <c r="J792" s="3">
        <v>1</v>
      </c>
      <c r="K792" s="3">
        <v>2</v>
      </c>
      <c r="L792" s="3">
        <v>0</v>
      </c>
      <c r="M792" s="3">
        <v>0</v>
      </c>
      <c r="N792" s="3" t="s">
        <v>868</v>
      </c>
      <c r="O792" s="3">
        <v>2</v>
      </c>
      <c r="P792" s="3">
        <v>0.42</v>
      </c>
      <c r="Q792" s="3">
        <v>0</v>
      </c>
      <c r="R792" s="3">
        <v>0</v>
      </c>
      <c r="S792" s="3">
        <v>0</v>
      </c>
      <c r="T792" s="3">
        <v>0</v>
      </c>
      <c r="U792" s="3">
        <v>0</v>
      </c>
      <c r="V792" s="3">
        <v>0</v>
      </c>
      <c r="W792" s="3" t="s">
        <v>871</v>
      </c>
      <c r="X792" s="3">
        <v>25.98</v>
      </c>
      <c r="Y792" s="3">
        <v>25.98</v>
      </c>
      <c r="Z792" s="3">
        <v>25.98</v>
      </c>
      <c r="AA792" s="3">
        <v>0</v>
      </c>
      <c r="AB792" s="3" t="s">
        <v>869</v>
      </c>
      <c r="AC792" s="3">
        <v>3</v>
      </c>
      <c r="AD792" s="3">
        <v>25.98</v>
      </c>
      <c r="AE792" s="3">
        <v>0</v>
      </c>
      <c r="AF792" s="3">
        <v>0</v>
      </c>
      <c r="AG792" s="3">
        <v>0</v>
      </c>
      <c r="AH792" s="3">
        <v>0.933333333333333</v>
      </c>
      <c r="AI792" s="3">
        <v>0.183035999999999</v>
      </c>
      <c r="AJ792" s="3" t="s">
        <v>870</v>
      </c>
    </row>
    <row r="793" spans="1:36">
      <c r="A793" s="5">
        <v>43336</v>
      </c>
      <c r="B793" s="3" t="s">
        <v>2763</v>
      </c>
      <c r="C793" s="3" t="s">
        <v>2764</v>
      </c>
      <c r="D793" s="3" t="s">
        <v>2764</v>
      </c>
      <c r="E793" s="3" t="s">
        <v>2765</v>
      </c>
      <c r="F793" s="3" t="s">
        <v>867</v>
      </c>
      <c r="G793" s="3">
        <v>21</v>
      </c>
      <c r="H793" s="3">
        <v>0</v>
      </c>
      <c r="I793" s="3">
        <v>5</v>
      </c>
      <c r="J793" s="3">
        <v>15</v>
      </c>
      <c r="K793" s="3">
        <v>1</v>
      </c>
      <c r="L793" s="3">
        <v>0</v>
      </c>
      <c r="M793" s="3">
        <v>0</v>
      </c>
      <c r="N793" s="3" t="s">
        <v>868</v>
      </c>
      <c r="O793" s="3">
        <v>1</v>
      </c>
      <c r="P793" s="3">
        <v>0.74</v>
      </c>
      <c r="Q793" s="3">
        <v>0</v>
      </c>
      <c r="R793" s="3">
        <v>0</v>
      </c>
      <c r="S793" s="3">
        <v>2</v>
      </c>
      <c r="T793" s="3">
        <v>4</v>
      </c>
      <c r="U793" s="3">
        <v>6</v>
      </c>
      <c r="V793" s="3">
        <v>8</v>
      </c>
      <c r="W793" s="3"/>
      <c r="X793" s="3">
        <v>14.98</v>
      </c>
      <c r="Y793" s="3">
        <v>14.98</v>
      </c>
      <c r="Z793" s="3">
        <v>14.98</v>
      </c>
      <c r="AA793" s="3">
        <v>0</v>
      </c>
      <c r="AB793" s="3" t="s">
        <v>883</v>
      </c>
      <c r="AC793" s="3">
        <v>13</v>
      </c>
      <c r="AD793" s="3">
        <v>13.52</v>
      </c>
      <c r="AE793" s="3">
        <v>84</v>
      </c>
      <c r="AF793" s="3">
        <v>0</v>
      </c>
      <c r="AG793" s="3">
        <v>5.059435</v>
      </c>
      <c r="AH793" s="3">
        <v>0.329896907216494</v>
      </c>
      <c r="AI793" s="3">
        <v>4.47757799999999</v>
      </c>
      <c r="AJ793" s="3" t="s">
        <v>870</v>
      </c>
    </row>
    <row r="794" spans="1:36">
      <c r="A794" s="5">
        <v>43336</v>
      </c>
      <c r="B794" s="3" t="s">
        <v>2766</v>
      </c>
      <c r="C794" s="3" t="s">
        <v>2767</v>
      </c>
      <c r="D794" s="3" t="s">
        <v>1461</v>
      </c>
      <c r="E794" s="3" t="s">
        <v>1462</v>
      </c>
      <c r="F794" s="3" t="s">
        <v>867</v>
      </c>
      <c r="G794" s="3">
        <v>9</v>
      </c>
      <c r="H794" s="3">
        <v>0</v>
      </c>
      <c r="I794" s="3">
        <v>9</v>
      </c>
      <c r="J794" s="3">
        <v>0</v>
      </c>
      <c r="K794" s="3">
        <v>0</v>
      </c>
      <c r="L794" s="3">
        <v>0</v>
      </c>
      <c r="M794" s="3">
        <v>0</v>
      </c>
      <c r="N794" s="3" t="s">
        <v>868</v>
      </c>
      <c r="O794" s="3">
        <v>0</v>
      </c>
      <c r="P794" s="3">
        <v>0</v>
      </c>
      <c r="Q794" s="3">
        <v>0</v>
      </c>
      <c r="R794" s="3">
        <v>0</v>
      </c>
      <c r="S794" s="3">
        <v>0</v>
      </c>
      <c r="T794" s="3">
        <v>1</v>
      </c>
      <c r="U794" s="3">
        <v>1</v>
      </c>
      <c r="V794" s="3">
        <v>1</v>
      </c>
      <c r="W794" s="3"/>
      <c r="X794" s="3">
        <v>20.98</v>
      </c>
      <c r="Y794" s="3">
        <v>20.98</v>
      </c>
      <c r="Z794" s="3">
        <v>20.98</v>
      </c>
      <c r="AA794" s="3">
        <v>0</v>
      </c>
      <c r="AB794" s="3" t="s">
        <v>869</v>
      </c>
      <c r="AC794" s="3">
        <v>9</v>
      </c>
      <c r="AD794" s="3">
        <v>20.98</v>
      </c>
      <c r="AE794" s="3">
        <v>0</v>
      </c>
      <c r="AF794" s="3">
        <v>0</v>
      </c>
      <c r="AG794" s="3">
        <v>0</v>
      </c>
      <c r="AH794" s="3">
        <v>0.705882352941176</v>
      </c>
      <c r="AI794" s="3">
        <v>0.752067</v>
      </c>
      <c r="AJ794" s="3" t="s">
        <v>870</v>
      </c>
    </row>
    <row r="795" spans="1:36">
      <c r="A795" s="5">
        <v>43336</v>
      </c>
      <c r="B795" s="3" t="s">
        <v>718</v>
      </c>
      <c r="C795" s="3" t="s">
        <v>719</v>
      </c>
      <c r="D795" s="3" t="s">
        <v>719</v>
      </c>
      <c r="E795" s="3" t="s">
        <v>720</v>
      </c>
      <c r="F795" s="3" t="s">
        <v>867</v>
      </c>
      <c r="G795" s="3">
        <v>2</v>
      </c>
      <c r="H795" s="3">
        <v>0</v>
      </c>
      <c r="I795" s="3">
        <v>2</v>
      </c>
      <c r="J795" s="3">
        <v>0</v>
      </c>
      <c r="K795" s="3">
        <v>0</v>
      </c>
      <c r="L795" s="3">
        <v>0</v>
      </c>
      <c r="M795" s="3">
        <v>0</v>
      </c>
      <c r="N795" s="3" t="s">
        <v>868</v>
      </c>
      <c r="O795" s="3">
        <v>0</v>
      </c>
      <c r="P795" s="3">
        <v>0</v>
      </c>
      <c r="Q795" s="3">
        <v>0</v>
      </c>
      <c r="R795" s="3">
        <v>0</v>
      </c>
      <c r="S795" s="3">
        <v>0</v>
      </c>
      <c r="T795" s="3">
        <v>1</v>
      </c>
      <c r="U795" s="3">
        <v>1</v>
      </c>
      <c r="V795" s="3">
        <v>5</v>
      </c>
      <c r="W795" s="3"/>
      <c r="X795" s="3">
        <v>20.98</v>
      </c>
      <c r="Y795" s="3">
        <v>20.98</v>
      </c>
      <c r="Z795" s="3">
        <v>20.98</v>
      </c>
      <c r="AA795" s="3">
        <v>0</v>
      </c>
      <c r="AB795" s="3" t="s">
        <v>869</v>
      </c>
      <c r="AC795" s="3">
        <v>2</v>
      </c>
      <c r="AD795" s="3">
        <v>20.98</v>
      </c>
      <c r="AE795" s="3">
        <v>0</v>
      </c>
      <c r="AF795" s="3">
        <v>0</v>
      </c>
      <c r="AG795" s="3">
        <v>0</v>
      </c>
      <c r="AH795" s="3">
        <v>1.21739130434782</v>
      </c>
      <c r="AI795" s="3">
        <v>0.167126</v>
      </c>
      <c r="AJ795" s="3" t="s">
        <v>870</v>
      </c>
    </row>
    <row r="796" spans="1:36">
      <c r="A796" s="5">
        <v>43336</v>
      </c>
      <c r="B796" s="3" t="s">
        <v>32</v>
      </c>
      <c r="C796" s="3" t="s">
        <v>33</v>
      </c>
      <c r="D796" s="3" t="s">
        <v>33</v>
      </c>
      <c r="E796" s="3" t="s">
        <v>34</v>
      </c>
      <c r="F796" s="3" t="s">
        <v>867</v>
      </c>
      <c r="G796" s="3">
        <v>22</v>
      </c>
      <c r="H796" s="3">
        <v>0</v>
      </c>
      <c r="I796" s="3">
        <v>0</v>
      </c>
      <c r="J796" s="3">
        <v>16</v>
      </c>
      <c r="K796" s="3">
        <v>6</v>
      </c>
      <c r="L796" s="3">
        <v>0</v>
      </c>
      <c r="M796" s="3">
        <v>0</v>
      </c>
      <c r="N796" s="3" t="s">
        <v>868</v>
      </c>
      <c r="O796" s="3">
        <v>22</v>
      </c>
      <c r="P796" s="3">
        <v>4.63</v>
      </c>
      <c r="Q796" s="3">
        <v>0</v>
      </c>
      <c r="R796" s="3">
        <v>0</v>
      </c>
      <c r="S796" s="3">
        <v>0</v>
      </c>
      <c r="T796" s="3">
        <v>1</v>
      </c>
      <c r="U796" s="3">
        <v>5</v>
      </c>
      <c r="V796" s="3">
        <v>13</v>
      </c>
      <c r="W796" s="3"/>
      <c r="X796" s="3">
        <v>24.98</v>
      </c>
      <c r="Y796" s="3">
        <v>22.98</v>
      </c>
      <c r="Z796" s="3">
        <v>22.98</v>
      </c>
      <c r="AA796" s="3">
        <v>0</v>
      </c>
      <c r="AB796" s="3" t="s">
        <v>883</v>
      </c>
      <c r="AC796" s="3">
        <v>17</v>
      </c>
      <c r="AD796" s="3">
        <v>21.56</v>
      </c>
      <c r="AE796" s="3">
        <v>70</v>
      </c>
      <c r="AF796" s="3">
        <v>0</v>
      </c>
      <c r="AG796" s="3">
        <v>1.573104</v>
      </c>
      <c r="AH796" s="3">
        <v>0.485981308411214</v>
      </c>
      <c r="AI796" s="3">
        <v>1.342264</v>
      </c>
      <c r="AJ796" s="3" t="s">
        <v>870</v>
      </c>
    </row>
    <row r="797" spans="1:36">
      <c r="A797" s="5">
        <v>43336</v>
      </c>
      <c r="B797" s="3" t="s">
        <v>2768</v>
      </c>
      <c r="C797" s="3" t="s">
        <v>2769</v>
      </c>
      <c r="D797" s="3" t="s">
        <v>2769</v>
      </c>
      <c r="E797" s="3" t="s">
        <v>2770</v>
      </c>
      <c r="F797" s="3" t="s">
        <v>867</v>
      </c>
      <c r="G797" s="3">
        <v>17</v>
      </c>
      <c r="H797" s="3">
        <v>0</v>
      </c>
      <c r="I797" s="3">
        <v>2</v>
      </c>
      <c r="J797" s="3">
        <v>15</v>
      </c>
      <c r="K797" s="3">
        <v>0</v>
      </c>
      <c r="L797" s="3">
        <v>0</v>
      </c>
      <c r="M797" s="3">
        <v>0</v>
      </c>
      <c r="N797" s="3" t="s">
        <v>868</v>
      </c>
      <c r="O797" s="3">
        <v>0</v>
      </c>
      <c r="P797" s="3">
        <v>0</v>
      </c>
      <c r="Q797" s="3">
        <v>0</v>
      </c>
      <c r="R797" s="3">
        <v>0</v>
      </c>
      <c r="S797" s="3">
        <v>1</v>
      </c>
      <c r="T797" s="3">
        <v>1</v>
      </c>
      <c r="U797" s="3">
        <v>1</v>
      </c>
      <c r="V797" s="3">
        <v>1</v>
      </c>
      <c r="W797" s="3"/>
      <c r="X797" s="3">
        <v>22.99</v>
      </c>
      <c r="Y797" s="3">
        <v>22.99</v>
      </c>
      <c r="Z797" s="3">
        <v>22.99</v>
      </c>
      <c r="AA797" s="3">
        <v>0</v>
      </c>
      <c r="AB797" s="3" t="s">
        <v>883</v>
      </c>
      <c r="AC797" s="3">
        <v>0</v>
      </c>
      <c r="AD797" s="3">
        <v>18.05</v>
      </c>
      <c r="AE797" s="3">
        <v>343</v>
      </c>
      <c r="AF797" s="3">
        <v>0</v>
      </c>
      <c r="AG797" s="3">
        <v>487.371788</v>
      </c>
      <c r="AH797" s="3">
        <v>0.0476190476190476</v>
      </c>
      <c r="AI797" s="3">
        <v>2.762704</v>
      </c>
      <c r="AJ797" s="3" t="s">
        <v>870</v>
      </c>
    </row>
    <row r="798" spans="1:36">
      <c r="A798" s="5">
        <v>43336</v>
      </c>
      <c r="B798" s="3" t="s">
        <v>2771</v>
      </c>
      <c r="C798" s="3" t="s">
        <v>2772</v>
      </c>
      <c r="D798" s="3" t="s">
        <v>1581</v>
      </c>
      <c r="E798" s="3" t="s">
        <v>1582</v>
      </c>
      <c r="F798" s="3" t="s">
        <v>867</v>
      </c>
      <c r="G798" s="3">
        <v>21</v>
      </c>
      <c r="H798" s="3">
        <v>0</v>
      </c>
      <c r="I798" s="3">
        <v>21</v>
      </c>
      <c r="J798" s="3">
        <v>0</v>
      </c>
      <c r="K798" s="3">
        <v>0</v>
      </c>
      <c r="L798" s="3">
        <v>0</v>
      </c>
      <c r="M798" s="3">
        <v>0</v>
      </c>
      <c r="N798" s="3" t="s">
        <v>868</v>
      </c>
      <c r="O798" s="3">
        <v>0</v>
      </c>
      <c r="P798" s="3">
        <v>0</v>
      </c>
      <c r="Q798" s="3">
        <v>0</v>
      </c>
      <c r="R798" s="3">
        <v>0</v>
      </c>
      <c r="S798" s="3">
        <v>0</v>
      </c>
      <c r="T798" s="3">
        <v>0</v>
      </c>
      <c r="U798" s="3">
        <v>5</v>
      </c>
      <c r="V798" s="3">
        <v>5</v>
      </c>
      <c r="W798" s="3" t="s">
        <v>871</v>
      </c>
      <c r="X798" s="3">
        <v>21.98</v>
      </c>
      <c r="Y798" s="3">
        <v>21.98</v>
      </c>
      <c r="Z798" s="3">
        <v>21.98</v>
      </c>
      <c r="AA798" s="3">
        <v>0</v>
      </c>
      <c r="AB798" s="3" t="s">
        <v>869</v>
      </c>
      <c r="AC798" s="3">
        <v>21</v>
      </c>
      <c r="AD798" s="3">
        <v>21.98</v>
      </c>
      <c r="AE798" s="3">
        <v>0</v>
      </c>
      <c r="AF798" s="3">
        <v>0</v>
      </c>
      <c r="AG798" s="3">
        <v>0</v>
      </c>
      <c r="AH798" s="3">
        <v>0.588235294117647</v>
      </c>
      <c r="AI798" s="3">
        <v>3.143553</v>
      </c>
      <c r="AJ798" s="3" t="s">
        <v>870</v>
      </c>
    </row>
    <row r="799" spans="1:36">
      <c r="A799" s="5">
        <v>43336</v>
      </c>
      <c r="B799" s="3" t="s">
        <v>2773</v>
      </c>
      <c r="C799" s="3" t="s">
        <v>2774</v>
      </c>
      <c r="D799" s="3" t="s">
        <v>2774</v>
      </c>
      <c r="E799" s="3" t="s">
        <v>131</v>
      </c>
      <c r="F799" s="3" t="s">
        <v>867</v>
      </c>
      <c r="G799" s="3">
        <v>16</v>
      </c>
      <c r="H799" s="3">
        <v>0</v>
      </c>
      <c r="I799" s="3">
        <v>1</v>
      </c>
      <c r="J799" s="3">
        <v>15</v>
      </c>
      <c r="K799" s="3">
        <v>0</v>
      </c>
      <c r="L799" s="3">
        <v>0</v>
      </c>
      <c r="M799" s="3">
        <v>0</v>
      </c>
      <c r="N799" s="3" t="s">
        <v>868</v>
      </c>
      <c r="O799" s="3">
        <v>5</v>
      </c>
      <c r="P799" s="3">
        <v>2.55</v>
      </c>
      <c r="Q799" s="3">
        <v>0</v>
      </c>
      <c r="R799" s="3">
        <v>0</v>
      </c>
      <c r="S799" s="3">
        <v>1</v>
      </c>
      <c r="T799" s="3">
        <v>4</v>
      </c>
      <c r="U799" s="3">
        <v>7</v>
      </c>
      <c r="V799" s="3">
        <v>11</v>
      </c>
      <c r="W799" s="3"/>
      <c r="X799" s="3">
        <v>24.99</v>
      </c>
      <c r="Y799" s="3">
        <v>24.99</v>
      </c>
      <c r="Z799" s="3">
        <v>24.99</v>
      </c>
      <c r="AA799" s="3">
        <v>0</v>
      </c>
      <c r="AB799" s="3" t="s">
        <v>869</v>
      </c>
      <c r="AC799" s="3">
        <v>16</v>
      </c>
      <c r="AD799" s="3">
        <v>24.99</v>
      </c>
      <c r="AE799" s="3">
        <v>0</v>
      </c>
      <c r="AF799" s="3">
        <v>0</v>
      </c>
      <c r="AG799" s="3">
        <v>0</v>
      </c>
      <c r="AH799" s="3">
        <v>0.53012048192771</v>
      </c>
      <c r="AI799" s="3">
        <v>2.364672</v>
      </c>
      <c r="AJ799" s="3" t="s">
        <v>870</v>
      </c>
    </row>
    <row r="800" spans="1:36">
      <c r="A800" s="5">
        <v>43336</v>
      </c>
      <c r="B800" s="3" t="s">
        <v>562</v>
      </c>
      <c r="C800" s="3" t="s">
        <v>563</v>
      </c>
      <c r="D800" s="3" t="s">
        <v>563</v>
      </c>
      <c r="E800" s="3" t="s">
        <v>564</v>
      </c>
      <c r="F800" s="3" t="s">
        <v>867</v>
      </c>
      <c r="G800" s="3">
        <v>8</v>
      </c>
      <c r="H800" s="3">
        <v>0</v>
      </c>
      <c r="I800" s="3">
        <v>0</v>
      </c>
      <c r="J800" s="3">
        <v>8</v>
      </c>
      <c r="K800" s="3">
        <v>0</v>
      </c>
      <c r="L800" s="3">
        <v>0</v>
      </c>
      <c r="M800" s="3">
        <v>0</v>
      </c>
      <c r="N800" s="3" t="s">
        <v>868</v>
      </c>
      <c r="O800" s="3">
        <v>8</v>
      </c>
      <c r="P800" s="3">
        <v>4.55</v>
      </c>
      <c r="Q800" s="3">
        <v>0</v>
      </c>
      <c r="R800" s="3">
        <v>0</v>
      </c>
      <c r="S800" s="3">
        <v>1</v>
      </c>
      <c r="T800" s="3">
        <v>4</v>
      </c>
      <c r="U800" s="3">
        <v>6</v>
      </c>
      <c r="V800" s="3">
        <v>7</v>
      </c>
      <c r="W800" s="3" t="s">
        <v>871</v>
      </c>
      <c r="X800" s="3">
        <v>25.98</v>
      </c>
      <c r="Y800" s="3">
        <v>25.98</v>
      </c>
      <c r="Z800" s="3">
        <v>25.98</v>
      </c>
      <c r="AA800" s="3">
        <v>0</v>
      </c>
      <c r="AB800" s="3" t="s">
        <v>869</v>
      </c>
      <c r="AC800" s="3">
        <v>8</v>
      </c>
      <c r="AD800" s="3">
        <v>25.98</v>
      </c>
      <c r="AE800" s="3">
        <v>0</v>
      </c>
      <c r="AF800" s="3">
        <v>0</v>
      </c>
      <c r="AG800" s="3">
        <v>0</v>
      </c>
      <c r="AH800" s="3">
        <v>0.571428571428571</v>
      </c>
      <c r="AI800" s="3">
        <v>1.319504</v>
      </c>
      <c r="AJ800" s="3" t="s">
        <v>870</v>
      </c>
    </row>
    <row r="801" spans="1:36">
      <c r="A801" s="5">
        <v>43336</v>
      </c>
      <c r="B801" s="3" t="s">
        <v>2775</v>
      </c>
      <c r="C801" s="3" t="s">
        <v>2776</v>
      </c>
      <c r="D801" s="3" t="s">
        <v>2776</v>
      </c>
      <c r="E801" s="3" t="s">
        <v>2539</v>
      </c>
      <c r="F801" s="3" t="s">
        <v>867</v>
      </c>
      <c r="G801" s="3">
        <v>6</v>
      </c>
      <c r="H801" s="3">
        <v>0</v>
      </c>
      <c r="I801" s="3">
        <v>0</v>
      </c>
      <c r="J801" s="3">
        <v>6</v>
      </c>
      <c r="K801" s="3">
        <v>0</v>
      </c>
      <c r="L801" s="3">
        <v>0</v>
      </c>
      <c r="M801" s="3">
        <v>0</v>
      </c>
      <c r="N801" s="3" t="s">
        <v>868</v>
      </c>
      <c r="O801" s="3">
        <v>0</v>
      </c>
      <c r="P801" s="3">
        <v>0</v>
      </c>
      <c r="Q801" s="3">
        <v>0</v>
      </c>
      <c r="R801" s="3">
        <v>0</v>
      </c>
      <c r="S801" s="3">
        <v>0</v>
      </c>
      <c r="T801" s="3">
        <v>0</v>
      </c>
      <c r="U801" s="3">
        <v>0</v>
      </c>
      <c r="V801" s="3">
        <v>1</v>
      </c>
      <c r="W801" s="3" t="s">
        <v>936</v>
      </c>
      <c r="X801" s="3">
        <v>18.98</v>
      </c>
      <c r="Y801" s="3">
        <v>18.98</v>
      </c>
      <c r="Z801" s="3">
        <v>18.98</v>
      </c>
      <c r="AA801" s="3">
        <v>0</v>
      </c>
      <c r="AB801" s="3" t="s">
        <v>937</v>
      </c>
      <c r="AC801" s="3">
        <v>0</v>
      </c>
      <c r="AD801" s="3">
        <v>17.56</v>
      </c>
      <c r="AE801" s="3">
        <v>140</v>
      </c>
      <c r="AF801" s="3">
        <v>0</v>
      </c>
      <c r="AG801" s="3">
        <v>120.956988</v>
      </c>
      <c r="AH801" s="3">
        <v>0.16</v>
      </c>
      <c r="AI801" s="3">
        <v>0.542928</v>
      </c>
      <c r="AJ801" s="3" t="s">
        <v>870</v>
      </c>
    </row>
    <row r="802" spans="1:36">
      <c r="A802" s="5">
        <v>43336</v>
      </c>
      <c r="B802" s="3" t="s">
        <v>2777</v>
      </c>
      <c r="C802" s="3" t="s">
        <v>1427</v>
      </c>
      <c r="D802" s="3" t="s">
        <v>1427</v>
      </c>
      <c r="E802" s="3" t="s">
        <v>1428</v>
      </c>
      <c r="F802" s="3" t="s">
        <v>867</v>
      </c>
      <c r="G802" s="3">
        <v>4</v>
      </c>
      <c r="H802" s="3">
        <v>0</v>
      </c>
      <c r="I802" s="3">
        <v>4</v>
      </c>
      <c r="J802" s="3">
        <v>0</v>
      </c>
      <c r="K802" s="3">
        <v>0</v>
      </c>
      <c r="L802" s="3">
        <v>0</v>
      </c>
      <c r="M802" s="3">
        <v>0</v>
      </c>
      <c r="N802" s="3" t="s">
        <v>868</v>
      </c>
      <c r="O802" s="3">
        <v>0</v>
      </c>
      <c r="P802" s="3">
        <v>0</v>
      </c>
      <c r="Q802" s="3">
        <v>0</v>
      </c>
      <c r="R802" s="3">
        <v>0</v>
      </c>
      <c r="S802" s="3">
        <v>1</v>
      </c>
      <c r="T802" s="3">
        <v>3</v>
      </c>
      <c r="U802" s="3">
        <v>5</v>
      </c>
      <c r="V802" s="3">
        <v>5</v>
      </c>
      <c r="W802" s="3"/>
      <c r="X802" s="3">
        <v>27.98</v>
      </c>
      <c r="Y802" s="3">
        <v>27.98</v>
      </c>
      <c r="Z802" s="3">
        <v>27.98</v>
      </c>
      <c r="AA802" s="3">
        <v>0</v>
      </c>
      <c r="AB802" s="3" t="s">
        <v>869</v>
      </c>
      <c r="AC802" s="3">
        <v>5</v>
      </c>
      <c r="AD802" s="3">
        <v>27.98</v>
      </c>
      <c r="AE802" s="3">
        <v>0</v>
      </c>
      <c r="AF802" s="3">
        <v>0</v>
      </c>
      <c r="AG802" s="3">
        <v>0</v>
      </c>
      <c r="AH802" s="3">
        <v>0.588235294117647</v>
      </c>
      <c r="AI802" s="3">
        <v>0.67628</v>
      </c>
      <c r="AJ802" s="3" t="s">
        <v>870</v>
      </c>
    </row>
    <row r="803" spans="1:36">
      <c r="A803" s="5">
        <v>43336</v>
      </c>
      <c r="B803" s="3" t="s">
        <v>2778</v>
      </c>
      <c r="C803" s="3" t="s">
        <v>2779</v>
      </c>
      <c r="D803" s="3" t="s">
        <v>2779</v>
      </c>
      <c r="E803" s="3" t="s">
        <v>2780</v>
      </c>
      <c r="F803" s="3" t="s">
        <v>867</v>
      </c>
      <c r="G803" s="3">
        <v>15</v>
      </c>
      <c r="H803" s="3">
        <v>0</v>
      </c>
      <c r="I803" s="3">
        <v>0</v>
      </c>
      <c r="J803" s="3">
        <v>15</v>
      </c>
      <c r="K803" s="3">
        <v>0</v>
      </c>
      <c r="L803" s="3">
        <v>0</v>
      </c>
      <c r="M803" s="3">
        <v>0</v>
      </c>
      <c r="N803" s="3" t="s">
        <v>868</v>
      </c>
      <c r="O803" s="3">
        <v>0</v>
      </c>
      <c r="P803" s="3">
        <v>0</v>
      </c>
      <c r="Q803" s="3">
        <v>0</v>
      </c>
      <c r="R803" s="3">
        <v>0</v>
      </c>
      <c r="S803" s="3">
        <v>0</v>
      </c>
      <c r="T803" s="3">
        <v>1</v>
      </c>
      <c r="U803" s="3">
        <v>2</v>
      </c>
      <c r="V803" s="3">
        <v>2</v>
      </c>
      <c r="W803" s="3"/>
      <c r="X803" s="3">
        <v>23.98</v>
      </c>
      <c r="Y803" s="3">
        <v>23.98</v>
      </c>
      <c r="Z803" s="3">
        <v>23.98</v>
      </c>
      <c r="AA803" s="3">
        <v>0</v>
      </c>
      <c r="AB803" s="3" t="s">
        <v>869</v>
      </c>
      <c r="AC803" s="3">
        <v>15</v>
      </c>
      <c r="AD803" s="3">
        <v>23.98</v>
      </c>
      <c r="AE803" s="3">
        <v>0</v>
      </c>
      <c r="AF803" s="3">
        <v>0</v>
      </c>
      <c r="AG803" s="3">
        <v>0</v>
      </c>
      <c r="AH803" s="3">
        <v>0.123076923076923</v>
      </c>
      <c r="AI803" s="3">
        <v>1.73454</v>
      </c>
      <c r="AJ803" s="3" t="s">
        <v>870</v>
      </c>
    </row>
    <row r="804" spans="1:36">
      <c r="A804" s="5">
        <v>43336</v>
      </c>
      <c r="B804" s="3" t="s">
        <v>2781</v>
      </c>
      <c r="C804" s="3" t="s">
        <v>2782</v>
      </c>
      <c r="D804" s="3" t="s">
        <v>2783</v>
      </c>
      <c r="E804" s="3" t="s">
        <v>2784</v>
      </c>
      <c r="F804" s="3" t="s">
        <v>867</v>
      </c>
      <c r="G804" s="3">
        <v>2</v>
      </c>
      <c r="H804" s="3">
        <v>0</v>
      </c>
      <c r="I804" s="3">
        <v>2</v>
      </c>
      <c r="J804" s="3">
        <v>0</v>
      </c>
      <c r="K804" s="3">
        <v>0</v>
      </c>
      <c r="L804" s="3">
        <v>0</v>
      </c>
      <c r="M804" s="3">
        <v>0</v>
      </c>
      <c r="N804" s="3" t="s">
        <v>868</v>
      </c>
      <c r="O804" s="3">
        <v>0</v>
      </c>
      <c r="P804" s="3">
        <v>0</v>
      </c>
      <c r="Q804" s="3">
        <v>0</v>
      </c>
      <c r="R804" s="3">
        <v>0</v>
      </c>
      <c r="S804" s="3">
        <v>0</v>
      </c>
      <c r="T804" s="3">
        <v>0</v>
      </c>
      <c r="U804" s="3">
        <v>0</v>
      </c>
      <c r="V804" s="3">
        <v>0</v>
      </c>
      <c r="W804" s="3" t="s">
        <v>871</v>
      </c>
      <c r="X804" s="3">
        <v>22.99</v>
      </c>
      <c r="Y804" s="3">
        <v>22.98</v>
      </c>
      <c r="Z804" s="3">
        <v>22.98</v>
      </c>
      <c r="AA804" s="3">
        <v>0</v>
      </c>
      <c r="AB804" s="3" t="s">
        <v>869</v>
      </c>
      <c r="AC804" s="3">
        <v>0</v>
      </c>
      <c r="AD804" s="3">
        <v>0</v>
      </c>
      <c r="AE804" s="3">
        <v>0</v>
      </c>
      <c r="AF804" s="3">
        <v>0</v>
      </c>
      <c r="AG804" s="3">
        <v>0</v>
      </c>
      <c r="AH804" s="3">
        <v>0.903225806451612</v>
      </c>
      <c r="AI804" s="3">
        <v>0.325024</v>
      </c>
      <c r="AJ804" s="3" t="s">
        <v>870</v>
      </c>
    </row>
    <row r="805" spans="1:36">
      <c r="A805" s="5">
        <v>43336</v>
      </c>
      <c r="B805" s="3" t="s">
        <v>665</v>
      </c>
      <c r="C805" s="3" t="s">
        <v>666</v>
      </c>
      <c r="D805" s="3" t="s">
        <v>667</v>
      </c>
      <c r="E805" s="3" t="s">
        <v>668</v>
      </c>
      <c r="F805" s="3" t="s">
        <v>867</v>
      </c>
      <c r="G805" s="3">
        <v>1</v>
      </c>
      <c r="H805" s="3">
        <v>0</v>
      </c>
      <c r="I805" s="3">
        <v>1</v>
      </c>
      <c r="J805" s="3">
        <v>0</v>
      </c>
      <c r="K805" s="3">
        <v>0</v>
      </c>
      <c r="L805" s="3">
        <v>0</v>
      </c>
      <c r="M805" s="3">
        <v>0</v>
      </c>
      <c r="N805" s="3" t="s">
        <v>868</v>
      </c>
      <c r="O805" s="3">
        <v>0</v>
      </c>
      <c r="P805" s="3">
        <v>0</v>
      </c>
      <c r="Q805" s="3">
        <v>0</v>
      </c>
      <c r="R805" s="3">
        <v>0</v>
      </c>
      <c r="S805" s="3">
        <v>0</v>
      </c>
      <c r="T805" s="3">
        <v>0</v>
      </c>
      <c r="U805" s="3">
        <v>0</v>
      </c>
      <c r="V805" s="3">
        <v>0</v>
      </c>
      <c r="W805" s="3" t="s">
        <v>871</v>
      </c>
      <c r="X805" s="3">
        <v>22.98</v>
      </c>
      <c r="Y805" s="3">
        <v>22.98</v>
      </c>
      <c r="Z805" s="3">
        <v>22.98</v>
      </c>
      <c r="AA805" s="3">
        <v>0</v>
      </c>
      <c r="AB805" s="3" t="s">
        <v>869</v>
      </c>
      <c r="AC805" s="3">
        <v>0</v>
      </c>
      <c r="AD805" s="3">
        <v>0</v>
      </c>
      <c r="AE805" s="3">
        <v>0</v>
      </c>
      <c r="AF805" s="3">
        <v>0</v>
      </c>
      <c r="AG805" s="3">
        <v>0</v>
      </c>
      <c r="AH805" s="3">
        <v>0.38095238095238</v>
      </c>
      <c r="AI805" s="3">
        <v>0.117545</v>
      </c>
      <c r="AJ805" s="3" t="s">
        <v>870</v>
      </c>
    </row>
    <row r="806" spans="1:36">
      <c r="A806" s="5">
        <v>43336</v>
      </c>
      <c r="B806" s="3" t="s">
        <v>2785</v>
      </c>
      <c r="C806" s="3" t="s">
        <v>2786</v>
      </c>
      <c r="D806" s="3" t="s">
        <v>2786</v>
      </c>
      <c r="E806" s="3" t="s">
        <v>2787</v>
      </c>
      <c r="F806" s="3" t="s">
        <v>867</v>
      </c>
      <c r="G806" s="3">
        <v>1</v>
      </c>
      <c r="H806" s="3">
        <v>0</v>
      </c>
      <c r="I806" s="3">
        <v>0</v>
      </c>
      <c r="J806" s="3">
        <v>0</v>
      </c>
      <c r="K806" s="3">
        <v>0</v>
      </c>
      <c r="L806" s="3">
        <v>1</v>
      </c>
      <c r="M806" s="3">
        <v>0</v>
      </c>
      <c r="N806" s="3" t="s">
        <v>868</v>
      </c>
      <c r="O806" s="3">
        <v>1</v>
      </c>
      <c r="P806" s="3">
        <v>0.48</v>
      </c>
      <c r="Q806" s="3">
        <v>0</v>
      </c>
      <c r="R806" s="3">
        <v>0</v>
      </c>
      <c r="S806" s="3">
        <v>0</v>
      </c>
      <c r="T806" s="3">
        <v>1</v>
      </c>
      <c r="U806" s="3">
        <v>2</v>
      </c>
      <c r="V806" s="3">
        <v>2</v>
      </c>
      <c r="W806" s="3" t="s">
        <v>871</v>
      </c>
      <c r="X806" s="3">
        <v>12.98</v>
      </c>
      <c r="Y806" s="3">
        <v>12.98</v>
      </c>
      <c r="Z806" s="3">
        <v>12.98</v>
      </c>
      <c r="AA806" s="3">
        <v>0</v>
      </c>
      <c r="AB806" s="3" t="s">
        <v>869</v>
      </c>
      <c r="AC806" s="3">
        <v>1</v>
      </c>
      <c r="AD806" s="3">
        <v>12.98</v>
      </c>
      <c r="AE806" s="3">
        <v>0</v>
      </c>
      <c r="AF806" s="3">
        <v>0</v>
      </c>
      <c r="AG806" s="3">
        <v>0</v>
      </c>
      <c r="AH806" s="3">
        <v>0.177777777777777</v>
      </c>
      <c r="AI806" s="3">
        <v>0.138102</v>
      </c>
      <c r="AJ806" s="3" t="s">
        <v>870</v>
      </c>
    </row>
    <row r="807" spans="1:36">
      <c r="A807" s="5">
        <v>43336</v>
      </c>
      <c r="B807" s="3" t="s">
        <v>2788</v>
      </c>
      <c r="C807" s="3" t="s">
        <v>2789</v>
      </c>
      <c r="D807" s="3" t="s">
        <v>2790</v>
      </c>
      <c r="E807" s="3" t="s">
        <v>2791</v>
      </c>
      <c r="F807" s="3" t="s">
        <v>867</v>
      </c>
      <c r="G807" s="3">
        <v>23</v>
      </c>
      <c r="H807" s="3">
        <v>0</v>
      </c>
      <c r="I807" s="3">
        <v>23</v>
      </c>
      <c r="J807" s="3">
        <v>0</v>
      </c>
      <c r="K807" s="3">
        <v>0</v>
      </c>
      <c r="L807" s="3">
        <v>0</v>
      </c>
      <c r="M807" s="3">
        <v>0</v>
      </c>
      <c r="N807" s="3" t="s">
        <v>868</v>
      </c>
      <c r="O807" s="3">
        <v>0</v>
      </c>
      <c r="P807" s="3">
        <v>0</v>
      </c>
      <c r="Q807" s="3">
        <v>0</v>
      </c>
      <c r="R807" s="3">
        <v>0</v>
      </c>
      <c r="S807" s="3">
        <v>1</v>
      </c>
      <c r="T807" s="3">
        <v>4</v>
      </c>
      <c r="U807" s="3">
        <v>6</v>
      </c>
      <c r="V807" s="3">
        <v>6</v>
      </c>
      <c r="W807" s="3" t="s">
        <v>871</v>
      </c>
      <c r="X807" s="3">
        <v>25.98</v>
      </c>
      <c r="Y807" s="3">
        <v>25.98</v>
      </c>
      <c r="Z807" s="3">
        <v>25.98</v>
      </c>
      <c r="AA807" s="3">
        <v>0</v>
      </c>
      <c r="AB807" s="3" t="s">
        <v>869</v>
      </c>
      <c r="AC807" s="3">
        <v>24</v>
      </c>
      <c r="AD807" s="3">
        <v>25.98</v>
      </c>
      <c r="AE807" s="3">
        <v>0</v>
      </c>
      <c r="AF807" s="3">
        <v>0</v>
      </c>
      <c r="AG807" s="3">
        <v>0</v>
      </c>
      <c r="AH807" s="3">
        <v>0.25</v>
      </c>
      <c r="AI807" s="3">
        <v>3.994065</v>
      </c>
      <c r="AJ807" s="3" t="s">
        <v>870</v>
      </c>
    </row>
    <row r="808" spans="1:36">
      <c r="A808" s="5">
        <v>43336</v>
      </c>
      <c r="B808" s="3" t="s">
        <v>2792</v>
      </c>
      <c r="C808" s="3" t="s">
        <v>2793</v>
      </c>
      <c r="D808" s="3" t="s">
        <v>2793</v>
      </c>
      <c r="E808" s="3" t="s">
        <v>2794</v>
      </c>
      <c r="F808" s="3" t="s">
        <v>867</v>
      </c>
      <c r="G808" s="3">
        <v>5</v>
      </c>
      <c r="H808" s="3">
        <v>0</v>
      </c>
      <c r="I808" s="3">
        <v>1</v>
      </c>
      <c r="J808" s="3">
        <v>2</v>
      </c>
      <c r="K808" s="3">
        <v>2</v>
      </c>
      <c r="L808" s="3">
        <v>0</v>
      </c>
      <c r="M808" s="3">
        <v>0</v>
      </c>
      <c r="N808" s="3" t="s">
        <v>868</v>
      </c>
      <c r="O808" s="3">
        <v>3</v>
      </c>
      <c r="P808" s="3">
        <v>0.91</v>
      </c>
      <c r="Q808" s="3">
        <v>0</v>
      </c>
      <c r="R808" s="3">
        <v>0</v>
      </c>
      <c r="S808" s="3">
        <v>0</v>
      </c>
      <c r="T808" s="3">
        <v>1</v>
      </c>
      <c r="U808" s="3">
        <v>1</v>
      </c>
      <c r="V808" s="3">
        <v>2</v>
      </c>
      <c r="W808" s="3"/>
      <c r="X808" s="3">
        <v>23.98</v>
      </c>
      <c r="Y808" s="3">
        <v>23.98</v>
      </c>
      <c r="Z808" s="3">
        <v>23.98</v>
      </c>
      <c r="AA808" s="3">
        <v>0</v>
      </c>
      <c r="AB808" s="3" t="s">
        <v>883</v>
      </c>
      <c r="AC808" s="3">
        <v>1</v>
      </c>
      <c r="AD808" s="3">
        <v>22.6</v>
      </c>
      <c r="AE808" s="3">
        <v>70</v>
      </c>
      <c r="AF808" s="3">
        <v>0</v>
      </c>
      <c r="AG808" s="3">
        <v>113.819191</v>
      </c>
      <c r="AH808" s="3">
        <v>0.347826086956521</v>
      </c>
      <c r="AI808" s="3">
        <v>0.441165</v>
      </c>
      <c r="AJ808" s="3" t="s">
        <v>870</v>
      </c>
    </row>
    <row r="809" spans="1:36">
      <c r="A809" s="5">
        <v>43336</v>
      </c>
      <c r="B809" s="3" t="s">
        <v>2795</v>
      </c>
      <c r="C809" s="3" t="s">
        <v>2796</v>
      </c>
      <c r="D809" s="3" t="s">
        <v>2796</v>
      </c>
      <c r="E809" s="3" t="s">
        <v>2797</v>
      </c>
      <c r="F809" s="3" t="s">
        <v>867</v>
      </c>
      <c r="G809" s="3">
        <v>4</v>
      </c>
      <c r="H809" s="3">
        <v>0</v>
      </c>
      <c r="I809" s="3">
        <v>0</v>
      </c>
      <c r="J809" s="3">
        <v>4</v>
      </c>
      <c r="K809" s="3">
        <v>0</v>
      </c>
      <c r="L809" s="3">
        <v>0</v>
      </c>
      <c r="M809" s="3">
        <v>0</v>
      </c>
      <c r="N809" s="3" t="s">
        <v>868</v>
      </c>
      <c r="O809" s="3">
        <v>0</v>
      </c>
      <c r="P809" s="3">
        <v>0</v>
      </c>
      <c r="Q809" s="3">
        <v>0</v>
      </c>
      <c r="R809" s="3">
        <v>0</v>
      </c>
      <c r="S809" s="3">
        <v>0</v>
      </c>
      <c r="T809" s="3">
        <v>0</v>
      </c>
      <c r="U809" s="3">
        <v>0</v>
      </c>
      <c r="V809" s="3">
        <v>2</v>
      </c>
      <c r="W809" s="3" t="s">
        <v>871</v>
      </c>
      <c r="X809" s="3">
        <v>27.98</v>
      </c>
      <c r="Y809" s="3">
        <v>27.98</v>
      </c>
      <c r="Z809" s="3">
        <v>27.98</v>
      </c>
      <c r="AA809" s="3">
        <v>0</v>
      </c>
      <c r="AB809" s="3" t="s">
        <v>883</v>
      </c>
      <c r="AC809" s="3">
        <v>0</v>
      </c>
      <c r="AD809" s="3">
        <v>24.8</v>
      </c>
      <c r="AE809" s="3">
        <v>168</v>
      </c>
      <c r="AF809" s="3">
        <v>0</v>
      </c>
      <c r="AG809" s="3">
        <v>136.460153</v>
      </c>
      <c r="AH809" s="3">
        <v>0.296296296296296</v>
      </c>
      <c r="AI809" s="3">
        <v>0.67628</v>
      </c>
      <c r="AJ809" s="3" t="s">
        <v>870</v>
      </c>
    </row>
    <row r="810" spans="1:36">
      <c r="A810" s="5">
        <v>43336</v>
      </c>
      <c r="B810" s="3" t="s">
        <v>2798</v>
      </c>
      <c r="C810" s="3" t="s">
        <v>2799</v>
      </c>
      <c r="D810" s="3" t="s">
        <v>2799</v>
      </c>
      <c r="E810" s="3" t="s">
        <v>2800</v>
      </c>
      <c r="F810" s="3" t="s">
        <v>867</v>
      </c>
      <c r="G810" s="3">
        <v>1</v>
      </c>
      <c r="H810" s="3">
        <v>0</v>
      </c>
      <c r="I810" s="3">
        <v>0</v>
      </c>
      <c r="J810" s="3">
        <v>1</v>
      </c>
      <c r="K810" s="3">
        <v>0</v>
      </c>
      <c r="L810" s="3">
        <v>0</v>
      </c>
      <c r="M810" s="3">
        <v>0</v>
      </c>
      <c r="N810" s="3" t="s">
        <v>868</v>
      </c>
      <c r="O810" s="3">
        <v>0</v>
      </c>
      <c r="P810" s="3">
        <v>0</v>
      </c>
      <c r="Q810" s="3">
        <v>0</v>
      </c>
      <c r="R810" s="3">
        <v>0</v>
      </c>
      <c r="S810" s="3">
        <v>0</v>
      </c>
      <c r="T810" s="3">
        <v>0</v>
      </c>
      <c r="U810" s="3">
        <v>0</v>
      </c>
      <c r="V810" s="3">
        <v>0</v>
      </c>
      <c r="W810" s="3" t="s">
        <v>936</v>
      </c>
      <c r="X810" s="3">
        <v>60.98</v>
      </c>
      <c r="Y810" s="3">
        <v>60.98</v>
      </c>
      <c r="Z810" s="3">
        <v>60.98</v>
      </c>
      <c r="AA810" s="3">
        <v>0</v>
      </c>
      <c r="AB810" s="3" t="s">
        <v>937</v>
      </c>
      <c r="AC810" s="3">
        <v>1</v>
      </c>
      <c r="AD810" s="3">
        <v>60.98</v>
      </c>
      <c r="AE810" s="3">
        <v>0</v>
      </c>
      <c r="AF810" s="3">
        <v>0</v>
      </c>
      <c r="AG810" s="3">
        <v>0</v>
      </c>
      <c r="AH810" s="3">
        <v>0</v>
      </c>
      <c r="AI810" s="3">
        <v>0.396741</v>
      </c>
      <c r="AJ810" s="3" t="s">
        <v>870</v>
      </c>
    </row>
    <row r="811" spans="1:36">
      <c r="A811" s="5">
        <v>43336</v>
      </c>
      <c r="B811" s="3" t="s">
        <v>2801</v>
      </c>
      <c r="C811" s="3" t="s">
        <v>2802</v>
      </c>
      <c r="D811" s="3" t="s">
        <v>1622</v>
      </c>
      <c r="E811" s="3" t="s">
        <v>1623</v>
      </c>
      <c r="F811" s="3" t="s">
        <v>867</v>
      </c>
      <c r="G811" s="3">
        <v>4</v>
      </c>
      <c r="H811" s="3">
        <v>0</v>
      </c>
      <c r="I811" s="3">
        <v>4</v>
      </c>
      <c r="J811" s="3">
        <v>0</v>
      </c>
      <c r="K811" s="3">
        <v>0</v>
      </c>
      <c r="L811" s="3">
        <v>0</v>
      </c>
      <c r="M811" s="3">
        <v>0</v>
      </c>
      <c r="N811" s="3" t="s">
        <v>868</v>
      </c>
      <c r="O811" s="3">
        <v>0</v>
      </c>
      <c r="P811" s="3">
        <v>0</v>
      </c>
      <c r="Q811" s="3">
        <v>0</v>
      </c>
      <c r="R811" s="3">
        <v>0</v>
      </c>
      <c r="S811" s="3">
        <v>0</v>
      </c>
      <c r="T811" s="3">
        <v>0</v>
      </c>
      <c r="U811" s="3">
        <v>0</v>
      </c>
      <c r="V811" s="3">
        <v>0</v>
      </c>
      <c r="W811" s="3" t="s">
        <v>871</v>
      </c>
      <c r="X811" s="3">
        <v>27.98</v>
      </c>
      <c r="Y811" s="3">
        <v>27.98</v>
      </c>
      <c r="Z811" s="3">
        <v>27.98</v>
      </c>
      <c r="AA811" s="3">
        <v>0</v>
      </c>
      <c r="AB811" s="3" t="s">
        <v>869</v>
      </c>
      <c r="AC811" s="3">
        <v>4</v>
      </c>
      <c r="AD811" s="3">
        <v>27.98</v>
      </c>
      <c r="AE811" s="3">
        <v>0</v>
      </c>
      <c r="AF811" s="3">
        <v>0</v>
      </c>
      <c r="AG811" s="3">
        <v>0</v>
      </c>
      <c r="AH811" s="3">
        <v>1.38461538461538</v>
      </c>
      <c r="AI811" s="3">
        <v>0.67628</v>
      </c>
      <c r="AJ811" s="3" t="s">
        <v>870</v>
      </c>
    </row>
    <row r="812" spans="1:36">
      <c r="A812" s="5">
        <v>43336</v>
      </c>
      <c r="B812" s="3" t="s">
        <v>2803</v>
      </c>
      <c r="C812" s="3" t="s">
        <v>2804</v>
      </c>
      <c r="D812" s="3" t="s">
        <v>2804</v>
      </c>
      <c r="E812" s="3" t="s">
        <v>2805</v>
      </c>
      <c r="F812" s="3" t="s">
        <v>867</v>
      </c>
      <c r="G812" s="3">
        <v>3</v>
      </c>
      <c r="H812" s="3">
        <v>0</v>
      </c>
      <c r="I812" s="3">
        <v>0</v>
      </c>
      <c r="J812" s="3">
        <v>0</v>
      </c>
      <c r="K812" s="3">
        <v>3</v>
      </c>
      <c r="L812" s="3">
        <v>0</v>
      </c>
      <c r="M812" s="3">
        <v>0</v>
      </c>
      <c r="N812" s="3" t="s">
        <v>868</v>
      </c>
      <c r="O812" s="3">
        <v>3</v>
      </c>
      <c r="P812" s="3">
        <v>0.91</v>
      </c>
      <c r="Q812" s="3">
        <v>0</v>
      </c>
      <c r="R812" s="3">
        <v>0</v>
      </c>
      <c r="S812" s="3">
        <v>0</v>
      </c>
      <c r="T812" s="3">
        <v>0</v>
      </c>
      <c r="U812" s="3">
        <v>0</v>
      </c>
      <c r="V812" s="3">
        <v>0</v>
      </c>
      <c r="W812" s="3" t="s">
        <v>871</v>
      </c>
      <c r="X812" s="3">
        <v>23.98</v>
      </c>
      <c r="Y812" s="3">
        <v>23.98</v>
      </c>
      <c r="Z812" s="3">
        <v>23.98</v>
      </c>
      <c r="AA812" s="3">
        <v>0</v>
      </c>
      <c r="AB812" s="3" t="s">
        <v>883</v>
      </c>
      <c r="AC812" s="3">
        <v>0</v>
      </c>
      <c r="AD812" s="3">
        <v>22.49</v>
      </c>
      <c r="AE812" s="3">
        <v>77</v>
      </c>
      <c r="AF812" s="3">
        <v>0</v>
      </c>
      <c r="AG812" s="3">
        <v>69.379554</v>
      </c>
      <c r="AH812" s="3">
        <v>0</v>
      </c>
      <c r="AI812" s="3">
        <v>0.264699</v>
      </c>
      <c r="AJ812" s="3" t="s">
        <v>870</v>
      </c>
    </row>
    <row r="813" spans="1:36">
      <c r="A813" s="5">
        <v>43336</v>
      </c>
      <c r="B813" s="3" t="s">
        <v>2806</v>
      </c>
      <c r="C813" s="3" t="s">
        <v>2807</v>
      </c>
      <c r="D813" s="3" t="s">
        <v>2807</v>
      </c>
      <c r="E813" s="3" t="s">
        <v>2808</v>
      </c>
      <c r="F813" s="3" t="s">
        <v>867</v>
      </c>
      <c r="G813" s="3">
        <v>2</v>
      </c>
      <c r="H813" s="3">
        <v>0</v>
      </c>
      <c r="I813" s="3">
        <v>2</v>
      </c>
      <c r="J813" s="3">
        <v>0</v>
      </c>
      <c r="K813" s="3">
        <v>0</v>
      </c>
      <c r="L813" s="3">
        <v>0</v>
      </c>
      <c r="M813" s="3">
        <v>0</v>
      </c>
      <c r="N813" s="3" t="s">
        <v>868</v>
      </c>
      <c r="O813" s="3">
        <v>0</v>
      </c>
      <c r="P813" s="3">
        <v>0</v>
      </c>
      <c r="Q813" s="3">
        <v>0</v>
      </c>
      <c r="R813" s="3">
        <v>0</v>
      </c>
      <c r="S813" s="3">
        <v>0</v>
      </c>
      <c r="T813" s="3">
        <v>0</v>
      </c>
      <c r="U813" s="3">
        <v>0</v>
      </c>
      <c r="V813" s="3">
        <v>4</v>
      </c>
      <c r="W813" s="3" t="s">
        <v>871</v>
      </c>
      <c r="X813" s="3">
        <v>22.98</v>
      </c>
      <c r="Y813" s="3">
        <v>22.98</v>
      </c>
      <c r="Z813" s="3">
        <v>22.98</v>
      </c>
      <c r="AA813" s="3">
        <v>0</v>
      </c>
      <c r="AB813" s="3" t="s">
        <v>883</v>
      </c>
      <c r="AC813" s="3">
        <v>0</v>
      </c>
      <c r="AD813" s="3">
        <v>21.58</v>
      </c>
      <c r="AE813" s="3">
        <v>49</v>
      </c>
      <c r="AF813" s="3">
        <v>0</v>
      </c>
      <c r="AG813" s="3">
        <v>54.688165</v>
      </c>
      <c r="AH813" s="3">
        <v>0.4</v>
      </c>
      <c r="AI813" s="3">
        <v>0.23509</v>
      </c>
      <c r="AJ813" s="3" t="s">
        <v>870</v>
      </c>
    </row>
    <row r="814" spans="1:36">
      <c r="A814" s="5">
        <v>43336</v>
      </c>
      <c r="B814" s="3" t="s">
        <v>2809</v>
      </c>
      <c r="C814" s="3" t="s">
        <v>2810</v>
      </c>
      <c r="D814" s="3" t="s">
        <v>2810</v>
      </c>
      <c r="E814" s="3" t="s">
        <v>2811</v>
      </c>
      <c r="F814" s="3" t="s">
        <v>867</v>
      </c>
      <c r="G814" s="3">
        <v>12</v>
      </c>
      <c r="H814" s="3">
        <v>0</v>
      </c>
      <c r="I814" s="3">
        <v>1</v>
      </c>
      <c r="J814" s="3">
        <v>11</v>
      </c>
      <c r="K814" s="3">
        <v>0</v>
      </c>
      <c r="L814" s="3">
        <v>0</v>
      </c>
      <c r="M814" s="3">
        <v>0</v>
      </c>
      <c r="N814" s="3" t="s">
        <v>868</v>
      </c>
      <c r="O814" s="3">
        <v>10</v>
      </c>
      <c r="P814" s="3">
        <v>7.37</v>
      </c>
      <c r="Q814" s="3">
        <v>0</v>
      </c>
      <c r="R814" s="3">
        <v>0</v>
      </c>
      <c r="S814" s="3">
        <v>0</v>
      </c>
      <c r="T814" s="3">
        <v>0</v>
      </c>
      <c r="U814" s="3">
        <v>1</v>
      </c>
      <c r="V814" s="3">
        <v>1</v>
      </c>
      <c r="W814" s="3" t="s">
        <v>871</v>
      </c>
      <c r="X814" s="3">
        <v>26.98</v>
      </c>
      <c r="Y814" s="3">
        <v>26.98</v>
      </c>
      <c r="Z814" s="3">
        <v>26.98</v>
      </c>
      <c r="AA814" s="3">
        <v>0</v>
      </c>
      <c r="AB814" s="3" t="s">
        <v>883</v>
      </c>
      <c r="AC814" s="3">
        <v>5</v>
      </c>
      <c r="AD814" s="3">
        <v>21.58</v>
      </c>
      <c r="AE814" s="3">
        <v>203</v>
      </c>
      <c r="AF814" s="3">
        <v>0</v>
      </c>
      <c r="AG814" s="3">
        <v>14.577983</v>
      </c>
      <c r="AH814" s="3">
        <v>0.0625</v>
      </c>
      <c r="AI814" s="3">
        <v>2.562036</v>
      </c>
      <c r="AJ814" s="3" t="s">
        <v>870</v>
      </c>
    </row>
    <row r="815" spans="1:36">
      <c r="A815" s="5">
        <v>43336</v>
      </c>
      <c r="B815" s="3" t="s">
        <v>2812</v>
      </c>
      <c r="C815" s="3" t="s">
        <v>2813</v>
      </c>
      <c r="D815" s="3" t="s">
        <v>2814</v>
      </c>
      <c r="E815" s="3" t="s">
        <v>2815</v>
      </c>
      <c r="F815" s="3" t="s">
        <v>867</v>
      </c>
      <c r="G815" s="3">
        <v>6</v>
      </c>
      <c r="H815" s="3">
        <v>0</v>
      </c>
      <c r="I815" s="3">
        <v>6</v>
      </c>
      <c r="J815" s="3">
        <v>0</v>
      </c>
      <c r="K815" s="3">
        <v>0</v>
      </c>
      <c r="L815" s="3">
        <v>0</v>
      </c>
      <c r="M815" s="3">
        <v>0</v>
      </c>
      <c r="N815" s="3" t="s">
        <v>868</v>
      </c>
      <c r="O815" s="3">
        <v>0</v>
      </c>
      <c r="P815" s="3">
        <v>0</v>
      </c>
      <c r="Q815" s="3">
        <v>0</v>
      </c>
      <c r="R815" s="3">
        <v>0</v>
      </c>
      <c r="S815" s="3">
        <v>0</v>
      </c>
      <c r="T815" s="3">
        <v>0</v>
      </c>
      <c r="U815" s="3">
        <v>0</v>
      </c>
      <c r="V815" s="3">
        <v>0</v>
      </c>
      <c r="W815" s="3" t="s">
        <v>936</v>
      </c>
      <c r="X815" s="3">
        <v>22.98</v>
      </c>
      <c r="Y815" s="3">
        <v>22.98</v>
      </c>
      <c r="Z815" s="3">
        <v>22.98</v>
      </c>
      <c r="AA815" s="3">
        <v>0</v>
      </c>
      <c r="AB815" s="3" t="s">
        <v>937</v>
      </c>
      <c r="AC815" s="3">
        <v>0</v>
      </c>
      <c r="AD815" s="3">
        <v>18.38</v>
      </c>
      <c r="AE815" s="3">
        <v>63</v>
      </c>
      <c r="AF815" s="3">
        <v>0</v>
      </c>
      <c r="AG815" s="3">
        <v>113.25854</v>
      </c>
      <c r="AH815" s="3">
        <v>0</v>
      </c>
      <c r="AI815" s="3">
        <v>0.957684</v>
      </c>
      <c r="AJ815" s="3" t="s">
        <v>925</v>
      </c>
    </row>
    <row r="816" spans="1:36">
      <c r="A816" s="5">
        <v>43336</v>
      </c>
      <c r="B816" s="3" t="s">
        <v>782</v>
      </c>
      <c r="C816" s="3" t="s">
        <v>783</v>
      </c>
      <c r="D816" s="3" t="s">
        <v>783</v>
      </c>
      <c r="E816" s="3" t="s">
        <v>784</v>
      </c>
      <c r="F816" s="3" t="s">
        <v>867</v>
      </c>
      <c r="G816" s="3">
        <v>1</v>
      </c>
      <c r="H816" s="3">
        <v>0</v>
      </c>
      <c r="I816" s="3">
        <v>1</v>
      </c>
      <c r="J816" s="3">
        <v>0</v>
      </c>
      <c r="K816" s="3">
        <v>0</v>
      </c>
      <c r="L816" s="3">
        <v>0</v>
      </c>
      <c r="M816" s="3">
        <v>0</v>
      </c>
      <c r="N816" s="3" t="s">
        <v>868</v>
      </c>
      <c r="O816" s="3">
        <v>0</v>
      </c>
      <c r="P816" s="3">
        <v>0</v>
      </c>
      <c r="Q816" s="3">
        <v>0</v>
      </c>
      <c r="R816" s="3">
        <v>0</v>
      </c>
      <c r="S816" s="3">
        <v>0</v>
      </c>
      <c r="T816" s="3">
        <v>0</v>
      </c>
      <c r="U816" s="3">
        <v>0</v>
      </c>
      <c r="V816" s="3">
        <v>0</v>
      </c>
      <c r="W816" s="3"/>
      <c r="X816" s="3"/>
      <c r="Y816" s="3"/>
      <c r="Z816" s="3">
        <v>-1</v>
      </c>
      <c r="AA816" s="3">
        <v>-1</v>
      </c>
      <c r="AB816" s="3" t="s">
        <v>891</v>
      </c>
      <c r="AC816" s="3">
        <v>0</v>
      </c>
      <c r="AD816" s="3">
        <v>0</v>
      </c>
      <c r="AE816" s="3">
        <v>0</v>
      </c>
      <c r="AF816" s="3">
        <v>0</v>
      </c>
      <c r="AG816" s="3">
        <v>0</v>
      </c>
      <c r="AH816" s="3">
        <v>2.22222222222222</v>
      </c>
      <c r="AI816" s="3">
        <v>0.070046</v>
      </c>
      <c r="AJ816" s="3" t="s">
        <v>870</v>
      </c>
    </row>
    <row r="817" spans="1:36">
      <c r="A817" s="5">
        <v>43336</v>
      </c>
      <c r="B817" s="3" t="s">
        <v>309</v>
      </c>
      <c r="C817" s="3" t="s">
        <v>310</v>
      </c>
      <c r="D817" s="3" t="s">
        <v>311</v>
      </c>
      <c r="E817" s="3" t="s">
        <v>312</v>
      </c>
      <c r="F817" s="3" t="s">
        <v>867</v>
      </c>
      <c r="G817" s="3">
        <v>75</v>
      </c>
      <c r="H817" s="3">
        <v>0</v>
      </c>
      <c r="I817" s="3">
        <v>75</v>
      </c>
      <c r="J817" s="3">
        <v>0</v>
      </c>
      <c r="K817" s="3">
        <v>0</v>
      </c>
      <c r="L817" s="3">
        <v>0</v>
      </c>
      <c r="M817" s="3">
        <v>0</v>
      </c>
      <c r="N817" s="3" t="s">
        <v>868</v>
      </c>
      <c r="O817" s="3">
        <v>0</v>
      </c>
      <c r="P817" s="3">
        <v>0</v>
      </c>
      <c r="Q817" s="3">
        <v>0</v>
      </c>
      <c r="R817" s="3">
        <v>0</v>
      </c>
      <c r="S817" s="3">
        <v>26</v>
      </c>
      <c r="T817" s="3">
        <v>106</v>
      </c>
      <c r="U817" s="3">
        <v>152</v>
      </c>
      <c r="V817" s="3">
        <v>152</v>
      </c>
      <c r="W817" s="3"/>
      <c r="X817" s="3">
        <v>23.98</v>
      </c>
      <c r="Y817" s="3">
        <v>23.98</v>
      </c>
      <c r="Z817" s="3">
        <v>23.98</v>
      </c>
      <c r="AA817" s="3">
        <v>0</v>
      </c>
      <c r="AB817" s="3" t="s">
        <v>869</v>
      </c>
      <c r="AC817" s="3">
        <v>76</v>
      </c>
      <c r="AD817" s="3">
        <v>23.98</v>
      </c>
      <c r="AE817" s="3">
        <v>0</v>
      </c>
      <c r="AF817" s="3">
        <v>0</v>
      </c>
      <c r="AG817" s="3">
        <v>0</v>
      </c>
      <c r="AH817" s="3">
        <v>5.53571428571428</v>
      </c>
      <c r="AI817" s="3">
        <v>3.414675</v>
      </c>
      <c r="AJ817" s="3" t="s">
        <v>870</v>
      </c>
    </row>
    <row r="818" spans="1:36">
      <c r="A818" s="5">
        <v>43336</v>
      </c>
      <c r="B818" s="3" t="s">
        <v>2816</v>
      </c>
      <c r="C818" s="3" t="s">
        <v>2817</v>
      </c>
      <c r="D818" s="3" t="s">
        <v>2817</v>
      </c>
      <c r="E818" s="3" t="s">
        <v>2818</v>
      </c>
      <c r="F818" s="3" t="s">
        <v>867</v>
      </c>
      <c r="G818" s="3">
        <v>17</v>
      </c>
      <c r="H818" s="3">
        <v>0</v>
      </c>
      <c r="I818" s="3">
        <v>11</v>
      </c>
      <c r="J818" s="3">
        <v>6</v>
      </c>
      <c r="K818" s="3">
        <v>0</v>
      </c>
      <c r="L818" s="3">
        <v>0</v>
      </c>
      <c r="M818" s="3">
        <v>0</v>
      </c>
      <c r="N818" s="3" t="s">
        <v>868</v>
      </c>
      <c r="O818" s="3">
        <v>0</v>
      </c>
      <c r="P818" s="3">
        <v>0</v>
      </c>
      <c r="Q818" s="3">
        <v>0</v>
      </c>
      <c r="R818" s="3">
        <v>0</v>
      </c>
      <c r="S818" s="3">
        <v>1</v>
      </c>
      <c r="T818" s="3">
        <v>2</v>
      </c>
      <c r="U818" s="3">
        <v>6</v>
      </c>
      <c r="V818" s="3">
        <v>7</v>
      </c>
      <c r="W818" s="3"/>
      <c r="X818" s="3">
        <v>22.98</v>
      </c>
      <c r="Y818" s="3">
        <v>22.98</v>
      </c>
      <c r="Z818" s="3">
        <v>22.98</v>
      </c>
      <c r="AA818" s="3">
        <v>0</v>
      </c>
      <c r="AB818" s="3" t="s">
        <v>869</v>
      </c>
      <c r="AC818" s="3">
        <v>17</v>
      </c>
      <c r="AD818" s="3">
        <v>22.98</v>
      </c>
      <c r="AE818" s="3">
        <v>0</v>
      </c>
      <c r="AF818" s="3">
        <v>0</v>
      </c>
      <c r="AG818" s="3">
        <v>0</v>
      </c>
      <c r="AH818" s="3">
        <v>0.411764705882352</v>
      </c>
      <c r="AI818" s="3">
        <v>1.420571</v>
      </c>
      <c r="AJ818" s="3" t="s">
        <v>870</v>
      </c>
    </row>
    <row r="819" spans="1:36">
      <c r="A819" s="5">
        <v>43336</v>
      </c>
      <c r="B819" s="3" t="s">
        <v>2819</v>
      </c>
      <c r="C819" s="3" t="s">
        <v>2820</v>
      </c>
      <c r="D819" s="3" t="s">
        <v>2820</v>
      </c>
      <c r="E819" s="3" t="s">
        <v>2821</v>
      </c>
      <c r="F819" s="3" t="s">
        <v>867</v>
      </c>
      <c r="G819" s="3">
        <v>3</v>
      </c>
      <c r="H819" s="3">
        <v>0</v>
      </c>
      <c r="I819" s="3">
        <v>0</v>
      </c>
      <c r="J819" s="3">
        <v>3</v>
      </c>
      <c r="K819" s="3">
        <v>0</v>
      </c>
      <c r="L819" s="3">
        <v>0</v>
      </c>
      <c r="M819" s="3">
        <v>0</v>
      </c>
      <c r="N819" s="3" t="s">
        <v>868</v>
      </c>
      <c r="O819" s="3">
        <v>0</v>
      </c>
      <c r="P819" s="3">
        <v>0</v>
      </c>
      <c r="Q819" s="3">
        <v>0</v>
      </c>
      <c r="R819" s="3">
        <v>0</v>
      </c>
      <c r="S819" s="3">
        <v>1</v>
      </c>
      <c r="T819" s="3">
        <v>1</v>
      </c>
      <c r="U819" s="3">
        <v>2</v>
      </c>
      <c r="V819" s="3">
        <v>2</v>
      </c>
      <c r="W819" s="3" t="s">
        <v>871</v>
      </c>
      <c r="X819" s="3">
        <v>26.98</v>
      </c>
      <c r="Y819" s="3">
        <v>26.98</v>
      </c>
      <c r="Z819" s="3">
        <v>26.98</v>
      </c>
      <c r="AA819" s="3">
        <v>0</v>
      </c>
      <c r="AB819" s="3" t="s">
        <v>883</v>
      </c>
      <c r="AC819" s="3">
        <v>0</v>
      </c>
      <c r="AD819" s="3">
        <v>24.53</v>
      </c>
      <c r="AE819" s="3">
        <v>161</v>
      </c>
      <c r="AF819" s="3">
        <v>0</v>
      </c>
      <c r="AG819" s="3">
        <v>76.666366</v>
      </c>
      <c r="AH819" s="3">
        <v>0.470588235294117</v>
      </c>
      <c r="AI819" s="3">
        <v>0.396978</v>
      </c>
      <c r="AJ819" s="3" t="s">
        <v>870</v>
      </c>
    </row>
    <row r="820" spans="1:36">
      <c r="A820" s="5">
        <v>43336</v>
      </c>
      <c r="B820" s="3" t="s">
        <v>2822</v>
      </c>
      <c r="C820" s="3" t="s">
        <v>2823</v>
      </c>
      <c r="D820" s="3" t="s">
        <v>2823</v>
      </c>
      <c r="E820" s="3" t="s">
        <v>2824</v>
      </c>
      <c r="F820" s="3" t="s">
        <v>867</v>
      </c>
      <c r="G820" s="3">
        <v>1</v>
      </c>
      <c r="H820" s="3">
        <v>0</v>
      </c>
      <c r="I820" s="3">
        <v>1</v>
      </c>
      <c r="J820" s="3">
        <v>0</v>
      </c>
      <c r="K820" s="3">
        <v>0</v>
      </c>
      <c r="L820" s="3">
        <v>0</v>
      </c>
      <c r="M820" s="3">
        <v>0</v>
      </c>
      <c r="N820" s="3" t="s">
        <v>868</v>
      </c>
      <c r="O820" s="3">
        <v>0</v>
      </c>
      <c r="P820" s="3">
        <v>0</v>
      </c>
      <c r="Q820" s="3">
        <v>0</v>
      </c>
      <c r="R820" s="3">
        <v>0</v>
      </c>
      <c r="S820" s="3">
        <v>1</v>
      </c>
      <c r="T820" s="3">
        <v>1</v>
      </c>
      <c r="U820" s="3">
        <v>2</v>
      </c>
      <c r="V820" s="3">
        <v>3</v>
      </c>
      <c r="W820" s="3" t="s">
        <v>871</v>
      </c>
      <c r="X820" s="3">
        <v>22.99</v>
      </c>
      <c r="Y820" s="3">
        <v>22.99</v>
      </c>
      <c r="Z820" s="3">
        <v>22.99</v>
      </c>
      <c r="AA820" s="3">
        <v>0</v>
      </c>
      <c r="AB820" s="3" t="s">
        <v>883</v>
      </c>
      <c r="AC820" s="3">
        <v>1</v>
      </c>
      <c r="AD820" s="3">
        <v>22.98</v>
      </c>
      <c r="AE820" s="3">
        <v>0</v>
      </c>
      <c r="AF820" s="3">
        <v>0</v>
      </c>
      <c r="AG820" s="3">
        <v>0</v>
      </c>
      <c r="AH820" s="3">
        <v>0.307692307692307</v>
      </c>
      <c r="AI820" s="3">
        <v>0.145901</v>
      </c>
      <c r="AJ820" s="3" t="s">
        <v>870</v>
      </c>
    </row>
    <row r="821" spans="1:36">
      <c r="A821" s="5">
        <v>43336</v>
      </c>
      <c r="B821" s="3" t="s">
        <v>2825</v>
      </c>
      <c r="C821" s="3" t="s">
        <v>2826</v>
      </c>
      <c r="D821" s="3" t="s">
        <v>2354</v>
      </c>
      <c r="E821" s="3" t="s">
        <v>2355</v>
      </c>
      <c r="F821" s="3" t="s">
        <v>867</v>
      </c>
      <c r="G821" s="3">
        <v>3</v>
      </c>
      <c r="H821" s="3">
        <v>0</v>
      </c>
      <c r="I821" s="3">
        <v>3</v>
      </c>
      <c r="J821" s="3">
        <v>0</v>
      </c>
      <c r="K821" s="3">
        <v>0</v>
      </c>
      <c r="L821" s="3">
        <v>0</v>
      </c>
      <c r="M821" s="3">
        <v>0</v>
      </c>
      <c r="N821" s="3" t="s">
        <v>868</v>
      </c>
      <c r="O821" s="3">
        <v>0</v>
      </c>
      <c r="P821" s="3">
        <v>0</v>
      </c>
      <c r="Q821" s="3">
        <v>0</v>
      </c>
      <c r="R821" s="3">
        <v>0</v>
      </c>
      <c r="S821" s="3">
        <v>2</v>
      </c>
      <c r="T821" s="3">
        <v>2</v>
      </c>
      <c r="U821" s="3">
        <v>2</v>
      </c>
      <c r="V821" s="3">
        <v>2</v>
      </c>
      <c r="W821" s="3"/>
      <c r="X821" s="3">
        <v>23.98</v>
      </c>
      <c r="Y821" s="3">
        <v>23.98</v>
      </c>
      <c r="Z821" s="3">
        <v>23.98</v>
      </c>
      <c r="AA821" s="3">
        <v>0</v>
      </c>
      <c r="AB821" s="3" t="s">
        <v>869</v>
      </c>
      <c r="AC821" s="3">
        <v>3</v>
      </c>
      <c r="AD821" s="3">
        <v>23.98</v>
      </c>
      <c r="AE821" s="3">
        <v>0</v>
      </c>
      <c r="AF821" s="3">
        <v>0</v>
      </c>
      <c r="AG821" s="3">
        <v>0</v>
      </c>
      <c r="AH821" s="3">
        <v>0.714285714285714</v>
      </c>
      <c r="AI821" s="3">
        <v>0.4275</v>
      </c>
      <c r="AJ821" s="3" t="s">
        <v>870</v>
      </c>
    </row>
    <row r="822" spans="1:36">
      <c r="A822" s="5">
        <v>43336</v>
      </c>
      <c r="B822" s="3" t="s">
        <v>2827</v>
      </c>
      <c r="C822" s="3" t="s">
        <v>2828</v>
      </c>
      <c r="D822" s="3" t="s">
        <v>2828</v>
      </c>
      <c r="E822" s="3" t="s">
        <v>1329</v>
      </c>
      <c r="F822" s="3" t="s">
        <v>867</v>
      </c>
      <c r="G822" s="3">
        <v>1</v>
      </c>
      <c r="H822" s="3">
        <v>0</v>
      </c>
      <c r="I822" s="3">
        <v>1</v>
      </c>
      <c r="J822" s="3">
        <v>0</v>
      </c>
      <c r="K822" s="3">
        <v>0</v>
      </c>
      <c r="L822" s="3">
        <v>0</v>
      </c>
      <c r="M822" s="3">
        <v>0</v>
      </c>
      <c r="N822" s="3" t="s">
        <v>868</v>
      </c>
      <c r="O822" s="3">
        <v>0</v>
      </c>
      <c r="P822" s="3">
        <v>0</v>
      </c>
      <c r="Q822" s="3">
        <v>0</v>
      </c>
      <c r="R822" s="3">
        <v>0</v>
      </c>
      <c r="S822" s="3">
        <v>1</v>
      </c>
      <c r="T822" s="3">
        <v>4</v>
      </c>
      <c r="U822" s="3">
        <v>6</v>
      </c>
      <c r="V822" s="3">
        <v>15</v>
      </c>
      <c r="W822" s="3"/>
      <c r="X822" s="3"/>
      <c r="Y822" s="3"/>
      <c r="Z822" s="3">
        <v>-1</v>
      </c>
      <c r="AA822" s="3">
        <v>-1</v>
      </c>
      <c r="AB822" s="3" t="s">
        <v>891</v>
      </c>
      <c r="AC822" s="3">
        <v>0</v>
      </c>
      <c r="AD822" s="3">
        <v>0</v>
      </c>
      <c r="AE822" s="3">
        <v>0</v>
      </c>
      <c r="AF822" s="3">
        <v>0</v>
      </c>
      <c r="AG822" s="3">
        <v>0</v>
      </c>
      <c r="AH822" s="3">
        <v>3.75</v>
      </c>
      <c r="AI822" s="3">
        <v>0.161736</v>
      </c>
      <c r="AJ822" s="3" t="s">
        <v>870</v>
      </c>
    </row>
    <row r="823" spans="1:36">
      <c r="A823" s="5">
        <v>43336</v>
      </c>
      <c r="B823" s="3" t="s">
        <v>596</v>
      </c>
      <c r="C823" s="3" t="s">
        <v>597</v>
      </c>
      <c r="D823" s="3" t="s">
        <v>597</v>
      </c>
      <c r="E823" s="3" t="s">
        <v>598</v>
      </c>
      <c r="F823" s="3" t="s">
        <v>867</v>
      </c>
      <c r="G823" s="3">
        <v>16</v>
      </c>
      <c r="H823" s="3">
        <v>0</v>
      </c>
      <c r="I823" s="3">
        <v>6</v>
      </c>
      <c r="J823" s="3">
        <v>10</v>
      </c>
      <c r="K823" s="3">
        <v>0</v>
      </c>
      <c r="L823" s="3">
        <v>0</v>
      </c>
      <c r="M823" s="3">
        <v>0</v>
      </c>
      <c r="N823" s="3" t="s">
        <v>868</v>
      </c>
      <c r="O823" s="3">
        <v>0</v>
      </c>
      <c r="P823" s="3">
        <v>0</v>
      </c>
      <c r="Q823" s="3">
        <v>0</v>
      </c>
      <c r="R823" s="3">
        <v>0</v>
      </c>
      <c r="S823" s="3">
        <v>5</v>
      </c>
      <c r="T823" s="3">
        <v>12</v>
      </c>
      <c r="U823" s="3">
        <v>34</v>
      </c>
      <c r="V823" s="3">
        <v>44</v>
      </c>
      <c r="W823" s="3"/>
      <c r="X823" s="3">
        <v>23.98</v>
      </c>
      <c r="Y823" s="3">
        <v>23.98</v>
      </c>
      <c r="Z823" s="3">
        <v>23.98</v>
      </c>
      <c r="AA823" s="3">
        <v>0</v>
      </c>
      <c r="AB823" s="3" t="s">
        <v>869</v>
      </c>
      <c r="AC823" s="3">
        <v>5</v>
      </c>
      <c r="AD823" s="3">
        <v>23.98</v>
      </c>
      <c r="AE823" s="3">
        <v>0</v>
      </c>
      <c r="AF823" s="3">
        <v>0</v>
      </c>
      <c r="AG823" s="3">
        <v>0</v>
      </c>
      <c r="AH823" s="3">
        <v>0.617543859649122</v>
      </c>
      <c r="AI823" s="3">
        <v>2.255104</v>
      </c>
      <c r="AJ823" s="3" t="s">
        <v>870</v>
      </c>
    </row>
    <row r="824" spans="1:36">
      <c r="A824" s="5">
        <v>43336</v>
      </c>
      <c r="B824" s="3" t="s">
        <v>2829</v>
      </c>
      <c r="C824" s="3" t="s">
        <v>2830</v>
      </c>
      <c r="D824" s="3" t="s">
        <v>2831</v>
      </c>
      <c r="E824" s="3" t="s">
        <v>2832</v>
      </c>
      <c r="F824" s="3" t="s">
        <v>867</v>
      </c>
      <c r="G824" s="3">
        <v>6</v>
      </c>
      <c r="H824" s="3">
        <v>0</v>
      </c>
      <c r="I824" s="3">
        <v>6</v>
      </c>
      <c r="J824" s="3">
        <v>0</v>
      </c>
      <c r="K824" s="3">
        <v>0</v>
      </c>
      <c r="L824" s="3">
        <v>0</v>
      </c>
      <c r="M824" s="3">
        <v>0</v>
      </c>
      <c r="N824" s="3" t="s">
        <v>868</v>
      </c>
      <c r="O824" s="3">
        <v>0</v>
      </c>
      <c r="P824" s="3">
        <v>0</v>
      </c>
      <c r="Q824" s="3">
        <v>0</v>
      </c>
      <c r="R824" s="3">
        <v>0</v>
      </c>
      <c r="S824" s="3">
        <v>0</v>
      </c>
      <c r="T824" s="3">
        <v>0</v>
      </c>
      <c r="U824" s="3">
        <v>0</v>
      </c>
      <c r="V824" s="3">
        <v>0</v>
      </c>
      <c r="W824" s="3" t="s">
        <v>936</v>
      </c>
      <c r="X824" s="3">
        <v>22.98</v>
      </c>
      <c r="Y824" s="3">
        <v>22.98</v>
      </c>
      <c r="Z824" s="3">
        <v>22.98</v>
      </c>
      <c r="AA824" s="3">
        <v>0</v>
      </c>
      <c r="AB824" s="3" t="s">
        <v>937</v>
      </c>
      <c r="AC824" s="3">
        <v>0</v>
      </c>
      <c r="AD824" s="3">
        <v>18.38</v>
      </c>
      <c r="AE824" s="3">
        <v>63</v>
      </c>
      <c r="AF824" s="3">
        <v>0</v>
      </c>
      <c r="AG824" s="3">
        <v>71.2739</v>
      </c>
      <c r="AH824" s="3">
        <v>0</v>
      </c>
      <c r="AI824" s="3">
        <v>0.559272</v>
      </c>
      <c r="AJ824" s="3" t="s">
        <v>925</v>
      </c>
    </row>
    <row r="825" spans="1:36">
      <c r="A825" s="5">
        <v>43336</v>
      </c>
      <c r="B825" s="3" t="s">
        <v>2833</v>
      </c>
      <c r="C825" s="3" t="s">
        <v>2834</v>
      </c>
      <c r="D825" s="3" t="s">
        <v>2834</v>
      </c>
      <c r="E825" s="3" t="s">
        <v>2835</v>
      </c>
      <c r="F825" s="3" t="s">
        <v>867</v>
      </c>
      <c r="G825" s="3">
        <v>1</v>
      </c>
      <c r="H825" s="3">
        <v>0</v>
      </c>
      <c r="I825" s="3">
        <v>1</v>
      </c>
      <c r="J825" s="3">
        <v>0</v>
      </c>
      <c r="K825" s="3">
        <v>0</v>
      </c>
      <c r="L825" s="3">
        <v>0</v>
      </c>
      <c r="M825" s="3">
        <v>0</v>
      </c>
      <c r="N825" s="3" t="s">
        <v>868</v>
      </c>
      <c r="O825" s="3">
        <v>0</v>
      </c>
      <c r="P825" s="3">
        <v>0</v>
      </c>
      <c r="Q825" s="3">
        <v>0</v>
      </c>
      <c r="R825" s="3">
        <v>0</v>
      </c>
      <c r="S825" s="3">
        <v>0</v>
      </c>
      <c r="T825" s="3">
        <v>10</v>
      </c>
      <c r="U825" s="3">
        <v>12</v>
      </c>
      <c r="V825" s="3">
        <v>12</v>
      </c>
      <c r="W825" s="3"/>
      <c r="X825" s="3"/>
      <c r="Y825" s="3"/>
      <c r="Z825" s="3">
        <v>-1</v>
      </c>
      <c r="AA825" s="3">
        <v>-1</v>
      </c>
      <c r="AB825" s="3" t="s">
        <v>891</v>
      </c>
      <c r="AC825" s="3">
        <v>0</v>
      </c>
      <c r="AD825" s="3">
        <v>0</v>
      </c>
      <c r="AE825" s="3">
        <v>0</v>
      </c>
      <c r="AF825" s="3">
        <v>0</v>
      </c>
      <c r="AG825" s="3">
        <v>0</v>
      </c>
      <c r="AH825" s="3">
        <v>1.45454545454545</v>
      </c>
      <c r="AI825" s="3">
        <v>0.130925</v>
      </c>
      <c r="AJ825" s="3" t="s">
        <v>898</v>
      </c>
    </row>
    <row r="826" spans="1:36">
      <c r="A826" s="5">
        <v>43336</v>
      </c>
      <c r="B826" s="3" t="s">
        <v>2836</v>
      </c>
      <c r="C826" s="3" t="s">
        <v>2837</v>
      </c>
      <c r="D826" s="3" t="s">
        <v>2838</v>
      </c>
      <c r="E826" s="3" t="s">
        <v>2839</v>
      </c>
      <c r="F826" s="3" t="s">
        <v>867</v>
      </c>
      <c r="G826" s="3">
        <v>5</v>
      </c>
      <c r="H826" s="3">
        <v>0</v>
      </c>
      <c r="I826" s="3">
        <v>5</v>
      </c>
      <c r="J826" s="3">
        <v>0</v>
      </c>
      <c r="K826" s="3">
        <v>0</v>
      </c>
      <c r="L826" s="3">
        <v>0</v>
      </c>
      <c r="M826" s="3">
        <v>0</v>
      </c>
      <c r="N826" s="3" t="s">
        <v>868</v>
      </c>
      <c r="O826" s="3">
        <v>0</v>
      </c>
      <c r="P826" s="3">
        <v>0</v>
      </c>
      <c r="Q826" s="3">
        <v>0</v>
      </c>
      <c r="R826" s="3">
        <v>0</v>
      </c>
      <c r="S826" s="3">
        <v>0</v>
      </c>
      <c r="T826" s="3">
        <v>0</v>
      </c>
      <c r="U826" s="3">
        <v>0</v>
      </c>
      <c r="V826" s="3">
        <v>0</v>
      </c>
      <c r="W826" s="3" t="s">
        <v>871</v>
      </c>
      <c r="X826" s="3">
        <v>22.98</v>
      </c>
      <c r="Y826" s="3">
        <v>22.98</v>
      </c>
      <c r="Z826" s="3">
        <v>22.98</v>
      </c>
      <c r="AA826" s="3">
        <v>0</v>
      </c>
      <c r="AB826" s="3" t="s">
        <v>883</v>
      </c>
      <c r="AC826" s="3">
        <v>0</v>
      </c>
      <c r="AD826" s="3">
        <v>18.38</v>
      </c>
      <c r="AE826" s="3">
        <v>63</v>
      </c>
      <c r="AF826" s="3">
        <v>0</v>
      </c>
      <c r="AG826" s="3">
        <v>90.374573</v>
      </c>
      <c r="AH826" s="3">
        <v>0</v>
      </c>
      <c r="AI826" s="3">
        <v>0.66789</v>
      </c>
      <c r="AJ826" s="3" t="s">
        <v>870</v>
      </c>
    </row>
    <row r="827" spans="1:36">
      <c r="A827" s="5">
        <v>43336</v>
      </c>
      <c r="B827" s="3" t="s">
        <v>2840</v>
      </c>
      <c r="C827" s="3" t="s">
        <v>1216</v>
      </c>
      <c r="D827" s="3" t="s">
        <v>1216</v>
      </c>
      <c r="E827" s="3" t="s">
        <v>1217</v>
      </c>
      <c r="F827" s="3" t="s">
        <v>867</v>
      </c>
      <c r="G827" s="3">
        <v>5</v>
      </c>
      <c r="H827" s="3">
        <v>0</v>
      </c>
      <c r="I827" s="3">
        <v>1</v>
      </c>
      <c r="J827" s="3">
        <v>4</v>
      </c>
      <c r="K827" s="3">
        <v>0</v>
      </c>
      <c r="L827" s="3">
        <v>0</v>
      </c>
      <c r="M827" s="3">
        <v>0</v>
      </c>
      <c r="N827" s="3" t="s">
        <v>868</v>
      </c>
      <c r="O827" s="3">
        <v>0</v>
      </c>
      <c r="P827" s="3">
        <v>0</v>
      </c>
      <c r="Q827" s="3">
        <v>0</v>
      </c>
      <c r="R827" s="3">
        <v>0</v>
      </c>
      <c r="S827" s="3">
        <v>0</v>
      </c>
      <c r="T827" s="3">
        <v>4</v>
      </c>
      <c r="U827" s="3">
        <v>6</v>
      </c>
      <c r="V827" s="3">
        <v>6</v>
      </c>
      <c r="W827" s="3"/>
      <c r="X827" s="3">
        <v>45.98</v>
      </c>
      <c r="Y827" s="3">
        <v>27.98</v>
      </c>
      <c r="Z827" s="3">
        <v>27.98</v>
      </c>
      <c r="AA827" s="3">
        <v>0</v>
      </c>
      <c r="AB827" s="3" t="s">
        <v>869</v>
      </c>
      <c r="AC827" s="3">
        <v>5</v>
      </c>
      <c r="AD827" s="3">
        <v>27.98</v>
      </c>
      <c r="AE827" s="3">
        <v>0</v>
      </c>
      <c r="AF827" s="3">
        <v>0</v>
      </c>
      <c r="AG827" s="3">
        <v>0</v>
      </c>
      <c r="AH827" s="3">
        <v>0.651162790697674</v>
      </c>
      <c r="AI827" s="3">
        <v>0.84535</v>
      </c>
      <c r="AJ827" s="3" t="s">
        <v>870</v>
      </c>
    </row>
    <row r="828" spans="1:36">
      <c r="A828" s="5">
        <v>43336</v>
      </c>
      <c r="B828" s="3" t="s">
        <v>2841</v>
      </c>
      <c r="C828" s="3" t="s">
        <v>2842</v>
      </c>
      <c r="D828" s="3" t="s">
        <v>2842</v>
      </c>
      <c r="E828" s="3" t="s">
        <v>2843</v>
      </c>
      <c r="F828" s="3" t="s">
        <v>867</v>
      </c>
      <c r="G828" s="3">
        <v>1</v>
      </c>
      <c r="H828" s="3">
        <v>0</v>
      </c>
      <c r="I828" s="3">
        <v>0</v>
      </c>
      <c r="J828" s="3">
        <v>0</v>
      </c>
      <c r="K828" s="3">
        <v>1</v>
      </c>
      <c r="L828" s="3">
        <v>0</v>
      </c>
      <c r="M828" s="3">
        <v>0</v>
      </c>
      <c r="N828" s="3" t="s">
        <v>868</v>
      </c>
      <c r="O828" s="3">
        <v>1</v>
      </c>
      <c r="P828" s="3">
        <v>0.41</v>
      </c>
      <c r="Q828" s="3">
        <v>0</v>
      </c>
      <c r="R828" s="3">
        <v>0</v>
      </c>
      <c r="S828" s="3">
        <v>0</v>
      </c>
      <c r="T828" s="3">
        <v>0</v>
      </c>
      <c r="U828" s="3">
        <v>0</v>
      </c>
      <c r="V828" s="3">
        <v>1</v>
      </c>
      <c r="W828" s="3" t="s">
        <v>871</v>
      </c>
      <c r="X828" s="3">
        <v>22.98</v>
      </c>
      <c r="Y828" s="3">
        <v>22.98</v>
      </c>
      <c r="Z828" s="3">
        <v>22.98</v>
      </c>
      <c r="AA828" s="3">
        <v>0</v>
      </c>
      <c r="AB828" s="3" t="s">
        <v>869</v>
      </c>
      <c r="AC828" s="3">
        <v>1</v>
      </c>
      <c r="AD828" s="3">
        <v>22.98</v>
      </c>
      <c r="AE828" s="3">
        <v>0</v>
      </c>
      <c r="AF828" s="3">
        <v>0</v>
      </c>
      <c r="AG828" s="3">
        <v>0</v>
      </c>
      <c r="AH828" s="3">
        <v>0.114285714285714</v>
      </c>
      <c r="AI828" s="3">
        <v>0.117545</v>
      </c>
      <c r="AJ828" s="3" t="s">
        <v>870</v>
      </c>
    </row>
    <row r="829" spans="1:36">
      <c r="A829" s="5">
        <v>43336</v>
      </c>
      <c r="B829" s="3" t="s">
        <v>2844</v>
      </c>
      <c r="C829" s="3" t="s">
        <v>2845</v>
      </c>
      <c r="D829" s="3" t="s">
        <v>2845</v>
      </c>
      <c r="E829" s="3" t="s">
        <v>2846</v>
      </c>
      <c r="F829" s="3" t="s">
        <v>867</v>
      </c>
      <c r="G829" s="3">
        <v>2</v>
      </c>
      <c r="H829" s="3">
        <v>0</v>
      </c>
      <c r="I829" s="3">
        <v>1</v>
      </c>
      <c r="J829" s="3">
        <v>0</v>
      </c>
      <c r="K829" s="3">
        <v>0</v>
      </c>
      <c r="L829" s="3">
        <v>1</v>
      </c>
      <c r="M829" s="3">
        <v>0</v>
      </c>
      <c r="N829" s="3" t="s">
        <v>868</v>
      </c>
      <c r="O829" s="3">
        <v>1</v>
      </c>
      <c r="P829" s="3">
        <v>0.53</v>
      </c>
      <c r="Q829" s="3">
        <v>0</v>
      </c>
      <c r="R829" s="3">
        <v>0</v>
      </c>
      <c r="S829" s="3">
        <v>0</v>
      </c>
      <c r="T829" s="3">
        <v>3</v>
      </c>
      <c r="U829" s="3">
        <v>3</v>
      </c>
      <c r="V829" s="3">
        <v>3</v>
      </c>
      <c r="W829" s="3" t="s">
        <v>936</v>
      </c>
      <c r="X829" s="3">
        <v>18.98</v>
      </c>
      <c r="Y829" s="3">
        <v>18.98</v>
      </c>
      <c r="Z829" s="3">
        <v>18.98</v>
      </c>
      <c r="AA829" s="3">
        <v>0</v>
      </c>
      <c r="AB829" s="3" t="s">
        <v>937</v>
      </c>
      <c r="AC829" s="3">
        <v>2</v>
      </c>
      <c r="AD829" s="3">
        <v>18.98</v>
      </c>
      <c r="AE829" s="3">
        <v>0</v>
      </c>
      <c r="AF829" s="3">
        <v>0</v>
      </c>
      <c r="AG829" s="3">
        <v>0</v>
      </c>
      <c r="AH829" s="3">
        <v>0.857142857142857</v>
      </c>
      <c r="AI829" s="3">
        <v>0.308916</v>
      </c>
      <c r="AJ829" s="3" t="s">
        <v>870</v>
      </c>
    </row>
    <row r="830" spans="1:36">
      <c r="A830" s="5">
        <v>43336</v>
      </c>
      <c r="B830" s="3" t="s">
        <v>2847</v>
      </c>
      <c r="C830" s="3" t="s">
        <v>2848</v>
      </c>
      <c r="D830" s="3" t="s">
        <v>2848</v>
      </c>
      <c r="E830" s="3" t="s">
        <v>2849</v>
      </c>
      <c r="F830" s="3" t="s">
        <v>867</v>
      </c>
      <c r="G830" s="3">
        <v>5</v>
      </c>
      <c r="H830" s="3">
        <v>0</v>
      </c>
      <c r="I830" s="3">
        <v>0</v>
      </c>
      <c r="J830" s="3">
        <v>0</v>
      </c>
      <c r="K830" s="3">
        <v>5</v>
      </c>
      <c r="L830" s="3">
        <v>0</v>
      </c>
      <c r="M830" s="3">
        <v>0</v>
      </c>
      <c r="N830" s="3" t="s">
        <v>868</v>
      </c>
      <c r="O830" s="3">
        <v>5</v>
      </c>
      <c r="P830" s="3">
        <v>1.99</v>
      </c>
      <c r="Q830" s="3">
        <v>0</v>
      </c>
      <c r="R830" s="3">
        <v>0</v>
      </c>
      <c r="S830" s="3">
        <v>0</v>
      </c>
      <c r="T830" s="3">
        <v>1</v>
      </c>
      <c r="U830" s="3">
        <v>3</v>
      </c>
      <c r="V830" s="3">
        <v>5</v>
      </c>
      <c r="W830" s="3"/>
      <c r="X830" s="3">
        <v>27.98</v>
      </c>
      <c r="Y830" s="3">
        <v>27.98</v>
      </c>
      <c r="Z830" s="3">
        <v>27.98</v>
      </c>
      <c r="AA830" s="3">
        <v>0</v>
      </c>
      <c r="AB830" s="3" t="s">
        <v>869</v>
      </c>
      <c r="AC830" s="3">
        <v>5</v>
      </c>
      <c r="AD830" s="3">
        <v>27.98</v>
      </c>
      <c r="AE830" s="3">
        <v>0</v>
      </c>
      <c r="AF830" s="3">
        <v>0</v>
      </c>
      <c r="AG830" s="3">
        <v>0</v>
      </c>
      <c r="AH830" s="3">
        <v>0.689655172413793</v>
      </c>
      <c r="AI830" s="3">
        <v>0.576405</v>
      </c>
      <c r="AJ830" s="3" t="s">
        <v>870</v>
      </c>
    </row>
    <row r="831" spans="1:36">
      <c r="A831" s="5">
        <v>43336</v>
      </c>
      <c r="B831" s="3" t="s">
        <v>2850</v>
      </c>
      <c r="C831" s="3" t="s">
        <v>998</v>
      </c>
      <c r="D831" s="3" t="s">
        <v>998</v>
      </c>
      <c r="E831" s="3" t="s">
        <v>999</v>
      </c>
      <c r="F831" s="3" t="s">
        <v>867</v>
      </c>
      <c r="G831" s="3">
        <v>3</v>
      </c>
      <c r="H831" s="3">
        <v>0</v>
      </c>
      <c r="I831" s="3">
        <v>0</v>
      </c>
      <c r="J831" s="3">
        <v>3</v>
      </c>
      <c r="K831" s="3">
        <v>0</v>
      </c>
      <c r="L831" s="3">
        <v>0</v>
      </c>
      <c r="M831" s="3">
        <v>0</v>
      </c>
      <c r="N831" s="3" t="s">
        <v>868</v>
      </c>
      <c r="O831" s="3">
        <v>0</v>
      </c>
      <c r="P831" s="3">
        <v>0</v>
      </c>
      <c r="Q831" s="3">
        <v>0</v>
      </c>
      <c r="R831" s="3">
        <v>0</v>
      </c>
      <c r="S831" s="3">
        <v>0</v>
      </c>
      <c r="T831" s="3">
        <v>2</v>
      </c>
      <c r="U831" s="3">
        <v>4</v>
      </c>
      <c r="V831" s="3">
        <v>7</v>
      </c>
      <c r="W831" s="3"/>
      <c r="X831" s="3">
        <v>22.98</v>
      </c>
      <c r="Y831" s="3">
        <v>22.98</v>
      </c>
      <c r="Z831" s="3">
        <v>22.98</v>
      </c>
      <c r="AA831" s="3">
        <v>0</v>
      </c>
      <c r="AB831" s="3" t="s">
        <v>883</v>
      </c>
      <c r="AC831" s="3">
        <v>0</v>
      </c>
      <c r="AD831" s="3">
        <v>12.27</v>
      </c>
      <c r="AE831" s="3">
        <v>21</v>
      </c>
      <c r="AF831" s="3">
        <v>0</v>
      </c>
      <c r="AG831" s="3">
        <v>8.766388</v>
      </c>
      <c r="AH831" s="3">
        <v>0.969696969696969</v>
      </c>
      <c r="AI831" s="3">
        <v>0.210138</v>
      </c>
      <c r="AJ831" s="3" t="s">
        <v>870</v>
      </c>
    </row>
    <row r="832" spans="1:36">
      <c r="A832" s="5">
        <v>43336</v>
      </c>
      <c r="B832" s="3" t="s">
        <v>2851</v>
      </c>
      <c r="C832" s="3" t="s">
        <v>2852</v>
      </c>
      <c r="D832" s="3" t="s">
        <v>2852</v>
      </c>
      <c r="E832" s="3" t="s">
        <v>2853</v>
      </c>
      <c r="F832" s="3" t="s">
        <v>867</v>
      </c>
      <c r="G832" s="3">
        <v>18</v>
      </c>
      <c r="H832" s="3">
        <v>0</v>
      </c>
      <c r="I832" s="3">
        <v>4</v>
      </c>
      <c r="J832" s="3">
        <v>1</v>
      </c>
      <c r="K832" s="3">
        <v>4</v>
      </c>
      <c r="L832" s="3">
        <v>9</v>
      </c>
      <c r="M832" s="3">
        <v>0</v>
      </c>
      <c r="N832" s="3" t="s">
        <v>868</v>
      </c>
      <c r="O832" s="3">
        <v>14</v>
      </c>
      <c r="P832" s="3">
        <v>5.44</v>
      </c>
      <c r="Q832" s="3">
        <v>0</v>
      </c>
      <c r="R832" s="3">
        <v>0</v>
      </c>
      <c r="S832" s="3">
        <v>0</v>
      </c>
      <c r="T832" s="3">
        <v>3</v>
      </c>
      <c r="U832" s="3">
        <v>8</v>
      </c>
      <c r="V832" s="3">
        <v>15</v>
      </c>
      <c r="W832" s="3"/>
      <c r="X832" s="3">
        <v>23.98</v>
      </c>
      <c r="Y832" s="3">
        <v>23.98</v>
      </c>
      <c r="Z832" s="3">
        <v>23.98</v>
      </c>
      <c r="AA832" s="3">
        <v>0</v>
      </c>
      <c r="AB832" s="3" t="s">
        <v>883</v>
      </c>
      <c r="AC832" s="3">
        <v>1</v>
      </c>
      <c r="AD832" s="3">
        <v>19.07</v>
      </c>
      <c r="AE832" s="3">
        <v>119</v>
      </c>
      <c r="AF832" s="3">
        <v>0</v>
      </c>
      <c r="AG832" s="3">
        <v>214.160733</v>
      </c>
      <c r="AH832" s="3">
        <v>0.697674418604651</v>
      </c>
      <c r="AI832" s="3">
        <v>2.028006</v>
      </c>
      <c r="AJ832" s="3" t="s">
        <v>898</v>
      </c>
    </row>
    <row r="833" spans="1:36">
      <c r="A833" s="5">
        <v>43336</v>
      </c>
      <c r="B833" s="3" t="s">
        <v>706</v>
      </c>
      <c r="C833" s="3" t="s">
        <v>707</v>
      </c>
      <c r="D833" s="3" t="s">
        <v>707</v>
      </c>
      <c r="E833" s="3" t="s">
        <v>708</v>
      </c>
      <c r="F833" s="3" t="s">
        <v>867</v>
      </c>
      <c r="G833" s="3">
        <v>17</v>
      </c>
      <c r="H833" s="3">
        <v>0</v>
      </c>
      <c r="I833" s="3">
        <v>17</v>
      </c>
      <c r="J833" s="3">
        <v>0</v>
      </c>
      <c r="K833" s="3">
        <v>0</v>
      </c>
      <c r="L833" s="3">
        <v>0</v>
      </c>
      <c r="M833" s="3">
        <v>0</v>
      </c>
      <c r="N833" s="3" t="s">
        <v>868</v>
      </c>
      <c r="O833" s="3">
        <v>0</v>
      </c>
      <c r="P833" s="3">
        <v>0</v>
      </c>
      <c r="Q833" s="3">
        <v>0</v>
      </c>
      <c r="R833" s="3">
        <v>0</v>
      </c>
      <c r="S833" s="3">
        <v>2</v>
      </c>
      <c r="T833" s="3">
        <v>5</v>
      </c>
      <c r="U833" s="3">
        <v>8</v>
      </c>
      <c r="V833" s="3">
        <v>14</v>
      </c>
      <c r="W833" s="3"/>
      <c r="X833" s="3">
        <v>23.98</v>
      </c>
      <c r="Y833" s="3">
        <v>23.98</v>
      </c>
      <c r="Z833" s="3">
        <v>23.98</v>
      </c>
      <c r="AA833" s="3">
        <v>0</v>
      </c>
      <c r="AB833" s="3" t="s">
        <v>869</v>
      </c>
      <c r="AC833" s="3">
        <v>18</v>
      </c>
      <c r="AD833" s="3">
        <v>23.98</v>
      </c>
      <c r="AE833" s="3">
        <v>0</v>
      </c>
      <c r="AF833" s="3">
        <v>0</v>
      </c>
      <c r="AG833" s="3">
        <v>0</v>
      </c>
      <c r="AH833" s="3">
        <v>0.736842105263157</v>
      </c>
      <c r="AI833" s="3">
        <v>1.903643</v>
      </c>
      <c r="AJ833" s="3" t="s">
        <v>870</v>
      </c>
    </row>
    <row r="834" spans="1:36">
      <c r="A834" s="5">
        <v>43336</v>
      </c>
      <c r="B834" s="3" t="s">
        <v>2854</v>
      </c>
      <c r="C834" s="3" t="s">
        <v>2855</v>
      </c>
      <c r="D834" s="3" t="s">
        <v>2855</v>
      </c>
      <c r="E834" s="3" t="s">
        <v>2856</v>
      </c>
      <c r="F834" s="3" t="s">
        <v>867</v>
      </c>
      <c r="G834" s="3">
        <v>19</v>
      </c>
      <c r="H834" s="3">
        <v>0</v>
      </c>
      <c r="I834" s="3">
        <v>12</v>
      </c>
      <c r="J834" s="3">
        <v>7</v>
      </c>
      <c r="K834" s="3">
        <v>0</v>
      </c>
      <c r="L834" s="3">
        <v>0</v>
      </c>
      <c r="M834" s="3">
        <v>0</v>
      </c>
      <c r="N834" s="3" t="s">
        <v>868</v>
      </c>
      <c r="O834" s="3">
        <v>0</v>
      </c>
      <c r="P834" s="3">
        <v>0</v>
      </c>
      <c r="Q834" s="3">
        <v>0</v>
      </c>
      <c r="R834" s="3">
        <v>0</v>
      </c>
      <c r="S834" s="3">
        <v>0</v>
      </c>
      <c r="T834" s="3">
        <v>3</v>
      </c>
      <c r="U834" s="3">
        <v>4</v>
      </c>
      <c r="V834" s="3">
        <v>5</v>
      </c>
      <c r="W834" s="3"/>
      <c r="X834" s="3">
        <v>23.98</v>
      </c>
      <c r="Y834" s="3">
        <v>23.98</v>
      </c>
      <c r="Z834" s="3">
        <v>23.98</v>
      </c>
      <c r="AA834" s="3">
        <v>0</v>
      </c>
      <c r="AB834" s="3" t="s">
        <v>869</v>
      </c>
      <c r="AC834" s="3">
        <v>19</v>
      </c>
      <c r="AD834" s="3">
        <v>23.98</v>
      </c>
      <c r="AE834" s="3">
        <v>0</v>
      </c>
      <c r="AF834" s="3">
        <v>0</v>
      </c>
      <c r="AG834" s="3">
        <v>0</v>
      </c>
      <c r="AH834" s="3">
        <v>0.263157894736842</v>
      </c>
      <c r="AI834" s="3">
        <v>3.18329799999999</v>
      </c>
      <c r="AJ834" s="3" t="s">
        <v>870</v>
      </c>
    </row>
    <row r="835" spans="1:36">
      <c r="A835" s="5">
        <v>43336</v>
      </c>
      <c r="B835" s="3" t="s">
        <v>2857</v>
      </c>
      <c r="C835" s="3" t="s">
        <v>2858</v>
      </c>
      <c r="D835" s="3" t="s">
        <v>2858</v>
      </c>
      <c r="E835" s="3" t="s">
        <v>2859</v>
      </c>
      <c r="F835" s="3" t="s">
        <v>867</v>
      </c>
      <c r="G835" s="3">
        <v>5</v>
      </c>
      <c r="H835" s="3">
        <v>0</v>
      </c>
      <c r="I835" s="3">
        <v>0</v>
      </c>
      <c r="J835" s="3">
        <v>1</v>
      </c>
      <c r="K835" s="3">
        <v>4</v>
      </c>
      <c r="L835" s="3">
        <v>0</v>
      </c>
      <c r="M835" s="3">
        <v>0</v>
      </c>
      <c r="N835" s="3" t="s">
        <v>868</v>
      </c>
      <c r="O835" s="3">
        <v>5</v>
      </c>
      <c r="P835" s="3">
        <v>1.53</v>
      </c>
      <c r="Q835" s="3">
        <v>0</v>
      </c>
      <c r="R835" s="3">
        <v>0</v>
      </c>
      <c r="S835" s="3">
        <v>0</v>
      </c>
      <c r="T835" s="3">
        <v>1</v>
      </c>
      <c r="U835" s="3">
        <v>1</v>
      </c>
      <c r="V835" s="3">
        <v>1</v>
      </c>
      <c r="W835" s="3" t="s">
        <v>871</v>
      </c>
      <c r="X835" s="3">
        <v>23.98</v>
      </c>
      <c r="Y835" s="3">
        <v>23.98</v>
      </c>
      <c r="Z835" s="3">
        <v>23.98</v>
      </c>
      <c r="AA835" s="3">
        <v>0</v>
      </c>
      <c r="AB835" s="3" t="s">
        <v>869</v>
      </c>
      <c r="AC835" s="3">
        <v>5</v>
      </c>
      <c r="AD835" s="3">
        <v>23.98</v>
      </c>
      <c r="AE835" s="3">
        <v>0</v>
      </c>
      <c r="AF835" s="3">
        <v>0</v>
      </c>
      <c r="AG835" s="3">
        <v>0</v>
      </c>
      <c r="AH835" s="3">
        <v>0.17391304347826</v>
      </c>
      <c r="AI835" s="3">
        <v>0.44236</v>
      </c>
      <c r="AJ835" s="3" t="s">
        <v>870</v>
      </c>
    </row>
    <row r="836" spans="1:36">
      <c r="A836" s="5">
        <v>43336</v>
      </c>
      <c r="B836" s="3" t="s">
        <v>2860</v>
      </c>
      <c r="C836" s="3" t="s">
        <v>2861</v>
      </c>
      <c r="D836" s="3" t="s">
        <v>2861</v>
      </c>
      <c r="E836" s="3" t="s">
        <v>2160</v>
      </c>
      <c r="F836" s="3" t="s">
        <v>867</v>
      </c>
      <c r="G836" s="3">
        <v>8</v>
      </c>
      <c r="H836" s="3">
        <v>0</v>
      </c>
      <c r="I836" s="3">
        <v>0</v>
      </c>
      <c r="J836" s="3">
        <v>8</v>
      </c>
      <c r="K836" s="3">
        <v>0</v>
      </c>
      <c r="L836" s="3">
        <v>0</v>
      </c>
      <c r="M836" s="3">
        <v>0</v>
      </c>
      <c r="N836" s="3" t="s">
        <v>868</v>
      </c>
      <c r="O836" s="3">
        <v>0</v>
      </c>
      <c r="P836" s="3">
        <v>0</v>
      </c>
      <c r="Q836" s="3">
        <v>0</v>
      </c>
      <c r="R836" s="3">
        <v>0</v>
      </c>
      <c r="S836" s="3">
        <v>0</v>
      </c>
      <c r="T836" s="3">
        <v>0</v>
      </c>
      <c r="U836" s="3">
        <v>0</v>
      </c>
      <c r="V836" s="3">
        <v>0</v>
      </c>
      <c r="W836" s="3" t="s">
        <v>936</v>
      </c>
      <c r="X836" s="3">
        <v>19.98</v>
      </c>
      <c r="Y836" s="3">
        <v>19.98</v>
      </c>
      <c r="Z836" s="3">
        <v>19.98</v>
      </c>
      <c r="AA836" s="3">
        <v>0</v>
      </c>
      <c r="AB836" s="3" t="s">
        <v>937</v>
      </c>
      <c r="AC836" s="3">
        <v>0</v>
      </c>
      <c r="AD836" s="3">
        <v>15.98</v>
      </c>
      <c r="AE836" s="3">
        <v>63</v>
      </c>
      <c r="AF836" s="3">
        <v>0</v>
      </c>
      <c r="AG836" s="3">
        <v>114.3844</v>
      </c>
      <c r="AH836" s="3">
        <v>0</v>
      </c>
      <c r="AI836" s="3">
        <v>0.84</v>
      </c>
      <c r="AJ836" s="3" t="s">
        <v>870</v>
      </c>
    </row>
    <row r="837" spans="1:36">
      <c r="A837" s="5">
        <v>43336</v>
      </c>
      <c r="B837" s="3" t="s">
        <v>444</v>
      </c>
      <c r="C837" s="3" t="s">
        <v>445</v>
      </c>
      <c r="D837" s="3" t="s">
        <v>445</v>
      </c>
      <c r="E837" s="3" t="s">
        <v>446</v>
      </c>
      <c r="F837" s="3" t="s">
        <v>867</v>
      </c>
      <c r="G837" s="3">
        <v>10</v>
      </c>
      <c r="H837" s="3">
        <v>0</v>
      </c>
      <c r="I837" s="3">
        <v>0</v>
      </c>
      <c r="J837" s="3">
        <v>9</v>
      </c>
      <c r="K837" s="3">
        <v>1</v>
      </c>
      <c r="L837" s="3">
        <v>0</v>
      </c>
      <c r="M837" s="3">
        <v>0</v>
      </c>
      <c r="N837" s="3" t="s">
        <v>868</v>
      </c>
      <c r="O837" s="3">
        <v>1</v>
      </c>
      <c r="P837" s="3">
        <v>0.48</v>
      </c>
      <c r="Q837" s="3">
        <v>0</v>
      </c>
      <c r="R837" s="3">
        <v>0</v>
      </c>
      <c r="S837" s="3">
        <v>2</v>
      </c>
      <c r="T837" s="3">
        <v>5</v>
      </c>
      <c r="U837" s="3">
        <v>5</v>
      </c>
      <c r="V837" s="3">
        <v>7</v>
      </c>
      <c r="W837" s="3"/>
      <c r="X837" s="3">
        <v>22.98</v>
      </c>
      <c r="Y837" s="3">
        <v>22.98</v>
      </c>
      <c r="Z837" s="3">
        <v>22.98</v>
      </c>
      <c r="AA837" s="3">
        <v>0</v>
      </c>
      <c r="AB837" s="3" t="s">
        <v>869</v>
      </c>
      <c r="AC837" s="3">
        <v>10</v>
      </c>
      <c r="AD837" s="3">
        <v>22.98</v>
      </c>
      <c r="AE837" s="3">
        <v>0</v>
      </c>
      <c r="AF837" s="3">
        <v>0</v>
      </c>
      <c r="AG837" s="3">
        <v>0</v>
      </c>
      <c r="AH837" s="3">
        <v>0.491228070175438</v>
      </c>
      <c r="AI837" s="3">
        <v>1.38102</v>
      </c>
      <c r="AJ837" s="3" t="s">
        <v>870</v>
      </c>
    </row>
    <row r="838" spans="1:36">
      <c r="A838" s="5">
        <v>43336</v>
      </c>
      <c r="B838" s="3" t="s">
        <v>2862</v>
      </c>
      <c r="C838" s="3" t="s">
        <v>2863</v>
      </c>
      <c r="D838" s="3" t="s">
        <v>2864</v>
      </c>
      <c r="E838" s="3" t="s">
        <v>2865</v>
      </c>
      <c r="F838" s="3" t="s">
        <v>867</v>
      </c>
      <c r="G838" s="3">
        <v>6</v>
      </c>
      <c r="H838" s="3">
        <v>0</v>
      </c>
      <c r="I838" s="3">
        <v>6</v>
      </c>
      <c r="J838" s="3">
        <v>0</v>
      </c>
      <c r="K838" s="3">
        <v>0</v>
      </c>
      <c r="L838" s="3">
        <v>0</v>
      </c>
      <c r="M838" s="3">
        <v>0</v>
      </c>
      <c r="N838" s="3" t="s">
        <v>868</v>
      </c>
      <c r="O838" s="3">
        <v>0</v>
      </c>
      <c r="P838" s="3">
        <v>0</v>
      </c>
      <c r="Q838" s="3">
        <v>0</v>
      </c>
      <c r="R838" s="3">
        <v>0</v>
      </c>
      <c r="S838" s="3">
        <v>0</v>
      </c>
      <c r="T838" s="3">
        <v>0</v>
      </c>
      <c r="U838" s="3">
        <v>0</v>
      </c>
      <c r="V838" s="3">
        <v>0</v>
      </c>
      <c r="W838" s="3" t="s">
        <v>936</v>
      </c>
      <c r="X838" s="3">
        <v>22.98</v>
      </c>
      <c r="Y838" s="3">
        <v>22.98</v>
      </c>
      <c r="Z838" s="3">
        <v>22.98</v>
      </c>
      <c r="AA838" s="3">
        <v>0</v>
      </c>
      <c r="AB838" s="3" t="s">
        <v>937</v>
      </c>
      <c r="AC838" s="3">
        <v>0</v>
      </c>
      <c r="AD838" s="3">
        <v>18.38</v>
      </c>
      <c r="AE838" s="3">
        <v>63</v>
      </c>
      <c r="AF838" s="3">
        <v>0</v>
      </c>
      <c r="AG838" s="3">
        <v>117.153751</v>
      </c>
      <c r="AH838" s="3">
        <v>0</v>
      </c>
      <c r="AI838" s="3">
        <v>0.995814</v>
      </c>
      <c r="AJ838" s="3" t="s">
        <v>925</v>
      </c>
    </row>
    <row r="839" spans="1:36">
      <c r="A839" s="5">
        <v>43336</v>
      </c>
      <c r="B839" s="3" t="s">
        <v>2866</v>
      </c>
      <c r="C839" s="3" t="s">
        <v>2867</v>
      </c>
      <c r="D839" s="3" t="s">
        <v>2868</v>
      </c>
      <c r="E839" s="3" t="s">
        <v>2869</v>
      </c>
      <c r="F839" s="3" t="s">
        <v>867</v>
      </c>
      <c r="G839" s="3">
        <v>15</v>
      </c>
      <c r="H839" s="3">
        <v>0</v>
      </c>
      <c r="I839" s="3">
        <v>15</v>
      </c>
      <c r="J839" s="3">
        <v>0</v>
      </c>
      <c r="K839" s="3">
        <v>0</v>
      </c>
      <c r="L839" s="3">
        <v>0</v>
      </c>
      <c r="M839" s="3">
        <v>0</v>
      </c>
      <c r="N839" s="3" t="s">
        <v>868</v>
      </c>
      <c r="O839" s="3">
        <v>0</v>
      </c>
      <c r="P839" s="3">
        <v>0</v>
      </c>
      <c r="Q839" s="3">
        <v>0</v>
      </c>
      <c r="R839" s="3">
        <v>0</v>
      </c>
      <c r="S839" s="3">
        <v>0</v>
      </c>
      <c r="T839" s="3">
        <v>0</v>
      </c>
      <c r="U839" s="3">
        <v>0</v>
      </c>
      <c r="V839" s="3">
        <v>0</v>
      </c>
      <c r="W839" s="3" t="s">
        <v>871</v>
      </c>
      <c r="X839" s="3">
        <v>22.98</v>
      </c>
      <c r="Y839" s="3">
        <v>22.98</v>
      </c>
      <c r="Z839" s="3">
        <v>22.98</v>
      </c>
      <c r="AA839" s="3">
        <v>0</v>
      </c>
      <c r="AB839" s="3" t="s">
        <v>869</v>
      </c>
      <c r="AC839" s="3">
        <v>5</v>
      </c>
      <c r="AD839" s="3">
        <v>22.98</v>
      </c>
      <c r="AE839" s="3">
        <v>0</v>
      </c>
      <c r="AF839" s="3">
        <v>0</v>
      </c>
      <c r="AG839" s="3">
        <v>0</v>
      </c>
      <c r="AH839" s="3">
        <v>1.93548387096774</v>
      </c>
      <c r="AI839" s="3">
        <v>1.294125</v>
      </c>
      <c r="AJ839" s="3" t="s">
        <v>870</v>
      </c>
    </row>
    <row r="840" spans="1:36">
      <c r="A840" s="5">
        <v>43336</v>
      </c>
      <c r="B840" s="3" t="s">
        <v>2870</v>
      </c>
      <c r="C840" s="3" t="s">
        <v>2871</v>
      </c>
      <c r="D840" s="3" t="s">
        <v>2871</v>
      </c>
      <c r="E840" s="3" t="s">
        <v>2872</v>
      </c>
      <c r="F840" s="3" t="s">
        <v>867</v>
      </c>
      <c r="G840" s="3">
        <v>1</v>
      </c>
      <c r="H840" s="3">
        <v>0</v>
      </c>
      <c r="I840" s="3">
        <v>1</v>
      </c>
      <c r="J840" s="3">
        <v>0</v>
      </c>
      <c r="K840" s="3">
        <v>0</v>
      </c>
      <c r="L840" s="3">
        <v>0</v>
      </c>
      <c r="M840" s="3">
        <v>0</v>
      </c>
      <c r="N840" s="3" t="s">
        <v>868</v>
      </c>
      <c r="O840" s="3">
        <v>0</v>
      </c>
      <c r="P840" s="3">
        <v>0</v>
      </c>
      <c r="Q840" s="3">
        <v>0</v>
      </c>
      <c r="R840" s="3">
        <v>0</v>
      </c>
      <c r="S840" s="3">
        <v>0</v>
      </c>
      <c r="T840" s="3">
        <v>1</v>
      </c>
      <c r="U840" s="3">
        <v>9</v>
      </c>
      <c r="V840" s="3">
        <v>14</v>
      </c>
      <c r="W840" s="3"/>
      <c r="X840" s="3">
        <v>20.98</v>
      </c>
      <c r="Y840" s="3">
        <v>20.98</v>
      </c>
      <c r="Z840" s="3">
        <v>20.98</v>
      </c>
      <c r="AA840" s="3">
        <v>0</v>
      </c>
      <c r="AB840" s="3" t="s">
        <v>869</v>
      </c>
      <c r="AC840" s="3">
        <v>1</v>
      </c>
      <c r="AD840" s="3">
        <v>20.98</v>
      </c>
      <c r="AE840" s="3">
        <v>0</v>
      </c>
      <c r="AF840" s="3">
        <v>0</v>
      </c>
      <c r="AG840" s="3">
        <v>0</v>
      </c>
      <c r="AH840" s="3">
        <v>2.83333333333333</v>
      </c>
      <c r="AI840" s="3">
        <v>0.083563</v>
      </c>
      <c r="AJ840" s="3" t="s">
        <v>870</v>
      </c>
    </row>
    <row r="841" spans="1:36">
      <c r="A841" s="5">
        <v>43336</v>
      </c>
      <c r="B841" s="3" t="s">
        <v>2873</v>
      </c>
      <c r="C841" s="3" t="s">
        <v>2874</v>
      </c>
      <c r="D841" s="3" t="s">
        <v>2875</v>
      </c>
      <c r="E841" s="3" t="s">
        <v>2876</v>
      </c>
      <c r="F841" s="3" t="s">
        <v>867</v>
      </c>
      <c r="G841" s="3">
        <v>6</v>
      </c>
      <c r="H841" s="3">
        <v>0</v>
      </c>
      <c r="I841" s="3">
        <v>6</v>
      </c>
      <c r="J841" s="3">
        <v>0</v>
      </c>
      <c r="K841" s="3">
        <v>0</v>
      </c>
      <c r="L841" s="3">
        <v>0</v>
      </c>
      <c r="M841" s="3">
        <v>0</v>
      </c>
      <c r="N841" s="3" t="s">
        <v>868</v>
      </c>
      <c r="O841" s="3">
        <v>0</v>
      </c>
      <c r="P841" s="3">
        <v>0</v>
      </c>
      <c r="Q841" s="3">
        <v>0</v>
      </c>
      <c r="R841" s="3">
        <v>0</v>
      </c>
      <c r="S841" s="3">
        <v>0</v>
      </c>
      <c r="T841" s="3">
        <v>0</v>
      </c>
      <c r="U841" s="3">
        <v>0</v>
      </c>
      <c r="V841" s="3">
        <v>0</v>
      </c>
      <c r="W841" s="3" t="s">
        <v>936</v>
      </c>
      <c r="X841" s="3">
        <v>22.98</v>
      </c>
      <c r="Y841" s="3">
        <v>22.98</v>
      </c>
      <c r="Z841" s="3">
        <v>22.98</v>
      </c>
      <c r="AA841" s="3">
        <v>0</v>
      </c>
      <c r="AB841" s="3" t="s">
        <v>937</v>
      </c>
      <c r="AC841" s="3">
        <v>0</v>
      </c>
      <c r="AD841" s="3">
        <v>18.38</v>
      </c>
      <c r="AE841" s="3">
        <v>63</v>
      </c>
      <c r="AF841" s="3">
        <v>0</v>
      </c>
      <c r="AG841" s="3">
        <v>117.153751</v>
      </c>
      <c r="AH841" s="3">
        <v>0</v>
      </c>
      <c r="AI841" s="3">
        <v>0.994332</v>
      </c>
      <c r="AJ841" s="3" t="s">
        <v>925</v>
      </c>
    </row>
    <row r="842" spans="1:36">
      <c r="A842" s="5">
        <v>43336</v>
      </c>
      <c r="B842" s="3" t="s">
        <v>2877</v>
      </c>
      <c r="C842" s="3" t="s">
        <v>2878</v>
      </c>
      <c r="D842" s="3" t="s">
        <v>2879</v>
      </c>
      <c r="E842" s="3" t="s">
        <v>2880</v>
      </c>
      <c r="F842" s="3" t="s">
        <v>867</v>
      </c>
      <c r="G842" s="3">
        <v>3</v>
      </c>
      <c r="H842" s="3">
        <v>0</v>
      </c>
      <c r="I842" s="3">
        <v>3</v>
      </c>
      <c r="J842" s="3">
        <v>0</v>
      </c>
      <c r="K842" s="3">
        <v>0</v>
      </c>
      <c r="L842" s="3">
        <v>0</v>
      </c>
      <c r="M842" s="3">
        <v>0</v>
      </c>
      <c r="N842" s="3" t="s">
        <v>868</v>
      </c>
      <c r="O842" s="3">
        <v>0</v>
      </c>
      <c r="P842" s="3">
        <v>0</v>
      </c>
      <c r="Q842" s="3">
        <v>0</v>
      </c>
      <c r="R842" s="3">
        <v>0</v>
      </c>
      <c r="S842" s="3">
        <v>2</v>
      </c>
      <c r="T842" s="3">
        <v>2</v>
      </c>
      <c r="U842" s="3">
        <v>2</v>
      </c>
      <c r="V842" s="3">
        <v>2</v>
      </c>
      <c r="W842" s="3"/>
      <c r="X842" s="3">
        <v>26.98</v>
      </c>
      <c r="Y842" s="3">
        <v>26.98</v>
      </c>
      <c r="Z842" s="3">
        <v>26.98</v>
      </c>
      <c r="AA842" s="3">
        <v>0</v>
      </c>
      <c r="AB842" s="3" t="s">
        <v>869</v>
      </c>
      <c r="AC842" s="3">
        <v>3</v>
      </c>
      <c r="AD842" s="3">
        <v>26.98</v>
      </c>
      <c r="AE842" s="3">
        <v>0</v>
      </c>
      <c r="AF842" s="3">
        <v>0</v>
      </c>
      <c r="AG842" s="3">
        <v>0</v>
      </c>
      <c r="AH842" s="3">
        <v>2.66666666666666</v>
      </c>
      <c r="AI842" s="3">
        <v>0.396978</v>
      </c>
      <c r="AJ842" s="3" t="s">
        <v>870</v>
      </c>
    </row>
    <row r="843" spans="1:36">
      <c r="A843" s="5">
        <v>43336</v>
      </c>
      <c r="B843" s="3" t="s">
        <v>2881</v>
      </c>
      <c r="C843" s="3" t="s">
        <v>2882</v>
      </c>
      <c r="D843" s="3" t="s">
        <v>2882</v>
      </c>
      <c r="E843" s="3" t="s">
        <v>2883</v>
      </c>
      <c r="F843" s="3" t="s">
        <v>867</v>
      </c>
      <c r="G843" s="3">
        <v>5</v>
      </c>
      <c r="H843" s="3">
        <v>0</v>
      </c>
      <c r="I843" s="3">
        <v>5</v>
      </c>
      <c r="J843" s="3">
        <v>0</v>
      </c>
      <c r="K843" s="3">
        <v>0</v>
      </c>
      <c r="L843" s="3">
        <v>0</v>
      </c>
      <c r="M843" s="3">
        <v>0</v>
      </c>
      <c r="N843" s="3" t="s">
        <v>868</v>
      </c>
      <c r="O843" s="3">
        <v>0</v>
      </c>
      <c r="P843" s="3">
        <v>0</v>
      </c>
      <c r="Q843" s="3">
        <v>0</v>
      </c>
      <c r="R843" s="3">
        <v>0</v>
      </c>
      <c r="S843" s="3">
        <v>1</v>
      </c>
      <c r="T843" s="3">
        <v>7</v>
      </c>
      <c r="U843" s="3">
        <v>14</v>
      </c>
      <c r="V843" s="3">
        <v>20</v>
      </c>
      <c r="W843" s="3"/>
      <c r="X843" s="3">
        <v>39.98</v>
      </c>
      <c r="Y843" s="3">
        <v>22.99</v>
      </c>
      <c r="Z843" s="3">
        <v>22.99</v>
      </c>
      <c r="AA843" s="3">
        <v>0</v>
      </c>
      <c r="AB843" s="3" t="s">
        <v>869</v>
      </c>
      <c r="AC843" s="3">
        <v>6</v>
      </c>
      <c r="AD843" s="3">
        <v>22.99</v>
      </c>
      <c r="AE843" s="3">
        <v>0</v>
      </c>
      <c r="AF843" s="3">
        <v>0</v>
      </c>
      <c r="AG843" s="3">
        <v>0</v>
      </c>
      <c r="AH843" s="3">
        <v>0.909090909090909</v>
      </c>
      <c r="AI843" s="3">
        <v>0.49387</v>
      </c>
      <c r="AJ843" s="3" t="s">
        <v>870</v>
      </c>
    </row>
    <row r="844" spans="1:36">
      <c r="A844" s="5">
        <v>43336</v>
      </c>
      <c r="B844" s="3" t="s">
        <v>2884</v>
      </c>
      <c r="C844" s="3" t="s">
        <v>2885</v>
      </c>
      <c r="D844" s="3" t="s">
        <v>2885</v>
      </c>
      <c r="E844" s="3" t="s">
        <v>2209</v>
      </c>
      <c r="F844" s="3" t="s">
        <v>867</v>
      </c>
      <c r="G844" s="3">
        <v>14</v>
      </c>
      <c r="H844" s="3">
        <v>0</v>
      </c>
      <c r="I844" s="3">
        <v>0</v>
      </c>
      <c r="J844" s="3">
        <v>14</v>
      </c>
      <c r="K844" s="3">
        <v>0</v>
      </c>
      <c r="L844" s="3">
        <v>0</v>
      </c>
      <c r="M844" s="3">
        <v>0</v>
      </c>
      <c r="N844" s="3" t="s">
        <v>868</v>
      </c>
      <c r="O844" s="3">
        <v>14</v>
      </c>
      <c r="P844" s="3">
        <v>2.95</v>
      </c>
      <c r="Q844" s="3">
        <v>0</v>
      </c>
      <c r="R844" s="3">
        <v>0</v>
      </c>
      <c r="S844" s="3">
        <v>0</v>
      </c>
      <c r="T844" s="3">
        <v>2</v>
      </c>
      <c r="U844" s="3">
        <v>3</v>
      </c>
      <c r="V844" s="3">
        <v>3</v>
      </c>
      <c r="W844" s="3"/>
      <c r="X844" s="3">
        <v>24.98</v>
      </c>
      <c r="Y844" s="3">
        <v>24.98</v>
      </c>
      <c r="Z844" s="3">
        <v>24.98</v>
      </c>
      <c r="AA844" s="3">
        <v>0</v>
      </c>
      <c r="AB844" s="3" t="s">
        <v>883</v>
      </c>
      <c r="AC844" s="3">
        <v>0</v>
      </c>
      <c r="AD844" s="3">
        <v>12.69</v>
      </c>
      <c r="AE844" s="3">
        <v>98</v>
      </c>
      <c r="AF844" s="3">
        <v>0</v>
      </c>
      <c r="AG844" s="3">
        <v>107.06329</v>
      </c>
      <c r="AH844" s="3">
        <v>0.1875</v>
      </c>
      <c r="AI844" s="3">
        <v>0.854167999999999</v>
      </c>
      <c r="AJ844" s="3" t="s">
        <v>870</v>
      </c>
    </row>
    <row r="845" spans="1:36">
      <c r="A845" s="5">
        <v>43336</v>
      </c>
      <c r="B845" s="3" t="s">
        <v>2886</v>
      </c>
      <c r="C845" s="3" t="s">
        <v>2887</v>
      </c>
      <c r="D845" s="3" t="s">
        <v>2091</v>
      </c>
      <c r="E845" s="3" t="s">
        <v>2092</v>
      </c>
      <c r="F845" s="3" t="s">
        <v>867</v>
      </c>
      <c r="G845" s="3">
        <v>28</v>
      </c>
      <c r="H845" s="3">
        <v>0</v>
      </c>
      <c r="I845" s="3">
        <v>28</v>
      </c>
      <c r="J845" s="3">
        <v>0</v>
      </c>
      <c r="K845" s="3">
        <v>0</v>
      </c>
      <c r="L845" s="3">
        <v>0</v>
      </c>
      <c r="M845" s="3">
        <v>0</v>
      </c>
      <c r="N845" s="3" t="s">
        <v>868</v>
      </c>
      <c r="O845" s="3">
        <v>0</v>
      </c>
      <c r="P845" s="3">
        <v>0</v>
      </c>
      <c r="Q845" s="3">
        <v>0</v>
      </c>
      <c r="R845" s="3">
        <v>0</v>
      </c>
      <c r="S845" s="3">
        <v>1</v>
      </c>
      <c r="T845" s="3">
        <v>3</v>
      </c>
      <c r="U845" s="3">
        <v>6</v>
      </c>
      <c r="V845" s="3">
        <v>6</v>
      </c>
      <c r="W845" s="3"/>
      <c r="X845" s="3">
        <v>22.98</v>
      </c>
      <c r="Y845" s="3">
        <v>22.98</v>
      </c>
      <c r="Z845" s="3">
        <v>22.98</v>
      </c>
      <c r="AA845" s="3">
        <v>0</v>
      </c>
      <c r="AB845" s="3" t="s">
        <v>883</v>
      </c>
      <c r="AC845" s="3">
        <v>1</v>
      </c>
      <c r="AD845" s="3">
        <v>16.12</v>
      </c>
      <c r="AE845" s="3">
        <v>364</v>
      </c>
      <c r="AF845" s="3">
        <v>0</v>
      </c>
      <c r="AG845" s="3">
        <v>327.431818</v>
      </c>
      <c r="AH845" s="3">
        <v>0.298507462686567</v>
      </c>
      <c r="AI845" s="3">
        <v>2.533664</v>
      </c>
      <c r="AJ845" s="3" t="s">
        <v>870</v>
      </c>
    </row>
    <row r="846" spans="1:36">
      <c r="A846" s="5">
        <v>43336</v>
      </c>
      <c r="B846" s="3" t="s">
        <v>2888</v>
      </c>
      <c r="C846" s="3" t="s">
        <v>1248</v>
      </c>
      <c r="D846" s="3" t="s">
        <v>1248</v>
      </c>
      <c r="E846" s="3" t="s">
        <v>1249</v>
      </c>
      <c r="F846" s="3" t="s">
        <v>867</v>
      </c>
      <c r="G846" s="3">
        <v>3</v>
      </c>
      <c r="H846" s="3">
        <v>0</v>
      </c>
      <c r="I846" s="3">
        <v>0</v>
      </c>
      <c r="J846" s="3">
        <v>3</v>
      </c>
      <c r="K846" s="3">
        <v>0</v>
      </c>
      <c r="L846" s="3">
        <v>0</v>
      </c>
      <c r="M846" s="3">
        <v>0</v>
      </c>
      <c r="N846" s="3" t="s">
        <v>868</v>
      </c>
      <c r="O846" s="3">
        <v>0</v>
      </c>
      <c r="P846" s="3">
        <v>0</v>
      </c>
      <c r="Q846" s="3">
        <v>0</v>
      </c>
      <c r="R846" s="3">
        <v>0</v>
      </c>
      <c r="S846" s="3">
        <v>0</v>
      </c>
      <c r="T846" s="3">
        <v>1</v>
      </c>
      <c r="U846" s="3">
        <v>1</v>
      </c>
      <c r="V846" s="3">
        <v>1</v>
      </c>
      <c r="W846" s="3"/>
      <c r="X846" s="3">
        <v>25.98</v>
      </c>
      <c r="Y846" s="3">
        <v>25.98</v>
      </c>
      <c r="Z846" s="3">
        <v>25.98</v>
      </c>
      <c r="AA846" s="3">
        <v>0</v>
      </c>
      <c r="AB846" s="3" t="s">
        <v>869</v>
      </c>
      <c r="AC846" s="3">
        <v>3</v>
      </c>
      <c r="AD846" s="3">
        <v>25.98</v>
      </c>
      <c r="AE846" s="3">
        <v>0</v>
      </c>
      <c r="AF846" s="3">
        <v>0</v>
      </c>
      <c r="AG846" s="3">
        <v>0</v>
      </c>
      <c r="AH846" s="3">
        <v>1.04347826086956</v>
      </c>
      <c r="AI846" s="3">
        <v>0.345843</v>
      </c>
      <c r="AJ846" s="3" t="s">
        <v>870</v>
      </c>
    </row>
    <row r="847" spans="1:36">
      <c r="A847" s="5">
        <v>43336</v>
      </c>
      <c r="B847" s="3" t="s">
        <v>2889</v>
      </c>
      <c r="C847" s="3" t="s">
        <v>2890</v>
      </c>
      <c r="D847" s="3" t="s">
        <v>2891</v>
      </c>
      <c r="E847" s="3" t="s">
        <v>2892</v>
      </c>
      <c r="F847" s="3" t="s">
        <v>867</v>
      </c>
      <c r="G847" s="3">
        <v>4</v>
      </c>
      <c r="H847" s="3">
        <v>0</v>
      </c>
      <c r="I847" s="3">
        <v>4</v>
      </c>
      <c r="J847" s="3">
        <v>0</v>
      </c>
      <c r="K847" s="3">
        <v>0</v>
      </c>
      <c r="L847" s="3">
        <v>0</v>
      </c>
      <c r="M847" s="3">
        <v>0</v>
      </c>
      <c r="N847" s="3" t="s">
        <v>868</v>
      </c>
      <c r="O847" s="3">
        <v>0</v>
      </c>
      <c r="P847" s="3">
        <v>0</v>
      </c>
      <c r="Q847" s="3">
        <v>0</v>
      </c>
      <c r="R847" s="3">
        <v>0</v>
      </c>
      <c r="S847" s="3">
        <v>0</v>
      </c>
      <c r="T847" s="3">
        <v>2</v>
      </c>
      <c r="U847" s="3">
        <v>2</v>
      </c>
      <c r="V847" s="3">
        <v>2</v>
      </c>
      <c r="W847" s="3" t="s">
        <v>936</v>
      </c>
      <c r="X847" s="3">
        <v>21.98</v>
      </c>
      <c r="Y847" s="3">
        <v>21.98</v>
      </c>
      <c r="Z847" s="3">
        <v>21.98</v>
      </c>
      <c r="AA847" s="3">
        <v>0</v>
      </c>
      <c r="AB847" s="3" t="s">
        <v>985</v>
      </c>
      <c r="AC847" s="3">
        <v>3</v>
      </c>
      <c r="AD847" s="3">
        <v>21.98</v>
      </c>
      <c r="AE847" s="3">
        <v>0</v>
      </c>
      <c r="AF847" s="3">
        <v>0</v>
      </c>
      <c r="AG847" s="3">
        <v>0</v>
      </c>
      <c r="AH847" s="3">
        <v>1</v>
      </c>
      <c r="AI847" s="3">
        <v>0.424844</v>
      </c>
      <c r="AJ847" s="3" t="s">
        <v>925</v>
      </c>
    </row>
    <row r="848" spans="1:36">
      <c r="A848" s="5">
        <v>43336</v>
      </c>
      <c r="B848" s="3" t="s">
        <v>2893</v>
      </c>
      <c r="C848" s="3" t="s">
        <v>2894</v>
      </c>
      <c r="D848" s="3" t="s">
        <v>1458</v>
      </c>
      <c r="E848" s="3" t="s">
        <v>1459</v>
      </c>
      <c r="F848" s="3" t="s">
        <v>867</v>
      </c>
      <c r="G848" s="3">
        <v>3</v>
      </c>
      <c r="H848" s="3">
        <v>0</v>
      </c>
      <c r="I848" s="3">
        <v>3</v>
      </c>
      <c r="J848" s="3">
        <v>0</v>
      </c>
      <c r="K848" s="3">
        <v>0</v>
      </c>
      <c r="L848" s="3">
        <v>0</v>
      </c>
      <c r="M848" s="3">
        <v>0</v>
      </c>
      <c r="N848" s="3" t="s">
        <v>868</v>
      </c>
      <c r="O848" s="3">
        <v>0</v>
      </c>
      <c r="P848" s="3">
        <v>0</v>
      </c>
      <c r="Q848" s="3">
        <v>0</v>
      </c>
      <c r="R848" s="3">
        <v>0</v>
      </c>
      <c r="S848" s="3">
        <v>1</v>
      </c>
      <c r="T848" s="3">
        <v>3</v>
      </c>
      <c r="U848" s="3">
        <v>6</v>
      </c>
      <c r="V848" s="3">
        <v>6</v>
      </c>
      <c r="W848" s="3"/>
      <c r="X848" s="3">
        <v>22.98</v>
      </c>
      <c r="Y848" s="3">
        <v>22.98</v>
      </c>
      <c r="Z848" s="3">
        <v>22.98</v>
      </c>
      <c r="AA848" s="3">
        <v>0</v>
      </c>
      <c r="AB848" s="3" t="s">
        <v>869</v>
      </c>
      <c r="AC848" s="3">
        <v>4</v>
      </c>
      <c r="AD848" s="3">
        <v>22.98</v>
      </c>
      <c r="AE848" s="3">
        <v>0</v>
      </c>
      <c r="AF848" s="3">
        <v>0</v>
      </c>
      <c r="AG848" s="3">
        <v>0</v>
      </c>
      <c r="AH848" s="3">
        <v>1.75</v>
      </c>
      <c r="AI848" s="3">
        <v>0.271464</v>
      </c>
      <c r="AJ848" s="3" t="s">
        <v>870</v>
      </c>
    </row>
    <row r="849" spans="1:36">
      <c r="A849" s="5">
        <v>43336</v>
      </c>
      <c r="B849" s="3" t="s">
        <v>2895</v>
      </c>
      <c r="C849" s="3" t="s">
        <v>2896</v>
      </c>
      <c r="D849" s="3" t="s">
        <v>2896</v>
      </c>
      <c r="E849" s="3" t="s">
        <v>2897</v>
      </c>
      <c r="F849" s="3" t="s">
        <v>867</v>
      </c>
      <c r="G849" s="3">
        <v>7</v>
      </c>
      <c r="H849" s="3">
        <v>0</v>
      </c>
      <c r="I849" s="3">
        <v>0</v>
      </c>
      <c r="J849" s="3">
        <v>3</v>
      </c>
      <c r="K849" s="3">
        <v>4</v>
      </c>
      <c r="L849" s="3">
        <v>0</v>
      </c>
      <c r="M849" s="3">
        <v>0</v>
      </c>
      <c r="N849" s="3" t="s">
        <v>868</v>
      </c>
      <c r="O849" s="3">
        <v>4</v>
      </c>
      <c r="P849" s="3">
        <v>2.01</v>
      </c>
      <c r="Q849" s="3">
        <v>0</v>
      </c>
      <c r="R849" s="3">
        <v>0</v>
      </c>
      <c r="S849" s="3">
        <v>0</v>
      </c>
      <c r="T849" s="3">
        <v>3</v>
      </c>
      <c r="U849" s="3">
        <v>4</v>
      </c>
      <c r="V849" s="3">
        <v>4</v>
      </c>
      <c r="W849" s="3"/>
      <c r="X849" s="3">
        <v>22.99</v>
      </c>
      <c r="Y849" s="3">
        <v>22.98</v>
      </c>
      <c r="Z849" s="3">
        <v>22.98</v>
      </c>
      <c r="AA849" s="3">
        <v>0</v>
      </c>
      <c r="AB849" s="3" t="s">
        <v>869</v>
      </c>
      <c r="AC849" s="3">
        <v>8</v>
      </c>
      <c r="AD849" s="3">
        <v>22.98</v>
      </c>
      <c r="AE849" s="3">
        <v>0</v>
      </c>
      <c r="AF849" s="3">
        <v>0</v>
      </c>
      <c r="AG849" s="3">
        <v>0</v>
      </c>
      <c r="AH849" s="3">
        <v>0.372093023255813</v>
      </c>
      <c r="AI849" s="3">
        <v>1.021307</v>
      </c>
      <c r="AJ849" s="3" t="s">
        <v>870</v>
      </c>
    </row>
    <row r="850" spans="1:36">
      <c r="A850" s="5">
        <v>43336</v>
      </c>
      <c r="B850" s="3" t="s">
        <v>2898</v>
      </c>
      <c r="C850" s="3" t="s">
        <v>2899</v>
      </c>
      <c r="D850" s="3" t="s">
        <v>2900</v>
      </c>
      <c r="E850" s="3" t="s">
        <v>2901</v>
      </c>
      <c r="F850" s="3" t="s">
        <v>867</v>
      </c>
      <c r="G850" s="3">
        <v>3</v>
      </c>
      <c r="H850" s="3">
        <v>0</v>
      </c>
      <c r="I850" s="3">
        <v>3</v>
      </c>
      <c r="J850" s="3">
        <v>0</v>
      </c>
      <c r="K850" s="3">
        <v>0</v>
      </c>
      <c r="L850" s="3">
        <v>0</v>
      </c>
      <c r="M850" s="3">
        <v>0</v>
      </c>
      <c r="N850" s="3" t="s">
        <v>868</v>
      </c>
      <c r="O850" s="3">
        <v>0</v>
      </c>
      <c r="P850" s="3">
        <v>0</v>
      </c>
      <c r="Q850" s="3">
        <v>0</v>
      </c>
      <c r="R850" s="3">
        <v>0</v>
      </c>
      <c r="S850" s="3">
        <v>2</v>
      </c>
      <c r="T850" s="3">
        <v>2</v>
      </c>
      <c r="U850" s="3">
        <v>2</v>
      </c>
      <c r="V850" s="3">
        <v>2</v>
      </c>
      <c r="W850" s="3"/>
      <c r="X850" s="3">
        <v>26.98</v>
      </c>
      <c r="Y850" s="3">
        <v>26.98</v>
      </c>
      <c r="Z850" s="3">
        <v>26.98</v>
      </c>
      <c r="AA850" s="3">
        <v>0</v>
      </c>
      <c r="AB850" s="3" t="s">
        <v>869</v>
      </c>
      <c r="AC850" s="3">
        <v>3</v>
      </c>
      <c r="AD850" s="3">
        <v>26.98</v>
      </c>
      <c r="AE850" s="3">
        <v>0</v>
      </c>
      <c r="AF850" s="3">
        <v>0</v>
      </c>
      <c r="AG850" s="3">
        <v>0</v>
      </c>
      <c r="AH850" s="3">
        <v>2.66666666666666</v>
      </c>
      <c r="AI850" s="3">
        <v>0.396978</v>
      </c>
      <c r="AJ850" s="3" t="s">
        <v>870</v>
      </c>
    </row>
    <row r="851" spans="1:36">
      <c r="A851" s="5">
        <v>43336</v>
      </c>
      <c r="B851" s="3" t="s">
        <v>2902</v>
      </c>
      <c r="C851" s="3" t="s">
        <v>2903</v>
      </c>
      <c r="D851" s="3" t="s">
        <v>2903</v>
      </c>
      <c r="E851" s="3" t="s">
        <v>2904</v>
      </c>
      <c r="F851" s="3" t="s">
        <v>867</v>
      </c>
      <c r="G851" s="3">
        <v>11</v>
      </c>
      <c r="H851" s="3">
        <v>0</v>
      </c>
      <c r="I851" s="3">
        <v>1</v>
      </c>
      <c r="J851" s="3">
        <v>10</v>
      </c>
      <c r="K851" s="3">
        <v>0</v>
      </c>
      <c r="L851" s="3">
        <v>0</v>
      </c>
      <c r="M851" s="3">
        <v>0</v>
      </c>
      <c r="N851" s="3" t="s">
        <v>868</v>
      </c>
      <c r="O851" s="3">
        <v>0</v>
      </c>
      <c r="P851" s="3">
        <v>0</v>
      </c>
      <c r="Q851" s="3">
        <v>0</v>
      </c>
      <c r="R851" s="3">
        <v>0</v>
      </c>
      <c r="S851" s="3">
        <v>1</v>
      </c>
      <c r="T851" s="3">
        <v>5</v>
      </c>
      <c r="U851" s="3">
        <v>5</v>
      </c>
      <c r="V851" s="3">
        <v>9</v>
      </c>
      <c r="W851" s="3" t="s">
        <v>871</v>
      </c>
      <c r="X851" s="3">
        <v>22.98</v>
      </c>
      <c r="Y851" s="3">
        <v>22.98</v>
      </c>
      <c r="Z851" s="3">
        <v>22.98</v>
      </c>
      <c r="AA851" s="3">
        <v>0</v>
      </c>
      <c r="AB851" s="3" t="s">
        <v>869</v>
      </c>
      <c r="AC851" s="3">
        <v>11</v>
      </c>
      <c r="AD851" s="3">
        <v>22.98</v>
      </c>
      <c r="AE851" s="3">
        <v>0</v>
      </c>
      <c r="AF851" s="3">
        <v>0</v>
      </c>
      <c r="AG851" s="3">
        <v>0</v>
      </c>
      <c r="AH851" s="3">
        <v>0.6</v>
      </c>
      <c r="AI851" s="3">
        <v>1.488652</v>
      </c>
      <c r="AJ851" s="3" t="s">
        <v>870</v>
      </c>
    </row>
    <row r="852" spans="1:36">
      <c r="A852" s="5">
        <v>43336</v>
      </c>
      <c r="B852" s="3" t="s">
        <v>35</v>
      </c>
      <c r="C852" s="3" t="s">
        <v>36</v>
      </c>
      <c r="D852" s="3" t="s">
        <v>37</v>
      </c>
      <c r="E852" s="3" t="s">
        <v>38</v>
      </c>
      <c r="F852" s="3" t="s">
        <v>867</v>
      </c>
      <c r="G852" s="3">
        <v>16</v>
      </c>
      <c r="H852" s="3">
        <v>0</v>
      </c>
      <c r="I852" s="3">
        <v>16</v>
      </c>
      <c r="J852" s="3">
        <v>0</v>
      </c>
      <c r="K852" s="3">
        <v>0</v>
      </c>
      <c r="L852" s="3">
        <v>0</v>
      </c>
      <c r="M852" s="3">
        <v>0</v>
      </c>
      <c r="N852" s="3" t="s">
        <v>868</v>
      </c>
      <c r="O852" s="3">
        <v>0</v>
      </c>
      <c r="P852" s="3">
        <v>0</v>
      </c>
      <c r="Q852" s="3">
        <v>0</v>
      </c>
      <c r="R852" s="3">
        <v>0</v>
      </c>
      <c r="S852" s="3">
        <v>7</v>
      </c>
      <c r="T852" s="3">
        <v>24</v>
      </c>
      <c r="U852" s="3">
        <v>40</v>
      </c>
      <c r="V852" s="3">
        <v>40</v>
      </c>
      <c r="W852" s="3"/>
      <c r="X852" s="3">
        <v>23.98</v>
      </c>
      <c r="Y852" s="3">
        <v>23.98</v>
      </c>
      <c r="Z852" s="3">
        <v>23.98</v>
      </c>
      <c r="AA852" s="3">
        <v>0</v>
      </c>
      <c r="AB852" s="3" t="s">
        <v>869</v>
      </c>
      <c r="AC852" s="3">
        <v>15</v>
      </c>
      <c r="AD852" s="3">
        <v>23.98</v>
      </c>
      <c r="AE852" s="3">
        <v>0</v>
      </c>
      <c r="AF852" s="3">
        <v>0</v>
      </c>
      <c r="AG852" s="3">
        <v>0</v>
      </c>
      <c r="AH852" s="3">
        <v>5.44262295081967</v>
      </c>
      <c r="AI852" s="3">
        <v>1.0676</v>
      </c>
      <c r="AJ852" s="3" t="s">
        <v>870</v>
      </c>
    </row>
    <row r="853" spans="1:36">
      <c r="A853" s="5">
        <v>43336</v>
      </c>
      <c r="B853" s="3" t="s">
        <v>2905</v>
      </c>
      <c r="C853" s="3" t="s">
        <v>2906</v>
      </c>
      <c r="D853" s="3" t="s">
        <v>2906</v>
      </c>
      <c r="E853" s="3" t="s">
        <v>2907</v>
      </c>
      <c r="F853" s="3" t="s">
        <v>867</v>
      </c>
      <c r="G853" s="3">
        <v>12</v>
      </c>
      <c r="H853" s="3">
        <v>0</v>
      </c>
      <c r="I853" s="3">
        <v>1</v>
      </c>
      <c r="J853" s="3">
        <v>11</v>
      </c>
      <c r="K853" s="3">
        <v>0</v>
      </c>
      <c r="L853" s="3">
        <v>0</v>
      </c>
      <c r="M853" s="3">
        <v>0</v>
      </c>
      <c r="N853" s="3" t="s">
        <v>868</v>
      </c>
      <c r="O853" s="3">
        <v>0</v>
      </c>
      <c r="P853" s="3">
        <v>0</v>
      </c>
      <c r="Q853" s="3">
        <v>0</v>
      </c>
      <c r="R853" s="3">
        <v>0</v>
      </c>
      <c r="S853" s="3">
        <v>0</v>
      </c>
      <c r="T853" s="3">
        <v>1</v>
      </c>
      <c r="U853" s="3">
        <v>4</v>
      </c>
      <c r="V853" s="3">
        <v>5</v>
      </c>
      <c r="W853" s="3" t="s">
        <v>871</v>
      </c>
      <c r="X853" s="3">
        <v>22.98</v>
      </c>
      <c r="Y853" s="3">
        <v>22.98</v>
      </c>
      <c r="Z853" s="3">
        <v>22.98</v>
      </c>
      <c r="AA853" s="3">
        <v>0</v>
      </c>
      <c r="AB853" s="3" t="s">
        <v>869</v>
      </c>
      <c r="AC853" s="3">
        <v>12</v>
      </c>
      <c r="AD853" s="3">
        <v>22.98</v>
      </c>
      <c r="AE853" s="3">
        <v>0</v>
      </c>
      <c r="AF853" s="3">
        <v>0</v>
      </c>
      <c r="AG853" s="3">
        <v>0</v>
      </c>
      <c r="AH853" s="3">
        <v>0.357142857142857</v>
      </c>
      <c r="AI853" s="3">
        <v>0.714996</v>
      </c>
      <c r="AJ853" s="3" t="s">
        <v>870</v>
      </c>
    </row>
    <row r="854" spans="1:36">
      <c r="A854" s="5">
        <v>43336</v>
      </c>
      <c r="B854" s="3" t="s">
        <v>2908</v>
      </c>
      <c r="C854" s="3" t="s">
        <v>2909</v>
      </c>
      <c r="D854" s="3" t="s">
        <v>2909</v>
      </c>
      <c r="E854" s="3" t="s">
        <v>2910</v>
      </c>
      <c r="F854" s="3" t="s">
        <v>867</v>
      </c>
      <c r="G854" s="3">
        <v>13</v>
      </c>
      <c r="H854" s="3">
        <v>0</v>
      </c>
      <c r="I854" s="3">
        <v>1</v>
      </c>
      <c r="J854" s="3">
        <v>0</v>
      </c>
      <c r="K854" s="3">
        <v>12</v>
      </c>
      <c r="L854" s="3">
        <v>0</v>
      </c>
      <c r="M854" s="3">
        <v>0</v>
      </c>
      <c r="N854" s="3" t="s">
        <v>868</v>
      </c>
      <c r="O854" s="3">
        <v>12</v>
      </c>
      <c r="P854" s="3">
        <v>4.07</v>
      </c>
      <c r="Q854" s="3">
        <v>0</v>
      </c>
      <c r="R854" s="3">
        <v>0</v>
      </c>
      <c r="S854" s="3">
        <v>1</v>
      </c>
      <c r="T854" s="3">
        <v>3</v>
      </c>
      <c r="U854" s="3">
        <v>7</v>
      </c>
      <c r="V854" s="3">
        <v>12</v>
      </c>
      <c r="W854" s="3" t="s">
        <v>871</v>
      </c>
      <c r="X854" s="3">
        <v>22.99</v>
      </c>
      <c r="Y854" s="3">
        <v>22.99</v>
      </c>
      <c r="Z854" s="3">
        <v>22.99</v>
      </c>
      <c r="AA854" s="3">
        <v>0</v>
      </c>
      <c r="AB854" s="3" t="s">
        <v>883</v>
      </c>
      <c r="AC854" s="3">
        <v>14</v>
      </c>
      <c r="AD854" s="3">
        <v>22.98</v>
      </c>
      <c r="AE854" s="3">
        <v>0</v>
      </c>
      <c r="AF854" s="3">
        <v>0</v>
      </c>
      <c r="AG854" s="3">
        <v>0</v>
      </c>
      <c r="AH854" s="3">
        <v>0.676056338028169</v>
      </c>
      <c r="AI854" s="3">
        <v>1.275989</v>
      </c>
      <c r="AJ854" s="3" t="s">
        <v>870</v>
      </c>
    </row>
    <row r="855" spans="1:36">
      <c r="A855" s="5">
        <v>43336</v>
      </c>
      <c r="B855" s="3" t="s">
        <v>2911</v>
      </c>
      <c r="C855" s="3" t="s">
        <v>2912</v>
      </c>
      <c r="D855" s="3" t="s">
        <v>2913</v>
      </c>
      <c r="E855" s="3" t="s">
        <v>2914</v>
      </c>
      <c r="F855" s="3" t="s">
        <v>867</v>
      </c>
      <c r="G855" s="3">
        <v>6</v>
      </c>
      <c r="H855" s="3">
        <v>0</v>
      </c>
      <c r="I855" s="3">
        <v>6</v>
      </c>
      <c r="J855" s="3">
        <v>0</v>
      </c>
      <c r="K855" s="3">
        <v>0</v>
      </c>
      <c r="L855" s="3">
        <v>0</v>
      </c>
      <c r="M855" s="3">
        <v>0</v>
      </c>
      <c r="N855" s="3" t="s">
        <v>868</v>
      </c>
      <c r="O855" s="3">
        <v>0</v>
      </c>
      <c r="P855" s="3">
        <v>0</v>
      </c>
      <c r="Q855" s="3">
        <v>0</v>
      </c>
      <c r="R855" s="3">
        <v>0</v>
      </c>
      <c r="S855" s="3">
        <v>0</v>
      </c>
      <c r="T855" s="3">
        <v>0</v>
      </c>
      <c r="U855" s="3">
        <v>0</v>
      </c>
      <c r="V855" s="3">
        <v>0</v>
      </c>
      <c r="W855" s="3" t="s">
        <v>871</v>
      </c>
      <c r="X855" s="3">
        <v>19.99</v>
      </c>
      <c r="Y855" s="3">
        <v>19.99</v>
      </c>
      <c r="Z855" s="3">
        <v>19.99</v>
      </c>
      <c r="AA855" s="3">
        <v>0</v>
      </c>
      <c r="AB855" s="3" t="s">
        <v>869</v>
      </c>
      <c r="AC855" s="3">
        <v>0</v>
      </c>
      <c r="AD855" s="3">
        <v>19.99</v>
      </c>
      <c r="AE855" s="3">
        <v>63</v>
      </c>
      <c r="AF855" s="3">
        <v>0</v>
      </c>
      <c r="AG855" s="3">
        <v>147.984819</v>
      </c>
      <c r="AH855" s="3">
        <v>0</v>
      </c>
      <c r="AI855" s="3">
        <v>1.289166</v>
      </c>
      <c r="AJ855" s="3" t="s">
        <v>925</v>
      </c>
    </row>
    <row r="856" spans="1:36">
      <c r="A856" s="5">
        <v>43336</v>
      </c>
      <c r="B856" s="3" t="s">
        <v>819</v>
      </c>
      <c r="C856" s="3" t="s">
        <v>820</v>
      </c>
      <c r="D856" s="3" t="s">
        <v>780</v>
      </c>
      <c r="E856" s="3" t="s">
        <v>781</v>
      </c>
      <c r="F856" s="3" t="s">
        <v>867</v>
      </c>
      <c r="G856" s="3">
        <v>2</v>
      </c>
      <c r="H856" s="3">
        <v>0</v>
      </c>
      <c r="I856" s="3">
        <v>2</v>
      </c>
      <c r="J856" s="3">
        <v>0</v>
      </c>
      <c r="K856" s="3">
        <v>0</v>
      </c>
      <c r="L856" s="3">
        <v>0</v>
      </c>
      <c r="M856" s="3">
        <v>0</v>
      </c>
      <c r="N856" s="3" t="s">
        <v>868</v>
      </c>
      <c r="O856" s="3">
        <v>0</v>
      </c>
      <c r="P856" s="3">
        <v>0</v>
      </c>
      <c r="Q856" s="3">
        <v>0</v>
      </c>
      <c r="R856" s="3">
        <v>0</v>
      </c>
      <c r="S856" s="3">
        <v>0</v>
      </c>
      <c r="T856" s="3">
        <v>0</v>
      </c>
      <c r="U856" s="3">
        <v>0</v>
      </c>
      <c r="V856" s="3">
        <v>0</v>
      </c>
      <c r="W856" s="3" t="s">
        <v>871</v>
      </c>
      <c r="X856" s="3">
        <v>22.98</v>
      </c>
      <c r="Y856" s="3">
        <v>22.98</v>
      </c>
      <c r="Z856" s="3">
        <v>22.98</v>
      </c>
      <c r="AA856" s="3">
        <v>0</v>
      </c>
      <c r="AB856" s="3" t="s">
        <v>869</v>
      </c>
      <c r="AC856" s="3">
        <v>0</v>
      </c>
      <c r="AD856" s="3">
        <v>0</v>
      </c>
      <c r="AE856" s="3">
        <v>0</v>
      </c>
      <c r="AF856" s="3">
        <v>0</v>
      </c>
      <c r="AG856" s="3">
        <v>0</v>
      </c>
      <c r="AH856" s="3">
        <v>2.89655172413793</v>
      </c>
      <c r="AI856" s="3">
        <v>0.140092</v>
      </c>
      <c r="AJ856" s="3" t="s">
        <v>870</v>
      </c>
    </row>
    <row r="857" spans="1:36">
      <c r="A857" s="5">
        <v>43336</v>
      </c>
      <c r="B857" s="3" t="s">
        <v>2915</v>
      </c>
      <c r="C857" s="3" t="s">
        <v>2916</v>
      </c>
      <c r="D857" s="3" t="s">
        <v>2916</v>
      </c>
      <c r="E857" s="3" t="s">
        <v>2917</v>
      </c>
      <c r="F857" s="3" t="s">
        <v>867</v>
      </c>
      <c r="G857" s="3">
        <v>3</v>
      </c>
      <c r="H857" s="3">
        <v>0</v>
      </c>
      <c r="I857" s="3">
        <v>1</v>
      </c>
      <c r="J857" s="3">
        <v>0</v>
      </c>
      <c r="K857" s="3">
        <v>2</v>
      </c>
      <c r="L857" s="3">
        <v>0</v>
      </c>
      <c r="M857" s="3">
        <v>0</v>
      </c>
      <c r="N857" s="3" t="s">
        <v>868</v>
      </c>
      <c r="O857" s="3">
        <v>2</v>
      </c>
      <c r="P857" s="3">
        <v>0.95</v>
      </c>
      <c r="Q857" s="3">
        <v>0</v>
      </c>
      <c r="R857" s="3">
        <v>0</v>
      </c>
      <c r="S857" s="3">
        <v>0</v>
      </c>
      <c r="T857" s="3">
        <v>2</v>
      </c>
      <c r="U857" s="3">
        <v>2</v>
      </c>
      <c r="V857" s="3">
        <v>4</v>
      </c>
      <c r="W857" s="3"/>
      <c r="X857" s="3">
        <v>12.98</v>
      </c>
      <c r="Y857" s="3">
        <v>12.98</v>
      </c>
      <c r="Z857" s="3">
        <v>12.98</v>
      </c>
      <c r="AA857" s="3">
        <v>0</v>
      </c>
      <c r="AB857" s="3" t="s">
        <v>869</v>
      </c>
      <c r="AC857" s="3">
        <v>3</v>
      </c>
      <c r="AD857" s="3">
        <v>12.98</v>
      </c>
      <c r="AE857" s="3">
        <v>0</v>
      </c>
      <c r="AF857" s="3">
        <v>0</v>
      </c>
      <c r="AG857" s="3">
        <v>0</v>
      </c>
      <c r="AH857" s="3">
        <v>0.842105263157894</v>
      </c>
      <c r="AI857" s="3">
        <v>0.414306</v>
      </c>
      <c r="AJ857" s="3" t="s">
        <v>870</v>
      </c>
    </row>
    <row r="858" spans="1:36">
      <c r="A858" s="5">
        <v>43336</v>
      </c>
      <c r="B858" s="3" t="s">
        <v>2918</v>
      </c>
      <c r="C858" s="3" t="s">
        <v>2919</v>
      </c>
      <c r="D858" s="3" t="s">
        <v>2919</v>
      </c>
      <c r="E858" s="3" t="s">
        <v>2920</v>
      </c>
      <c r="F858" s="3" t="s">
        <v>867</v>
      </c>
      <c r="G858" s="3">
        <v>5</v>
      </c>
      <c r="H858" s="3">
        <v>0</v>
      </c>
      <c r="I858" s="3">
        <v>0</v>
      </c>
      <c r="J858" s="3">
        <v>2</v>
      </c>
      <c r="K858" s="3">
        <v>1</v>
      </c>
      <c r="L858" s="3">
        <v>2</v>
      </c>
      <c r="M858" s="3">
        <v>0</v>
      </c>
      <c r="N858" s="3" t="s">
        <v>868</v>
      </c>
      <c r="O858" s="3">
        <v>3</v>
      </c>
      <c r="P858" s="3">
        <v>1.86</v>
      </c>
      <c r="Q858" s="3">
        <v>0</v>
      </c>
      <c r="R858" s="3">
        <v>0</v>
      </c>
      <c r="S858" s="3">
        <v>3</v>
      </c>
      <c r="T858" s="3">
        <v>16</v>
      </c>
      <c r="U858" s="3">
        <v>26</v>
      </c>
      <c r="V858" s="3">
        <v>29</v>
      </c>
      <c r="W858" s="3"/>
      <c r="X858" s="3">
        <v>20.98</v>
      </c>
      <c r="Y858" s="3">
        <v>20.98</v>
      </c>
      <c r="Z858" s="3">
        <v>20.98</v>
      </c>
      <c r="AA858" s="3">
        <v>0</v>
      </c>
      <c r="AB858" s="3" t="s">
        <v>869</v>
      </c>
      <c r="AC858" s="3">
        <v>6</v>
      </c>
      <c r="AD858" s="3">
        <v>20.98</v>
      </c>
      <c r="AE858" s="3">
        <v>0</v>
      </c>
      <c r="AF858" s="3">
        <v>0</v>
      </c>
      <c r="AG858" s="3">
        <v>0</v>
      </c>
      <c r="AH858" s="3">
        <v>1.27472527472527</v>
      </c>
      <c r="AI858" s="3">
        <v>0.8971</v>
      </c>
      <c r="AJ858" s="3" t="s">
        <v>870</v>
      </c>
    </row>
    <row r="859" spans="1:36">
      <c r="A859" s="5">
        <v>43336</v>
      </c>
      <c r="B859" s="3" t="s">
        <v>2921</v>
      </c>
      <c r="C859" s="3" t="s">
        <v>2922</v>
      </c>
      <c r="D859" s="3" t="s">
        <v>2922</v>
      </c>
      <c r="E859" s="3" t="s">
        <v>2923</v>
      </c>
      <c r="F859" s="3" t="s">
        <v>867</v>
      </c>
      <c r="G859" s="3">
        <v>2</v>
      </c>
      <c r="H859" s="3">
        <v>0</v>
      </c>
      <c r="I859" s="3">
        <v>1</v>
      </c>
      <c r="J859" s="3">
        <v>1</v>
      </c>
      <c r="K859" s="3">
        <v>0</v>
      </c>
      <c r="L859" s="3">
        <v>0</v>
      </c>
      <c r="M859" s="3">
        <v>0</v>
      </c>
      <c r="N859" s="3" t="s">
        <v>868</v>
      </c>
      <c r="O859" s="3">
        <v>0</v>
      </c>
      <c r="P859" s="3">
        <v>0</v>
      </c>
      <c r="Q859" s="3">
        <v>0</v>
      </c>
      <c r="R859" s="3">
        <v>0</v>
      </c>
      <c r="S859" s="3">
        <v>0</v>
      </c>
      <c r="T859" s="3">
        <v>0</v>
      </c>
      <c r="U859" s="3">
        <v>0</v>
      </c>
      <c r="V859" s="3">
        <v>0</v>
      </c>
      <c r="W859" s="3" t="s">
        <v>871</v>
      </c>
      <c r="X859" s="3">
        <v>24.98</v>
      </c>
      <c r="Y859" s="3">
        <v>24.98</v>
      </c>
      <c r="Z859" s="3">
        <v>24.98</v>
      </c>
      <c r="AA859" s="3">
        <v>0</v>
      </c>
      <c r="AB859" s="3" t="s">
        <v>883</v>
      </c>
      <c r="AC859" s="3">
        <v>0</v>
      </c>
      <c r="AD859" s="3">
        <v>22.77</v>
      </c>
      <c r="AE859" s="3">
        <v>133</v>
      </c>
      <c r="AF859" s="3">
        <v>0</v>
      </c>
      <c r="AG859" s="3">
        <v>54.527827</v>
      </c>
      <c r="AH859" s="3">
        <v>0</v>
      </c>
      <c r="AI859" s="3">
        <v>0.274502</v>
      </c>
      <c r="AJ859" s="3" t="s">
        <v>870</v>
      </c>
    </row>
    <row r="860" spans="1:36">
      <c r="A860" s="5">
        <v>43336</v>
      </c>
      <c r="B860" s="3" t="s">
        <v>2924</v>
      </c>
      <c r="C860" s="3" t="s">
        <v>2925</v>
      </c>
      <c r="D860" s="3" t="s">
        <v>2925</v>
      </c>
      <c r="E860" s="3" t="s">
        <v>2926</v>
      </c>
      <c r="F860" s="3" t="s">
        <v>867</v>
      </c>
      <c r="G860" s="3">
        <v>9</v>
      </c>
      <c r="H860" s="3">
        <v>0</v>
      </c>
      <c r="I860" s="3">
        <v>8</v>
      </c>
      <c r="J860" s="3">
        <v>1</v>
      </c>
      <c r="K860" s="3">
        <v>0</v>
      </c>
      <c r="L860" s="3">
        <v>0</v>
      </c>
      <c r="M860" s="3">
        <v>0</v>
      </c>
      <c r="N860" s="3" t="s">
        <v>868</v>
      </c>
      <c r="O860" s="3">
        <v>0</v>
      </c>
      <c r="P860" s="3">
        <v>0</v>
      </c>
      <c r="Q860" s="3">
        <v>0</v>
      </c>
      <c r="R860" s="3">
        <v>0</v>
      </c>
      <c r="S860" s="3">
        <v>0</v>
      </c>
      <c r="T860" s="3">
        <v>1</v>
      </c>
      <c r="U860" s="3">
        <v>1</v>
      </c>
      <c r="V860" s="3">
        <v>1</v>
      </c>
      <c r="W860" s="3"/>
      <c r="X860" s="3">
        <v>27.98</v>
      </c>
      <c r="Y860" s="3">
        <v>27.98</v>
      </c>
      <c r="Z860" s="3">
        <v>27.98</v>
      </c>
      <c r="AA860" s="3">
        <v>0</v>
      </c>
      <c r="AB860" s="3" t="s">
        <v>869</v>
      </c>
      <c r="AC860" s="3">
        <v>9</v>
      </c>
      <c r="AD860" s="3">
        <v>27.98</v>
      </c>
      <c r="AE860" s="3">
        <v>0</v>
      </c>
      <c r="AF860" s="3">
        <v>0</v>
      </c>
      <c r="AG860" s="3">
        <v>0</v>
      </c>
      <c r="AH860" s="3">
        <v>0.129032258064516</v>
      </c>
      <c r="AI860" s="3">
        <v>1.52163</v>
      </c>
      <c r="AJ860" s="3" t="s">
        <v>870</v>
      </c>
    </row>
    <row r="861" spans="1:36">
      <c r="A861" s="5">
        <v>43336</v>
      </c>
      <c r="B861" s="3" t="s">
        <v>2927</v>
      </c>
      <c r="C861" s="3" t="s">
        <v>2928</v>
      </c>
      <c r="D861" s="3" t="s">
        <v>2928</v>
      </c>
      <c r="E861" s="3" t="s">
        <v>2929</v>
      </c>
      <c r="F861" s="3" t="s">
        <v>867</v>
      </c>
      <c r="G861" s="3">
        <v>26</v>
      </c>
      <c r="H861" s="3">
        <v>0</v>
      </c>
      <c r="I861" s="3">
        <v>1</v>
      </c>
      <c r="J861" s="3">
        <v>25</v>
      </c>
      <c r="K861" s="3">
        <v>0</v>
      </c>
      <c r="L861" s="3">
        <v>0</v>
      </c>
      <c r="M861" s="3">
        <v>0</v>
      </c>
      <c r="N861" s="3" t="s">
        <v>868</v>
      </c>
      <c r="O861" s="3">
        <v>0</v>
      </c>
      <c r="P861" s="3">
        <v>0</v>
      </c>
      <c r="Q861" s="3">
        <v>0</v>
      </c>
      <c r="R861" s="3">
        <v>0</v>
      </c>
      <c r="S861" s="3">
        <v>4</v>
      </c>
      <c r="T861" s="3">
        <v>14</v>
      </c>
      <c r="U861" s="3">
        <v>14</v>
      </c>
      <c r="V861" s="3">
        <v>14</v>
      </c>
      <c r="W861" s="3"/>
      <c r="X861" s="3">
        <v>23.99</v>
      </c>
      <c r="Y861" s="3">
        <v>23.99</v>
      </c>
      <c r="Z861" s="3">
        <v>23.99</v>
      </c>
      <c r="AA861" s="3">
        <v>0</v>
      </c>
      <c r="AB861" s="3" t="s">
        <v>869</v>
      </c>
      <c r="AC861" s="3">
        <v>30</v>
      </c>
      <c r="AD861" s="3">
        <v>23.99</v>
      </c>
      <c r="AE861" s="3">
        <v>0</v>
      </c>
      <c r="AF861" s="3">
        <v>0</v>
      </c>
      <c r="AG861" s="3">
        <v>0</v>
      </c>
      <c r="AH861" s="3">
        <v>0.38095238095238</v>
      </c>
      <c r="AI861" s="3">
        <v>5.44102</v>
      </c>
      <c r="AJ861" s="3" t="s">
        <v>870</v>
      </c>
    </row>
    <row r="862" spans="1:36">
      <c r="A862" s="5">
        <v>43336</v>
      </c>
      <c r="B862" s="3" t="s">
        <v>2930</v>
      </c>
      <c r="C862" s="3" t="s">
        <v>2931</v>
      </c>
      <c r="D862" s="3" t="s">
        <v>2932</v>
      </c>
      <c r="E862" s="3" t="s">
        <v>2933</v>
      </c>
      <c r="F862" s="3" t="s">
        <v>867</v>
      </c>
      <c r="G862" s="3">
        <v>3</v>
      </c>
      <c r="H862" s="3">
        <v>0</v>
      </c>
      <c r="I862" s="3">
        <v>3</v>
      </c>
      <c r="J862" s="3">
        <v>0</v>
      </c>
      <c r="K862" s="3">
        <v>0</v>
      </c>
      <c r="L862" s="3">
        <v>0</v>
      </c>
      <c r="M862" s="3">
        <v>0</v>
      </c>
      <c r="N862" s="3" t="s">
        <v>868</v>
      </c>
      <c r="O862" s="3">
        <v>0</v>
      </c>
      <c r="P862" s="3">
        <v>0</v>
      </c>
      <c r="Q862" s="3">
        <v>0</v>
      </c>
      <c r="R862" s="3">
        <v>0</v>
      </c>
      <c r="S862" s="3">
        <v>0</v>
      </c>
      <c r="T862" s="3">
        <v>0</v>
      </c>
      <c r="U862" s="3">
        <v>0</v>
      </c>
      <c r="V862" s="3">
        <v>0</v>
      </c>
      <c r="W862" s="3" t="s">
        <v>871</v>
      </c>
      <c r="X862" s="3">
        <v>23.98</v>
      </c>
      <c r="Y862" s="3">
        <v>23.98</v>
      </c>
      <c r="Z862" s="3">
        <v>23.98</v>
      </c>
      <c r="AA862" s="3">
        <v>0</v>
      </c>
      <c r="AB862" s="3" t="s">
        <v>869</v>
      </c>
      <c r="AC862" s="3">
        <v>3</v>
      </c>
      <c r="AD862" s="3">
        <v>23.98</v>
      </c>
      <c r="AE862" s="3">
        <v>0</v>
      </c>
      <c r="AF862" s="3">
        <v>0</v>
      </c>
      <c r="AG862" s="3">
        <v>0</v>
      </c>
      <c r="AH862" s="3">
        <v>0.518518518518518</v>
      </c>
      <c r="AI862" s="3">
        <v>0.502626</v>
      </c>
      <c r="AJ862" s="3" t="s">
        <v>870</v>
      </c>
    </row>
    <row r="863" spans="1:36">
      <c r="A863" s="5">
        <v>43336</v>
      </c>
      <c r="B863" s="3" t="s">
        <v>2934</v>
      </c>
      <c r="C863" s="3" t="s">
        <v>2935</v>
      </c>
      <c r="D863" s="3" t="s">
        <v>2936</v>
      </c>
      <c r="E863" s="3" t="s">
        <v>2937</v>
      </c>
      <c r="F863" s="3" t="s">
        <v>867</v>
      </c>
      <c r="G863" s="3">
        <v>1</v>
      </c>
      <c r="H863" s="3">
        <v>0</v>
      </c>
      <c r="I863" s="3">
        <v>1</v>
      </c>
      <c r="J863" s="3">
        <v>0</v>
      </c>
      <c r="K863" s="3">
        <v>0</v>
      </c>
      <c r="L863" s="3">
        <v>0</v>
      </c>
      <c r="M863" s="3">
        <v>0</v>
      </c>
      <c r="N863" s="3" t="s">
        <v>868</v>
      </c>
      <c r="O863" s="3">
        <v>0</v>
      </c>
      <c r="P863" s="3">
        <v>0</v>
      </c>
      <c r="Q863" s="3">
        <v>0</v>
      </c>
      <c r="R863" s="3">
        <v>0</v>
      </c>
      <c r="S863" s="3">
        <v>4</v>
      </c>
      <c r="T863" s="3">
        <v>4</v>
      </c>
      <c r="U863" s="3">
        <v>4</v>
      </c>
      <c r="V863" s="3">
        <v>4</v>
      </c>
      <c r="W863" s="3"/>
      <c r="X863" s="3">
        <v>26.98</v>
      </c>
      <c r="Y863" s="3">
        <v>26.98</v>
      </c>
      <c r="Z863" s="3">
        <v>26.98</v>
      </c>
      <c r="AA863" s="3">
        <v>0</v>
      </c>
      <c r="AB863" s="3" t="s">
        <v>869</v>
      </c>
      <c r="AC863" s="3">
        <v>2</v>
      </c>
      <c r="AD863" s="3">
        <v>26.98</v>
      </c>
      <c r="AE863" s="3">
        <v>0</v>
      </c>
      <c r="AF863" s="3">
        <v>0</v>
      </c>
      <c r="AG863" s="3">
        <v>0</v>
      </c>
      <c r="AH863" s="3">
        <v>16</v>
      </c>
      <c r="AI863" s="3">
        <v>0.132326</v>
      </c>
      <c r="AJ863" s="3" t="s">
        <v>870</v>
      </c>
    </row>
    <row r="864" spans="1:36">
      <c r="A864" s="5">
        <v>43336</v>
      </c>
      <c r="B864" s="3" t="s">
        <v>2938</v>
      </c>
      <c r="C864" s="3" t="s">
        <v>2939</v>
      </c>
      <c r="D864" s="3" t="s">
        <v>2939</v>
      </c>
      <c r="E864" s="3" t="s">
        <v>2940</v>
      </c>
      <c r="F864" s="3" t="s">
        <v>867</v>
      </c>
      <c r="G864" s="3">
        <v>13</v>
      </c>
      <c r="H864" s="3">
        <v>0</v>
      </c>
      <c r="I864" s="3">
        <v>0</v>
      </c>
      <c r="J864" s="3">
        <v>13</v>
      </c>
      <c r="K864" s="3">
        <v>0</v>
      </c>
      <c r="L864" s="3">
        <v>0</v>
      </c>
      <c r="M864" s="3">
        <v>0</v>
      </c>
      <c r="N864" s="3" t="s">
        <v>868</v>
      </c>
      <c r="O864" s="3">
        <v>0</v>
      </c>
      <c r="P864" s="3">
        <v>0</v>
      </c>
      <c r="Q864" s="3">
        <v>0</v>
      </c>
      <c r="R864" s="3">
        <v>0</v>
      </c>
      <c r="S864" s="3">
        <v>1</v>
      </c>
      <c r="T864" s="3">
        <v>2</v>
      </c>
      <c r="U864" s="3">
        <v>2</v>
      </c>
      <c r="V864" s="3">
        <v>5</v>
      </c>
      <c r="W864" s="3"/>
      <c r="X864" s="3">
        <v>23.98</v>
      </c>
      <c r="Y864" s="3">
        <v>23.98</v>
      </c>
      <c r="Z864" s="3">
        <v>23.98</v>
      </c>
      <c r="AA864" s="3">
        <v>0</v>
      </c>
      <c r="AB864" s="3" t="s">
        <v>883</v>
      </c>
      <c r="AC864" s="3">
        <v>2</v>
      </c>
      <c r="AD864" s="3">
        <v>22.27</v>
      </c>
      <c r="AE864" s="3">
        <v>91</v>
      </c>
      <c r="AF864" s="3">
        <v>0</v>
      </c>
      <c r="AG864" s="3">
        <v>415.597191</v>
      </c>
      <c r="AH864" s="3">
        <v>0.327868852459016</v>
      </c>
      <c r="AI864" s="3">
        <v>2.178046</v>
      </c>
      <c r="AJ864" s="3" t="s">
        <v>870</v>
      </c>
    </row>
    <row r="865" spans="1:36">
      <c r="A865" s="5">
        <v>43336</v>
      </c>
      <c r="B865" s="3" t="s">
        <v>2941</v>
      </c>
      <c r="C865" s="3" t="s">
        <v>2848</v>
      </c>
      <c r="D865" s="3" t="s">
        <v>2848</v>
      </c>
      <c r="E865" s="3" t="s">
        <v>2849</v>
      </c>
      <c r="F865" s="3" t="s">
        <v>867</v>
      </c>
      <c r="G865" s="3">
        <v>5</v>
      </c>
      <c r="H865" s="3">
        <v>0</v>
      </c>
      <c r="I865" s="3">
        <v>0</v>
      </c>
      <c r="J865" s="3">
        <v>0</v>
      </c>
      <c r="K865" s="3">
        <v>5</v>
      </c>
      <c r="L865" s="3">
        <v>0</v>
      </c>
      <c r="M865" s="3">
        <v>0</v>
      </c>
      <c r="N865" s="3" t="s">
        <v>868</v>
      </c>
      <c r="O865" s="3">
        <v>5</v>
      </c>
      <c r="P865" s="3">
        <v>1.99</v>
      </c>
      <c r="Q865" s="3">
        <v>0</v>
      </c>
      <c r="R865" s="3">
        <v>0</v>
      </c>
      <c r="S865" s="3">
        <v>0</v>
      </c>
      <c r="T865" s="3">
        <v>0</v>
      </c>
      <c r="U865" s="3">
        <v>0</v>
      </c>
      <c r="V865" s="3">
        <v>0</v>
      </c>
      <c r="W865" s="3" t="s">
        <v>871</v>
      </c>
      <c r="X865" s="3">
        <v>27.98</v>
      </c>
      <c r="Y865" s="3">
        <v>27.98</v>
      </c>
      <c r="Z865" s="3">
        <v>27.98</v>
      </c>
      <c r="AA865" s="3">
        <v>0</v>
      </c>
      <c r="AB865" s="3" t="s">
        <v>869</v>
      </c>
      <c r="AC865" s="3">
        <v>5</v>
      </c>
      <c r="AD865" s="3">
        <v>27.98</v>
      </c>
      <c r="AE865" s="3">
        <v>0</v>
      </c>
      <c r="AF865" s="3">
        <v>0</v>
      </c>
      <c r="AG865" s="3">
        <v>0</v>
      </c>
      <c r="AH865" s="3">
        <v>0.689655172413793</v>
      </c>
      <c r="AI865" s="3">
        <v>0.576405</v>
      </c>
      <c r="AJ865" s="3" t="s">
        <v>870</v>
      </c>
    </row>
    <row r="866" spans="1:36">
      <c r="A866" s="5">
        <v>43336</v>
      </c>
      <c r="B866" s="3" t="s">
        <v>2942</v>
      </c>
      <c r="C866" s="3" t="s">
        <v>2868</v>
      </c>
      <c r="D866" s="3" t="s">
        <v>2868</v>
      </c>
      <c r="E866" s="3" t="s">
        <v>2869</v>
      </c>
      <c r="F866" s="3" t="s">
        <v>867</v>
      </c>
      <c r="G866" s="3">
        <v>5</v>
      </c>
      <c r="H866" s="3">
        <v>0</v>
      </c>
      <c r="I866" s="3">
        <v>5</v>
      </c>
      <c r="J866" s="3">
        <v>0</v>
      </c>
      <c r="K866" s="3">
        <v>0</v>
      </c>
      <c r="L866" s="3">
        <v>0</v>
      </c>
      <c r="M866" s="3">
        <v>0</v>
      </c>
      <c r="N866" s="3" t="s">
        <v>868</v>
      </c>
      <c r="O866" s="3">
        <v>0</v>
      </c>
      <c r="P866" s="3">
        <v>0</v>
      </c>
      <c r="Q866" s="3">
        <v>0</v>
      </c>
      <c r="R866" s="3">
        <v>0</v>
      </c>
      <c r="S866" s="3">
        <v>4</v>
      </c>
      <c r="T866" s="3">
        <v>12</v>
      </c>
      <c r="U866" s="3">
        <v>30</v>
      </c>
      <c r="V866" s="3">
        <v>45</v>
      </c>
      <c r="W866" s="3"/>
      <c r="X866" s="3">
        <v>23.98</v>
      </c>
      <c r="Y866" s="3">
        <v>23.98</v>
      </c>
      <c r="Z866" s="3">
        <v>22.98</v>
      </c>
      <c r="AA866" s="3">
        <v>0</v>
      </c>
      <c r="AB866" s="3" t="s">
        <v>869</v>
      </c>
      <c r="AC866" s="3">
        <v>5</v>
      </c>
      <c r="AD866" s="3">
        <v>23.98</v>
      </c>
      <c r="AE866" s="3">
        <v>0</v>
      </c>
      <c r="AF866" s="3">
        <v>0</v>
      </c>
      <c r="AG866" s="3">
        <v>0</v>
      </c>
      <c r="AH866" s="3">
        <v>1.93548387096774</v>
      </c>
      <c r="AI866" s="3">
        <v>0.431375</v>
      </c>
      <c r="AJ866" s="3" t="s">
        <v>870</v>
      </c>
    </row>
    <row r="867" spans="1:36">
      <c r="A867" s="5">
        <v>43336</v>
      </c>
      <c r="B867" s="3" t="s">
        <v>2943</v>
      </c>
      <c r="C867" s="3" t="s">
        <v>1284</v>
      </c>
      <c r="D867" s="3" t="s">
        <v>1284</v>
      </c>
      <c r="E867" s="3" t="s">
        <v>1285</v>
      </c>
      <c r="F867" s="3" t="s">
        <v>867</v>
      </c>
      <c r="G867" s="3">
        <v>4</v>
      </c>
      <c r="H867" s="3">
        <v>0</v>
      </c>
      <c r="I867" s="3">
        <v>4</v>
      </c>
      <c r="J867" s="3">
        <v>0</v>
      </c>
      <c r="K867" s="3">
        <v>0</v>
      </c>
      <c r="L867" s="3">
        <v>0</v>
      </c>
      <c r="M867" s="3">
        <v>0</v>
      </c>
      <c r="N867" s="3" t="s">
        <v>868</v>
      </c>
      <c r="O867" s="3">
        <v>0</v>
      </c>
      <c r="P867" s="3">
        <v>0</v>
      </c>
      <c r="Q867" s="3">
        <v>0</v>
      </c>
      <c r="R867" s="3">
        <v>0</v>
      </c>
      <c r="S867" s="3">
        <v>0</v>
      </c>
      <c r="T867" s="3">
        <v>1</v>
      </c>
      <c r="U867" s="3">
        <v>2</v>
      </c>
      <c r="V867" s="3">
        <v>11</v>
      </c>
      <c r="W867" s="3"/>
      <c r="X867" s="3">
        <v>20.98</v>
      </c>
      <c r="Y867" s="3">
        <v>20.98</v>
      </c>
      <c r="Z867" s="3">
        <v>20.98</v>
      </c>
      <c r="AA867" s="3">
        <v>0</v>
      </c>
      <c r="AB867" s="3" t="s">
        <v>869</v>
      </c>
      <c r="AC867" s="3">
        <v>4</v>
      </c>
      <c r="AD867" s="3">
        <v>20.98</v>
      </c>
      <c r="AE867" s="3">
        <v>0</v>
      </c>
      <c r="AF867" s="3">
        <v>0</v>
      </c>
      <c r="AG867" s="3">
        <v>0</v>
      </c>
      <c r="AH867" s="3">
        <v>2</v>
      </c>
      <c r="AI867" s="3">
        <v>0.334252</v>
      </c>
      <c r="AJ867" s="3" t="s">
        <v>870</v>
      </c>
    </row>
    <row r="868" spans="1:36">
      <c r="A868" s="5">
        <v>43336</v>
      </c>
      <c r="B868" s="3" t="s">
        <v>171</v>
      </c>
      <c r="C868" s="3" t="s">
        <v>172</v>
      </c>
      <c r="D868" s="3" t="s">
        <v>173</v>
      </c>
      <c r="E868" s="3" t="s">
        <v>174</v>
      </c>
      <c r="F868" s="3" t="s">
        <v>867</v>
      </c>
      <c r="G868" s="3">
        <v>5</v>
      </c>
      <c r="H868" s="3">
        <v>0</v>
      </c>
      <c r="I868" s="3">
        <v>5</v>
      </c>
      <c r="J868" s="3">
        <v>0</v>
      </c>
      <c r="K868" s="3">
        <v>0</v>
      </c>
      <c r="L868" s="3">
        <v>0</v>
      </c>
      <c r="M868" s="3">
        <v>0</v>
      </c>
      <c r="N868" s="3" t="s">
        <v>868</v>
      </c>
      <c r="O868" s="3">
        <v>0</v>
      </c>
      <c r="P868" s="3">
        <v>0</v>
      </c>
      <c r="Q868" s="3">
        <v>0</v>
      </c>
      <c r="R868" s="3">
        <v>0</v>
      </c>
      <c r="S868" s="3">
        <v>0</v>
      </c>
      <c r="T868" s="3">
        <v>0</v>
      </c>
      <c r="U868" s="3">
        <v>0</v>
      </c>
      <c r="V868" s="3">
        <v>0</v>
      </c>
      <c r="W868" s="3" t="s">
        <v>871</v>
      </c>
      <c r="X868" s="3">
        <v>22.99</v>
      </c>
      <c r="Y868" s="3">
        <v>22.98</v>
      </c>
      <c r="Z868" s="3">
        <v>22.98</v>
      </c>
      <c r="AA868" s="3">
        <v>0</v>
      </c>
      <c r="AB868" s="3" t="s">
        <v>883</v>
      </c>
      <c r="AC868" s="3">
        <v>0</v>
      </c>
      <c r="AD868" s="3">
        <v>18.38</v>
      </c>
      <c r="AE868" s="3">
        <v>63</v>
      </c>
      <c r="AF868" s="3">
        <v>0</v>
      </c>
      <c r="AG868" s="3">
        <v>47.077348</v>
      </c>
      <c r="AH868" s="3">
        <v>0.666666666666666</v>
      </c>
      <c r="AI868" s="3">
        <v>0.382484999999999</v>
      </c>
      <c r="AJ868" s="3" t="s">
        <v>870</v>
      </c>
    </row>
    <row r="869" spans="1:36">
      <c r="A869" s="5">
        <v>43336</v>
      </c>
      <c r="B869" s="3" t="s">
        <v>2944</v>
      </c>
      <c r="C869" s="3" t="s">
        <v>2945</v>
      </c>
      <c r="D869" s="3" t="s">
        <v>2945</v>
      </c>
      <c r="E869" s="3" t="s">
        <v>2946</v>
      </c>
      <c r="F869" s="3" t="s">
        <v>867</v>
      </c>
      <c r="G869" s="3">
        <v>3</v>
      </c>
      <c r="H869" s="3">
        <v>0</v>
      </c>
      <c r="I869" s="3">
        <v>0</v>
      </c>
      <c r="J869" s="3">
        <v>3</v>
      </c>
      <c r="K869" s="3">
        <v>0</v>
      </c>
      <c r="L869" s="3">
        <v>0</v>
      </c>
      <c r="M869" s="3">
        <v>0</v>
      </c>
      <c r="N869" s="3" t="s">
        <v>868</v>
      </c>
      <c r="O869" s="3">
        <v>0</v>
      </c>
      <c r="P869" s="3">
        <v>0</v>
      </c>
      <c r="Q869" s="3">
        <v>0</v>
      </c>
      <c r="R869" s="3">
        <v>0</v>
      </c>
      <c r="S869" s="3">
        <v>1</v>
      </c>
      <c r="T869" s="3">
        <v>1</v>
      </c>
      <c r="U869" s="3">
        <v>2</v>
      </c>
      <c r="V869" s="3">
        <v>2</v>
      </c>
      <c r="W869" s="3"/>
      <c r="X869" s="3">
        <v>26.98</v>
      </c>
      <c r="Y869" s="3">
        <v>26.98</v>
      </c>
      <c r="Z869" s="3">
        <v>26.98</v>
      </c>
      <c r="AA869" s="3">
        <v>0</v>
      </c>
      <c r="AB869" s="3" t="s">
        <v>869</v>
      </c>
      <c r="AC869" s="3">
        <v>3</v>
      </c>
      <c r="AD869" s="3">
        <v>26.98</v>
      </c>
      <c r="AE869" s="3">
        <v>0</v>
      </c>
      <c r="AF869" s="3">
        <v>0</v>
      </c>
      <c r="AG869" s="3">
        <v>0</v>
      </c>
      <c r="AH869" s="3">
        <v>0.666666666666666</v>
      </c>
      <c r="AI869" s="3">
        <v>0.396978</v>
      </c>
      <c r="AJ869" s="3" t="s">
        <v>870</v>
      </c>
    </row>
    <row r="870" spans="1:36">
      <c r="A870" s="5">
        <v>43336</v>
      </c>
      <c r="B870" s="3" t="s">
        <v>2947</v>
      </c>
      <c r="C870" s="3" t="s">
        <v>2948</v>
      </c>
      <c r="D870" s="3" t="s">
        <v>2949</v>
      </c>
      <c r="E870" s="3" t="s">
        <v>2950</v>
      </c>
      <c r="F870" s="3" t="s">
        <v>867</v>
      </c>
      <c r="G870" s="3">
        <v>6</v>
      </c>
      <c r="H870" s="3">
        <v>0</v>
      </c>
      <c r="I870" s="3">
        <v>6</v>
      </c>
      <c r="J870" s="3">
        <v>0</v>
      </c>
      <c r="K870" s="3">
        <v>0</v>
      </c>
      <c r="L870" s="3">
        <v>0</v>
      </c>
      <c r="M870" s="3">
        <v>0</v>
      </c>
      <c r="N870" s="3" t="s">
        <v>868</v>
      </c>
      <c r="O870" s="3">
        <v>0</v>
      </c>
      <c r="P870" s="3">
        <v>0</v>
      </c>
      <c r="Q870" s="3">
        <v>0</v>
      </c>
      <c r="R870" s="3">
        <v>0</v>
      </c>
      <c r="S870" s="3">
        <v>0</v>
      </c>
      <c r="T870" s="3">
        <v>0</v>
      </c>
      <c r="U870" s="3">
        <v>0</v>
      </c>
      <c r="V870" s="3">
        <v>0</v>
      </c>
      <c r="W870" s="3" t="s">
        <v>871</v>
      </c>
      <c r="X870" s="3">
        <v>19.99</v>
      </c>
      <c r="Y870" s="3">
        <v>19.99</v>
      </c>
      <c r="Z870" s="3">
        <v>19.99</v>
      </c>
      <c r="AA870" s="3">
        <v>0</v>
      </c>
      <c r="AB870" s="3" t="s">
        <v>869</v>
      </c>
      <c r="AC870" s="3">
        <v>0</v>
      </c>
      <c r="AD870" s="3">
        <v>19.99</v>
      </c>
      <c r="AE870" s="3">
        <v>63</v>
      </c>
      <c r="AF870" s="3">
        <v>0</v>
      </c>
      <c r="AG870" s="3">
        <v>149.730621</v>
      </c>
      <c r="AH870" s="3">
        <v>0</v>
      </c>
      <c r="AI870" s="3">
        <v>1.304106</v>
      </c>
      <c r="AJ870" s="3" t="s">
        <v>925</v>
      </c>
    </row>
    <row r="871" spans="1:36">
      <c r="A871" s="5">
        <v>43336</v>
      </c>
      <c r="B871" s="3" t="s">
        <v>2951</v>
      </c>
      <c r="C871" s="3" t="s">
        <v>2952</v>
      </c>
      <c r="D871" s="3" t="s">
        <v>2952</v>
      </c>
      <c r="E871" s="3" t="s">
        <v>2953</v>
      </c>
      <c r="F871" s="3" t="s">
        <v>867</v>
      </c>
      <c r="G871" s="3">
        <v>1</v>
      </c>
      <c r="H871" s="3">
        <v>0</v>
      </c>
      <c r="I871" s="3">
        <v>0</v>
      </c>
      <c r="J871" s="3">
        <v>1</v>
      </c>
      <c r="K871" s="3">
        <v>0</v>
      </c>
      <c r="L871" s="3">
        <v>0</v>
      </c>
      <c r="M871" s="3">
        <v>0</v>
      </c>
      <c r="N871" s="3" t="s">
        <v>868</v>
      </c>
      <c r="O871" s="3">
        <v>0</v>
      </c>
      <c r="P871" s="3">
        <v>0</v>
      </c>
      <c r="Q871" s="3">
        <v>0</v>
      </c>
      <c r="R871" s="3">
        <v>0</v>
      </c>
      <c r="S871" s="3">
        <v>0</v>
      </c>
      <c r="T871" s="3">
        <v>0</v>
      </c>
      <c r="U871" s="3">
        <v>0</v>
      </c>
      <c r="V871" s="3">
        <v>0</v>
      </c>
      <c r="W871" s="3" t="s">
        <v>936</v>
      </c>
      <c r="X871" s="3">
        <v>65.98</v>
      </c>
      <c r="Y871" s="3">
        <v>65.98</v>
      </c>
      <c r="Z871" s="3">
        <v>65.98</v>
      </c>
      <c r="AA871" s="3">
        <v>0</v>
      </c>
      <c r="AB871" s="3" t="s">
        <v>937</v>
      </c>
      <c r="AC871" s="3">
        <v>0</v>
      </c>
      <c r="AD871" s="3">
        <v>60.91</v>
      </c>
      <c r="AE871" s="3">
        <v>91</v>
      </c>
      <c r="AF871" s="3">
        <v>0</v>
      </c>
      <c r="AG871" s="3">
        <v>113.411029</v>
      </c>
      <c r="AH871" s="3">
        <v>0</v>
      </c>
      <c r="AI871" s="3">
        <v>0.777021</v>
      </c>
      <c r="AJ871" s="3" t="s">
        <v>870</v>
      </c>
    </row>
    <row r="872" spans="1:36">
      <c r="A872" s="5">
        <v>43336</v>
      </c>
      <c r="B872" s="3" t="s">
        <v>2954</v>
      </c>
      <c r="C872" s="3" t="s">
        <v>2955</v>
      </c>
      <c r="D872" s="3" t="s">
        <v>2956</v>
      </c>
      <c r="E872" s="3" t="s">
        <v>2957</v>
      </c>
      <c r="F872" s="3" t="s">
        <v>867</v>
      </c>
      <c r="G872" s="3">
        <v>5</v>
      </c>
      <c r="H872" s="3">
        <v>0</v>
      </c>
      <c r="I872" s="3">
        <v>5</v>
      </c>
      <c r="J872" s="3">
        <v>0</v>
      </c>
      <c r="K872" s="3">
        <v>0</v>
      </c>
      <c r="L872" s="3">
        <v>0</v>
      </c>
      <c r="M872" s="3">
        <v>0</v>
      </c>
      <c r="N872" s="3" t="s">
        <v>868</v>
      </c>
      <c r="O872" s="3">
        <v>0</v>
      </c>
      <c r="P872" s="3">
        <v>0</v>
      </c>
      <c r="Q872" s="3">
        <v>0</v>
      </c>
      <c r="R872" s="3">
        <v>0</v>
      </c>
      <c r="S872" s="3">
        <v>0</v>
      </c>
      <c r="T872" s="3">
        <v>0</v>
      </c>
      <c r="U872" s="3">
        <v>0</v>
      </c>
      <c r="V872" s="3">
        <v>0</v>
      </c>
      <c r="W872" s="3" t="s">
        <v>936</v>
      </c>
      <c r="X872" s="3">
        <v>21.98</v>
      </c>
      <c r="Y872" s="3">
        <v>21.98</v>
      </c>
      <c r="Z872" s="3">
        <v>21.98</v>
      </c>
      <c r="AA872" s="3">
        <v>0</v>
      </c>
      <c r="AB872" s="3" t="s">
        <v>985</v>
      </c>
      <c r="AC872" s="3">
        <v>5</v>
      </c>
      <c r="AD872" s="3">
        <v>21.98</v>
      </c>
      <c r="AE872" s="3">
        <v>0</v>
      </c>
      <c r="AF872" s="3">
        <v>0</v>
      </c>
      <c r="AG872" s="3">
        <v>0</v>
      </c>
      <c r="AH872" s="3">
        <v>0</v>
      </c>
      <c r="AI872" s="3">
        <v>0.676424999999999</v>
      </c>
      <c r="AJ872" s="3" t="s">
        <v>925</v>
      </c>
    </row>
    <row r="873" spans="1:36">
      <c r="A873" s="5">
        <v>43336</v>
      </c>
      <c r="B873" s="3" t="s">
        <v>2958</v>
      </c>
      <c r="C873" s="3" t="s">
        <v>2959</v>
      </c>
      <c r="D873" s="3" t="s">
        <v>2959</v>
      </c>
      <c r="E873" s="3" t="s">
        <v>2960</v>
      </c>
      <c r="F873" s="3" t="s">
        <v>867</v>
      </c>
      <c r="G873" s="3">
        <v>25</v>
      </c>
      <c r="H873" s="3">
        <v>0</v>
      </c>
      <c r="I873" s="3">
        <v>17</v>
      </c>
      <c r="J873" s="3">
        <v>8</v>
      </c>
      <c r="K873" s="3">
        <v>0</v>
      </c>
      <c r="L873" s="3">
        <v>0</v>
      </c>
      <c r="M873" s="3">
        <v>0</v>
      </c>
      <c r="N873" s="3" t="s">
        <v>868</v>
      </c>
      <c r="O873" s="3">
        <v>0</v>
      </c>
      <c r="P873" s="3">
        <v>0</v>
      </c>
      <c r="Q873" s="3">
        <v>0</v>
      </c>
      <c r="R873" s="3">
        <v>0</v>
      </c>
      <c r="S873" s="3">
        <v>1</v>
      </c>
      <c r="T873" s="3">
        <v>4</v>
      </c>
      <c r="U873" s="3">
        <v>4</v>
      </c>
      <c r="V873" s="3">
        <v>9</v>
      </c>
      <c r="W873" s="3"/>
      <c r="X873" s="3">
        <v>23.98</v>
      </c>
      <c r="Y873" s="3">
        <v>23.98</v>
      </c>
      <c r="Z873" s="3">
        <v>23.98</v>
      </c>
      <c r="AA873" s="3">
        <v>0</v>
      </c>
      <c r="AB873" s="3" t="s">
        <v>869</v>
      </c>
      <c r="AC873" s="3">
        <v>24</v>
      </c>
      <c r="AD873" s="3">
        <v>23.98</v>
      </c>
      <c r="AE873" s="3">
        <v>0</v>
      </c>
      <c r="AF873" s="3">
        <v>0</v>
      </c>
      <c r="AG873" s="3">
        <v>0</v>
      </c>
      <c r="AH873" s="3">
        <v>0.36734693877551</v>
      </c>
      <c r="AI873" s="3">
        <v>2.913025</v>
      </c>
      <c r="AJ873" s="3" t="s">
        <v>870</v>
      </c>
    </row>
    <row r="874" spans="1:36">
      <c r="A874" s="5">
        <v>43336</v>
      </c>
      <c r="B874" s="3" t="s">
        <v>2961</v>
      </c>
      <c r="C874" s="3" t="s">
        <v>2962</v>
      </c>
      <c r="D874" s="3" t="s">
        <v>2962</v>
      </c>
      <c r="E874" s="3" t="s">
        <v>2963</v>
      </c>
      <c r="F874" s="3" t="s">
        <v>867</v>
      </c>
      <c r="G874" s="3">
        <v>14</v>
      </c>
      <c r="H874" s="3">
        <v>0</v>
      </c>
      <c r="I874" s="3">
        <v>13</v>
      </c>
      <c r="J874" s="3">
        <v>1</v>
      </c>
      <c r="K874" s="3">
        <v>0</v>
      </c>
      <c r="L874" s="3">
        <v>0</v>
      </c>
      <c r="M874" s="3">
        <v>0</v>
      </c>
      <c r="N874" s="3" t="s">
        <v>868</v>
      </c>
      <c r="O874" s="3">
        <v>0</v>
      </c>
      <c r="P874" s="3">
        <v>0</v>
      </c>
      <c r="Q874" s="3">
        <v>0</v>
      </c>
      <c r="R874" s="3">
        <v>0</v>
      </c>
      <c r="S874" s="3">
        <v>0</v>
      </c>
      <c r="T874" s="3">
        <v>2</v>
      </c>
      <c r="U874" s="3">
        <v>2</v>
      </c>
      <c r="V874" s="3">
        <v>5</v>
      </c>
      <c r="W874" s="3"/>
      <c r="X874" s="3">
        <v>20.98</v>
      </c>
      <c r="Y874" s="3">
        <v>20.98</v>
      </c>
      <c r="Z874" s="3">
        <v>20.98</v>
      </c>
      <c r="AA874" s="3">
        <v>0</v>
      </c>
      <c r="AB874" s="3" t="s">
        <v>869</v>
      </c>
      <c r="AC874" s="3">
        <v>14</v>
      </c>
      <c r="AD874" s="3">
        <v>20.98</v>
      </c>
      <c r="AE874" s="3">
        <v>0</v>
      </c>
      <c r="AF874" s="3">
        <v>0</v>
      </c>
      <c r="AG874" s="3">
        <v>0</v>
      </c>
      <c r="AH874" s="3">
        <v>0.384615384615384</v>
      </c>
      <c r="AI874" s="3">
        <v>1.16988199999999</v>
      </c>
      <c r="AJ874" s="3" t="s">
        <v>870</v>
      </c>
    </row>
    <row r="875" spans="1:36">
      <c r="A875" s="5">
        <v>43336</v>
      </c>
      <c r="B875" s="3" t="s">
        <v>2964</v>
      </c>
      <c r="C875" s="3" t="s">
        <v>2965</v>
      </c>
      <c r="D875" s="3" t="s">
        <v>2965</v>
      </c>
      <c r="E875" s="3" t="s">
        <v>2966</v>
      </c>
      <c r="F875" s="3" t="s">
        <v>867</v>
      </c>
      <c r="G875" s="3">
        <v>25</v>
      </c>
      <c r="H875" s="3">
        <v>0</v>
      </c>
      <c r="I875" s="3">
        <v>1</v>
      </c>
      <c r="J875" s="3">
        <v>24</v>
      </c>
      <c r="K875" s="3">
        <v>0</v>
      </c>
      <c r="L875" s="3">
        <v>0</v>
      </c>
      <c r="M875" s="3">
        <v>0</v>
      </c>
      <c r="N875" s="3" t="s">
        <v>868</v>
      </c>
      <c r="O875" s="3">
        <v>1</v>
      </c>
      <c r="P875" s="3">
        <v>0.35</v>
      </c>
      <c r="Q875" s="3">
        <v>0</v>
      </c>
      <c r="R875" s="3">
        <v>0</v>
      </c>
      <c r="S875" s="3">
        <v>2</v>
      </c>
      <c r="T875" s="3">
        <v>11</v>
      </c>
      <c r="U875" s="3">
        <v>16</v>
      </c>
      <c r="V875" s="3">
        <v>19</v>
      </c>
      <c r="W875" s="3"/>
      <c r="X875" s="3">
        <v>22.98</v>
      </c>
      <c r="Y875" s="3">
        <v>22.98</v>
      </c>
      <c r="Z875" s="3">
        <v>22.98</v>
      </c>
      <c r="AA875" s="3">
        <v>0</v>
      </c>
      <c r="AB875" s="3" t="s">
        <v>869</v>
      </c>
      <c r="AC875" s="3">
        <v>25</v>
      </c>
      <c r="AD875" s="3">
        <v>22.98</v>
      </c>
      <c r="AE875" s="3">
        <v>0</v>
      </c>
      <c r="AF875" s="3">
        <v>0</v>
      </c>
      <c r="AG875" s="3">
        <v>0</v>
      </c>
      <c r="AH875" s="3">
        <v>0.531468531468531</v>
      </c>
      <c r="AI875" s="3">
        <v>2.524275</v>
      </c>
      <c r="AJ875" s="3" t="s">
        <v>870</v>
      </c>
    </row>
    <row r="876" spans="1:36">
      <c r="A876" s="5">
        <v>43336</v>
      </c>
      <c r="B876" s="3" t="s">
        <v>2967</v>
      </c>
      <c r="C876" s="3" t="s">
        <v>2968</v>
      </c>
      <c r="D876" s="3" t="s">
        <v>2968</v>
      </c>
      <c r="E876" s="3" t="s">
        <v>2382</v>
      </c>
      <c r="F876" s="3" t="s">
        <v>867</v>
      </c>
      <c r="G876" s="3">
        <v>7</v>
      </c>
      <c r="H876" s="3">
        <v>0</v>
      </c>
      <c r="I876" s="3">
        <v>0</v>
      </c>
      <c r="J876" s="3">
        <v>0</v>
      </c>
      <c r="K876" s="3">
        <v>6</v>
      </c>
      <c r="L876" s="3">
        <v>1</v>
      </c>
      <c r="M876" s="3">
        <v>0</v>
      </c>
      <c r="N876" s="3" t="s">
        <v>868</v>
      </c>
      <c r="O876" s="3">
        <v>7</v>
      </c>
      <c r="P876" s="3">
        <v>4.95</v>
      </c>
      <c r="Q876" s="3">
        <v>0</v>
      </c>
      <c r="R876" s="3">
        <v>0</v>
      </c>
      <c r="S876" s="3">
        <v>0</v>
      </c>
      <c r="T876" s="3">
        <v>2</v>
      </c>
      <c r="U876" s="3">
        <v>2</v>
      </c>
      <c r="V876" s="3">
        <v>3</v>
      </c>
      <c r="W876" s="3"/>
      <c r="X876" s="3">
        <v>15</v>
      </c>
      <c r="Y876" s="3">
        <v>15</v>
      </c>
      <c r="Z876" s="3">
        <v>15</v>
      </c>
      <c r="AA876" s="3">
        <v>0</v>
      </c>
      <c r="AB876" s="3" t="s">
        <v>869</v>
      </c>
      <c r="AC876" s="3">
        <v>7</v>
      </c>
      <c r="AD876" s="3">
        <v>15</v>
      </c>
      <c r="AE876" s="3">
        <v>0</v>
      </c>
      <c r="AF876" s="3">
        <v>0</v>
      </c>
      <c r="AG876" s="3">
        <v>0</v>
      </c>
      <c r="AH876" s="3">
        <v>0.342857142857142</v>
      </c>
      <c r="AI876" s="3">
        <v>1.435595</v>
      </c>
      <c r="AJ876" s="3" t="s">
        <v>870</v>
      </c>
    </row>
    <row r="877" spans="1:36">
      <c r="A877" s="5">
        <v>43336</v>
      </c>
      <c r="B877" s="3" t="s">
        <v>2969</v>
      </c>
      <c r="C877" s="3" t="s">
        <v>2970</v>
      </c>
      <c r="D877" s="3" t="s">
        <v>2970</v>
      </c>
      <c r="E877" s="3" t="s">
        <v>2113</v>
      </c>
      <c r="F877" s="3" t="s">
        <v>867</v>
      </c>
      <c r="G877" s="3">
        <v>10</v>
      </c>
      <c r="H877" s="3">
        <v>0</v>
      </c>
      <c r="I877" s="3">
        <v>3</v>
      </c>
      <c r="J877" s="3">
        <v>1</v>
      </c>
      <c r="K877" s="3">
        <v>6</v>
      </c>
      <c r="L877" s="3">
        <v>0</v>
      </c>
      <c r="M877" s="3">
        <v>0</v>
      </c>
      <c r="N877" s="3" t="s">
        <v>868</v>
      </c>
      <c r="O877" s="3">
        <v>6</v>
      </c>
      <c r="P877" s="3">
        <v>1.26</v>
      </c>
      <c r="Q877" s="3">
        <v>0</v>
      </c>
      <c r="R877" s="3">
        <v>0</v>
      </c>
      <c r="S877" s="3">
        <v>2</v>
      </c>
      <c r="T877" s="3">
        <v>2</v>
      </c>
      <c r="U877" s="3">
        <v>2</v>
      </c>
      <c r="V877" s="3">
        <v>8</v>
      </c>
      <c r="W877" s="3"/>
      <c r="X877" s="3">
        <v>26.98</v>
      </c>
      <c r="Y877" s="3">
        <v>26.98</v>
      </c>
      <c r="Z877" s="3">
        <v>26.98</v>
      </c>
      <c r="AA877" s="3">
        <v>0</v>
      </c>
      <c r="AB877" s="3" t="s">
        <v>883</v>
      </c>
      <c r="AC877" s="3">
        <v>0</v>
      </c>
      <c r="AD877" s="3">
        <v>13.33</v>
      </c>
      <c r="AE877" s="3">
        <v>70</v>
      </c>
      <c r="AF877" s="3">
        <v>0</v>
      </c>
      <c r="AG877" s="3">
        <v>78.430299</v>
      </c>
      <c r="AH877" s="3">
        <v>0.666666666666666</v>
      </c>
      <c r="AI877" s="3">
        <v>0.61012</v>
      </c>
      <c r="AJ877" s="3" t="s">
        <v>870</v>
      </c>
    </row>
    <row r="878" spans="1:36">
      <c r="A878" s="5">
        <v>43336</v>
      </c>
      <c r="B878" s="3" t="s">
        <v>2971</v>
      </c>
      <c r="C878" s="3" t="s">
        <v>2972</v>
      </c>
      <c r="D878" s="3" t="s">
        <v>2973</v>
      </c>
      <c r="E878" s="3" t="s">
        <v>2974</v>
      </c>
      <c r="F878" s="3" t="s">
        <v>867</v>
      </c>
      <c r="G878" s="3">
        <v>3</v>
      </c>
      <c r="H878" s="3">
        <v>0</v>
      </c>
      <c r="I878" s="3">
        <v>3</v>
      </c>
      <c r="J878" s="3">
        <v>0</v>
      </c>
      <c r="K878" s="3">
        <v>0</v>
      </c>
      <c r="L878" s="3">
        <v>0</v>
      </c>
      <c r="M878" s="3">
        <v>0</v>
      </c>
      <c r="N878" s="3" t="s">
        <v>868</v>
      </c>
      <c r="O878" s="3">
        <v>0</v>
      </c>
      <c r="P878" s="3">
        <v>0</v>
      </c>
      <c r="Q878" s="3">
        <v>0</v>
      </c>
      <c r="R878" s="3">
        <v>0</v>
      </c>
      <c r="S878" s="3">
        <v>0</v>
      </c>
      <c r="T878" s="3">
        <v>0</v>
      </c>
      <c r="U878" s="3">
        <v>0</v>
      </c>
      <c r="V878" s="3">
        <v>0</v>
      </c>
      <c r="W878" s="3" t="s">
        <v>871</v>
      </c>
      <c r="X878" s="3">
        <v>27.98</v>
      </c>
      <c r="Y878" s="3">
        <v>27.98</v>
      </c>
      <c r="Z878" s="3">
        <v>27.98</v>
      </c>
      <c r="AA878" s="3">
        <v>0</v>
      </c>
      <c r="AB878" s="3" t="s">
        <v>883</v>
      </c>
      <c r="AC878" s="3">
        <v>0</v>
      </c>
      <c r="AD878" s="3">
        <v>22.38</v>
      </c>
      <c r="AE878" s="3">
        <v>63</v>
      </c>
      <c r="AF878" s="3">
        <v>0</v>
      </c>
      <c r="AG878" s="3">
        <v>48.234901</v>
      </c>
      <c r="AH878" s="3">
        <v>2</v>
      </c>
      <c r="AI878" s="3">
        <v>0.345843</v>
      </c>
      <c r="AJ878" s="3" t="s">
        <v>870</v>
      </c>
    </row>
    <row r="879" spans="1:36">
      <c r="A879" s="5">
        <v>43336</v>
      </c>
      <c r="B879" s="3" t="s">
        <v>2975</v>
      </c>
      <c r="C879" s="3" t="s">
        <v>2932</v>
      </c>
      <c r="D879" s="3" t="s">
        <v>2932</v>
      </c>
      <c r="E879" s="3" t="s">
        <v>2933</v>
      </c>
      <c r="F879" s="3" t="s">
        <v>867</v>
      </c>
      <c r="G879" s="3">
        <v>8</v>
      </c>
      <c r="H879" s="3">
        <v>0</v>
      </c>
      <c r="I879" s="3">
        <v>0</v>
      </c>
      <c r="J879" s="3">
        <v>8</v>
      </c>
      <c r="K879" s="3">
        <v>0</v>
      </c>
      <c r="L879" s="3">
        <v>0</v>
      </c>
      <c r="M879" s="3">
        <v>0</v>
      </c>
      <c r="N879" s="3" t="s">
        <v>868</v>
      </c>
      <c r="O879" s="3">
        <v>0</v>
      </c>
      <c r="P879" s="3">
        <v>0</v>
      </c>
      <c r="Q879" s="3">
        <v>0</v>
      </c>
      <c r="R879" s="3">
        <v>0</v>
      </c>
      <c r="S879" s="3">
        <v>1</v>
      </c>
      <c r="T879" s="3">
        <v>6</v>
      </c>
      <c r="U879" s="3">
        <v>6</v>
      </c>
      <c r="V879" s="3">
        <v>7</v>
      </c>
      <c r="W879" s="3"/>
      <c r="X879" s="3">
        <v>23.98</v>
      </c>
      <c r="Y879" s="3">
        <v>23.98</v>
      </c>
      <c r="Z879" s="3">
        <v>23.98</v>
      </c>
      <c r="AA879" s="3">
        <v>0</v>
      </c>
      <c r="AB879" s="3" t="s">
        <v>869</v>
      </c>
      <c r="AC879" s="3">
        <v>8</v>
      </c>
      <c r="AD879" s="3">
        <v>23.98</v>
      </c>
      <c r="AE879" s="3">
        <v>0</v>
      </c>
      <c r="AF879" s="3">
        <v>0</v>
      </c>
      <c r="AG879" s="3">
        <v>0</v>
      </c>
      <c r="AH879" s="3">
        <v>0.518518518518518</v>
      </c>
      <c r="AI879" s="3">
        <v>1.340336</v>
      </c>
      <c r="AJ879" s="3" t="s">
        <v>870</v>
      </c>
    </row>
    <row r="880" spans="1:36">
      <c r="A880" s="5">
        <v>43336</v>
      </c>
      <c r="B880" s="3" t="s">
        <v>2976</v>
      </c>
      <c r="C880" s="3" t="s">
        <v>2977</v>
      </c>
      <c r="D880" s="3" t="s">
        <v>2977</v>
      </c>
      <c r="E880" s="3" t="s">
        <v>2978</v>
      </c>
      <c r="F880" s="3" t="s">
        <v>867</v>
      </c>
      <c r="G880" s="3">
        <v>24</v>
      </c>
      <c r="H880" s="3">
        <v>0</v>
      </c>
      <c r="I880" s="3">
        <v>16</v>
      </c>
      <c r="J880" s="3">
        <v>8</v>
      </c>
      <c r="K880" s="3">
        <v>0</v>
      </c>
      <c r="L880" s="3">
        <v>0</v>
      </c>
      <c r="M880" s="3">
        <v>0</v>
      </c>
      <c r="N880" s="3" t="s">
        <v>868</v>
      </c>
      <c r="O880" s="3">
        <v>0</v>
      </c>
      <c r="P880" s="3">
        <v>0</v>
      </c>
      <c r="Q880" s="3">
        <v>0</v>
      </c>
      <c r="R880" s="3">
        <v>0</v>
      </c>
      <c r="S880" s="3">
        <v>1</v>
      </c>
      <c r="T880" s="3">
        <v>4</v>
      </c>
      <c r="U880" s="3">
        <v>5</v>
      </c>
      <c r="V880" s="3">
        <v>7</v>
      </c>
      <c r="W880" s="3"/>
      <c r="X880" s="3">
        <v>23.98</v>
      </c>
      <c r="Y880" s="3">
        <v>23.98</v>
      </c>
      <c r="Z880" s="3">
        <v>23.98</v>
      </c>
      <c r="AA880" s="3">
        <v>0</v>
      </c>
      <c r="AB880" s="3" t="s">
        <v>869</v>
      </c>
      <c r="AC880" s="3">
        <v>24</v>
      </c>
      <c r="AD880" s="3">
        <v>23.98</v>
      </c>
      <c r="AE880" s="3">
        <v>0</v>
      </c>
      <c r="AF880" s="3">
        <v>0</v>
      </c>
      <c r="AG880" s="3">
        <v>0</v>
      </c>
      <c r="AH880" s="3">
        <v>0.301075268817204</v>
      </c>
      <c r="AI880" s="3">
        <v>4.021008</v>
      </c>
      <c r="AJ880" s="3" t="s">
        <v>870</v>
      </c>
    </row>
    <row r="881" spans="1:36">
      <c r="A881" s="5">
        <v>43336</v>
      </c>
      <c r="B881" s="3" t="s">
        <v>2979</v>
      </c>
      <c r="C881" s="3" t="s">
        <v>2980</v>
      </c>
      <c r="D881" s="3" t="s">
        <v>2980</v>
      </c>
      <c r="E881" s="3" t="s">
        <v>2981</v>
      </c>
      <c r="F881" s="3" t="s">
        <v>867</v>
      </c>
      <c r="G881" s="3">
        <v>9</v>
      </c>
      <c r="H881" s="3">
        <v>0</v>
      </c>
      <c r="I881" s="3">
        <v>0</v>
      </c>
      <c r="J881" s="3">
        <v>1</v>
      </c>
      <c r="K881" s="3">
        <v>8</v>
      </c>
      <c r="L881" s="3">
        <v>0</v>
      </c>
      <c r="M881" s="3">
        <v>0</v>
      </c>
      <c r="N881" s="3" t="s">
        <v>868</v>
      </c>
      <c r="O881" s="3">
        <v>8</v>
      </c>
      <c r="P881" s="3">
        <v>3.18</v>
      </c>
      <c r="Q881" s="3">
        <v>0</v>
      </c>
      <c r="R881" s="3">
        <v>0</v>
      </c>
      <c r="S881" s="3">
        <v>3</v>
      </c>
      <c r="T881" s="3">
        <v>4</v>
      </c>
      <c r="U881" s="3">
        <v>5</v>
      </c>
      <c r="V881" s="3">
        <v>8</v>
      </c>
      <c r="W881" s="3"/>
      <c r="X881" s="3">
        <v>25.98</v>
      </c>
      <c r="Y881" s="3">
        <v>25.98</v>
      </c>
      <c r="Z881" s="3">
        <v>25.98</v>
      </c>
      <c r="AA881" s="3">
        <v>0</v>
      </c>
      <c r="AB881" s="3" t="s">
        <v>883</v>
      </c>
      <c r="AC881" s="3">
        <v>0</v>
      </c>
      <c r="AD881" s="3">
        <v>23.27</v>
      </c>
      <c r="AE881" s="3">
        <v>203</v>
      </c>
      <c r="AF881" s="3">
        <v>0</v>
      </c>
      <c r="AG881" s="3">
        <v>273.12157</v>
      </c>
      <c r="AH881" s="3">
        <v>0.627450980392156</v>
      </c>
      <c r="AI881" s="3">
        <v>1.037529</v>
      </c>
      <c r="AJ881" s="3" t="s">
        <v>870</v>
      </c>
    </row>
    <row r="882" spans="1:36">
      <c r="A882" s="5">
        <v>43336</v>
      </c>
      <c r="B882" s="3" t="s">
        <v>2982</v>
      </c>
      <c r="C882" s="3" t="s">
        <v>2983</v>
      </c>
      <c r="D882" s="3" t="s">
        <v>2983</v>
      </c>
      <c r="E882" s="3" t="s">
        <v>2984</v>
      </c>
      <c r="F882" s="3" t="s">
        <v>867</v>
      </c>
      <c r="G882" s="3">
        <v>2</v>
      </c>
      <c r="H882" s="3">
        <v>0</v>
      </c>
      <c r="I882" s="3">
        <v>2</v>
      </c>
      <c r="J882" s="3">
        <v>0</v>
      </c>
      <c r="K882" s="3">
        <v>0</v>
      </c>
      <c r="L882" s="3">
        <v>0</v>
      </c>
      <c r="M882" s="3">
        <v>0</v>
      </c>
      <c r="N882" s="3" t="s">
        <v>868</v>
      </c>
      <c r="O882" s="3">
        <v>0</v>
      </c>
      <c r="P882" s="3">
        <v>0</v>
      </c>
      <c r="Q882" s="3">
        <v>0</v>
      </c>
      <c r="R882" s="3">
        <v>0</v>
      </c>
      <c r="S882" s="3">
        <v>0</v>
      </c>
      <c r="T882" s="3">
        <v>7</v>
      </c>
      <c r="U882" s="3">
        <v>16</v>
      </c>
      <c r="V882" s="3">
        <v>19</v>
      </c>
      <c r="W882" s="3"/>
      <c r="X882" s="3">
        <v>26.98</v>
      </c>
      <c r="Y882" s="3">
        <v>26.98</v>
      </c>
      <c r="Z882" s="3">
        <v>26.98</v>
      </c>
      <c r="AA882" s="3">
        <v>0</v>
      </c>
      <c r="AB882" s="3" t="s">
        <v>869</v>
      </c>
      <c r="AC882" s="3">
        <v>1</v>
      </c>
      <c r="AD882" s="3">
        <v>26.98</v>
      </c>
      <c r="AE882" s="3">
        <v>0</v>
      </c>
      <c r="AF882" s="3">
        <v>0</v>
      </c>
      <c r="AG882" s="3">
        <v>0</v>
      </c>
      <c r="AH882" s="3">
        <v>1.8095238095238</v>
      </c>
      <c r="AI882" s="3">
        <v>0.264652</v>
      </c>
      <c r="AJ882" s="3" t="s">
        <v>870</v>
      </c>
    </row>
    <row r="883" spans="1:36">
      <c r="A883" s="5">
        <v>43336</v>
      </c>
      <c r="B883" s="3" t="s">
        <v>2985</v>
      </c>
      <c r="C883" s="3" t="s">
        <v>1517</v>
      </c>
      <c r="D883" s="3" t="s">
        <v>1517</v>
      </c>
      <c r="E883" s="3" t="s">
        <v>1518</v>
      </c>
      <c r="F883" s="3" t="s">
        <v>867</v>
      </c>
      <c r="G883" s="3">
        <v>1</v>
      </c>
      <c r="H883" s="3">
        <v>0</v>
      </c>
      <c r="I883" s="3">
        <v>1</v>
      </c>
      <c r="J883" s="3">
        <v>0</v>
      </c>
      <c r="K883" s="3">
        <v>0</v>
      </c>
      <c r="L883" s="3">
        <v>0</v>
      </c>
      <c r="M883" s="3">
        <v>0</v>
      </c>
      <c r="N883" s="3" t="s">
        <v>868</v>
      </c>
      <c r="O883" s="3">
        <v>0</v>
      </c>
      <c r="P883" s="3">
        <v>0</v>
      </c>
      <c r="Q883" s="3">
        <v>0</v>
      </c>
      <c r="R883" s="3">
        <v>0</v>
      </c>
      <c r="S883" s="3">
        <v>0</v>
      </c>
      <c r="T883" s="3">
        <v>1</v>
      </c>
      <c r="U883" s="3">
        <v>1</v>
      </c>
      <c r="V883" s="3">
        <v>3</v>
      </c>
      <c r="W883" s="3"/>
      <c r="X883" s="3">
        <v>22.98</v>
      </c>
      <c r="Y883" s="3">
        <v>22.98</v>
      </c>
      <c r="Z883" s="3">
        <v>22.98</v>
      </c>
      <c r="AA883" s="3">
        <v>0</v>
      </c>
      <c r="AB883" s="3" t="s">
        <v>869</v>
      </c>
      <c r="AC883" s="3">
        <v>1</v>
      </c>
      <c r="AD883" s="3">
        <v>22.98</v>
      </c>
      <c r="AE883" s="3">
        <v>0</v>
      </c>
      <c r="AF883" s="3">
        <v>0</v>
      </c>
      <c r="AG883" s="3">
        <v>0</v>
      </c>
      <c r="AH883" s="3">
        <v>0.689655172413793</v>
      </c>
      <c r="AI883" s="3">
        <v>0.090488</v>
      </c>
      <c r="AJ883" s="3" t="s">
        <v>870</v>
      </c>
    </row>
    <row r="884" spans="1:36">
      <c r="A884" s="5">
        <v>43336</v>
      </c>
      <c r="B884" s="3" t="s">
        <v>2986</v>
      </c>
      <c r="C884" s="3" t="s">
        <v>2987</v>
      </c>
      <c r="D884" s="3" t="s">
        <v>2987</v>
      </c>
      <c r="E884" s="3" t="s">
        <v>2988</v>
      </c>
      <c r="F884" s="3" t="s">
        <v>867</v>
      </c>
      <c r="G884" s="3">
        <v>5</v>
      </c>
      <c r="H884" s="3">
        <v>0</v>
      </c>
      <c r="I884" s="3">
        <v>5</v>
      </c>
      <c r="J884" s="3">
        <v>0</v>
      </c>
      <c r="K884" s="3">
        <v>0</v>
      </c>
      <c r="L884" s="3">
        <v>0</v>
      </c>
      <c r="M884" s="3">
        <v>0</v>
      </c>
      <c r="N884" s="3" t="s">
        <v>868</v>
      </c>
      <c r="O884" s="3">
        <v>0</v>
      </c>
      <c r="P884" s="3">
        <v>0</v>
      </c>
      <c r="Q884" s="3">
        <v>0</v>
      </c>
      <c r="R884" s="3">
        <v>0</v>
      </c>
      <c r="S884" s="3">
        <v>0</v>
      </c>
      <c r="T884" s="3">
        <v>1</v>
      </c>
      <c r="U884" s="3">
        <v>1</v>
      </c>
      <c r="V884" s="3">
        <v>1</v>
      </c>
      <c r="W884" s="3"/>
      <c r="X884" s="3">
        <v>27.98</v>
      </c>
      <c r="Y884" s="3">
        <v>27.98</v>
      </c>
      <c r="Z884" s="3">
        <v>27.98</v>
      </c>
      <c r="AA884" s="3">
        <v>0</v>
      </c>
      <c r="AB884" s="3" t="s">
        <v>869</v>
      </c>
      <c r="AC884" s="3">
        <v>5</v>
      </c>
      <c r="AD884" s="3">
        <v>27.98</v>
      </c>
      <c r="AE884" s="3">
        <v>0</v>
      </c>
      <c r="AF884" s="3">
        <v>0</v>
      </c>
      <c r="AG884" s="3">
        <v>0</v>
      </c>
      <c r="AH884" s="3">
        <v>0.133333333333333</v>
      </c>
      <c r="AI884" s="3">
        <v>0.84535</v>
      </c>
      <c r="AJ884" s="3" t="s">
        <v>870</v>
      </c>
    </row>
    <row r="885" spans="1:36">
      <c r="A885" s="5">
        <v>43336</v>
      </c>
      <c r="B885" s="3" t="s">
        <v>2989</v>
      </c>
      <c r="C885" s="3" t="s">
        <v>2990</v>
      </c>
      <c r="D885" s="3" t="s">
        <v>2990</v>
      </c>
      <c r="E885" s="3" t="s">
        <v>2991</v>
      </c>
      <c r="F885" s="3" t="s">
        <v>867</v>
      </c>
      <c r="G885" s="3">
        <v>12</v>
      </c>
      <c r="H885" s="3">
        <v>0</v>
      </c>
      <c r="I885" s="3">
        <v>0</v>
      </c>
      <c r="J885" s="3">
        <v>12</v>
      </c>
      <c r="K885" s="3">
        <v>0</v>
      </c>
      <c r="L885" s="3">
        <v>0</v>
      </c>
      <c r="M885" s="3">
        <v>0</v>
      </c>
      <c r="N885" s="3" t="s">
        <v>868</v>
      </c>
      <c r="O885" s="3">
        <v>11</v>
      </c>
      <c r="P885" s="3">
        <v>6.26</v>
      </c>
      <c r="Q885" s="3">
        <v>0</v>
      </c>
      <c r="R885" s="3">
        <v>0</v>
      </c>
      <c r="S885" s="3">
        <v>1</v>
      </c>
      <c r="T885" s="3">
        <v>1</v>
      </c>
      <c r="U885" s="3">
        <v>4</v>
      </c>
      <c r="V885" s="3">
        <v>4</v>
      </c>
      <c r="W885" s="3"/>
      <c r="X885" s="3">
        <v>25.98</v>
      </c>
      <c r="Y885" s="3">
        <v>25.98</v>
      </c>
      <c r="Z885" s="3">
        <v>25.98</v>
      </c>
      <c r="AA885" s="3">
        <v>0</v>
      </c>
      <c r="AB885" s="3" t="s">
        <v>869</v>
      </c>
      <c r="AC885" s="3">
        <v>13</v>
      </c>
      <c r="AD885" s="3">
        <v>25.98</v>
      </c>
      <c r="AE885" s="3">
        <v>0</v>
      </c>
      <c r="AF885" s="3">
        <v>0</v>
      </c>
      <c r="AG885" s="3">
        <v>0</v>
      </c>
      <c r="AH885" s="3">
        <v>0.156862745098039</v>
      </c>
      <c r="AI885" s="3">
        <v>1.979256</v>
      </c>
      <c r="AJ885" s="3" t="s">
        <v>870</v>
      </c>
    </row>
    <row r="886" spans="1:36">
      <c r="A886" s="5">
        <v>43336</v>
      </c>
      <c r="B886" s="3" t="s">
        <v>2992</v>
      </c>
      <c r="C886" s="3" t="s">
        <v>2993</v>
      </c>
      <c r="D886" s="3" t="s">
        <v>2993</v>
      </c>
      <c r="E886" s="3" t="s">
        <v>2994</v>
      </c>
      <c r="F886" s="3" t="s">
        <v>867</v>
      </c>
      <c r="G886" s="3">
        <v>3</v>
      </c>
      <c r="H886" s="3">
        <v>0</v>
      </c>
      <c r="I886" s="3">
        <v>0</v>
      </c>
      <c r="J886" s="3">
        <v>3</v>
      </c>
      <c r="K886" s="3">
        <v>0</v>
      </c>
      <c r="L886" s="3">
        <v>0</v>
      </c>
      <c r="M886" s="3">
        <v>0</v>
      </c>
      <c r="N886" s="3" t="s">
        <v>868</v>
      </c>
      <c r="O886" s="3">
        <v>0</v>
      </c>
      <c r="P886" s="3">
        <v>0</v>
      </c>
      <c r="Q886" s="3">
        <v>0</v>
      </c>
      <c r="R886" s="3">
        <v>0</v>
      </c>
      <c r="S886" s="3">
        <v>0</v>
      </c>
      <c r="T886" s="3">
        <v>4</v>
      </c>
      <c r="U886" s="3">
        <v>4</v>
      </c>
      <c r="V886" s="3">
        <v>4</v>
      </c>
      <c r="W886" s="3"/>
      <c r="X886" s="3">
        <v>20.98</v>
      </c>
      <c r="Y886" s="3">
        <v>20.98</v>
      </c>
      <c r="Z886" s="3">
        <v>20.98</v>
      </c>
      <c r="AA886" s="3">
        <v>0</v>
      </c>
      <c r="AB886" s="3" t="s">
        <v>869</v>
      </c>
      <c r="AC886" s="3">
        <v>3</v>
      </c>
      <c r="AD886" s="3">
        <v>20.98</v>
      </c>
      <c r="AE886" s="3">
        <v>0</v>
      </c>
      <c r="AF886" s="3">
        <v>0</v>
      </c>
      <c r="AG886" s="3">
        <v>0</v>
      </c>
      <c r="AH886" s="3">
        <v>0.842105263157894</v>
      </c>
      <c r="AI886" s="3">
        <v>0.250689</v>
      </c>
      <c r="AJ886" s="3" t="s">
        <v>870</v>
      </c>
    </row>
    <row r="887" spans="1:36">
      <c r="A887" s="5">
        <v>43336</v>
      </c>
      <c r="B887" s="3" t="s">
        <v>2995</v>
      </c>
      <c r="C887" s="3" t="s">
        <v>1170</v>
      </c>
      <c r="D887" s="3" t="s">
        <v>1170</v>
      </c>
      <c r="E887" s="3" t="s">
        <v>1171</v>
      </c>
      <c r="F887" s="3" t="s">
        <v>867</v>
      </c>
      <c r="G887" s="3">
        <v>5</v>
      </c>
      <c r="H887" s="3">
        <v>0</v>
      </c>
      <c r="I887" s="3">
        <v>4</v>
      </c>
      <c r="J887" s="3">
        <v>1</v>
      </c>
      <c r="K887" s="3">
        <v>0</v>
      </c>
      <c r="L887" s="3">
        <v>0</v>
      </c>
      <c r="M887" s="3">
        <v>0</v>
      </c>
      <c r="N887" s="3" t="s">
        <v>868</v>
      </c>
      <c r="O887" s="3">
        <v>0</v>
      </c>
      <c r="P887" s="3">
        <v>0</v>
      </c>
      <c r="Q887" s="3">
        <v>0</v>
      </c>
      <c r="R887" s="3">
        <v>0</v>
      </c>
      <c r="S887" s="3">
        <v>3</v>
      </c>
      <c r="T887" s="3">
        <v>14</v>
      </c>
      <c r="U887" s="3">
        <v>27</v>
      </c>
      <c r="V887" s="3">
        <v>34</v>
      </c>
      <c r="W887" s="3"/>
      <c r="X887" s="3">
        <v>21.98</v>
      </c>
      <c r="Y887" s="3">
        <v>21.98</v>
      </c>
      <c r="Z887" s="3">
        <v>16.36</v>
      </c>
      <c r="AA887" s="3">
        <v>0</v>
      </c>
      <c r="AB887" s="3" t="s">
        <v>869</v>
      </c>
      <c r="AC887" s="3">
        <v>5</v>
      </c>
      <c r="AD887" s="3">
        <v>21.98</v>
      </c>
      <c r="AE887" s="3">
        <v>0</v>
      </c>
      <c r="AF887" s="3">
        <v>0</v>
      </c>
      <c r="AG887" s="3">
        <v>0</v>
      </c>
      <c r="AH887" s="3">
        <v>1.88461538461538</v>
      </c>
      <c r="AI887" s="3">
        <v>0.748464999999999</v>
      </c>
      <c r="AJ887" s="3" t="s">
        <v>870</v>
      </c>
    </row>
    <row r="888" spans="1:36">
      <c r="A888" s="5">
        <v>43336</v>
      </c>
      <c r="B888" s="3" t="s">
        <v>2996</v>
      </c>
      <c r="C888" s="3" t="s">
        <v>2997</v>
      </c>
      <c r="D888" s="3" t="s">
        <v>2997</v>
      </c>
      <c r="E888" s="3" t="s">
        <v>2998</v>
      </c>
      <c r="F888" s="3" t="s">
        <v>867</v>
      </c>
      <c r="G888" s="3">
        <v>6</v>
      </c>
      <c r="H888" s="3">
        <v>0</v>
      </c>
      <c r="I888" s="3">
        <v>1</v>
      </c>
      <c r="J888" s="3">
        <v>5</v>
      </c>
      <c r="K888" s="3">
        <v>0</v>
      </c>
      <c r="L888" s="3">
        <v>0</v>
      </c>
      <c r="M888" s="3">
        <v>0</v>
      </c>
      <c r="N888" s="3" t="s">
        <v>868</v>
      </c>
      <c r="O888" s="3">
        <v>0</v>
      </c>
      <c r="P888" s="3">
        <v>0</v>
      </c>
      <c r="Q888" s="3">
        <v>0</v>
      </c>
      <c r="R888" s="3">
        <v>0</v>
      </c>
      <c r="S888" s="3">
        <v>1</v>
      </c>
      <c r="T888" s="3">
        <v>1</v>
      </c>
      <c r="U888" s="3">
        <v>2</v>
      </c>
      <c r="V888" s="3">
        <v>2</v>
      </c>
      <c r="W888" s="3"/>
      <c r="X888" s="3">
        <v>22.98</v>
      </c>
      <c r="Y888" s="3">
        <v>22.98</v>
      </c>
      <c r="Z888" s="3">
        <v>22.98</v>
      </c>
      <c r="AA888" s="3">
        <v>0</v>
      </c>
      <c r="AB888" s="3" t="s">
        <v>883</v>
      </c>
      <c r="AC888" s="3">
        <v>0</v>
      </c>
      <c r="AD888" s="3">
        <v>20.64</v>
      </c>
      <c r="AE888" s="3">
        <v>168</v>
      </c>
      <c r="AF888" s="3">
        <v>0</v>
      </c>
      <c r="AG888" s="3">
        <v>165.076518</v>
      </c>
      <c r="AH888" s="3">
        <v>0.285714285714285</v>
      </c>
      <c r="AI888" s="3">
        <v>0.828612</v>
      </c>
      <c r="AJ888" s="3" t="s">
        <v>870</v>
      </c>
    </row>
    <row r="889" spans="1:36">
      <c r="A889" s="5">
        <v>43336</v>
      </c>
      <c r="B889" s="3" t="s">
        <v>2999</v>
      </c>
      <c r="C889" s="3" t="s">
        <v>3000</v>
      </c>
      <c r="D889" s="3" t="s">
        <v>3000</v>
      </c>
      <c r="E889" s="3" t="s">
        <v>3001</v>
      </c>
      <c r="F889" s="3" t="s">
        <v>867</v>
      </c>
      <c r="G889" s="3">
        <v>10</v>
      </c>
      <c r="H889" s="3">
        <v>0</v>
      </c>
      <c r="I889" s="3">
        <v>0</v>
      </c>
      <c r="J889" s="3">
        <v>10</v>
      </c>
      <c r="K889" s="3">
        <v>0</v>
      </c>
      <c r="L889" s="3">
        <v>0</v>
      </c>
      <c r="M889" s="3">
        <v>0</v>
      </c>
      <c r="N889" s="3" t="s">
        <v>868</v>
      </c>
      <c r="O889" s="3">
        <v>0</v>
      </c>
      <c r="P889" s="3">
        <v>0</v>
      </c>
      <c r="Q889" s="3">
        <v>0</v>
      </c>
      <c r="R889" s="3">
        <v>0</v>
      </c>
      <c r="S889" s="3">
        <v>0</v>
      </c>
      <c r="T889" s="3">
        <v>0</v>
      </c>
      <c r="U889" s="3">
        <v>0</v>
      </c>
      <c r="V889" s="3">
        <v>0</v>
      </c>
      <c r="W889" s="3" t="s">
        <v>936</v>
      </c>
      <c r="X889" s="3">
        <v>39.98</v>
      </c>
      <c r="Y889" s="3">
        <v>39.98</v>
      </c>
      <c r="Z889" s="3">
        <v>39.98</v>
      </c>
      <c r="AA889" s="3">
        <v>0</v>
      </c>
      <c r="AB889" s="3" t="s">
        <v>937</v>
      </c>
      <c r="AC889" s="3">
        <v>0</v>
      </c>
      <c r="AD889" s="3">
        <v>31.98</v>
      </c>
      <c r="AE889" s="3">
        <v>63</v>
      </c>
      <c r="AF889" s="3">
        <v>0</v>
      </c>
      <c r="AG889" s="3">
        <v>151.666819</v>
      </c>
      <c r="AH889" s="3">
        <v>0</v>
      </c>
      <c r="AI889" s="3">
        <v>1.02629</v>
      </c>
      <c r="AJ889" s="3" t="s">
        <v>870</v>
      </c>
    </row>
    <row r="890" spans="1:36">
      <c r="A890" s="5">
        <v>43336</v>
      </c>
      <c r="B890" s="3" t="s">
        <v>3002</v>
      </c>
      <c r="C890" s="3" t="s">
        <v>3003</v>
      </c>
      <c r="D890" s="3" t="s">
        <v>734</v>
      </c>
      <c r="E890" s="3" t="s">
        <v>735</v>
      </c>
      <c r="F890" s="3" t="s">
        <v>867</v>
      </c>
      <c r="G890" s="3">
        <v>8</v>
      </c>
      <c r="H890" s="3">
        <v>0</v>
      </c>
      <c r="I890" s="3">
        <v>8</v>
      </c>
      <c r="J890" s="3">
        <v>0</v>
      </c>
      <c r="K890" s="3">
        <v>0</v>
      </c>
      <c r="L890" s="3">
        <v>0</v>
      </c>
      <c r="M890" s="3">
        <v>0</v>
      </c>
      <c r="N890" s="3" t="s">
        <v>868</v>
      </c>
      <c r="O890" s="3">
        <v>0</v>
      </c>
      <c r="P890" s="3">
        <v>0</v>
      </c>
      <c r="Q890" s="3">
        <v>0</v>
      </c>
      <c r="R890" s="3">
        <v>0</v>
      </c>
      <c r="S890" s="3">
        <v>0</v>
      </c>
      <c r="T890" s="3">
        <v>1</v>
      </c>
      <c r="U890" s="3">
        <v>1</v>
      </c>
      <c r="V890" s="3">
        <v>1</v>
      </c>
      <c r="W890" s="3"/>
      <c r="X890" s="3">
        <v>22.98</v>
      </c>
      <c r="Y890" s="3">
        <v>22.98</v>
      </c>
      <c r="Z890" s="3">
        <v>22.98</v>
      </c>
      <c r="AA890" s="3">
        <v>0</v>
      </c>
      <c r="AB890" s="3" t="s">
        <v>883</v>
      </c>
      <c r="AC890" s="3">
        <v>3</v>
      </c>
      <c r="AD890" s="3">
        <v>19</v>
      </c>
      <c r="AE890" s="3">
        <v>105</v>
      </c>
      <c r="AF890" s="3">
        <v>0</v>
      </c>
      <c r="AG890" s="3">
        <v>6.816207</v>
      </c>
      <c r="AH890" s="3">
        <v>0.277777777777777</v>
      </c>
      <c r="AI890" s="3">
        <v>0.668504</v>
      </c>
      <c r="AJ890" s="3" t="s">
        <v>870</v>
      </c>
    </row>
    <row r="891" spans="1:36">
      <c r="A891" s="5">
        <v>43336</v>
      </c>
      <c r="B891" s="3" t="s">
        <v>697</v>
      </c>
      <c r="C891" s="3" t="s">
        <v>698</v>
      </c>
      <c r="D891" s="3" t="s">
        <v>698</v>
      </c>
      <c r="E891" s="3" t="s">
        <v>699</v>
      </c>
      <c r="F891" s="3" t="s">
        <v>867</v>
      </c>
      <c r="G891" s="3">
        <v>5</v>
      </c>
      <c r="H891" s="3">
        <v>0</v>
      </c>
      <c r="I891" s="3">
        <v>0</v>
      </c>
      <c r="J891" s="3">
        <v>5</v>
      </c>
      <c r="K891" s="3">
        <v>0</v>
      </c>
      <c r="L891" s="3">
        <v>0</v>
      </c>
      <c r="M891" s="3">
        <v>0</v>
      </c>
      <c r="N891" s="3" t="s">
        <v>868</v>
      </c>
      <c r="O891" s="3">
        <v>0</v>
      </c>
      <c r="P891" s="3">
        <v>0</v>
      </c>
      <c r="Q891" s="3">
        <v>0</v>
      </c>
      <c r="R891" s="3">
        <v>0</v>
      </c>
      <c r="S891" s="3">
        <v>1</v>
      </c>
      <c r="T891" s="3">
        <v>2</v>
      </c>
      <c r="U891" s="3">
        <v>2</v>
      </c>
      <c r="V891" s="3">
        <v>7</v>
      </c>
      <c r="W891" s="3"/>
      <c r="X891" s="3">
        <v>23.98</v>
      </c>
      <c r="Y891" s="3">
        <v>23.98</v>
      </c>
      <c r="Z891" s="3">
        <v>23.98</v>
      </c>
      <c r="AA891" s="3">
        <v>0</v>
      </c>
      <c r="AB891" s="3" t="s">
        <v>869</v>
      </c>
      <c r="AC891" s="3">
        <v>6</v>
      </c>
      <c r="AD891" s="3">
        <v>23.98</v>
      </c>
      <c r="AE891" s="3">
        <v>0</v>
      </c>
      <c r="AF891" s="3">
        <v>0</v>
      </c>
      <c r="AG891" s="3">
        <v>0</v>
      </c>
      <c r="AH891" s="3">
        <v>1.37142857142857</v>
      </c>
      <c r="AI891" s="3">
        <v>0.38889</v>
      </c>
      <c r="AJ891" s="3" t="s">
        <v>870</v>
      </c>
    </row>
    <row r="892" spans="1:36">
      <c r="A892" s="5">
        <v>43336</v>
      </c>
      <c r="B892" s="3" t="s">
        <v>317</v>
      </c>
      <c r="C892" s="3" t="s">
        <v>318</v>
      </c>
      <c r="D892" s="3" t="s">
        <v>319</v>
      </c>
      <c r="E892" s="3" t="s">
        <v>320</v>
      </c>
      <c r="F892" s="3" t="s">
        <v>867</v>
      </c>
      <c r="G892" s="3">
        <v>54</v>
      </c>
      <c r="H892" s="3">
        <v>0</v>
      </c>
      <c r="I892" s="3">
        <v>54</v>
      </c>
      <c r="J892" s="3">
        <v>0</v>
      </c>
      <c r="K892" s="3">
        <v>0</v>
      </c>
      <c r="L892" s="3">
        <v>0</v>
      </c>
      <c r="M892" s="3">
        <v>0</v>
      </c>
      <c r="N892" s="3" t="s">
        <v>868</v>
      </c>
      <c r="O892" s="3">
        <v>0</v>
      </c>
      <c r="P892" s="3">
        <v>0</v>
      </c>
      <c r="Q892" s="3">
        <v>0</v>
      </c>
      <c r="R892" s="3">
        <v>0</v>
      </c>
      <c r="S892" s="3">
        <v>11</v>
      </c>
      <c r="T892" s="3">
        <v>41</v>
      </c>
      <c r="U892" s="3">
        <v>70</v>
      </c>
      <c r="V892" s="3">
        <v>70</v>
      </c>
      <c r="W892" s="3"/>
      <c r="X892" s="3">
        <v>23.98</v>
      </c>
      <c r="Y892" s="3">
        <v>23.98</v>
      </c>
      <c r="Z892" s="3">
        <v>23.98</v>
      </c>
      <c r="AA892" s="3">
        <v>0</v>
      </c>
      <c r="AB892" s="3" t="s">
        <v>869</v>
      </c>
      <c r="AC892" s="3">
        <v>58</v>
      </c>
      <c r="AD892" s="3">
        <v>23.98</v>
      </c>
      <c r="AE892" s="3">
        <v>0</v>
      </c>
      <c r="AF892" s="3">
        <v>0</v>
      </c>
      <c r="AG892" s="3">
        <v>0</v>
      </c>
      <c r="AH892" s="3">
        <v>5.35338345864661</v>
      </c>
      <c r="AI892" s="3">
        <v>6.416226</v>
      </c>
      <c r="AJ892" s="3" t="s">
        <v>870</v>
      </c>
    </row>
    <row r="893" spans="1:36">
      <c r="A893" s="5">
        <v>43336</v>
      </c>
      <c r="B893" s="3" t="s">
        <v>3004</v>
      </c>
      <c r="C893" s="3" t="s">
        <v>3005</v>
      </c>
      <c r="D893" s="3" t="s">
        <v>3005</v>
      </c>
      <c r="E893" s="3" t="s">
        <v>3006</v>
      </c>
      <c r="F893" s="3" t="s">
        <v>867</v>
      </c>
      <c r="G893" s="3">
        <v>2</v>
      </c>
      <c r="H893" s="3">
        <v>0</v>
      </c>
      <c r="I893" s="3">
        <v>1</v>
      </c>
      <c r="J893" s="3">
        <v>0</v>
      </c>
      <c r="K893" s="3">
        <v>1</v>
      </c>
      <c r="L893" s="3">
        <v>0</v>
      </c>
      <c r="M893" s="3">
        <v>0</v>
      </c>
      <c r="N893" s="3" t="s">
        <v>868</v>
      </c>
      <c r="O893" s="3">
        <v>1</v>
      </c>
      <c r="P893" s="3">
        <v>0.67</v>
      </c>
      <c r="Q893" s="3">
        <v>0</v>
      </c>
      <c r="R893" s="3">
        <v>0</v>
      </c>
      <c r="S893" s="3">
        <v>0</v>
      </c>
      <c r="T893" s="3">
        <v>2</v>
      </c>
      <c r="U893" s="3">
        <v>8</v>
      </c>
      <c r="V893" s="3">
        <v>10</v>
      </c>
      <c r="W893" s="3"/>
      <c r="X893" s="3">
        <v>15</v>
      </c>
      <c r="Y893" s="3">
        <v>15</v>
      </c>
      <c r="Z893" s="3">
        <v>15</v>
      </c>
      <c r="AA893" s="3">
        <v>0</v>
      </c>
      <c r="AB893" s="3" t="s">
        <v>869</v>
      </c>
      <c r="AC893" s="3">
        <v>2</v>
      </c>
      <c r="AD893" s="3">
        <v>15</v>
      </c>
      <c r="AE893" s="3">
        <v>0</v>
      </c>
      <c r="AF893" s="3">
        <v>0</v>
      </c>
      <c r="AG893" s="3">
        <v>0</v>
      </c>
      <c r="AH893" s="3">
        <v>1.53846153846153</v>
      </c>
      <c r="AI893" s="3">
        <v>0.389128</v>
      </c>
      <c r="AJ893" s="3" t="s">
        <v>870</v>
      </c>
    </row>
    <row r="894" spans="1:36">
      <c r="A894" s="5">
        <v>43336</v>
      </c>
      <c r="B894" s="3" t="s">
        <v>3007</v>
      </c>
      <c r="C894" s="3" t="s">
        <v>3008</v>
      </c>
      <c r="D894" s="3" t="s">
        <v>3008</v>
      </c>
      <c r="E894" s="3" t="s">
        <v>3009</v>
      </c>
      <c r="F894" s="3" t="s">
        <v>867</v>
      </c>
      <c r="G894" s="3">
        <v>8</v>
      </c>
      <c r="H894" s="3">
        <v>0</v>
      </c>
      <c r="I894" s="3">
        <v>8</v>
      </c>
      <c r="J894" s="3">
        <v>0</v>
      </c>
      <c r="K894" s="3">
        <v>0</v>
      </c>
      <c r="L894" s="3">
        <v>0</v>
      </c>
      <c r="M894" s="3">
        <v>0</v>
      </c>
      <c r="N894" s="3" t="s">
        <v>868</v>
      </c>
      <c r="O894" s="3">
        <v>0</v>
      </c>
      <c r="P894" s="3">
        <v>0</v>
      </c>
      <c r="Q894" s="3">
        <v>0</v>
      </c>
      <c r="R894" s="3">
        <v>0</v>
      </c>
      <c r="S894" s="3">
        <v>0</v>
      </c>
      <c r="T894" s="3">
        <v>1</v>
      </c>
      <c r="U894" s="3">
        <v>2</v>
      </c>
      <c r="V894" s="3">
        <v>3</v>
      </c>
      <c r="W894" s="3"/>
      <c r="X894" s="3">
        <v>27.98</v>
      </c>
      <c r="Y894" s="3">
        <v>27.98</v>
      </c>
      <c r="Z894" s="3">
        <v>27.98</v>
      </c>
      <c r="AA894" s="3">
        <v>0</v>
      </c>
      <c r="AB894" s="3" t="s">
        <v>869</v>
      </c>
      <c r="AC894" s="3">
        <v>8</v>
      </c>
      <c r="AD894" s="3">
        <v>27.98</v>
      </c>
      <c r="AE894" s="3">
        <v>0</v>
      </c>
      <c r="AF894" s="3">
        <v>0</v>
      </c>
      <c r="AG894" s="3">
        <v>0</v>
      </c>
      <c r="AH894" s="3">
        <v>0.413793103448275</v>
      </c>
      <c r="AI894" s="3">
        <v>1.35256</v>
      </c>
      <c r="AJ894" s="3" t="s">
        <v>870</v>
      </c>
    </row>
    <row r="895" spans="1:36">
      <c r="A895" s="5">
        <v>43336</v>
      </c>
      <c r="B895" s="3" t="s">
        <v>3010</v>
      </c>
      <c r="C895" s="3" t="s">
        <v>3011</v>
      </c>
      <c r="D895" s="3" t="s">
        <v>3011</v>
      </c>
      <c r="E895" s="3" t="s">
        <v>3012</v>
      </c>
      <c r="F895" s="3" t="s">
        <v>867</v>
      </c>
      <c r="G895" s="3">
        <v>4</v>
      </c>
      <c r="H895" s="3">
        <v>0</v>
      </c>
      <c r="I895" s="3">
        <v>0</v>
      </c>
      <c r="J895" s="3">
        <v>0</v>
      </c>
      <c r="K895" s="3">
        <v>4</v>
      </c>
      <c r="L895" s="3">
        <v>0</v>
      </c>
      <c r="M895" s="3">
        <v>0</v>
      </c>
      <c r="N895" s="3" t="s">
        <v>868</v>
      </c>
      <c r="O895" s="3">
        <v>4</v>
      </c>
      <c r="P895" s="3">
        <v>1.59</v>
      </c>
      <c r="Q895" s="3">
        <v>0</v>
      </c>
      <c r="R895" s="3">
        <v>0</v>
      </c>
      <c r="S895" s="3">
        <v>0</v>
      </c>
      <c r="T895" s="3">
        <v>1</v>
      </c>
      <c r="U895" s="3">
        <v>1</v>
      </c>
      <c r="V895" s="3">
        <v>2</v>
      </c>
      <c r="W895" s="3"/>
      <c r="X895" s="3">
        <v>25.98</v>
      </c>
      <c r="Y895" s="3">
        <v>25.98</v>
      </c>
      <c r="Z895" s="3">
        <v>25.98</v>
      </c>
      <c r="AA895" s="3">
        <v>0</v>
      </c>
      <c r="AB895" s="3" t="s">
        <v>869</v>
      </c>
      <c r="AC895" s="3">
        <v>4</v>
      </c>
      <c r="AD895" s="3">
        <v>25.98</v>
      </c>
      <c r="AE895" s="3">
        <v>0</v>
      </c>
      <c r="AF895" s="3">
        <v>0</v>
      </c>
      <c r="AG895" s="3">
        <v>0</v>
      </c>
      <c r="AH895" s="3">
        <v>0.4</v>
      </c>
      <c r="AI895" s="3">
        <v>0.461124</v>
      </c>
      <c r="AJ895" s="3" t="s">
        <v>870</v>
      </c>
    </row>
    <row r="896" spans="1:36">
      <c r="A896" s="5">
        <v>43336</v>
      </c>
      <c r="B896" s="3" t="s">
        <v>3013</v>
      </c>
      <c r="C896" s="3" t="s">
        <v>2437</v>
      </c>
      <c r="D896" s="3" t="s">
        <v>2437</v>
      </c>
      <c r="E896" s="3" t="s">
        <v>2438</v>
      </c>
      <c r="F896" s="3" t="s">
        <v>867</v>
      </c>
      <c r="G896" s="3">
        <v>15</v>
      </c>
      <c r="H896" s="3">
        <v>0</v>
      </c>
      <c r="I896" s="3">
        <v>15</v>
      </c>
      <c r="J896" s="3">
        <v>0</v>
      </c>
      <c r="K896" s="3">
        <v>0</v>
      </c>
      <c r="L896" s="3">
        <v>0</v>
      </c>
      <c r="M896" s="3">
        <v>0</v>
      </c>
      <c r="N896" s="3" t="s">
        <v>868</v>
      </c>
      <c r="O896" s="3">
        <v>0</v>
      </c>
      <c r="P896" s="3">
        <v>0</v>
      </c>
      <c r="Q896" s="3">
        <v>0</v>
      </c>
      <c r="R896" s="3">
        <v>0</v>
      </c>
      <c r="S896" s="3">
        <v>2</v>
      </c>
      <c r="T896" s="3">
        <v>13</v>
      </c>
      <c r="U896" s="3">
        <v>43</v>
      </c>
      <c r="V896" s="3">
        <v>60</v>
      </c>
      <c r="W896" s="3"/>
      <c r="X896" s="3">
        <v>21.98</v>
      </c>
      <c r="Y896" s="3">
        <v>21.98</v>
      </c>
      <c r="Z896" s="3">
        <v>21.98</v>
      </c>
      <c r="AA896" s="3">
        <v>0</v>
      </c>
      <c r="AB896" s="3" t="s">
        <v>869</v>
      </c>
      <c r="AC896" s="3">
        <v>15</v>
      </c>
      <c r="AD896" s="3">
        <v>21.98</v>
      </c>
      <c r="AE896" s="3">
        <v>0</v>
      </c>
      <c r="AF896" s="3">
        <v>0</v>
      </c>
      <c r="AG896" s="3">
        <v>0</v>
      </c>
      <c r="AH896" s="3">
        <v>3.01234567901234</v>
      </c>
      <c r="AI896" s="3">
        <v>2.245395</v>
      </c>
      <c r="AJ896" s="3" t="s">
        <v>870</v>
      </c>
    </row>
    <row r="897" spans="1:36">
      <c r="A897" s="5">
        <v>43336</v>
      </c>
      <c r="B897" s="3" t="s">
        <v>744</v>
      </c>
      <c r="C897" s="3" t="s">
        <v>745</v>
      </c>
      <c r="D897" s="3" t="s">
        <v>746</v>
      </c>
      <c r="E897" s="3" t="s">
        <v>747</v>
      </c>
      <c r="F897" s="3" t="s">
        <v>867</v>
      </c>
      <c r="G897" s="3">
        <v>4</v>
      </c>
      <c r="H897" s="3">
        <v>0</v>
      </c>
      <c r="I897" s="3">
        <v>4</v>
      </c>
      <c r="J897" s="3">
        <v>0</v>
      </c>
      <c r="K897" s="3">
        <v>0</v>
      </c>
      <c r="L897" s="3">
        <v>0</v>
      </c>
      <c r="M897" s="3">
        <v>0</v>
      </c>
      <c r="N897" s="3" t="s">
        <v>868</v>
      </c>
      <c r="O897" s="3">
        <v>0</v>
      </c>
      <c r="P897" s="3">
        <v>0</v>
      </c>
      <c r="Q897" s="3">
        <v>0</v>
      </c>
      <c r="R897" s="3">
        <v>0</v>
      </c>
      <c r="S897" s="3">
        <v>5</v>
      </c>
      <c r="T897" s="3">
        <v>6</v>
      </c>
      <c r="U897" s="3">
        <v>6</v>
      </c>
      <c r="V897" s="3">
        <v>6</v>
      </c>
      <c r="W897" s="3"/>
      <c r="X897" s="3">
        <v>22.98</v>
      </c>
      <c r="Y897" s="3">
        <v>22.98</v>
      </c>
      <c r="Z897" s="3">
        <v>22.98</v>
      </c>
      <c r="AA897" s="3">
        <v>0</v>
      </c>
      <c r="AB897" s="3" t="s">
        <v>869</v>
      </c>
      <c r="AC897" s="3">
        <v>7</v>
      </c>
      <c r="AD897" s="3">
        <v>22.98</v>
      </c>
      <c r="AE897" s="3">
        <v>0</v>
      </c>
      <c r="AF897" s="3">
        <v>0</v>
      </c>
      <c r="AG897" s="3">
        <v>0</v>
      </c>
      <c r="AH897" s="3">
        <v>4.19512195121951</v>
      </c>
      <c r="AI897" s="3">
        <v>0.334252</v>
      </c>
      <c r="AJ897" s="3" t="s">
        <v>870</v>
      </c>
    </row>
    <row r="898" spans="1:36">
      <c r="A898" s="5">
        <v>43336</v>
      </c>
      <c r="B898" s="3" t="s">
        <v>84</v>
      </c>
      <c r="C898" s="3" t="s">
        <v>85</v>
      </c>
      <c r="D898" s="3" t="s">
        <v>86</v>
      </c>
      <c r="E898" s="3" t="s">
        <v>87</v>
      </c>
      <c r="F898" s="3" t="s">
        <v>867</v>
      </c>
      <c r="G898" s="3">
        <v>12</v>
      </c>
      <c r="H898" s="3">
        <v>0</v>
      </c>
      <c r="I898" s="3">
        <v>12</v>
      </c>
      <c r="J898" s="3">
        <v>0</v>
      </c>
      <c r="K898" s="3">
        <v>0</v>
      </c>
      <c r="L898" s="3">
        <v>0</v>
      </c>
      <c r="M898" s="3">
        <v>0</v>
      </c>
      <c r="N898" s="3" t="s">
        <v>868</v>
      </c>
      <c r="O898" s="3">
        <v>0</v>
      </c>
      <c r="P898" s="3">
        <v>0</v>
      </c>
      <c r="Q898" s="3">
        <v>0</v>
      </c>
      <c r="R898" s="3">
        <v>0</v>
      </c>
      <c r="S898" s="3">
        <v>0</v>
      </c>
      <c r="T898" s="3">
        <v>4</v>
      </c>
      <c r="U898" s="3">
        <v>6</v>
      </c>
      <c r="V898" s="3">
        <v>6</v>
      </c>
      <c r="W898" s="3"/>
      <c r="X898" s="3">
        <v>45.98</v>
      </c>
      <c r="Y898" s="3">
        <v>27.98</v>
      </c>
      <c r="Z898" s="3">
        <v>27.98</v>
      </c>
      <c r="AA898" s="3">
        <v>0</v>
      </c>
      <c r="AB898" s="3" t="s">
        <v>869</v>
      </c>
      <c r="AC898" s="3">
        <v>12</v>
      </c>
      <c r="AD898" s="3">
        <v>27.98</v>
      </c>
      <c r="AE898" s="3">
        <v>0</v>
      </c>
      <c r="AF898" s="3">
        <v>0</v>
      </c>
      <c r="AG898" s="3">
        <v>0</v>
      </c>
      <c r="AH898" s="3">
        <v>2.66666666666666</v>
      </c>
      <c r="AI898" s="3">
        <v>2.02883999999999</v>
      </c>
      <c r="AJ898" s="3" t="s">
        <v>870</v>
      </c>
    </row>
    <row r="899" spans="1:36">
      <c r="A899" s="5">
        <v>43336</v>
      </c>
      <c r="B899" s="3" t="s">
        <v>285</v>
      </c>
      <c r="C899" s="3" t="s">
        <v>286</v>
      </c>
      <c r="D899" s="3" t="s">
        <v>287</v>
      </c>
      <c r="E899" s="3" t="s">
        <v>288</v>
      </c>
      <c r="F899" s="3" t="s">
        <v>867</v>
      </c>
      <c r="G899" s="3">
        <v>89</v>
      </c>
      <c r="H899" s="3">
        <v>0</v>
      </c>
      <c r="I899" s="3">
        <v>89</v>
      </c>
      <c r="J899" s="3">
        <v>0</v>
      </c>
      <c r="K899" s="3">
        <v>0</v>
      </c>
      <c r="L899" s="3">
        <v>0</v>
      </c>
      <c r="M899" s="3">
        <v>0</v>
      </c>
      <c r="N899" s="3" t="s">
        <v>868</v>
      </c>
      <c r="O899" s="3">
        <v>0</v>
      </c>
      <c r="P899" s="3">
        <v>0</v>
      </c>
      <c r="Q899" s="3">
        <v>0</v>
      </c>
      <c r="R899" s="3">
        <v>0</v>
      </c>
      <c r="S899" s="3">
        <v>12</v>
      </c>
      <c r="T899" s="3">
        <v>65</v>
      </c>
      <c r="U899" s="3">
        <v>103</v>
      </c>
      <c r="V899" s="3">
        <v>103</v>
      </c>
      <c r="W899" s="3"/>
      <c r="X899" s="3">
        <v>22.98</v>
      </c>
      <c r="Y899" s="3">
        <v>22.98</v>
      </c>
      <c r="Z899" s="3">
        <v>22.98</v>
      </c>
      <c r="AA899" s="3">
        <v>0</v>
      </c>
      <c r="AB899" s="3" t="s">
        <v>869</v>
      </c>
      <c r="AC899" s="3">
        <v>92</v>
      </c>
      <c r="AD899" s="3">
        <v>22.98</v>
      </c>
      <c r="AE899" s="3">
        <v>0</v>
      </c>
      <c r="AF899" s="3">
        <v>0</v>
      </c>
      <c r="AG899" s="3">
        <v>0</v>
      </c>
      <c r="AH899" s="3">
        <v>3.15223880597014</v>
      </c>
      <c r="AI899" s="3">
        <v>4.052081</v>
      </c>
      <c r="AJ899" s="3" t="s">
        <v>870</v>
      </c>
    </row>
    <row r="900" spans="1:36">
      <c r="A900" s="5">
        <v>43336</v>
      </c>
      <c r="B900" s="3" t="s">
        <v>3014</v>
      </c>
      <c r="C900" s="3" t="s">
        <v>3015</v>
      </c>
      <c r="D900" s="3" t="s">
        <v>1756</v>
      </c>
      <c r="E900" s="3" t="s">
        <v>1757</v>
      </c>
      <c r="F900" s="3" t="s">
        <v>867</v>
      </c>
      <c r="G900" s="3">
        <v>7</v>
      </c>
      <c r="H900" s="3">
        <v>0</v>
      </c>
      <c r="I900" s="3">
        <v>7</v>
      </c>
      <c r="J900" s="3">
        <v>0</v>
      </c>
      <c r="K900" s="3">
        <v>0</v>
      </c>
      <c r="L900" s="3">
        <v>0</v>
      </c>
      <c r="M900" s="3">
        <v>0</v>
      </c>
      <c r="N900" s="3" t="s">
        <v>868</v>
      </c>
      <c r="O900" s="3">
        <v>0</v>
      </c>
      <c r="P900" s="3">
        <v>0</v>
      </c>
      <c r="Q900" s="3">
        <v>0</v>
      </c>
      <c r="R900" s="3">
        <v>0</v>
      </c>
      <c r="S900" s="3">
        <v>0</v>
      </c>
      <c r="T900" s="3">
        <v>0</v>
      </c>
      <c r="U900" s="3">
        <v>2</v>
      </c>
      <c r="V900" s="3">
        <v>2</v>
      </c>
      <c r="W900" s="3" t="s">
        <v>871</v>
      </c>
      <c r="X900" s="3">
        <v>22.98</v>
      </c>
      <c r="Y900" s="3">
        <v>22.98</v>
      </c>
      <c r="Z900" s="3">
        <v>22.98</v>
      </c>
      <c r="AA900" s="3">
        <v>0</v>
      </c>
      <c r="AB900" s="3" t="s">
        <v>869</v>
      </c>
      <c r="AC900" s="3">
        <v>7</v>
      </c>
      <c r="AD900" s="3">
        <v>22.98</v>
      </c>
      <c r="AE900" s="3">
        <v>0</v>
      </c>
      <c r="AF900" s="3">
        <v>0</v>
      </c>
      <c r="AG900" s="3">
        <v>0</v>
      </c>
      <c r="AH900" s="3">
        <v>0.744186046511627</v>
      </c>
      <c r="AI900" s="3">
        <v>0.633416</v>
      </c>
      <c r="AJ900" s="3" t="s">
        <v>870</v>
      </c>
    </row>
    <row r="901" spans="1:36">
      <c r="A901" s="5">
        <v>43336</v>
      </c>
      <c r="B901" s="3" t="s">
        <v>556</v>
      </c>
      <c r="C901" s="3" t="s">
        <v>557</v>
      </c>
      <c r="D901" s="3" t="s">
        <v>558</v>
      </c>
      <c r="E901" s="3" t="s">
        <v>546</v>
      </c>
      <c r="F901" s="3" t="s">
        <v>867</v>
      </c>
      <c r="G901" s="3">
        <v>6</v>
      </c>
      <c r="H901" s="3">
        <v>0</v>
      </c>
      <c r="I901" s="3">
        <v>6</v>
      </c>
      <c r="J901" s="3">
        <v>0</v>
      </c>
      <c r="K901" s="3">
        <v>0</v>
      </c>
      <c r="L901" s="3">
        <v>0</v>
      </c>
      <c r="M901" s="3">
        <v>0</v>
      </c>
      <c r="N901" s="3" t="s">
        <v>868</v>
      </c>
      <c r="O901" s="3">
        <v>0</v>
      </c>
      <c r="P901" s="3">
        <v>0</v>
      </c>
      <c r="Q901" s="3">
        <v>0</v>
      </c>
      <c r="R901" s="3">
        <v>0</v>
      </c>
      <c r="S901" s="3">
        <v>1</v>
      </c>
      <c r="T901" s="3">
        <v>4</v>
      </c>
      <c r="U901" s="3">
        <v>7</v>
      </c>
      <c r="V901" s="3">
        <v>8</v>
      </c>
      <c r="W901" s="3"/>
      <c r="X901" s="3">
        <v>19.98</v>
      </c>
      <c r="Y901" s="3">
        <v>19.98</v>
      </c>
      <c r="Z901" s="3">
        <v>19.98</v>
      </c>
      <c r="AA901" s="3">
        <v>0</v>
      </c>
      <c r="AB901" s="3" t="s">
        <v>869</v>
      </c>
      <c r="AC901" s="3">
        <v>6</v>
      </c>
      <c r="AD901" s="3">
        <v>19.98</v>
      </c>
      <c r="AE901" s="3">
        <v>0</v>
      </c>
      <c r="AF901" s="3">
        <v>0</v>
      </c>
      <c r="AG901" s="3">
        <v>0</v>
      </c>
      <c r="AH901" s="3">
        <v>1.26315789473684</v>
      </c>
      <c r="AI901" s="3">
        <v>0.524826</v>
      </c>
      <c r="AJ901" s="3" t="s">
        <v>870</v>
      </c>
    </row>
    <row r="902" spans="1:36">
      <c r="A902" s="5">
        <v>43336</v>
      </c>
      <c r="B902" s="3" t="s">
        <v>3016</v>
      </c>
      <c r="C902" s="3" t="s">
        <v>3017</v>
      </c>
      <c r="D902" s="3" t="s">
        <v>3017</v>
      </c>
      <c r="E902" s="3" t="s">
        <v>3018</v>
      </c>
      <c r="F902" s="3" t="s">
        <v>867</v>
      </c>
      <c r="G902" s="3">
        <v>7</v>
      </c>
      <c r="H902" s="3">
        <v>0</v>
      </c>
      <c r="I902" s="3">
        <v>6</v>
      </c>
      <c r="J902" s="3">
        <v>1</v>
      </c>
      <c r="K902" s="3">
        <v>0</v>
      </c>
      <c r="L902" s="3">
        <v>0</v>
      </c>
      <c r="M902" s="3">
        <v>0</v>
      </c>
      <c r="N902" s="3" t="s">
        <v>868</v>
      </c>
      <c r="O902" s="3">
        <v>0</v>
      </c>
      <c r="P902" s="3">
        <v>0</v>
      </c>
      <c r="Q902" s="3">
        <v>0</v>
      </c>
      <c r="R902" s="3">
        <v>0</v>
      </c>
      <c r="S902" s="3">
        <v>0</v>
      </c>
      <c r="T902" s="3">
        <v>0</v>
      </c>
      <c r="U902" s="3">
        <v>0</v>
      </c>
      <c r="V902" s="3">
        <v>1</v>
      </c>
      <c r="W902" s="3" t="s">
        <v>871</v>
      </c>
      <c r="X902" s="3">
        <v>27.98</v>
      </c>
      <c r="Y902" s="3">
        <v>27.98</v>
      </c>
      <c r="Z902" s="3">
        <v>27.98</v>
      </c>
      <c r="AA902" s="3">
        <v>0</v>
      </c>
      <c r="AB902" s="3" t="s">
        <v>883</v>
      </c>
      <c r="AC902" s="3">
        <v>0</v>
      </c>
      <c r="AD902" s="3">
        <v>24.25</v>
      </c>
      <c r="AE902" s="3">
        <v>168</v>
      </c>
      <c r="AF902" s="3">
        <v>0</v>
      </c>
      <c r="AG902" s="3">
        <v>237.484372</v>
      </c>
      <c r="AH902" s="3">
        <v>0.125</v>
      </c>
      <c r="AI902" s="3">
        <v>1.18349</v>
      </c>
      <c r="AJ902" s="3" t="s">
        <v>870</v>
      </c>
    </row>
    <row r="903" spans="1:36">
      <c r="A903" s="5">
        <v>43336</v>
      </c>
      <c r="B903" s="3" t="s">
        <v>3019</v>
      </c>
      <c r="C903" s="3" t="s">
        <v>3020</v>
      </c>
      <c r="D903" s="3" t="s">
        <v>3020</v>
      </c>
      <c r="E903" s="3" t="s">
        <v>3021</v>
      </c>
      <c r="F903" s="3" t="s">
        <v>867</v>
      </c>
      <c r="G903" s="3">
        <v>15</v>
      </c>
      <c r="H903" s="3">
        <v>0</v>
      </c>
      <c r="I903" s="3">
        <v>1</v>
      </c>
      <c r="J903" s="3">
        <v>14</v>
      </c>
      <c r="K903" s="3">
        <v>0</v>
      </c>
      <c r="L903" s="3">
        <v>0</v>
      </c>
      <c r="M903" s="3">
        <v>0</v>
      </c>
      <c r="N903" s="3" t="s">
        <v>868</v>
      </c>
      <c r="O903" s="3">
        <v>14</v>
      </c>
      <c r="P903" s="3">
        <v>7.97</v>
      </c>
      <c r="Q903" s="3">
        <v>0</v>
      </c>
      <c r="R903" s="3">
        <v>0</v>
      </c>
      <c r="S903" s="3">
        <v>0</v>
      </c>
      <c r="T903" s="3">
        <v>1</v>
      </c>
      <c r="U903" s="3">
        <v>1</v>
      </c>
      <c r="V903" s="3">
        <v>2</v>
      </c>
      <c r="W903" s="3" t="s">
        <v>871</v>
      </c>
      <c r="X903" s="3">
        <v>25.98</v>
      </c>
      <c r="Y903" s="3">
        <v>25.98</v>
      </c>
      <c r="Z903" s="3">
        <v>25.98</v>
      </c>
      <c r="AA903" s="3">
        <v>0</v>
      </c>
      <c r="AB903" s="3" t="s">
        <v>869</v>
      </c>
      <c r="AC903" s="3">
        <v>14</v>
      </c>
      <c r="AD903" s="3">
        <v>25.98</v>
      </c>
      <c r="AE903" s="3">
        <v>0</v>
      </c>
      <c r="AF903" s="3">
        <v>0</v>
      </c>
      <c r="AG903" s="3">
        <v>0</v>
      </c>
      <c r="AH903" s="3">
        <v>0.0975609756097561</v>
      </c>
      <c r="AI903" s="3">
        <v>2.47407</v>
      </c>
      <c r="AJ903" s="3" t="s">
        <v>870</v>
      </c>
    </row>
    <row r="904" spans="1:36">
      <c r="A904" s="5">
        <v>43336</v>
      </c>
      <c r="B904" s="3" t="s">
        <v>3022</v>
      </c>
      <c r="C904" s="3" t="s">
        <v>3023</v>
      </c>
      <c r="D904" s="3" t="s">
        <v>3023</v>
      </c>
      <c r="E904" s="3" t="s">
        <v>3024</v>
      </c>
      <c r="F904" s="3" t="s">
        <v>867</v>
      </c>
      <c r="G904" s="3">
        <v>1</v>
      </c>
      <c r="H904" s="3">
        <v>0</v>
      </c>
      <c r="I904" s="3">
        <v>1</v>
      </c>
      <c r="J904" s="3">
        <v>0</v>
      </c>
      <c r="K904" s="3">
        <v>0</v>
      </c>
      <c r="L904" s="3">
        <v>0</v>
      </c>
      <c r="M904" s="3">
        <v>0</v>
      </c>
      <c r="N904" s="3" t="s">
        <v>868</v>
      </c>
      <c r="O904" s="3">
        <v>0</v>
      </c>
      <c r="P904" s="3">
        <v>0</v>
      </c>
      <c r="Q904" s="3">
        <v>0</v>
      </c>
      <c r="R904" s="3">
        <v>0</v>
      </c>
      <c r="S904" s="3">
        <v>0</v>
      </c>
      <c r="T904" s="3">
        <v>0</v>
      </c>
      <c r="U904" s="3">
        <v>2</v>
      </c>
      <c r="V904" s="3">
        <v>2</v>
      </c>
      <c r="W904" s="3" t="s">
        <v>936</v>
      </c>
      <c r="X904" s="3">
        <v>64.98</v>
      </c>
      <c r="Y904" s="3">
        <v>64.98</v>
      </c>
      <c r="Z904" s="3">
        <v>64.98</v>
      </c>
      <c r="AA904" s="3">
        <v>0</v>
      </c>
      <c r="AB904" s="3" t="s">
        <v>937</v>
      </c>
      <c r="AC904" s="3">
        <v>0</v>
      </c>
      <c r="AD904" s="3">
        <v>61.41</v>
      </c>
      <c r="AE904" s="3">
        <v>7</v>
      </c>
      <c r="AF904" s="3">
        <v>0</v>
      </c>
      <c r="AG904" s="3">
        <v>71.135194</v>
      </c>
      <c r="AH904" s="3">
        <v>1.6</v>
      </c>
      <c r="AI904" s="3">
        <v>0.70484</v>
      </c>
      <c r="AJ904" s="3" t="s">
        <v>870</v>
      </c>
    </row>
    <row r="905" spans="1:36">
      <c r="A905" s="5">
        <v>43336</v>
      </c>
      <c r="B905" s="3" t="s">
        <v>3025</v>
      </c>
      <c r="C905" s="3" t="s">
        <v>3026</v>
      </c>
      <c r="D905" s="3" t="s">
        <v>3026</v>
      </c>
      <c r="E905" s="3" t="s">
        <v>3027</v>
      </c>
      <c r="F905" s="3" t="s">
        <v>867</v>
      </c>
      <c r="G905" s="3">
        <v>5</v>
      </c>
      <c r="H905" s="3">
        <v>0</v>
      </c>
      <c r="I905" s="3">
        <v>1</v>
      </c>
      <c r="J905" s="3">
        <v>4</v>
      </c>
      <c r="K905" s="3">
        <v>0</v>
      </c>
      <c r="L905" s="3">
        <v>0</v>
      </c>
      <c r="M905" s="3">
        <v>0</v>
      </c>
      <c r="N905" s="3" t="s">
        <v>868</v>
      </c>
      <c r="O905" s="3">
        <v>0</v>
      </c>
      <c r="P905" s="3">
        <v>0</v>
      </c>
      <c r="Q905" s="3">
        <v>0</v>
      </c>
      <c r="R905" s="3">
        <v>0</v>
      </c>
      <c r="S905" s="3">
        <v>1</v>
      </c>
      <c r="T905" s="3">
        <v>5</v>
      </c>
      <c r="U905" s="3">
        <v>12</v>
      </c>
      <c r="V905" s="3">
        <v>14</v>
      </c>
      <c r="W905" s="3"/>
      <c r="X905" s="3">
        <v>26.98</v>
      </c>
      <c r="Y905" s="3">
        <v>26.98</v>
      </c>
      <c r="Z905" s="3">
        <v>26.98</v>
      </c>
      <c r="AA905" s="3">
        <v>0</v>
      </c>
      <c r="AB905" s="3" t="s">
        <v>869</v>
      </c>
      <c r="AC905" s="3">
        <v>5</v>
      </c>
      <c r="AD905" s="3">
        <v>26.98</v>
      </c>
      <c r="AE905" s="3">
        <v>0</v>
      </c>
      <c r="AF905" s="3">
        <v>0</v>
      </c>
      <c r="AG905" s="3">
        <v>0</v>
      </c>
      <c r="AH905" s="3">
        <v>1.09803921568627</v>
      </c>
      <c r="AI905" s="3">
        <v>0.661629999999999</v>
      </c>
      <c r="AJ905" s="3" t="s">
        <v>870</v>
      </c>
    </row>
    <row r="906" spans="1:36">
      <c r="A906" s="5">
        <v>43336</v>
      </c>
      <c r="B906" s="3" t="s">
        <v>3028</v>
      </c>
      <c r="C906" s="3" t="s">
        <v>3029</v>
      </c>
      <c r="D906" s="3" t="s">
        <v>3029</v>
      </c>
      <c r="E906" s="3" t="s">
        <v>3030</v>
      </c>
      <c r="F906" s="3" t="s">
        <v>867</v>
      </c>
      <c r="G906" s="3">
        <v>1</v>
      </c>
      <c r="H906" s="3">
        <v>0</v>
      </c>
      <c r="I906" s="3">
        <v>0</v>
      </c>
      <c r="J906" s="3">
        <v>0</v>
      </c>
      <c r="K906" s="3">
        <v>1</v>
      </c>
      <c r="L906" s="3">
        <v>0</v>
      </c>
      <c r="M906" s="3">
        <v>0</v>
      </c>
      <c r="N906" s="3" t="s">
        <v>868</v>
      </c>
      <c r="O906" s="3">
        <v>1</v>
      </c>
      <c r="P906" s="3">
        <v>0.3</v>
      </c>
      <c r="Q906" s="3">
        <v>0</v>
      </c>
      <c r="R906" s="3">
        <v>0</v>
      </c>
      <c r="S906" s="3">
        <v>0</v>
      </c>
      <c r="T906" s="3">
        <v>0</v>
      </c>
      <c r="U906" s="3">
        <v>1</v>
      </c>
      <c r="V906" s="3">
        <v>1</v>
      </c>
      <c r="W906" s="3" t="s">
        <v>871</v>
      </c>
      <c r="X906" s="3">
        <v>23.98</v>
      </c>
      <c r="Y906" s="3">
        <v>23.98</v>
      </c>
      <c r="Z906" s="3">
        <v>23.98</v>
      </c>
      <c r="AA906" s="3">
        <v>0</v>
      </c>
      <c r="AB906" s="3" t="s">
        <v>869</v>
      </c>
      <c r="AC906" s="3">
        <v>1</v>
      </c>
      <c r="AD906" s="3">
        <v>23.98</v>
      </c>
      <c r="AE906" s="3">
        <v>0</v>
      </c>
      <c r="AF906" s="3">
        <v>0</v>
      </c>
      <c r="AG906" s="3">
        <v>0</v>
      </c>
      <c r="AH906" s="3">
        <v>0.666666666666666</v>
      </c>
      <c r="AI906" s="3">
        <v>0.088233</v>
      </c>
      <c r="AJ906" s="3" t="s">
        <v>870</v>
      </c>
    </row>
    <row r="907" spans="1:36">
      <c r="A907" s="5">
        <v>43336</v>
      </c>
      <c r="B907" s="3" t="s">
        <v>3031</v>
      </c>
      <c r="C907" s="3" t="s">
        <v>371</v>
      </c>
      <c r="D907" s="3" t="s">
        <v>371</v>
      </c>
      <c r="E907" s="3" t="s">
        <v>372</v>
      </c>
      <c r="F907" s="3" t="s">
        <v>867</v>
      </c>
      <c r="G907" s="3">
        <v>9</v>
      </c>
      <c r="H907" s="3">
        <v>0</v>
      </c>
      <c r="I907" s="3">
        <v>9</v>
      </c>
      <c r="J907" s="3">
        <v>0</v>
      </c>
      <c r="K907" s="3">
        <v>0</v>
      </c>
      <c r="L907" s="3">
        <v>0</v>
      </c>
      <c r="M907" s="3">
        <v>0</v>
      </c>
      <c r="N907" s="3" t="s">
        <v>868</v>
      </c>
      <c r="O907" s="3">
        <v>0</v>
      </c>
      <c r="P907" s="3">
        <v>0</v>
      </c>
      <c r="Q907" s="3">
        <v>0</v>
      </c>
      <c r="R907" s="3">
        <v>0</v>
      </c>
      <c r="S907" s="3">
        <v>0</v>
      </c>
      <c r="T907" s="3">
        <v>0</v>
      </c>
      <c r="U907" s="3">
        <v>10</v>
      </c>
      <c r="V907" s="3">
        <v>164</v>
      </c>
      <c r="W907" s="3" t="s">
        <v>871</v>
      </c>
      <c r="X907" s="3">
        <v>24.98</v>
      </c>
      <c r="Y907" s="3">
        <v>24.98</v>
      </c>
      <c r="Z907" s="3">
        <v>23.98</v>
      </c>
      <c r="AA907" s="3">
        <v>0</v>
      </c>
      <c r="AB907" s="3" t="s">
        <v>869</v>
      </c>
      <c r="AC907" s="3">
        <v>8</v>
      </c>
      <c r="AD907" s="3">
        <v>24.98</v>
      </c>
      <c r="AE907" s="3">
        <v>0</v>
      </c>
      <c r="AF907" s="3">
        <v>0</v>
      </c>
      <c r="AG907" s="3">
        <v>0</v>
      </c>
      <c r="AH907" s="3">
        <v>6.41198501872659</v>
      </c>
      <c r="AI907" s="3">
        <v>0.409761</v>
      </c>
      <c r="AJ907" s="3" t="s">
        <v>870</v>
      </c>
    </row>
    <row r="908" spans="1:36">
      <c r="A908" s="5">
        <v>43336</v>
      </c>
      <c r="B908" s="3" t="s">
        <v>3032</v>
      </c>
      <c r="C908" s="3" t="s">
        <v>3033</v>
      </c>
      <c r="D908" s="3" t="s">
        <v>3033</v>
      </c>
      <c r="E908" s="3" t="s">
        <v>131</v>
      </c>
      <c r="F908" s="3" t="s">
        <v>867</v>
      </c>
      <c r="G908" s="3">
        <v>16</v>
      </c>
      <c r="H908" s="3">
        <v>0</v>
      </c>
      <c r="I908" s="3">
        <v>1</v>
      </c>
      <c r="J908" s="3">
        <v>15</v>
      </c>
      <c r="K908" s="3">
        <v>0</v>
      </c>
      <c r="L908" s="3">
        <v>0</v>
      </c>
      <c r="M908" s="3">
        <v>0</v>
      </c>
      <c r="N908" s="3" t="s">
        <v>868</v>
      </c>
      <c r="O908" s="3">
        <v>15</v>
      </c>
      <c r="P908" s="3">
        <v>10.27</v>
      </c>
      <c r="Q908" s="3">
        <v>0</v>
      </c>
      <c r="R908" s="3">
        <v>0</v>
      </c>
      <c r="S908" s="3">
        <v>2</v>
      </c>
      <c r="T908" s="3">
        <v>4</v>
      </c>
      <c r="U908" s="3">
        <v>4</v>
      </c>
      <c r="V908" s="3">
        <v>7</v>
      </c>
      <c r="W908" s="3" t="s">
        <v>871</v>
      </c>
      <c r="X908" s="3">
        <v>23.98</v>
      </c>
      <c r="Y908" s="3">
        <v>23.98</v>
      </c>
      <c r="Z908" s="3">
        <v>23.98</v>
      </c>
      <c r="AA908" s="3">
        <v>0</v>
      </c>
      <c r="AB908" s="3" t="s">
        <v>883</v>
      </c>
      <c r="AC908" s="3">
        <v>7</v>
      </c>
      <c r="AD908" s="3">
        <v>21.52</v>
      </c>
      <c r="AE908" s="3">
        <v>98</v>
      </c>
      <c r="AF908" s="3">
        <v>0</v>
      </c>
      <c r="AG908" s="3">
        <v>11.445113</v>
      </c>
      <c r="AH908" s="3">
        <v>0.363636363636363</v>
      </c>
      <c r="AI908" s="3">
        <v>3.17496</v>
      </c>
      <c r="AJ908" s="3" t="s">
        <v>870</v>
      </c>
    </row>
    <row r="909" spans="1:36">
      <c r="A909" s="5">
        <v>43336</v>
      </c>
      <c r="B909" s="3" t="s">
        <v>365</v>
      </c>
      <c r="C909" s="3" t="s">
        <v>366</v>
      </c>
      <c r="D909" s="3" t="s">
        <v>367</v>
      </c>
      <c r="E909" s="3" t="s">
        <v>368</v>
      </c>
      <c r="F909" s="3" t="s">
        <v>867</v>
      </c>
      <c r="G909" s="3">
        <v>31</v>
      </c>
      <c r="H909" s="3">
        <v>0</v>
      </c>
      <c r="I909" s="3">
        <v>31</v>
      </c>
      <c r="J909" s="3">
        <v>0</v>
      </c>
      <c r="K909" s="3">
        <v>0</v>
      </c>
      <c r="L909" s="3">
        <v>0</v>
      </c>
      <c r="M909" s="3">
        <v>0</v>
      </c>
      <c r="N909" s="3" t="s">
        <v>868</v>
      </c>
      <c r="O909" s="3">
        <v>0</v>
      </c>
      <c r="P909" s="3">
        <v>0</v>
      </c>
      <c r="Q909" s="3">
        <v>0</v>
      </c>
      <c r="R909" s="3">
        <v>0</v>
      </c>
      <c r="S909" s="3">
        <v>5</v>
      </c>
      <c r="T909" s="3">
        <v>72</v>
      </c>
      <c r="U909" s="3">
        <v>115</v>
      </c>
      <c r="V909" s="3">
        <v>115</v>
      </c>
      <c r="W909" s="3"/>
      <c r="X909" s="3">
        <v>23.98</v>
      </c>
      <c r="Y909" s="3">
        <v>23.98</v>
      </c>
      <c r="Z909" s="3">
        <v>23.98</v>
      </c>
      <c r="AA909" s="3">
        <v>0</v>
      </c>
      <c r="AB909" s="3" t="s">
        <v>869</v>
      </c>
      <c r="AC909" s="3">
        <v>0</v>
      </c>
      <c r="AD909" s="3">
        <v>0</v>
      </c>
      <c r="AE909" s="3">
        <v>0</v>
      </c>
      <c r="AF909" s="3">
        <v>0</v>
      </c>
      <c r="AG909" s="3">
        <v>0</v>
      </c>
      <c r="AH909" s="3">
        <v>5.41293532338308</v>
      </c>
      <c r="AI909" s="3">
        <v>5.289716</v>
      </c>
      <c r="AJ909" s="3" t="s">
        <v>870</v>
      </c>
    </row>
    <row r="910" spans="1:36">
      <c r="A910" s="5">
        <v>43336</v>
      </c>
      <c r="B910" s="3" t="s">
        <v>3034</v>
      </c>
      <c r="C910" s="3" t="s">
        <v>3035</v>
      </c>
      <c r="D910" s="3" t="s">
        <v>3036</v>
      </c>
      <c r="E910" s="3" t="s">
        <v>3037</v>
      </c>
      <c r="F910" s="3" t="s">
        <v>867</v>
      </c>
      <c r="G910" s="3">
        <v>5</v>
      </c>
      <c r="H910" s="3">
        <v>0</v>
      </c>
      <c r="I910" s="3">
        <v>5</v>
      </c>
      <c r="J910" s="3">
        <v>0</v>
      </c>
      <c r="K910" s="3">
        <v>0</v>
      </c>
      <c r="L910" s="3">
        <v>0</v>
      </c>
      <c r="M910" s="3">
        <v>0</v>
      </c>
      <c r="N910" s="3" t="s">
        <v>868</v>
      </c>
      <c r="O910" s="3">
        <v>0</v>
      </c>
      <c r="P910" s="3">
        <v>0</v>
      </c>
      <c r="Q910" s="3">
        <v>0</v>
      </c>
      <c r="R910" s="3">
        <v>0</v>
      </c>
      <c r="S910" s="3">
        <v>0</v>
      </c>
      <c r="T910" s="3">
        <v>0</v>
      </c>
      <c r="U910" s="3">
        <v>0</v>
      </c>
      <c r="V910" s="3">
        <v>0</v>
      </c>
      <c r="W910" s="3" t="s">
        <v>871</v>
      </c>
      <c r="X910" s="3">
        <v>22.98</v>
      </c>
      <c r="Y910" s="3">
        <v>22.98</v>
      </c>
      <c r="Z910" s="3">
        <v>22.98</v>
      </c>
      <c r="AA910" s="3">
        <v>0</v>
      </c>
      <c r="AB910" s="3" t="s">
        <v>883</v>
      </c>
      <c r="AC910" s="3">
        <v>0</v>
      </c>
      <c r="AD910" s="3">
        <v>18.38</v>
      </c>
      <c r="AE910" s="3">
        <v>63</v>
      </c>
      <c r="AF910" s="3">
        <v>0</v>
      </c>
      <c r="AG910" s="3">
        <v>85.657726</v>
      </c>
      <c r="AH910" s="3">
        <v>0</v>
      </c>
      <c r="AI910" s="3">
        <v>0.630784999999999</v>
      </c>
      <c r="AJ910" s="3" t="s">
        <v>870</v>
      </c>
    </row>
    <row r="911" spans="1:36">
      <c r="A911" s="5">
        <v>43336</v>
      </c>
      <c r="B911" s="3" t="s">
        <v>3038</v>
      </c>
      <c r="C911" s="3" t="s">
        <v>3039</v>
      </c>
      <c r="D911" s="3" t="s">
        <v>3039</v>
      </c>
      <c r="E911" s="3" t="s">
        <v>3040</v>
      </c>
      <c r="F911" s="3" t="s">
        <v>867</v>
      </c>
      <c r="G911" s="3">
        <v>9</v>
      </c>
      <c r="H911" s="3">
        <v>0</v>
      </c>
      <c r="I911" s="3">
        <v>1</v>
      </c>
      <c r="J911" s="3">
        <v>2</v>
      </c>
      <c r="K911" s="3">
        <v>6</v>
      </c>
      <c r="L911" s="3">
        <v>0</v>
      </c>
      <c r="M911" s="3">
        <v>0</v>
      </c>
      <c r="N911" s="3" t="s">
        <v>868</v>
      </c>
      <c r="O911" s="3">
        <v>7</v>
      </c>
      <c r="P911" s="3">
        <v>2.78</v>
      </c>
      <c r="Q911" s="3">
        <v>0</v>
      </c>
      <c r="R911" s="3">
        <v>0</v>
      </c>
      <c r="S911" s="3">
        <v>0</v>
      </c>
      <c r="T911" s="3">
        <v>3</v>
      </c>
      <c r="U911" s="3">
        <v>4</v>
      </c>
      <c r="V911" s="3">
        <v>6</v>
      </c>
      <c r="W911" s="3"/>
      <c r="X911" s="3">
        <v>25.98</v>
      </c>
      <c r="Y911" s="3">
        <v>25.98</v>
      </c>
      <c r="Z911" s="3">
        <v>25.98</v>
      </c>
      <c r="AA911" s="3">
        <v>0</v>
      </c>
      <c r="AB911" s="3" t="s">
        <v>869</v>
      </c>
      <c r="AC911" s="3">
        <v>9</v>
      </c>
      <c r="AD911" s="3">
        <v>25.98</v>
      </c>
      <c r="AE911" s="3">
        <v>0</v>
      </c>
      <c r="AF911" s="3">
        <v>0</v>
      </c>
      <c r="AG911" s="3">
        <v>0</v>
      </c>
      <c r="AH911" s="3">
        <v>0.492307692307692</v>
      </c>
      <c r="AI911" s="3">
        <v>1.037529</v>
      </c>
      <c r="AJ911" s="3" t="s">
        <v>870</v>
      </c>
    </row>
    <row r="912" spans="1:36">
      <c r="A912" s="5">
        <v>43336</v>
      </c>
      <c r="B912" s="3" t="s">
        <v>3041</v>
      </c>
      <c r="C912" s="3" t="s">
        <v>3042</v>
      </c>
      <c r="D912" s="3" t="s">
        <v>3042</v>
      </c>
      <c r="E912" s="3" t="s">
        <v>3043</v>
      </c>
      <c r="F912" s="3" t="s">
        <v>867</v>
      </c>
      <c r="G912" s="3">
        <v>12</v>
      </c>
      <c r="H912" s="3">
        <v>0</v>
      </c>
      <c r="I912" s="3">
        <v>12</v>
      </c>
      <c r="J912" s="3">
        <v>0</v>
      </c>
      <c r="K912" s="3">
        <v>0</v>
      </c>
      <c r="L912" s="3">
        <v>0</v>
      </c>
      <c r="M912" s="3">
        <v>0</v>
      </c>
      <c r="N912" s="3" t="s">
        <v>868</v>
      </c>
      <c r="O912" s="3">
        <v>0</v>
      </c>
      <c r="P912" s="3">
        <v>0</v>
      </c>
      <c r="Q912" s="3">
        <v>0</v>
      </c>
      <c r="R912" s="3">
        <v>0</v>
      </c>
      <c r="S912" s="3">
        <v>0</v>
      </c>
      <c r="T912" s="3">
        <v>2</v>
      </c>
      <c r="U912" s="3">
        <v>8</v>
      </c>
      <c r="V912" s="3">
        <v>10</v>
      </c>
      <c r="W912" s="3" t="s">
        <v>871</v>
      </c>
      <c r="X912" s="3">
        <v>20.98</v>
      </c>
      <c r="Y912" s="3">
        <v>20.98</v>
      </c>
      <c r="Z912" s="3">
        <v>20.98</v>
      </c>
      <c r="AA912" s="3">
        <v>0</v>
      </c>
      <c r="AB912" s="3" t="s">
        <v>869</v>
      </c>
      <c r="AC912" s="3">
        <v>12</v>
      </c>
      <c r="AD912" s="3">
        <v>20.98</v>
      </c>
      <c r="AE912" s="3">
        <v>0</v>
      </c>
      <c r="AF912" s="3">
        <v>0</v>
      </c>
      <c r="AG912" s="3">
        <v>0</v>
      </c>
      <c r="AH912" s="3">
        <v>0.816326530612244</v>
      </c>
      <c r="AI912" s="3">
        <v>0.583332</v>
      </c>
      <c r="AJ912" s="3" t="s">
        <v>870</v>
      </c>
    </row>
    <row r="913" spans="1:36">
      <c r="A913" s="5">
        <v>43336</v>
      </c>
      <c r="B913" s="3" t="s">
        <v>3044</v>
      </c>
      <c r="C913" s="3" t="s">
        <v>3045</v>
      </c>
      <c r="D913" s="3" t="s">
        <v>3046</v>
      </c>
      <c r="E913" s="3" t="s">
        <v>3047</v>
      </c>
      <c r="F913" s="3" t="s">
        <v>867</v>
      </c>
      <c r="G913" s="3">
        <v>6</v>
      </c>
      <c r="H913" s="3">
        <v>0</v>
      </c>
      <c r="I913" s="3">
        <v>6</v>
      </c>
      <c r="J913" s="3">
        <v>0</v>
      </c>
      <c r="K913" s="3">
        <v>0</v>
      </c>
      <c r="L913" s="3">
        <v>0</v>
      </c>
      <c r="M913" s="3">
        <v>0</v>
      </c>
      <c r="N913" s="3" t="s">
        <v>868</v>
      </c>
      <c r="O913" s="3">
        <v>0</v>
      </c>
      <c r="P913" s="3">
        <v>0</v>
      </c>
      <c r="Q913" s="3">
        <v>0</v>
      </c>
      <c r="R913" s="3">
        <v>0</v>
      </c>
      <c r="S913" s="3">
        <v>0</v>
      </c>
      <c r="T913" s="3">
        <v>0</v>
      </c>
      <c r="U913" s="3">
        <v>0</v>
      </c>
      <c r="V913" s="3">
        <v>0</v>
      </c>
      <c r="W913" s="3" t="s">
        <v>936</v>
      </c>
      <c r="X913" s="3">
        <v>22.99</v>
      </c>
      <c r="Y913" s="3">
        <v>22.99</v>
      </c>
      <c r="Z913" s="3">
        <v>22.99</v>
      </c>
      <c r="AA913" s="3">
        <v>0</v>
      </c>
      <c r="AB913" s="3" t="s">
        <v>937</v>
      </c>
      <c r="AC913" s="3">
        <v>0</v>
      </c>
      <c r="AD913" s="3">
        <v>18.39</v>
      </c>
      <c r="AE913" s="3">
        <v>63</v>
      </c>
      <c r="AF913" s="3">
        <v>0</v>
      </c>
      <c r="AG913" s="3">
        <v>144.34916</v>
      </c>
      <c r="AH913" s="3">
        <v>0</v>
      </c>
      <c r="AI913" s="3">
        <v>1.14528</v>
      </c>
      <c r="AJ913" s="3" t="s">
        <v>925</v>
      </c>
    </row>
    <row r="914" spans="1:36">
      <c r="A914" s="5">
        <v>43336</v>
      </c>
      <c r="B914" s="3" t="s">
        <v>3048</v>
      </c>
      <c r="C914" s="3" t="s">
        <v>3049</v>
      </c>
      <c r="D914" s="3" t="s">
        <v>3050</v>
      </c>
      <c r="E914" s="3" t="s">
        <v>3051</v>
      </c>
      <c r="F914" s="3" t="s">
        <v>867</v>
      </c>
      <c r="G914" s="3">
        <v>6</v>
      </c>
      <c r="H914" s="3">
        <v>0</v>
      </c>
      <c r="I914" s="3">
        <v>6</v>
      </c>
      <c r="J914" s="3">
        <v>0</v>
      </c>
      <c r="K914" s="3">
        <v>0</v>
      </c>
      <c r="L914" s="3">
        <v>0</v>
      </c>
      <c r="M914" s="3">
        <v>0</v>
      </c>
      <c r="N914" s="3" t="s">
        <v>868</v>
      </c>
      <c r="O914" s="3">
        <v>0</v>
      </c>
      <c r="P914" s="3">
        <v>0</v>
      </c>
      <c r="Q914" s="3">
        <v>0</v>
      </c>
      <c r="R914" s="3">
        <v>0</v>
      </c>
      <c r="S914" s="3">
        <v>0</v>
      </c>
      <c r="T914" s="3">
        <v>0</v>
      </c>
      <c r="U914" s="3">
        <v>0</v>
      </c>
      <c r="V914" s="3">
        <v>0</v>
      </c>
      <c r="W914" s="3" t="s">
        <v>936</v>
      </c>
      <c r="X914" s="3">
        <v>22.99</v>
      </c>
      <c r="Y914" s="3">
        <v>22.99</v>
      </c>
      <c r="Z914" s="3">
        <v>22.99</v>
      </c>
      <c r="AA914" s="3">
        <v>0</v>
      </c>
      <c r="AB914" s="3" t="s">
        <v>937</v>
      </c>
      <c r="AC914" s="3">
        <v>6</v>
      </c>
      <c r="AD914" s="3">
        <v>22.99</v>
      </c>
      <c r="AE914" s="3">
        <v>0</v>
      </c>
      <c r="AF914" s="3">
        <v>0</v>
      </c>
      <c r="AG914" s="3">
        <v>0</v>
      </c>
      <c r="AH914" s="3">
        <v>0</v>
      </c>
      <c r="AI914" s="3">
        <v>1.14528</v>
      </c>
      <c r="AJ914" s="3" t="s">
        <v>925</v>
      </c>
    </row>
    <row r="915" spans="1:36">
      <c r="A915" s="5">
        <v>43336</v>
      </c>
      <c r="B915" s="3" t="s">
        <v>682</v>
      </c>
      <c r="C915" s="3" t="s">
        <v>683</v>
      </c>
      <c r="D915" s="3" t="s">
        <v>683</v>
      </c>
      <c r="E915" s="3" t="s">
        <v>684</v>
      </c>
      <c r="F915" s="3" t="s">
        <v>867</v>
      </c>
      <c r="G915" s="3">
        <v>7</v>
      </c>
      <c r="H915" s="3">
        <v>0</v>
      </c>
      <c r="I915" s="3">
        <v>7</v>
      </c>
      <c r="J915" s="3">
        <v>0</v>
      </c>
      <c r="K915" s="3">
        <v>0</v>
      </c>
      <c r="L915" s="3">
        <v>0</v>
      </c>
      <c r="M915" s="3">
        <v>0</v>
      </c>
      <c r="N915" s="3" t="s">
        <v>868</v>
      </c>
      <c r="O915" s="3">
        <v>0</v>
      </c>
      <c r="P915" s="3">
        <v>0</v>
      </c>
      <c r="Q915" s="3">
        <v>0</v>
      </c>
      <c r="R915" s="3">
        <v>0</v>
      </c>
      <c r="S915" s="3">
        <v>0</v>
      </c>
      <c r="T915" s="3">
        <v>5</v>
      </c>
      <c r="U915" s="3">
        <v>11</v>
      </c>
      <c r="V915" s="3">
        <v>16</v>
      </c>
      <c r="W915" s="3"/>
      <c r="X915" s="3">
        <v>22.98</v>
      </c>
      <c r="Y915" s="3">
        <v>22.98</v>
      </c>
      <c r="Z915" s="3">
        <v>22.98</v>
      </c>
      <c r="AA915" s="3">
        <v>0</v>
      </c>
      <c r="AB915" s="3" t="s">
        <v>869</v>
      </c>
      <c r="AC915" s="3">
        <v>8</v>
      </c>
      <c r="AD915" s="3">
        <v>22.98</v>
      </c>
      <c r="AE915" s="3">
        <v>0</v>
      </c>
      <c r="AF915" s="3">
        <v>0</v>
      </c>
      <c r="AG915" s="3">
        <v>0</v>
      </c>
      <c r="AH915" s="3">
        <v>1.64102564102564</v>
      </c>
      <c r="AI915" s="3">
        <v>0.584940999999999</v>
      </c>
      <c r="AJ915" s="3" t="s">
        <v>870</v>
      </c>
    </row>
    <row r="916" spans="1:36">
      <c r="A916" s="5">
        <v>43336</v>
      </c>
      <c r="B916" s="3" t="s">
        <v>3052</v>
      </c>
      <c r="C916" s="3" t="s">
        <v>3053</v>
      </c>
      <c r="D916" s="3" t="s">
        <v>3053</v>
      </c>
      <c r="E916" s="3" t="s">
        <v>3054</v>
      </c>
      <c r="F916" s="3" t="s">
        <v>867</v>
      </c>
      <c r="G916" s="3">
        <v>1</v>
      </c>
      <c r="H916" s="3">
        <v>0</v>
      </c>
      <c r="I916" s="3">
        <v>0</v>
      </c>
      <c r="J916" s="3">
        <v>1</v>
      </c>
      <c r="K916" s="3">
        <v>0</v>
      </c>
      <c r="L916" s="3">
        <v>0</v>
      </c>
      <c r="M916" s="3">
        <v>0</v>
      </c>
      <c r="N916" s="3" t="s">
        <v>868</v>
      </c>
      <c r="O916" s="3">
        <v>0</v>
      </c>
      <c r="P916" s="3">
        <v>0</v>
      </c>
      <c r="Q916" s="3">
        <v>0</v>
      </c>
      <c r="R916" s="3">
        <v>0</v>
      </c>
      <c r="S916" s="3">
        <v>0</v>
      </c>
      <c r="T916" s="3">
        <v>0</v>
      </c>
      <c r="U916" s="3">
        <v>0</v>
      </c>
      <c r="V916" s="3">
        <v>0</v>
      </c>
      <c r="W916" s="3" t="s">
        <v>936</v>
      </c>
      <c r="X916" s="3">
        <v>23.98</v>
      </c>
      <c r="Y916" s="3">
        <v>23.98</v>
      </c>
      <c r="Z916" s="3">
        <v>23.98</v>
      </c>
      <c r="AA916" s="3">
        <v>0</v>
      </c>
      <c r="AB916" s="3" t="s">
        <v>937</v>
      </c>
      <c r="AC916" s="3">
        <v>1</v>
      </c>
      <c r="AD916" s="3">
        <v>23.98</v>
      </c>
      <c r="AE916" s="3">
        <v>0</v>
      </c>
      <c r="AF916" s="3">
        <v>0</v>
      </c>
      <c r="AG916" s="3">
        <v>0</v>
      </c>
      <c r="AH916" s="3">
        <v>0</v>
      </c>
      <c r="AI916" s="3">
        <v>0.087712</v>
      </c>
      <c r="AJ916" s="3" t="s">
        <v>870</v>
      </c>
    </row>
    <row r="917" spans="1:36">
      <c r="A917" s="5">
        <v>43336</v>
      </c>
      <c r="B917" s="3" t="s">
        <v>3055</v>
      </c>
      <c r="C917" s="3" t="s">
        <v>3056</v>
      </c>
      <c r="D917" s="3" t="s">
        <v>3057</v>
      </c>
      <c r="E917" s="3" t="s">
        <v>3058</v>
      </c>
      <c r="F917" s="3" t="s">
        <v>867</v>
      </c>
      <c r="G917" s="3">
        <v>6</v>
      </c>
      <c r="H917" s="3">
        <v>0</v>
      </c>
      <c r="I917" s="3">
        <v>6</v>
      </c>
      <c r="J917" s="3">
        <v>0</v>
      </c>
      <c r="K917" s="3">
        <v>0</v>
      </c>
      <c r="L917" s="3">
        <v>0</v>
      </c>
      <c r="M917" s="3">
        <v>0</v>
      </c>
      <c r="N917" s="3" t="s">
        <v>868</v>
      </c>
      <c r="O917" s="3">
        <v>0</v>
      </c>
      <c r="P917" s="3">
        <v>0</v>
      </c>
      <c r="Q917" s="3">
        <v>0</v>
      </c>
      <c r="R917" s="3">
        <v>0</v>
      </c>
      <c r="S917" s="3">
        <v>0</v>
      </c>
      <c r="T917" s="3">
        <v>0</v>
      </c>
      <c r="U917" s="3">
        <v>0</v>
      </c>
      <c r="V917" s="3">
        <v>0</v>
      </c>
      <c r="W917" s="3" t="s">
        <v>871</v>
      </c>
      <c r="X917" s="3">
        <v>19.99</v>
      </c>
      <c r="Y917" s="3">
        <v>19.99</v>
      </c>
      <c r="Z917" s="3">
        <v>19.99</v>
      </c>
      <c r="AA917" s="3">
        <v>0</v>
      </c>
      <c r="AB917" s="3" t="s">
        <v>869</v>
      </c>
      <c r="AC917" s="3">
        <v>0</v>
      </c>
      <c r="AD917" s="3">
        <v>19.99</v>
      </c>
      <c r="AE917" s="3">
        <v>63</v>
      </c>
      <c r="AF917" s="3">
        <v>0</v>
      </c>
      <c r="AG917" s="3">
        <v>100.883198</v>
      </c>
      <c r="AH917" s="3">
        <v>0</v>
      </c>
      <c r="AI917" s="3">
        <v>0.840402</v>
      </c>
      <c r="AJ917" s="3" t="s">
        <v>925</v>
      </c>
    </row>
    <row r="918" spans="1:36">
      <c r="A918" s="5">
        <v>43336</v>
      </c>
      <c r="B918" s="3" t="s">
        <v>3059</v>
      </c>
      <c r="C918" s="3" t="s">
        <v>3060</v>
      </c>
      <c r="D918" s="3" t="s">
        <v>3060</v>
      </c>
      <c r="E918" s="3" t="s">
        <v>3061</v>
      </c>
      <c r="F918" s="3" t="s">
        <v>867</v>
      </c>
      <c r="G918" s="3">
        <v>4</v>
      </c>
      <c r="H918" s="3">
        <v>0</v>
      </c>
      <c r="I918" s="3">
        <v>1</v>
      </c>
      <c r="J918" s="3">
        <v>3</v>
      </c>
      <c r="K918" s="3">
        <v>0</v>
      </c>
      <c r="L918" s="3">
        <v>0</v>
      </c>
      <c r="M918" s="3">
        <v>0</v>
      </c>
      <c r="N918" s="3" t="s">
        <v>868</v>
      </c>
      <c r="O918" s="3">
        <v>0</v>
      </c>
      <c r="P918" s="3">
        <v>0</v>
      </c>
      <c r="Q918" s="3">
        <v>0</v>
      </c>
      <c r="R918" s="3">
        <v>0</v>
      </c>
      <c r="S918" s="3">
        <v>0</v>
      </c>
      <c r="T918" s="3">
        <v>2</v>
      </c>
      <c r="U918" s="3">
        <v>3</v>
      </c>
      <c r="V918" s="3">
        <v>4</v>
      </c>
      <c r="W918" s="3"/>
      <c r="X918" s="3">
        <v>22.98</v>
      </c>
      <c r="Y918" s="3">
        <v>22.98</v>
      </c>
      <c r="Z918" s="3">
        <v>22.98</v>
      </c>
      <c r="AA918" s="3">
        <v>0</v>
      </c>
      <c r="AB918" s="3" t="s">
        <v>869</v>
      </c>
      <c r="AC918" s="3">
        <v>4</v>
      </c>
      <c r="AD918" s="3">
        <v>22.98</v>
      </c>
      <c r="AE918" s="3">
        <v>0</v>
      </c>
      <c r="AF918" s="3">
        <v>0</v>
      </c>
      <c r="AG918" s="3">
        <v>0</v>
      </c>
      <c r="AH918" s="3">
        <v>0.727272727272727</v>
      </c>
      <c r="AI918" s="3">
        <v>0.711536</v>
      </c>
      <c r="AJ918" s="3" t="s">
        <v>870</v>
      </c>
    </row>
    <row r="919" spans="1:36">
      <c r="A919" s="5">
        <v>43336</v>
      </c>
      <c r="B919" s="3" t="s">
        <v>3062</v>
      </c>
      <c r="C919" s="3" t="s">
        <v>3063</v>
      </c>
      <c r="D919" s="3" t="s">
        <v>3063</v>
      </c>
      <c r="E919" s="3" t="s">
        <v>3064</v>
      </c>
      <c r="F919" s="3" t="s">
        <v>867</v>
      </c>
      <c r="G919" s="3">
        <v>3</v>
      </c>
      <c r="H919" s="3">
        <v>0</v>
      </c>
      <c r="I919" s="3">
        <v>3</v>
      </c>
      <c r="J919" s="3">
        <v>0</v>
      </c>
      <c r="K919" s="3">
        <v>0</v>
      </c>
      <c r="L919" s="3">
        <v>0</v>
      </c>
      <c r="M919" s="3">
        <v>0</v>
      </c>
      <c r="N919" s="3" t="s">
        <v>868</v>
      </c>
      <c r="O919" s="3">
        <v>0</v>
      </c>
      <c r="P919" s="3">
        <v>0</v>
      </c>
      <c r="Q919" s="3">
        <v>0</v>
      </c>
      <c r="R919" s="3">
        <v>0</v>
      </c>
      <c r="S919" s="3">
        <v>0</v>
      </c>
      <c r="T919" s="3">
        <v>0</v>
      </c>
      <c r="U919" s="3">
        <v>14</v>
      </c>
      <c r="V919" s="3">
        <v>29</v>
      </c>
      <c r="W919" s="3"/>
      <c r="X919" s="3"/>
      <c r="Y919" s="3"/>
      <c r="Z919" s="3">
        <v>-1</v>
      </c>
      <c r="AA919" s="3">
        <v>-1</v>
      </c>
      <c r="AB919" s="3" t="s">
        <v>891</v>
      </c>
      <c r="AC919" s="3">
        <v>0</v>
      </c>
      <c r="AD919" s="3">
        <v>0</v>
      </c>
      <c r="AE919" s="3">
        <v>0</v>
      </c>
      <c r="AF919" s="3">
        <v>0</v>
      </c>
      <c r="AG919" s="3">
        <v>0</v>
      </c>
      <c r="AH919" s="3">
        <v>2.63636363636363</v>
      </c>
      <c r="AI919" s="3">
        <v>0.252</v>
      </c>
      <c r="AJ919" s="3" t="s">
        <v>870</v>
      </c>
    </row>
    <row r="920" spans="1:36">
      <c r="A920" s="5">
        <v>43336</v>
      </c>
      <c r="B920" s="3" t="s">
        <v>3065</v>
      </c>
      <c r="C920" s="3" t="s">
        <v>3066</v>
      </c>
      <c r="D920" s="3" t="s">
        <v>3066</v>
      </c>
      <c r="E920" s="3" t="s">
        <v>3067</v>
      </c>
      <c r="F920" s="3" t="s">
        <v>867</v>
      </c>
      <c r="G920" s="3">
        <v>10</v>
      </c>
      <c r="H920" s="3">
        <v>0</v>
      </c>
      <c r="I920" s="3">
        <v>3</v>
      </c>
      <c r="J920" s="3">
        <v>2</v>
      </c>
      <c r="K920" s="3">
        <v>5</v>
      </c>
      <c r="L920" s="3">
        <v>0</v>
      </c>
      <c r="M920" s="3">
        <v>0</v>
      </c>
      <c r="N920" s="3" t="s">
        <v>868</v>
      </c>
      <c r="O920" s="3">
        <v>5</v>
      </c>
      <c r="P920" s="3">
        <v>2.38</v>
      </c>
      <c r="Q920" s="3">
        <v>0</v>
      </c>
      <c r="R920" s="3">
        <v>0</v>
      </c>
      <c r="S920" s="3">
        <v>1</v>
      </c>
      <c r="T920" s="3">
        <v>5</v>
      </c>
      <c r="U920" s="3">
        <v>6</v>
      </c>
      <c r="V920" s="3">
        <v>6</v>
      </c>
      <c r="W920" s="3"/>
      <c r="X920" s="3">
        <v>22.98</v>
      </c>
      <c r="Y920" s="3">
        <v>22.98</v>
      </c>
      <c r="Z920" s="3">
        <v>22.98</v>
      </c>
      <c r="AA920" s="3">
        <v>0</v>
      </c>
      <c r="AB920" s="3" t="s">
        <v>869</v>
      </c>
      <c r="AC920" s="3">
        <v>10</v>
      </c>
      <c r="AD920" s="3">
        <v>22.98</v>
      </c>
      <c r="AE920" s="3">
        <v>0</v>
      </c>
      <c r="AF920" s="3">
        <v>0</v>
      </c>
      <c r="AG920" s="3">
        <v>0</v>
      </c>
      <c r="AH920" s="3">
        <v>0.470588235294117</v>
      </c>
      <c r="AI920" s="3">
        <v>1.38102</v>
      </c>
      <c r="AJ920" s="3" t="s">
        <v>870</v>
      </c>
    </row>
    <row r="921" spans="1:36">
      <c r="A921" s="5">
        <v>43336</v>
      </c>
      <c r="B921" s="3" t="s">
        <v>3068</v>
      </c>
      <c r="C921" s="3" t="s">
        <v>3069</v>
      </c>
      <c r="D921" s="3" t="s">
        <v>1807</v>
      </c>
      <c r="E921" s="3" t="s">
        <v>1808</v>
      </c>
      <c r="F921" s="3" t="s">
        <v>867</v>
      </c>
      <c r="G921" s="3">
        <v>10</v>
      </c>
      <c r="H921" s="3">
        <v>0</v>
      </c>
      <c r="I921" s="3">
        <v>10</v>
      </c>
      <c r="J921" s="3">
        <v>0</v>
      </c>
      <c r="K921" s="3">
        <v>0</v>
      </c>
      <c r="L921" s="3">
        <v>0</v>
      </c>
      <c r="M921" s="3">
        <v>0</v>
      </c>
      <c r="N921" s="3" t="s">
        <v>868</v>
      </c>
      <c r="O921" s="3">
        <v>0</v>
      </c>
      <c r="P921" s="3">
        <v>0</v>
      </c>
      <c r="Q921" s="3">
        <v>0</v>
      </c>
      <c r="R921" s="3">
        <v>0</v>
      </c>
      <c r="S921" s="3">
        <v>0</v>
      </c>
      <c r="T921" s="3">
        <v>3</v>
      </c>
      <c r="U921" s="3">
        <v>7</v>
      </c>
      <c r="V921" s="3">
        <v>7</v>
      </c>
      <c r="W921" s="3"/>
      <c r="X921" s="3">
        <v>22.98</v>
      </c>
      <c r="Y921" s="3">
        <v>22.98</v>
      </c>
      <c r="Z921" s="3">
        <v>22.98</v>
      </c>
      <c r="AA921" s="3">
        <v>0</v>
      </c>
      <c r="AB921" s="3" t="s">
        <v>869</v>
      </c>
      <c r="AC921" s="3">
        <v>10</v>
      </c>
      <c r="AD921" s="3">
        <v>22.98</v>
      </c>
      <c r="AE921" s="3">
        <v>0</v>
      </c>
      <c r="AF921" s="3">
        <v>0</v>
      </c>
      <c r="AG921" s="3">
        <v>0</v>
      </c>
      <c r="AH921" s="3">
        <v>1.93548387096774</v>
      </c>
      <c r="AI921" s="3">
        <v>1.49692999999999</v>
      </c>
      <c r="AJ921" s="3" t="s">
        <v>870</v>
      </c>
    </row>
    <row r="922" spans="1:36">
      <c r="A922" s="5">
        <v>43336</v>
      </c>
      <c r="B922" s="3" t="s">
        <v>3070</v>
      </c>
      <c r="C922" s="3" t="s">
        <v>3071</v>
      </c>
      <c r="D922" s="3" t="s">
        <v>3071</v>
      </c>
      <c r="E922" s="3" t="s">
        <v>3072</v>
      </c>
      <c r="F922" s="3" t="s">
        <v>867</v>
      </c>
      <c r="G922" s="3">
        <v>1</v>
      </c>
      <c r="H922" s="3">
        <v>0</v>
      </c>
      <c r="I922" s="3">
        <v>0</v>
      </c>
      <c r="J922" s="3">
        <v>1</v>
      </c>
      <c r="K922" s="3">
        <v>0</v>
      </c>
      <c r="L922" s="3">
        <v>0</v>
      </c>
      <c r="M922" s="3">
        <v>0</v>
      </c>
      <c r="N922" s="3" t="s">
        <v>868</v>
      </c>
      <c r="O922" s="3">
        <v>0</v>
      </c>
      <c r="P922" s="3">
        <v>0</v>
      </c>
      <c r="Q922" s="3">
        <v>0</v>
      </c>
      <c r="R922" s="3">
        <v>0</v>
      </c>
      <c r="S922" s="3">
        <v>0</v>
      </c>
      <c r="T922" s="3">
        <v>0</v>
      </c>
      <c r="U922" s="3">
        <v>0</v>
      </c>
      <c r="V922" s="3">
        <v>0</v>
      </c>
      <c r="W922" s="3" t="s">
        <v>871</v>
      </c>
      <c r="X922" s="3">
        <v>15.98</v>
      </c>
      <c r="Y922" s="3">
        <v>15.98</v>
      </c>
      <c r="Z922" s="3">
        <v>15.98</v>
      </c>
      <c r="AA922" s="3">
        <v>0</v>
      </c>
      <c r="AB922" s="3" t="s">
        <v>869</v>
      </c>
      <c r="AC922" s="3">
        <v>1</v>
      </c>
      <c r="AD922" s="3">
        <v>15.98</v>
      </c>
      <c r="AE922" s="3">
        <v>0</v>
      </c>
      <c r="AF922" s="3">
        <v>0</v>
      </c>
      <c r="AG922" s="3">
        <v>0</v>
      </c>
      <c r="AH922" s="3">
        <v>0</v>
      </c>
      <c r="AI922" s="3">
        <v>0.136105</v>
      </c>
      <c r="AJ922" s="3" t="s">
        <v>870</v>
      </c>
    </row>
    <row r="923" spans="1:36">
      <c r="A923" s="5">
        <v>43336</v>
      </c>
      <c r="B923" s="3" t="s">
        <v>3073</v>
      </c>
      <c r="C923" s="3" t="s">
        <v>3074</v>
      </c>
      <c r="D923" s="3" t="s">
        <v>3074</v>
      </c>
      <c r="E923" s="3" t="s">
        <v>3075</v>
      </c>
      <c r="F923" s="3" t="s">
        <v>867</v>
      </c>
      <c r="G923" s="3">
        <v>7</v>
      </c>
      <c r="H923" s="3">
        <v>0</v>
      </c>
      <c r="I923" s="3">
        <v>0</v>
      </c>
      <c r="J923" s="3">
        <v>2</v>
      </c>
      <c r="K923" s="3">
        <v>5</v>
      </c>
      <c r="L923" s="3">
        <v>0</v>
      </c>
      <c r="M923" s="3">
        <v>0</v>
      </c>
      <c r="N923" s="3" t="s">
        <v>868</v>
      </c>
      <c r="O923" s="3">
        <v>6</v>
      </c>
      <c r="P923" s="3">
        <v>2.39</v>
      </c>
      <c r="Q923" s="3">
        <v>0</v>
      </c>
      <c r="R923" s="3">
        <v>0</v>
      </c>
      <c r="S923" s="3">
        <v>0</v>
      </c>
      <c r="T923" s="3">
        <v>2</v>
      </c>
      <c r="U923" s="3">
        <v>2</v>
      </c>
      <c r="V923" s="3">
        <v>3</v>
      </c>
      <c r="W923" s="3"/>
      <c r="X923" s="3">
        <v>25.98</v>
      </c>
      <c r="Y923" s="3">
        <v>25.98</v>
      </c>
      <c r="Z923" s="3">
        <v>25.98</v>
      </c>
      <c r="AA923" s="3">
        <v>0</v>
      </c>
      <c r="AB923" s="3" t="s">
        <v>869</v>
      </c>
      <c r="AC923" s="3">
        <v>7</v>
      </c>
      <c r="AD923" s="3">
        <v>25.98</v>
      </c>
      <c r="AE923" s="3">
        <v>0</v>
      </c>
      <c r="AF923" s="3">
        <v>0</v>
      </c>
      <c r="AG923" s="3">
        <v>0</v>
      </c>
      <c r="AH923" s="3">
        <v>0.342857142857142</v>
      </c>
      <c r="AI923" s="3">
        <v>0.806967</v>
      </c>
      <c r="AJ923" s="3" t="s">
        <v>870</v>
      </c>
    </row>
    <row r="924" spans="1:36">
      <c r="A924" s="5">
        <v>43336</v>
      </c>
      <c r="B924" s="3" t="s">
        <v>3076</v>
      </c>
      <c r="C924" s="3" t="s">
        <v>228</v>
      </c>
      <c r="D924" s="3" t="s">
        <v>228</v>
      </c>
      <c r="E924" s="3" t="s">
        <v>229</v>
      </c>
      <c r="F924" s="3" t="s">
        <v>867</v>
      </c>
      <c r="G924" s="3">
        <v>1</v>
      </c>
      <c r="H924" s="3">
        <v>0</v>
      </c>
      <c r="I924" s="3">
        <v>1</v>
      </c>
      <c r="J924" s="3">
        <v>0</v>
      </c>
      <c r="K924" s="3">
        <v>0</v>
      </c>
      <c r="L924" s="3">
        <v>0</v>
      </c>
      <c r="M924" s="3">
        <v>0</v>
      </c>
      <c r="N924" s="3" t="s">
        <v>868</v>
      </c>
      <c r="O924" s="3">
        <v>0</v>
      </c>
      <c r="P924" s="3">
        <v>0</v>
      </c>
      <c r="Q924" s="3">
        <v>0</v>
      </c>
      <c r="R924" s="3">
        <v>0</v>
      </c>
      <c r="S924" s="3">
        <v>2</v>
      </c>
      <c r="T924" s="3">
        <v>2</v>
      </c>
      <c r="U924" s="3">
        <v>2</v>
      </c>
      <c r="V924" s="3">
        <v>7</v>
      </c>
      <c r="W924" s="3"/>
      <c r="X924" s="3">
        <v>22.99</v>
      </c>
      <c r="Y924" s="3">
        <v>22.99</v>
      </c>
      <c r="Z924" s="3">
        <v>22.99</v>
      </c>
      <c r="AA924" s="3">
        <v>0</v>
      </c>
      <c r="AB924" s="3" t="s">
        <v>869</v>
      </c>
      <c r="AC924" s="3">
        <v>1</v>
      </c>
      <c r="AD924" s="3">
        <v>19.98</v>
      </c>
      <c r="AE924" s="3">
        <v>0</v>
      </c>
      <c r="AF924" s="3">
        <v>0</v>
      </c>
      <c r="AG924" s="3">
        <v>0</v>
      </c>
      <c r="AH924" s="3">
        <v>2.33333333333333</v>
      </c>
      <c r="AI924" s="3">
        <v>0.20215</v>
      </c>
      <c r="AJ924" s="3" t="s">
        <v>870</v>
      </c>
    </row>
    <row r="925" spans="1:36">
      <c r="A925" s="5">
        <v>43336</v>
      </c>
      <c r="B925" s="3" t="s">
        <v>3077</v>
      </c>
      <c r="C925" s="3" t="s">
        <v>3078</v>
      </c>
      <c r="D925" s="3" t="s">
        <v>3078</v>
      </c>
      <c r="E925" s="3" t="s">
        <v>3079</v>
      </c>
      <c r="F925" s="3" t="s">
        <v>867</v>
      </c>
      <c r="G925" s="3">
        <v>3</v>
      </c>
      <c r="H925" s="3">
        <v>0</v>
      </c>
      <c r="I925" s="3">
        <v>0</v>
      </c>
      <c r="J925" s="3">
        <v>3</v>
      </c>
      <c r="K925" s="3">
        <v>0</v>
      </c>
      <c r="L925" s="3">
        <v>0</v>
      </c>
      <c r="M925" s="3">
        <v>0</v>
      </c>
      <c r="N925" s="3" t="s">
        <v>868</v>
      </c>
      <c r="O925" s="3">
        <v>0</v>
      </c>
      <c r="P925" s="3">
        <v>0</v>
      </c>
      <c r="Q925" s="3">
        <v>0</v>
      </c>
      <c r="R925" s="3">
        <v>0</v>
      </c>
      <c r="S925" s="3">
        <v>2</v>
      </c>
      <c r="T925" s="3">
        <v>2</v>
      </c>
      <c r="U925" s="3">
        <v>2</v>
      </c>
      <c r="V925" s="3">
        <v>2</v>
      </c>
      <c r="W925" s="3"/>
      <c r="X925" s="3">
        <v>22.99</v>
      </c>
      <c r="Y925" s="3">
        <v>22.99</v>
      </c>
      <c r="Z925" s="3">
        <v>22.99</v>
      </c>
      <c r="AA925" s="3">
        <v>0</v>
      </c>
      <c r="AB925" s="3" t="s">
        <v>883</v>
      </c>
      <c r="AC925" s="3">
        <v>1</v>
      </c>
      <c r="AD925" s="3">
        <v>21.76</v>
      </c>
      <c r="AE925" s="3">
        <v>21</v>
      </c>
      <c r="AF925" s="3">
        <v>0</v>
      </c>
      <c r="AG925" s="3">
        <v>88.776478</v>
      </c>
      <c r="AH925" s="3">
        <v>0.222222222222222</v>
      </c>
      <c r="AI925" s="3">
        <v>0.437703</v>
      </c>
      <c r="AJ925" s="3" t="s">
        <v>870</v>
      </c>
    </row>
    <row r="926" spans="1:36">
      <c r="A926" s="5">
        <v>43336</v>
      </c>
      <c r="B926" s="3" t="s">
        <v>599</v>
      </c>
      <c r="C926" s="3" t="s">
        <v>395</v>
      </c>
      <c r="D926" s="3" t="s">
        <v>395</v>
      </c>
      <c r="E926" s="3" t="s">
        <v>396</v>
      </c>
      <c r="F926" s="3" t="s">
        <v>867</v>
      </c>
      <c r="G926" s="3">
        <v>1</v>
      </c>
      <c r="H926" s="3">
        <v>0</v>
      </c>
      <c r="I926" s="3">
        <v>1</v>
      </c>
      <c r="J926" s="3">
        <v>0</v>
      </c>
      <c r="K926" s="3">
        <v>0</v>
      </c>
      <c r="L926" s="3">
        <v>0</v>
      </c>
      <c r="M926" s="3">
        <v>0</v>
      </c>
      <c r="N926" s="3" t="s">
        <v>868</v>
      </c>
      <c r="O926" s="3">
        <v>0</v>
      </c>
      <c r="P926" s="3">
        <v>0</v>
      </c>
      <c r="Q926" s="3">
        <v>0</v>
      </c>
      <c r="R926" s="3">
        <v>0</v>
      </c>
      <c r="S926" s="3">
        <v>0</v>
      </c>
      <c r="T926" s="3">
        <v>31</v>
      </c>
      <c r="U926" s="3">
        <v>105</v>
      </c>
      <c r="V926" s="3">
        <v>171</v>
      </c>
      <c r="W926" s="3"/>
      <c r="X926" s="3">
        <v>22.98</v>
      </c>
      <c r="Y926" s="3">
        <v>22.98</v>
      </c>
      <c r="Z926" s="3">
        <v>22.98</v>
      </c>
      <c r="AA926" s="3">
        <v>0</v>
      </c>
      <c r="AB926" s="3" t="s">
        <v>869</v>
      </c>
      <c r="AC926" s="3">
        <v>0</v>
      </c>
      <c r="AD926" s="3">
        <v>0</v>
      </c>
      <c r="AE926" s="3">
        <v>0</v>
      </c>
      <c r="AF926" s="3">
        <v>0</v>
      </c>
      <c r="AG926" s="3">
        <v>0</v>
      </c>
      <c r="AH926" s="3">
        <v>3.72477064220183</v>
      </c>
      <c r="AI926" s="3">
        <v>0.114547</v>
      </c>
      <c r="AJ926" s="3" t="s">
        <v>870</v>
      </c>
    </row>
    <row r="927" spans="1:36">
      <c r="A927" s="5">
        <v>43336</v>
      </c>
      <c r="B927" s="3" t="s">
        <v>3080</v>
      </c>
      <c r="C927" s="3" t="s">
        <v>3081</v>
      </c>
      <c r="D927" s="3" t="s">
        <v>3082</v>
      </c>
      <c r="E927" s="3" t="s">
        <v>3083</v>
      </c>
      <c r="F927" s="3" t="s">
        <v>867</v>
      </c>
      <c r="G927" s="3">
        <v>15</v>
      </c>
      <c r="H927" s="3">
        <v>0</v>
      </c>
      <c r="I927" s="3">
        <v>15</v>
      </c>
      <c r="J927" s="3">
        <v>0</v>
      </c>
      <c r="K927" s="3">
        <v>0</v>
      </c>
      <c r="L927" s="3">
        <v>0</v>
      </c>
      <c r="M927" s="3">
        <v>0</v>
      </c>
      <c r="N927" s="3" t="s">
        <v>868</v>
      </c>
      <c r="O927" s="3">
        <v>0</v>
      </c>
      <c r="P927" s="3">
        <v>0</v>
      </c>
      <c r="Q927" s="3">
        <v>0</v>
      </c>
      <c r="R927" s="3">
        <v>0</v>
      </c>
      <c r="S927" s="3">
        <v>0</v>
      </c>
      <c r="T927" s="3">
        <v>5</v>
      </c>
      <c r="U927" s="3">
        <v>5</v>
      </c>
      <c r="V927" s="3">
        <v>5</v>
      </c>
      <c r="W927" s="3"/>
      <c r="X927" s="3">
        <v>18.99</v>
      </c>
      <c r="Y927" s="3">
        <v>18.99</v>
      </c>
      <c r="Z927" s="3">
        <v>18.99</v>
      </c>
      <c r="AA927" s="3">
        <v>0</v>
      </c>
      <c r="AB927" s="3" t="s">
        <v>869</v>
      </c>
      <c r="AC927" s="3">
        <v>15</v>
      </c>
      <c r="AD927" s="3">
        <v>18.99</v>
      </c>
      <c r="AE927" s="3">
        <v>0</v>
      </c>
      <c r="AF927" s="3">
        <v>0</v>
      </c>
      <c r="AG927" s="3">
        <v>0</v>
      </c>
      <c r="AH927" s="3">
        <v>0.666666666666666</v>
      </c>
      <c r="AI927" s="3">
        <v>1.593165</v>
      </c>
      <c r="AJ927" s="3" t="s">
        <v>925</v>
      </c>
    </row>
    <row r="928" spans="1:36">
      <c r="A928" s="5">
        <v>43336</v>
      </c>
      <c r="B928" s="3" t="s">
        <v>132</v>
      </c>
      <c r="C928" s="3" t="s">
        <v>133</v>
      </c>
      <c r="D928" s="3" t="s">
        <v>134</v>
      </c>
      <c r="E928" s="3" t="s">
        <v>135</v>
      </c>
      <c r="F928" s="3" t="s">
        <v>867</v>
      </c>
      <c r="G928" s="3">
        <v>2</v>
      </c>
      <c r="H928" s="3">
        <v>0</v>
      </c>
      <c r="I928" s="3">
        <v>2</v>
      </c>
      <c r="J928" s="3">
        <v>0</v>
      </c>
      <c r="K928" s="3">
        <v>0</v>
      </c>
      <c r="L928" s="3">
        <v>0</v>
      </c>
      <c r="M928" s="3">
        <v>0</v>
      </c>
      <c r="N928" s="3" t="s">
        <v>868</v>
      </c>
      <c r="O928" s="3">
        <v>0</v>
      </c>
      <c r="P928" s="3">
        <v>0</v>
      </c>
      <c r="Q928" s="3">
        <v>0</v>
      </c>
      <c r="R928" s="3">
        <v>0</v>
      </c>
      <c r="S928" s="3">
        <v>0</v>
      </c>
      <c r="T928" s="3">
        <v>0</v>
      </c>
      <c r="U928" s="3">
        <v>0</v>
      </c>
      <c r="V928" s="3">
        <v>0</v>
      </c>
      <c r="W928" s="3" t="s">
        <v>871</v>
      </c>
      <c r="X928" s="3">
        <v>23.98</v>
      </c>
      <c r="Y928" s="3">
        <v>24.98</v>
      </c>
      <c r="Z928" s="3">
        <v>23.99</v>
      </c>
      <c r="AA928" s="3">
        <v>0</v>
      </c>
      <c r="AB928" s="3" t="s">
        <v>869</v>
      </c>
      <c r="AC928" s="3">
        <v>0</v>
      </c>
      <c r="AD928" s="3">
        <v>0</v>
      </c>
      <c r="AE928" s="3">
        <v>0</v>
      </c>
      <c r="AF928" s="3">
        <v>0</v>
      </c>
      <c r="AG928" s="3">
        <v>0</v>
      </c>
      <c r="AH928" s="3">
        <v>0.16</v>
      </c>
      <c r="AI928" s="3">
        <v>0.39687</v>
      </c>
      <c r="AJ928" s="3" t="s">
        <v>870</v>
      </c>
    </row>
    <row r="929" spans="1:36">
      <c r="A929" s="5">
        <v>43336</v>
      </c>
      <c r="B929" s="3" t="s">
        <v>3084</v>
      </c>
      <c r="C929" s="3" t="s">
        <v>3085</v>
      </c>
      <c r="D929" s="3" t="s">
        <v>3085</v>
      </c>
      <c r="E929" s="3" t="s">
        <v>3086</v>
      </c>
      <c r="F929" s="3" t="s">
        <v>867</v>
      </c>
      <c r="G929" s="3">
        <v>20</v>
      </c>
      <c r="H929" s="3">
        <v>0</v>
      </c>
      <c r="I929" s="3">
        <v>11</v>
      </c>
      <c r="J929" s="3">
        <v>9</v>
      </c>
      <c r="K929" s="3">
        <v>0</v>
      </c>
      <c r="L929" s="3">
        <v>0</v>
      </c>
      <c r="M929" s="3">
        <v>0</v>
      </c>
      <c r="N929" s="3" t="s">
        <v>868</v>
      </c>
      <c r="O929" s="3">
        <v>0</v>
      </c>
      <c r="P929" s="3">
        <v>0</v>
      </c>
      <c r="Q929" s="3">
        <v>0</v>
      </c>
      <c r="R929" s="3">
        <v>0</v>
      </c>
      <c r="S929" s="3">
        <v>4</v>
      </c>
      <c r="T929" s="3">
        <v>6</v>
      </c>
      <c r="U929" s="3">
        <v>7</v>
      </c>
      <c r="V929" s="3">
        <v>7</v>
      </c>
      <c r="W929" s="3"/>
      <c r="X929" s="3">
        <v>23.98</v>
      </c>
      <c r="Y929" s="3">
        <v>23.98</v>
      </c>
      <c r="Z929" s="3">
        <v>23.98</v>
      </c>
      <c r="AA929" s="3">
        <v>0</v>
      </c>
      <c r="AB929" s="3" t="s">
        <v>869</v>
      </c>
      <c r="AC929" s="3">
        <v>21</v>
      </c>
      <c r="AD929" s="3">
        <v>23.98</v>
      </c>
      <c r="AE929" s="3">
        <v>0</v>
      </c>
      <c r="AF929" s="3">
        <v>0</v>
      </c>
      <c r="AG929" s="3">
        <v>0</v>
      </c>
      <c r="AH929" s="3">
        <v>0.314606741573033</v>
      </c>
      <c r="AI929" s="3">
        <v>3.35084</v>
      </c>
      <c r="AJ929" s="3" t="s">
        <v>870</v>
      </c>
    </row>
    <row r="930" spans="1:36">
      <c r="A930" s="5">
        <v>43336</v>
      </c>
      <c r="B930" s="3" t="s">
        <v>803</v>
      </c>
      <c r="C930" s="3" t="s">
        <v>804</v>
      </c>
      <c r="D930" s="3" t="s">
        <v>805</v>
      </c>
      <c r="E930" s="3" t="s">
        <v>806</v>
      </c>
      <c r="F930" s="3" t="s">
        <v>867</v>
      </c>
      <c r="G930" s="3">
        <v>4</v>
      </c>
      <c r="H930" s="3">
        <v>0</v>
      </c>
      <c r="I930" s="3">
        <v>4</v>
      </c>
      <c r="J930" s="3">
        <v>0</v>
      </c>
      <c r="K930" s="3">
        <v>0</v>
      </c>
      <c r="L930" s="3">
        <v>0</v>
      </c>
      <c r="M930" s="3">
        <v>0</v>
      </c>
      <c r="N930" s="3" t="s">
        <v>868</v>
      </c>
      <c r="O930" s="3">
        <v>0</v>
      </c>
      <c r="P930" s="3">
        <v>0</v>
      </c>
      <c r="Q930" s="3">
        <v>0</v>
      </c>
      <c r="R930" s="3">
        <v>0</v>
      </c>
      <c r="S930" s="3">
        <v>0</v>
      </c>
      <c r="T930" s="3">
        <v>0</v>
      </c>
      <c r="U930" s="3">
        <v>0</v>
      </c>
      <c r="V930" s="3">
        <v>0</v>
      </c>
      <c r="W930" s="3"/>
      <c r="X930" s="3"/>
      <c r="Y930" s="3"/>
      <c r="Z930" s="3">
        <v>-1</v>
      </c>
      <c r="AA930" s="3">
        <v>-1</v>
      </c>
      <c r="AB930" s="3" t="s">
        <v>891</v>
      </c>
      <c r="AC930" s="3">
        <v>0</v>
      </c>
      <c r="AD930" s="3">
        <v>0</v>
      </c>
      <c r="AE930" s="3">
        <v>0</v>
      </c>
      <c r="AF930" s="3">
        <v>0</v>
      </c>
      <c r="AG930" s="3">
        <v>0</v>
      </c>
      <c r="AH930" s="3">
        <v>1.92592592592592</v>
      </c>
      <c r="AI930" s="3">
        <v>0.280184</v>
      </c>
      <c r="AJ930" s="3" t="s">
        <v>870</v>
      </c>
    </row>
    <row r="931" spans="1:36">
      <c r="A931" s="5">
        <v>43336</v>
      </c>
      <c r="B931" s="3" t="s">
        <v>246</v>
      </c>
      <c r="C931" s="3" t="s">
        <v>247</v>
      </c>
      <c r="D931" s="3" t="s">
        <v>248</v>
      </c>
      <c r="E931" s="3" t="s">
        <v>249</v>
      </c>
      <c r="F931" s="3" t="s">
        <v>867</v>
      </c>
      <c r="G931" s="3">
        <v>19</v>
      </c>
      <c r="H931" s="3">
        <v>0</v>
      </c>
      <c r="I931" s="3">
        <v>19</v>
      </c>
      <c r="J931" s="3">
        <v>0</v>
      </c>
      <c r="K931" s="3">
        <v>0</v>
      </c>
      <c r="L931" s="3">
        <v>0</v>
      </c>
      <c r="M931" s="3">
        <v>0</v>
      </c>
      <c r="N931" s="3" t="s">
        <v>868</v>
      </c>
      <c r="O931" s="3">
        <v>0</v>
      </c>
      <c r="P931" s="3">
        <v>0</v>
      </c>
      <c r="Q931" s="3">
        <v>0</v>
      </c>
      <c r="R931" s="3">
        <v>0</v>
      </c>
      <c r="S931" s="3">
        <v>1</v>
      </c>
      <c r="T931" s="3">
        <v>26</v>
      </c>
      <c r="U931" s="3">
        <v>46</v>
      </c>
      <c r="V931" s="3">
        <v>46</v>
      </c>
      <c r="W931" s="3"/>
      <c r="X931" s="3">
        <v>39.98</v>
      </c>
      <c r="Y931" s="3">
        <v>23.98</v>
      </c>
      <c r="Z931" s="3">
        <v>23.98</v>
      </c>
      <c r="AA931" s="3">
        <v>0</v>
      </c>
      <c r="AB931" s="3" t="s">
        <v>869</v>
      </c>
      <c r="AC931" s="3">
        <v>0</v>
      </c>
      <c r="AD931" s="3">
        <v>0</v>
      </c>
      <c r="AE931" s="3">
        <v>0</v>
      </c>
      <c r="AF931" s="3">
        <v>0</v>
      </c>
      <c r="AG931" s="3">
        <v>0</v>
      </c>
      <c r="AH931" s="3">
        <v>11.5</v>
      </c>
      <c r="AI931" s="3">
        <v>0.865051</v>
      </c>
      <c r="AJ931" s="3" t="s">
        <v>870</v>
      </c>
    </row>
    <row r="932" spans="1:36">
      <c r="A932" s="5">
        <v>43336</v>
      </c>
      <c r="B932" s="3" t="s">
        <v>258</v>
      </c>
      <c r="C932" s="3" t="s">
        <v>259</v>
      </c>
      <c r="D932" s="3" t="s">
        <v>260</v>
      </c>
      <c r="E932" s="3" t="s">
        <v>261</v>
      </c>
      <c r="F932" s="3" t="s">
        <v>867</v>
      </c>
      <c r="G932" s="3">
        <v>3</v>
      </c>
      <c r="H932" s="3">
        <v>0</v>
      </c>
      <c r="I932" s="3">
        <v>3</v>
      </c>
      <c r="J932" s="3">
        <v>0</v>
      </c>
      <c r="K932" s="3">
        <v>0</v>
      </c>
      <c r="L932" s="3">
        <v>0</v>
      </c>
      <c r="M932" s="3">
        <v>0</v>
      </c>
      <c r="N932" s="3" t="s">
        <v>868</v>
      </c>
      <c r="O932" s="3">
        <v>0</v>
      </c>
      <c r="P932" s="3">
        <v>0</v>
      </c>
      <c r="Q932" s="3">
        <v>0</v>
      </c>
      <c r="R932" s="3">
        <v>0</v>
      </c>
      <c r="S932" s="3">
        <v>0</v>
      </c>
      <c r="T932" s="3">
        <v>0</v>
      </c>
      <c r="U932" s="3">
        <v>0</v>
      </c>
      <c r="V932" s="3">
        <v>0</v>
      </c>
      <c r="W932" s="3" t="s">
        <v>871</v>
      </c>
      <c r="X932" s="3">
        <v>45.98</v>
      </c>
      <c r="Y932" s="3">
        <v>27.98</v>
      </c>
      <c r="Z932" s="3">
        <v>27.98</v>
      </c>
      <c r="AA932" s="3">
        <v>0</v>
      </c>
      <c r="AB932" s="3" t="s">
        <v>869</v>
      </c>
      <c r="AC932" s="3">
        <v>0</v>
      </c>
      <c r="AD932" s="3">
        <v>0</v>
      </c>
      <c r="AE932" s="3">
        <v>0</v>
      </c>
      <c r="AF932" s="3">
        <v>0</v>
      </c>
      <c r="AG932" s="3">
        <v>0</v>
      </c>
      <c r="AH932" s="3">
        <v>0.08</v>
      </c>
      <c r="AI932" s="3">
        <v>0.345843</v>
      </c>
      <c r="AJ932" s="3" t="s">
        <v>870</v>
      </c>
    </row>
    <row r="933" spans="1:36">
      <c r="A933" s="5">
        <v>43336</v>
      </c>
      <c r="B933" s="3" t="s">
        <v>3087</v>
      </c>
      <c r="C933" s="3" t="s">
        <v>3088</v>
      </c>
      <c r="D933" s="3" t="s">
        <v>3089</v>
      </c>
      <c r="E933" s="3" t="s">
        <v>3090</v>
      </c>
      <c r="F933" s="3" t="s">
        <v>867</v>
      </c>
      <c r="G933" s="3">
        <v>5</v>
      </c>
      <c r="H933" s="3">
        <v>0</v>
      </c>
      <c r="I933" s="3">
        <v>5</v>
      </c>
      <c r="J933" s="3">
        <v>0</v>
      </c>
      <c r="K933" s="3">
        <v>0</v>
      </c>
      <c r="L933" s="3">
        <v>0</v>
      </c>
      <c r="M933" s="3">
        <v>0</v>
      </c>
      <c r="N933" s="3" t="s">
        <v>868</v>
      </c>
      <c r="O933" s="3">
        <v>0</v>
      </c>
      <c r="P933" s="3">
        <v>0</v>
      </c>
      <c r="Q933" s="3">
        <v>0</v>
      </c>
      <c r="R933" s="3">
        <v>0</v>
      </c>
      <c r="S933" s="3">
        <v>0</v>
      </c>
      <c r="T933" s="3">
        <v>0</v>
      </c>
      <c r="U933" s="3">
        <v>0</v>
      </c>
      <c r="V933" s="3">
        <v>0</v>
      </c>
      <c r="W933" s="3" t="s">
        <v>871</v>
      </c>
      <c r="X933" s="3">
        <v>22.98</v>
      </c>
      <c r="Y933" s="3">
        <v>22.98</v>
      </c>
      <c r="Z933" s="3">
        <v>22.98</v>
      </c>
      <c r="AA933" s="3">
        <v>0</v>
      </c>
      <c r="AB933" s="3" t="s">
        <v>883</v>
      </c>
      <c r="AC933" s="3">
        <v>0</v>
      </c>
      <c r="AD933" s="3">
        <v>18.38</v>
      </c>
      <c r="AE933" s="3">
        <v>63</v>
      </c>
      <c r="AF933" s="3">
        <v>0</v>
      </c>
      <c r="AG933" s="3">
        <v>80.183597</v>
      </c>
      <c r="AH933" s="3">
        <v>0</v>
      </c>
      <c r="AI933" s="3">
        <v>0.587724999999999</v>
      </c>
      <c r="AJ933" s="3" t="s">
        <v>870</v>
      </c>
    </row>
    <row r="934" spans="1:36">
      <c r="A934" s="5">
        <v>43336</v>
      </c>
      <c r="B934" s="3" t="s">
        <v>3091</v>
      </c>
      <c r="C934" s="3" t="s">
        <v>3092</v>
      </c>
      <c r="D934" s="3" t="s">
        <v>3092</v>
      </c>
      <c r="E934" s="3" t="s">
        <v>3093</v>
      </c>
      <c r="F934" s="3" t="s">
        <v>867</v>
      </c>
      <c r="G934" s="3">
        <v>4</v>
      </c>
      <c r="H934" s="3">
        <v>0</v>
      </c>
      <c r="I934" s="3">
        <v>3</v>
      </c>
      <c r="J934" s="3">
        <v>1</v>
      </c>
      <c r="K934" s="3">
        <v>0</v>
      </c>
      <c r="L934" s="3">
        <v>0</v>
      </c>
      <c r="M934" s="3">
        <v>0</v>
      </c>
      <c r="N934" s="3" t="s">
        <v>868</v>
      </c>
      <c r="O934" s="3">
        <v>0</v>
      </c>
      <c r="P934" s="3">
        <v>0</v>
      </c>
      <c r="Q934" s="3">
        <v>0</v>
      </c>
      <c r="R934" s="3">
        <v>0</v>
      </c>
      <c r="S934" s="3">
        <v>1</v>
      </c>
      <c r="T934" s="3">
        <v>1</v>
      </c>
      <c r="U934" s="3">
        <v>4</v>
      </c>
      <c r="V934" s="3">
        <v>7</v>
      </c>
      <c r="W934" s="3"/>
      <c r="X934" s="3">
        <v>22.98</v>
      </c>
      <c r="Y934" s="3">
        <v>22.98</v>
      </c>
      <c r="Z934" s="3">
        <v>22.98</v>
      </c>
      <c r="AA934" s="3">
        <v>0</v>
      </c>
      <c r="AB934" s="3" t="s">
        <v>883</v>
      </c>
      <c r="AC934" s="3">
        <v>0</v>
      </c>
      <c r="AD934" s="3">
        <v>21.37</v>
      </c>
      <c r="AE934" s="3">
        <v>105</v>
      </c>
      <c r="AF934" s="3">
        <v>0</v>
      </c>
      <c r="AG934" s="3">
        <v>103.251778</v>
      </c>
      <c r="AH934" s="3">
        <v>1.16666666666666</v>
      </c>
      <c r="AI934" s="3">
        <v>0.552408</v>
      </c>
      <c r="AJ934" s="3" t="s">
        <v>870</v>
      </c>
    </row>
    <row r="935" spans="1:36">
      <c r="A935" s="5">
        <v>43336</v>
      </c>
      <c r="B935" s="3" t="s">
        <v>3094</v>
      </c>
      <c r="C935" s="3" t="s">
        <v>3095</v>
      </c>
      <c r="D935" s="3" t="s">
        <v>3096</v>
      </c>
      <c r="E935" s="3" t="s">
        <v>3097</v>
      </c>
      <c r="F935" s="3" t="s">
        <v>867</v>
      </c>
      <c r="G935" s="3">
        <v>4</v>
      </c>
      <c r="H935" s="3">
        <v>0</v>
      </c>
      <c r="I935" s="3">
        <v>4</v>
      </c>
      <c r="J935" s="3">
        <v>0</v>
      </c>
      <c r="K935" s="3">
        <v>0</v>
      </c>
      <c r="L935" s="3">
        <v>0</v>
      </c>
      <c r="M935" s="3">
        <v>0</v>
      </c>
      <c r="N935" s="3" t="s">
        <v>868</v>
      </c>
      <c r="O935" s="3">
        <v>0</v>
      </c>
      <c r="P935" s="3">
        <v>0</v>
      </c>
      <c r="Q935" s="3">
        <v>0</v>
      </c>
      <c r="R935" s="3">
        <v>0</v>
      </c>
      <c r="S935" s="3">
        <v>1</v>
      </c>
      <c r="T935" s="3">
        <v>2</v>
      </c>
      <c r="U935" s="3">
        <v>3</v>
      </c>
      <c r="V935" s="3">
        <v>3</v>
      </c>
      <c r="W935" s="3"/>
      <c r="X935" s="3">
        <v>22.98</v>
      </c>
      <c r="Y935" s="3">
        <v>22.98</v>
      </c>
      <c r="Z935" s="3">
        <v>22.98</v>
      </c>
      <c r="AA935" s="3">
        <v>0</v>
      </c>
      <c r="AB935" s="3" t="s">
        <v>869</v>
      </c>
      <c r="AC935" s="3">
        <v>4</v>
      </c>
      <c r="AD935" s="3">
        <v>22.98</v>
      </c>
      <c r="AE935" s="3">
        <v>0</v>
      </c>
      <c r="AF935" s="3">
        <v>0</v>
      </c>
      <c r="AG935" s="3">
        <v>0</v>
      </c>
      <c r="AH935" s="3">
        <v>1.71428571428571</v>
      </c>
      <c r="AI935" s="3">
        <v>0.334252</v>
      </c>
      <c r="AJ935" s="3" t="s">
        <v>870</v>
      </c>
    </row>
    <row r="936" spans="1:36">
      <c r="A936" s="5">
        <v>43336</v>
      </c>
      <c r="B936" s="3" t="s">
        <v>649</v>
      </c>
      <c r="C936" s="3" t="s">
        <v>650</v>
      </c>
      <c r="D936" s="3" t="s">
        <v>651</v>
      </c>
      <c r="E936" s="3" t="s">
        <v>652</v>
      </c>
      <c r="F936" s="3" t="s">
        <v>867</v>
      </c>
      <c r="G936" s="3">
        <v>31</v>
      </c>
      <c r="H936" s="3">
        <v>0</v>
      </c>
      <c r="I936" s="3">
        <v>31</v>
      </c>
      <c r="J936" s="3">
        <v>0</v>
      </c>
      <c r="K936" s="3">
        <v>0</v>
      </c>
      <c r="L936" s="3">
        <v>0</v>
      </c>
      <c r="M936" s="3">
        <v>0</v>
      </c>
      <c r="N936" s="3" t="s">
        <v>868</v>
      </c>
      <c r="O936" s="3">
        <v>0</v>
      </c>
      <c r="P936" s="3">
        <v>0</v>
      </c>
      <c r="Q936" s="3">
        <v>0</v>
      </c>
      <c r="R936" s="3">
        <v>0</v>
      </c>
      <c r="S936" s="3">
        <v>7</v>
      </c>
      <c r="T936" s="3">
        <v>32</v>
      </c>
      <c r="U936" s="3">
        <v>58</v>
      </c>
      <c r="V936" s="3">
        <v>74</v>
      </c>
      <c r="W936" s="3"/>
      <c r="X936" s="3">
        <v>25.98</v>
      </c>
      <c r="Y936" s="3">
        <v>25.98</v>
      </c>
      <c r="Z936" s="3">
        <v>25.98</v>
      </c>
      <c r="AA936" s="3">
        <v>0</v>
      </c>
      <c r="AB936" s="3" t="s">
        <v>869</v>
      </c>
      <c r="AC936" s="3">
        <v>31</v>
      </c>
      <c r="AD936" s="3">
        <v>25.98</v>
      </c>
      <c r="AE936" s="3">
        <v>0</v>
      </c>
      <c r="AF936" s="3">
        <v>0</v>
      </c>
      <c r="AG936" s="3">
        <v>0</v>
      </c>
      <c r="AH936" s="3">
        <v>3.58064516129032</v>
      </c>
      <c r="AI936" s="3">
        <v>5.383305</v>
      </c>
      <c r="AJ936" s="3" t="s">
        <v>870</v>
      </c>
    </row>
    <row r="937" spans="1:36">
      <c r="A937" s="5">
        <v>43336</v>
      </c>
      <c r="B937" s="3" t="s">
        <v>3098</v>
      </c>
      <c r="C937" s="3" t="s">
        <v>3099</v>
      </c>
      <c r="D937" s="3" t="s">
        <v>3099</v>
      </c>
      <c r="E937" s="3" t="s">
        <v>273</v>
      </c>
      <c r="F937" s="3" t="s">
        <v>867</v>
      </c>
      <c r="G937" s="3">
        <v>2</v>
      </c>
      <c r="H937" s="3">
        <v>0</v>
      </c>
      <c r="I937" s="3">
        <v>1</v>
      </c>
      <c r="J937" s="3">
        <v>0</v>
      </c>
      <c r="K937" s="3">
        <v>1</v>
      </c>
      <c r="L937" s="3">
        <v>0</v>
      </c>
      <c r="M937" s="3">
        <v>0</v>
      </c>
      <c r="N937" s="3" t="s">
        <v>868</v>
      </c>
      <c r="O937" s="3">
        <v>1</v>
      </c>
      <c r="P937" s="3">
        <v>0.4</v>
      </c>
      <c r="Q937" s="3">
        <v>0</v>
      </c>
      <c r="R937" s="3">
        <v>0</v>
      </c>
      <c r="S937" s="3">
        <v>0</v>
      </c>
      <c r="T937" s="3">
        <v>0</v>
      </c>
      <c r="U937" s="3">
        <v>0</v>
      </c>
      <c r="V937" s="3">
        <v>3</v>
      </c>
      <c r="W937" s="3" t="s">
        <v>871</v>
      </c>
      <c r="X937" s="3">
        <v>25.98</v>
      </c>
      <c r="Y937" s="3">
        <v>25.98</v>
      </c>
      <c r="Z937" s="3">
        <v>25.98</v>
      </c>
      <c r="AA937" s="3">
        <v>0</v>
      </c>
      <c r="AB937" s="3" t="s">
        <v>883</v>
      </c>
      <c r="AC937" s="3">
        <v>1</v>
      </c>
      <c r="AD937" s="3">
        <v>24.54</v>
      </c>
      <c r="AE937" s="3">
        <v>42</v>
      </c>
      <c r="AF937" s="3">
        <v>0</v>
      </c>
      <c r="AG937" s="3">
        <v>55.05928</v>
      </c>
      <c r="AH937" s="3">
        <v>0.260869565217391</v>
      </c>
      <c r="AI937" s="3">
        <v>0.230562</v>
      </c>
      <c r="AJ937" s="3" t="s">
        <v>870</v>
      </c>
    </row>
    <row r="938" spans="1:36">
      <c r="A938" s="5">
        <v>43336</v>
      </c>
      <c r="B938" s="3" t="s">
        <v>3100</v>
      </c>
      <c r="C938" s="3" t="s">
        <v>3101</v>
      </c>
      <c r="D938" s="3" t="s">
        <v>3102</v>
      </c>
      <c r="E938" s="3" t="s">
        <v>2310</v>
      </c>
      <c r="F938" s="3" t="s">
        <v>867</v>
      </c>
      <c r="G938" s="3">
        <v>9</v>
      </c>
      <c r="H938" s="3">
        <v>0</v>
      </c>
      <c r="I938" s="3">
        <v>9</v>
      </c>
      <c r="J938" s="3">
        <v>0</v>
      </c>
      <c r="K938" s="3">
        <v>0</v>
      </c>
      <c r="L938" s="3">
        <v>0</v>
      </c>
      <c r="M938" s="3">
        <v>0</v>
      </c>
      <c r="N938" s="3" t="s">
        <v>868</v>
      </c>
      <c r="O938" s="3">
        <v>0</v>
      </c>
      <c r="P938" s="3">
        <v>0</v>
      </c>
      <c r="Q938" s="3">
        <v>0</v>
      </c>
      <c r="R938" s="3">
        <v>0</v>
      </c>
      <c r="S938" s="3">
        <v>0</v>
      </c>
      <c r="T938" s="3">
        <v>0</v>
      </c>
      <c r="U938" s="3">
        <v>1</v>
      </c>
      <c r="V938" s="3">
        <v>1</v>
      </c>
      <c r="W938" s="3"/>
      <c r="X938" s="3"/>
      <c r="Y938" s="3"/>
      <c r="Z938" s="3">
        <v>-1</v>
      </c>
      <c r="AA938" s="3">
        <v>-1</v>
      </c>
      <c r="AB938" s="3" t="s">
        <v>891</v>
      </c>
      <c r="AC938" s="3">
        <v>9</v>
      </c>
      <c r="AD938" s="3">
        <v>22.98</v>
      </c>
      <c r="AE938" s="3">
        <v>0</v>
      </c>
      <c r="AF938" s="3">
        <v>0</v>
      </c>
      <c r="AG938" s="3">
        <v>0</v>
      </c>
      <c r="AH938" s="3">
        <v>0.166666666666666</v>
      </c>
      <c r="AI938" s="3">
        <v>0.627705</v>
      </c>
      <c r="AJ938" s="3" t="s">
        <v>870</v>
      </c>
    </row>
    <row r="939" spans="1:36">
      <c r="A939" s="5">
        <v>43336</v>
      </c>
      <c r="B939" s="3" t="s">
        <v>3103</v>
      </c>
      <c r="C939" s="3" t="s">
        <v>3104</v>
      </c>
      <c r="D939" s="3" t="s">
        <v>3105</v>
      </c>
      <c r="E939" s="3" t="s">
        <v>3106</v>
      </c>
      <c r="F939" s="3" t="s">
        <v>867</v>
      </c>
      <c r="G939" s="3">
        <v>8</v>
      </c>
      <c r="H939" s="3">
        <v>0</v>
      </c>
      <c r="I939" s="3">
        <v>8</v>
      </c>
      <c r="J939" s="3">
        <v>0</v>
      </c>
      <c r="K939" s="3">
        <v>0</v>
      </c>
      <c r="L939" s="3">
        <v>0</v>
      </c>
      <c r="M939" s="3">
        <v>0</v>
      </c>
      <c r="N939" s="3" t="s">
        <v>868</v>
      </c>
      <c r="O939" s="3">
        <v>0</v>
      </c>
      <c r="P939" s="3">
        <v>0</v>
      </c>
      <c r="Q939" s="3">
        <v>0</v>
      </c>
      <c r="R939" s="3">
        <v>0</v>
      </c>
      <c r="S939" s="3">
        <v>0</v>
      </c>
      <c r="T939" s="3">
        <v>0</v>
      </c>
      <c r="U939" s="3">
        <v>0</v>
      </c>
      <c r="V939" s="3">
        <v>0</v>
      </c>
      <c r="W939" s="3" t="s">
        <v>936</v>
      </c>
      <c r="X939" s="3">
        <v>22.98</v>
      </c>
      <c r="Y939" s="3">
        <v>22.98</v>
      </c>
      <c r="Z939" s="3">
        <v>22.98</v>
      </c>
      <c r="AA939" s="3">
        <v>0</v>
      </c>
      <c r="AB939" s="3" t="s">
        <v>937</v>
      </c>
      <c r="AC939" s="3">
        <v>0</v>
      </c>
      <c r="AD939" s="3">
        <v>18.38</v>
      </c>
      <c r="AE939" s="3">
        <v>63</v>
      </c>
      <c r="AF939" s="3">
        <v>0</v>
      </c>
      <c r="AG939" s="3">
        <v>151.011387</v>
      </c>
      <c r="AH939" s="3">
        <v>0</v>
      </c>
      <c r="AI939" s="3">
        <v>1.276912</v>
      </c>
      <c r="AJ939" s="3" t="s">
        <v>925</v>
      </c>
    </row>
    <row r="940" spans="1:36">
      <c r="A940" s="5">
        <v>43336</v>
      </c>
      <c r="B940" s="3" t="s">
        <v>3107</v>
      </c>
      <c r="C940" s="3" t="s">
        <v>3108</v>
      </c>
      <c r="D940" s="3" t="s">
        <v>3108</v>
      </c>
      <c r="E940" s="3" t="s">
        <v>3109</v>
      </c>
      <c r="F940" s="3" t="s">
        <v>867</v>
      </c>
      <c r="G940" s="3">
        <v>1</v>
      </c>
      <c r="H940" s="3">
        <v>0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 t="s">
        <v>868</v>
      </c>
      <c r="O940" s="3">
        <v>0</v>
      </c>
      <c r="P940" s="3">
        <v>0</v>
      </c>
      <c r="Q940" s="3">
        <v>0</v>
      </c>
      <c r="R940" s="3">
        <v>0</v>
      </c>
      <c r="S940" s="3">
        <v>0</v>
      </c>
      <c r="T940" s="3">
        <v>0</v>
      </c>
      <c r="U940" s="3">
        <v>10</v>
      </c>
      <c r="V940" s="3">
        <v>36</v>
      </c>
      <c r="W940" s="3"/>
      <c r="X940" s="3"/>
      <c r="Y940" s="3"/>
      <c r="Z940" s="3">
        <v>-1</v>
      </c>
      <c r="AA940" s="3">
        <v>-1</v>
      </c>
      <c r="AB940" s="3" t="s">
        <v>891</v>
      </c>
      <c r="AC940" s="3">
        <v>0</v>
      </c>
      <c r="AD940" s="3">
        <v>0</v>
      </c>
      <c r="AE940" s="3">
        <v>0</v>
      </c>
      <c r="AF940" s="3">
        <v>0</v>
      </c>
      <c r="AG940" s="3">
        <v>0</v>
      </c>
      <c r="AH940" s="3">
        <v>3.6</v>
      </c>
      <c r="AI940" s="3">
        <v>0.045529</v>
      </c>
      <c r="AJ940" s="3" t="s">
        <v>870</v>
      </c>
    </row>
    <row r="941" spans="1:36">
      <c r="A941" s="5">
        <v>43336</v>
      </c>
      <c r="B941" s="3" t="s">
        <v>3110</v>
      </c>
      <c r="C941" s="3" t="s">
        <v>3111</v>
      </c>
      <c r="D941" s="3" t="s">
        <v>3111</v>
      </c>
      <c r="E941" s="3" t="s">
        <v>3021</v>
      </c>
      <c r="F941" s="3" t="s">
        <v>867</v>
      </c>
      <c r="G941" s="3">
        <v>9</v>
      </c>
      <c r="H941" s="3">
        <v>0</v>
      </c>
      <c r="I941" s="3">
        <v>0</v>
      </c>
      <c r="J941" s="3">
        <v>1</v>
      </c>
      <c r="K941" s="3">
        <v>8</v>
      </c>
      <c r="L941" s="3">
        <v>0</v>
      </c>
      <c r="M941" s="3">
        <v>0</v>
      </c>
      <c r="N941" s="3" t="s">
        <v>868</v>
      </c>
      <c r="O941" s="3">
        <v>8</v>
      </c>
      <c r="P941" s="3">
        <v>3.18</v>
      </c>
      <c r="Q941" s="3">
        <v>0</v>
      </c>
      <c r="R941" s="3">
        <v>0</v>
      </c>
      <c r="S941" s="3">
        <v>0</v>
      </c>
      <c r="T941" s="3">
        <v>0</v>
      </c>
      <c r="U941" s="3">
        <v>0</v>
      </c>
      <c r="V941" s="3">
        <v>1</v>
      </c>
      <c r="W941" s="3" t="s">
        <v>936</v>
      </c>
      <c r="X941" s="3">
        <v>27.98</v>
      </c>
      <c r="Y941" s="3">
        <v>27.98</v>
      </c>
      <c r="Z941" s="3">
        <v>27.98</v>
      </c>
      <c r="AA941" s="3">
        <v>0</v>
      </c>
      <c r="AB941" s="3" t="s">
        <v>937</v>
      </c>
      <c r="AC941" s="3">
        <v>1</v>
      </c>
      <c r="AD941" s="3">
        <v>25.88</v>
      </c>
      <c r="AE941" s="3">
        <v>133</v>
      </c>
      <c r="AF941" s="3">
        <v>0</v>
      </c>
      <c r="AG941" s="3">
        <v>260.069581</v>
      </c>
      <c r="AH941" s="3">
        <v>0.108108108108108</v>
      </c>
      <c r="AI941" s="3">
        <v>1.037529</v>
      </c>
      <c r="AJ941" s="3" t="s">
        <v>870</v>
      </c>
    </row>
    <row r="942" spans="1:36">
      <c r="A942" s="5">
        <v>43336</v>
      </c>
      <c r="B942" s="3" t="s">
        <v>3112</v>
      </c>
      <c r="C942" s="3" t="s">
        <v>3113</v>
      </c>
      <c r="D942" s="3" t="s">
        <v>3113</v>
      </c>
      <c r="E942" s="3" t="s">
        <v>3114</v>
      </c>
      <c r="F942" s="3" t="s">
        <v>867</v>
      </c>
      <c r="G942" s="3">
        <v>22</v>
      </c>
      <c r="H942" s="3">
        <v>0</v>
      </c>
      <c r="I942" s="3">
        <v>16</v>
      </c>
      <c r="J942" s="3">
        <v>0</v>
      </c>
      <c r="K942" s="3">
        <v>6</v>
      </c>
      <c r="L942" s="3">
        <v>0</v>
      </c>
      <c r="M942" s="3">
        <v>0</v>
      </c>
      <c r="N942" s="3" t="s">
        <v>868</v>
      </c>
      <c r="O942" s="3">
        <v>6</v>
      </c>
      <c r="P942" s="3">
        <v>1.45</v>
      </c>
      <c r="Q942" s="3">
        <v>0</v>
      </c>
      <c r="R942" s="3">
        <v>0</v>
      </c>
      <c r="S942" s="3">
        <v>0</v>
      </c>
      <c r="T942" s="3">
        <v>0</v>
      </c>
      <c r="U942" s="3">
        <v>1</v>
      </c>
      <c r="V942" s="3">
        <v>7</v>
      </c>
      <c r="W942" s="3" t="s">
        <v>871</v>
      </c>
      <c r="X942" s="3">
        <v>22.98</v>
      </c>
      <c r="Y942" s="3">
        <v>22.98</v>
      </c>
      <c r="Z942" s="3">
        <v>22.98</v>
      </c>
      <c r="AA942" s="3">
        <v>0</v>
      </c>
      <c r="AB942" s="3" t="s">
        <v>869</v>
      </c>
      <c r="AC942" s="3">
        <v>22</v>
      </c>
      <c r="AD942" s="3">
        <v>22.98</v>
      </c>
      <c r="AE942" s="3">
        <v>0</v>
      </c>
      <c r="AF942" s="3">
        <v>0</v>
      </c>
      <c r="AG942" s="3">
        <v>0</v>
      </c>
      <c r="AH942" s="3">
        <v>0.35</v>
      </c>
      <c r="AI942" s="3">
        <v>1.54101199999999</v>
      </c>
      <c r="AJ942" s="3" t="s">
        <v>870</v>
      </c>
    </row>
    <row r="943" spans="1:36">
      <c r="A943" s="5">
        <v>43336</v>
      </c>
      <c r="B943" s="3" t="s">
        <v>3115</v>
      </c>
      <c r="C943" s="3" t="s">
        <v>3116</v>
      </c>
      <c r="D943" s="3" t="s">
        <v>3116</v>
      </c>
      <c r="E943" s="3" t="s">
        <v>3117</v>
      </c>
      <c r="F943" s="3" t="s">
        <v>867</v>
      </c>
      <c r="G943" s="3">
        <v>7</v>
      </c>
      <c r="H943" s="3">
        <v>0</v>
      </c>
      <c r="I943" s="3">
        <v>0</v>
      </c>
      <c r="J943" s="3">
        <v>1</v>
      </c>
      <c r="K943" s="3">
        <v>6</v>
      </c>
      <c r="L943" s="3">
        <v>0</v>
      </c>
      <c r="M943" s="3">
        <v>0</v>
      </c>
      <c r="N943" s="3" t="s">
        <v>868</v>
      </c>
      <c r="O943" s="3">
        <v>6</v>
      </c>
      <c r="P943" s="3">
        <v>1.83</v>
      </c>
      <c r="Q943" s="3">
        <v>0</v>
      </c>
      <c r="R943" s="3">
        <v>0</v>
      </c>
      <c r="S943" s="3">
        <v>0</v>
      </c>
      <c r="T943" s="3">
        <v>0</v>
      </c>
      <c r="U943" s="3">
        <v>0</v>
      </c>
      <c r="V943" s="3">
        <v>0</v>
      </c>
      <c r="W943" s="3" t="s">
        <v>871</v>
      </c>
      <c r="X943" s="3">
        <v>24.98</v>
      </c>
      <c r="Y943" s="3">
        <v>24.98</v>
      </c>
      <c r="Z943" s="3">
        <v>24.98</v>
      </c>
      <c r="AA943" s="3">
        <v>0</v>
      </c>
      <c r="AB943" s="3" t="s">
        <v>883</v>
      </c>
      <c r="AC943" s="3">
        <v>0</v>
      </c>
      <c r="AD943" s="3">
        <v>22.76</v>
      </c>
      <c r="AE943" s="3">
        <v>161</v>
      </c>
      <c r="AF943" s="3">
        <v>0</v>
      </c>
      <c r="AG943" s="3">
        <v>159.118084</v>
      </c>
      <c r="AH943" s="3">
        <v>0</v>
      </c>
      <c r="AI943" s="3">
        <v>0.617631</v>
      </c>
      <c r="AJ943" s="3" t="s">
        <v>870</v>
      </c>
    </row>
    <row r="944" spans="1:36">
      <c r="A944" s="5">
        <v>43336</v>
      </c>
      <c r="B944" s="3" t="s">
        <v>3118</v>
      </c>
      <c r="C944" s="3" t="s">
        <v>3119</v>
      </c>
      <c r="D944" s="3" t="s">
        <v>3119</v>
      </c>
      <c r="E944" s="3" t="s">
        <v>3120</v>
      </c>
      <c r="F944" s="3" t="s">
        <v>867</v>
      </c>
      <c r="G944" s="3">
        <v>2</v>
      </c>
      <c r="H944" s="3">
        <v>0</v>
      </c>
      <c r="I944" s="3">
        <v>0</v>
      </c>
      <c r="J944" s="3">
        <v>0</v>
      </c>
      <c r="K944" s="3">
        <v>0</v>
      </c>
      <c r="L944" s="3">
        <v>2</v>
      </c>
      <c r="M944" s="3">
        <v>0</v>
      </c>
      <c r="N944" s="3" t="s">
        <v>868</v>
      </c>
      <c r="O944" s="3">
        <v>2</v>
      </c>
      <c r="P944" s="3">
        <v>0.38</v>
      </c>
      <c r="Q944" s="3">
        <v>0</v>
      </c>
      <c r="R944" s="3">
        <v>0</v>
      </c>
      <c r="S944" s="3">
        <v>0</v>
      </c>
      <c r="T944" s="3">
        <v>1</v>
      </c>
      <c r="U944" s="3">
        <v>1</v>
      </c>
      <c r="V944" s="3">
        <v>1</v>
      </c>
      <c r="W944" s="3" t="s">
        <v>936</v>
      </c>
      <c r="X944" s="3">
        <v>15</v>
      </c>
      <c r="Y944" s="3">
        <v>15</v>
      </c>
      <c r="Z944" s="3">
        <v>15</v>
      </c>
      <c r="AA944" s="3">
        <v>0</v>
      </c>
      <c r="AB944" s="3" t="s">
        <v>869</v>
      </c>
      <c r="AC944" s="3">
        <v>2</v>
      </c>
      <c r="AD944" s="3">
        <v>15</v>
      </c>
      <c r="AE944" s="3">
        <v>0</v>
      </c>
      <c r="AF944" s="3">
        <v>0</v>
      </c>
      <c r="AG944" s="3">
        <v>0</v>
      </c>
      <c r="AH944" s="3">
        <v>0.363636363636363</v>
      </c>
      <c r="AI944" s="3">
        <v>0.111112</v>
      </c>
      <c r="AJ944" s="3" t="s">
        <v>898</v>
      </c>
    </row>
    <row r="945" spans="1:36">
      <c r="A945" s="5">
        <v>43336</v>
      </c>
      <c r="B945" s="3" t="s">
        <v>3121</v>
      </c>
      <c r="C945" s="3" t="s">
        <v>1081</v>
      </c>
      <c r="D945" s="3" t="s">
        <v>1081</v>
      </c>
      <c r="E945" s="3" t="s">
        <v>1082</v>
      </c>
      <c r="F945" s="3" t="s">
        <v>867</v>
      </c>
      <c r="G945" s="3">
        <v>3</v>
      </c>
      <c r="H945" s="3">
        <v>0</v>
      </c>
      <c r="I945" s="3">
        <v>3</v>
      </c>
      <c r="J945" s="3">
        <v>0</v>
      </c>
      <c r="K945" s="3">
        <v>0</v>
      </c>
      <c r="L945" s="3">
        <v>0</v>
      </c>
      <c r="M945" s="3">
        <v>0</v>
      </c>
      <c r="N945" s="3" t="s">
        <v>868</v>
      </c>
      <c r="O945" s="3">
        <v>0</v>
      </c>
      <c r="P945" s="3">
        <v>0</v>
      </c>
      <c r="Q945" s="3">
        <v>0</v>
      </c>
      <c r="R945" s="3">
        <v>0</v>
      </c>
      <c r="S945" s="3">
        <v>1</v>
      </c>
      <c r="T945" s="3">
        <v>6</v>
      </c>
      <c r="U945" s="3">
        <v>6</v>
      </c>
      <c r="V945" s="3">
        <v>8</v>
      </c>
      <c r="W945" s="3"/>
      <c r="X945" s="3">
        <v>22.98</v>
      </c>
      <c r="Y945" s="3">
        <v>22.98</v>
      </c>
      <c r="Z945" s="3">
        <v>22.98</v>
      </c>
      <c r="AA945" s="3">
        <v>0</v>
      </c>
      <c r="AB945" s="3" t="s">
        <v>883</v>
      </c>
      <c r="AC945" s="3">
        <v>0</v>
      </c>
      <c r="AD945" s="3">
        <v>18.38</v>
      </c>
      <c r="AE945" s="3">
        <v>91</v>
      </c>
      <c r="AF945" s="3">
        <v>0</v>
      </c>
      <c r="AG945" s="3">
        <v>5.106566</v>
      </c>
      <c r="AH945" s="3">
        <v>1.17647058823529</v>
      </c>
      <c r="AI945" s="3">
        <v>0.210138</v>
      </c>
      <c r="AJ945" s="3" t="s">
        <v>870</v>
      </c>
    </row>
    <row r="946" spans="1:36">
      <c r="A946" s="5">
        <v>43336</v>
      </c>
      <c r="B946" s="3" t="s">
        <v>3122</v>
      </c>
      <c r="C946" s="3" t="s">
        <v>3123</v>
      </c>
      <c r="D946" s="3" t="s">
        <v>3124</v>
      </c>
      <c r="E946" s="3" t="s">
        <v>3125</v>
      </c>
      <c r="F946" s="3" t="s">
        <v>867</v>
      </c>
      <c r="G946" s="3">
        <v>5</v>
      </c>
      <c r="H946" s="3">
        <v>0</v>
      </c>
      <c r="I946" s="3">
        <v>5</v>
      </c>
      <c r="J946" s="3">
        <v>0</v>
      </c>
      <c r="K946" s="3">
        <v>0</v>
      </c>
      <c r="L946" s="3">
        <v>0</v>
      </c>
      <c r="M946" s="3">
        <v>0</v>
      </c>
      <c r="N946" s="3" t="s">
        <v>868</v>
      </c>
      <c r="O946" s="3">
        <v>0</v>
      </c>
      <c r="P946" s="3">
        <v>0</v>
      </c>
      <c r="Q946" s="3">
        <v>0</v>
      </c>
      <c r="R946" s="3">
        <v>0</v>
      </c>
      <c r="S946" s="3">
        <v>0</v>
      </c>
      <c r="T946" s="3">
        <v>0</v>
      </c>
      <c r="U946" s="3">
        <v>0</v>
      </c>
      <c r="V946" s="3">
        <v>0</v>
      </c>
      <c r="W946" s="3" t="s">
        <v>936</v>
      </c>
      <c r="X946" s="3">
        <v>22.98</v>
      </c>
      <c r="Y946" s="3">
        <v>22.98</v>
      </c>
      <c r="Z946" s="3">
        <v>22.98</v>
      </c>
      <c r="AA946" s="3">
        <v>0</v>
      </c>
      <c r="AB946" s="3" t="s">
        <v>937</v>
      </c>
      <c r="AC946" s="3">
        <v>0</v>
      </c>
      <c r="AD946" s="3">
        <v>18.38</v>
      </c>
      <c r="AE946" s="3">
        <v>63</v>
      </c>
      <c r="AF946" s="3">
        <v>0</v>
      </c>
      <c r="AG946" s="3">
        <v>86.22239</v>
      </c>
      <c r="AH946" s="3">
        <v>0</v>
      </c>
      <c r="AI946" s="3">
        <v>0.72132</v>
      </c>
      <c r="AJ946" s="3" t="s">
        <v>925</v>
      </c>
    </row>
    <row r="947" spans="1:36">
      <c r="A947" s="5">
        <v>43336</v>
      </c>
      <c r="B947" s="3" t="s">
        <v>3126</v>
      </c>
      <c r="C947" s="3" t="s">
        <v>3127</v>
      </c>
      <c r="D947" s="3" t="s">
        <v>3039</v>
      </c>
      <c r="E947" s="3" t="s">
        <v>3040</v>
      </c>
      <c r="F947" s="3" t="s">
        <v>867</v>
      </c>
      <c r="G947" s="3">
        <v>4</v>
      </c>
      <c r="H947" s="3">
        <v>0</v>
      </c>
      <c r="I947" s="3">
        <v>0</v>
      </c>
      <c r="J947" s="3">
        <v>1</v>
      </c>
      <c r="K947" s="3">
        <v>3</v>
      </c>
      <c r="L947" s="3">
        <v>0</v>
      </c>
      <c r="M947" s="3">
        <v>0</v>
      </c>
      <c r="N947" s="3" t="s">
        <v>868</v>
      </c>
      <c r="O947" s="3">
        <v>3</v>
      </c>
      <c r="P947" s="3">
        <v>1.19</v>
      </c>
      <c r="Q947" s="3">
        <v>0</v>
      </c>
      <c r="R947" s="3">
        <v>0</v>
      </c>
      <c r="S947" s="3">
        <v>0</v>
      </c>
      <c r="T947" s="3">
        <v>0</v>
      </c>
      <c r="U947" s="3">
        <v>1</v>
      </c>
      <c r="V947" s="3">
        <v>2</v>
      </c>
      <c r="W947" s="3" t="s">
        <v>871</v>
      </c>
      <c r="X947" s="3">
        <v>27.98</v>
      </c>
      <c r="Y947" s="3">
        <v>27.98</v>
      </c>
      <c r="Z947" s="3">
        <v>25.98</v>
      </c>
      <c r="AA947" s="3">
        <v>0</v>
      </c>
      <c r="AB947" s="3" t="s">
        <v>869</v>
      </c>
      <c r="AC947" s="3">
        <v>4</v>
      </c>
      <c r="AD947" s="3">
        <v>27.98</v>
      </c>
      <c r="AE947" s="3">
        <v>0</v>
      </c>
      <c r="AF947" s="3">
        <v>0</v>
      </c>
      <c r="AG947" s="3">
        <v>0</v>
      </c>
      <c r="AH947" s="3">
        <v>0.492307692307692</v>
      </c>
      <c r="AI947" s="3">
        <v>0.461124</v>
      </c>
      <c r="AJ947" s="3" t="s">
        <v>870</v>
      </c>
    </row>
    <row r="948" spans="1:36">
      <c r="A948" s="5">
        <v>43336</v>
      </c>
      <c r="B948" s="3" t="s">
        <v>96</v>
      </c>
      <c r="C948" s="3" t="s">
        <v>97</v>
      </c>
      <c r="D948" s="3" t="s">
        <v>98</v>
      </c>
      <c r="E948" s="3" t="s">
        <v>99</v>
      </c>
      <c r="F948" s="3" t="s">
        <v>867</v>
      </c>
      <c r="G948" s="3">
        <v>3</v>
      </c>
      <c r="H948" s="3">
        <v>0</v>
      </c>
      <c r="I948" s="3">
        <v>3</v>
      </c>
      <c r="J948" s="3">
        <v>0</v>
      </c>
      <c r="K948" s="3">
        <v>0</v>
      </c>
      <c r="L948" s="3">
        <v>0</v>
      </c>
      <c r="M948" s="3">
        <v>0</v>
      </c>
      <c r="N948" s="3" t="s">
        <v>868</v>
      </c>
      <c r="O948" s="3">
        <v>0</v>
      </c>
      <c r="P948" s="3">
        <v>0</v>
      </c>
      <c r="Q948" s="3">
        <v>0</v>
      </c>
      <c r="R948" s="3">
        <v>0</v>
      </c>
      <c r="S948" s="3">
        <v>0</v>
      </c>
      <c r="T948" s="3">
        <v>0</v>
      </c>
      <c r="U948" s="3">
        <v>0</v>
      </c>
      <c r="V948" s="3">
        <v>0</v>
      </c>
      <c r="W948" s="3" t="s">
        <v>871</v>
      </c>
      <c r="X948" s="3">
        <v>22.98</v>
      </c>
      <c r="Y948" s="3">
        <v>22.98</v>
      </c>
      <c r="Z948" s="3">
        <v>22.98</v>
      </c>
      <c r="AA948" s="3">
        <v>0</v>
      </c>
      <c r="AB948" s="3" t="s">
        <v>869</v>
      </c>
      <c r="AC948" s="3">
        <v>0</v>
      </c>
      <c r="AD948" s="3">
        <v>0</v>
      </c>
      <c r="AE948" s="3">
        <v>0</v>
      </c>
      <c r="AF948" s="3">
        <v>0</v>
      </c>
      <c r="AG948" s="3">
        <v>0</v>
      </c>
      <c r="AH948" s="3">
        <v>0</v>
      </c>
      <c r="AI948" s="3">
        <v>0.414306</v>
      </c>
      <c r="AJ948" s="3" t="s">
        <v>870</v>
      </c>
    </row>
    <row r="949" spans="1:36">
      <c r="A949" s="5">
        <v>43336</v>
      </c>
      <c r="B949" s="3" t="s">
        <v>3128</v>
      </c>
      <c r="C949" s="3" t="s">
        <v>3129</v>
      </c>
      <c r="D949" s="3" t="s">
        <v>3129</v>
      </c>
      <c r="E949" s="3" t="s">
        <v>3130</v>
      </c>
      <c r="F949" s="3" t="s">
        <v>867</v>
      </c>
      <c r="G949" s="3">
        <v>1</v>
      </c>
      <c r="H949" s="3">
        <v>0</v>
      </c>
      <c r="I949" s="3">
        <v>1</v>
      </c>
      <c r="J949" s="3">
        <v>0</v>
      </c>
      <c r="K949" s="3">
        <v>0</v>
      </c>
      <c r="L949" s="3">
        <v>0</v>
      </c>
      <c r="M949" s="3">
        <v>0</v>
      </c>
      <c r="N949" s="3" t="s">
        <v>868</v>
      </c>
      <c r="O949" s="3">
        <v>0</v>
      </c>
      <c r="P949" s="3">
        <v>0</v>
      </c>
      <c r="Q949" s="3">
        <v>0</v>
      </c>
      <c r="R949" s="3">
        <v>0</v>
      </c>
      <c r="S949" s="3">
        <v>0</v>
      </c>
      <c r="T949" s="3">
        <v>2</v>
      </c>
      <c r="U949" s="3">
        <v>8</v>
      </c>
      <c r="V949" s="3">
        <v>13</v>
      </c>
      <c r="W949" s="3"/>
      <c r="X949" s="3">
        <v>20.98</v>
      </c>
      <c r="Y949" s="3">
        <v>20.98</v>
      </c>
      <c r="Z949" s="3">
        <v>20.98</v>
      </c>
      <c r="AA949" s="3">
        <v>0</v>
      </c>
      <c r="AB949" s="3" t="s">
        <v>869</v>
      </c>
      <c r="AC949" s="3">
        <v>1</v>
      </c>
      <c r="AD949" s="3">
        <v>20.98</v>
      </c>
      <c r="AE949" s="3">
        <v>0</v>
      </c>
      <c r="AF949" s="3">
        <v>0</v>
      </c>
      <c r="AG949" s="3">
        <v>0</v>
      </c>
      <c r="AH949" s="3">
        <v>3.25</v>
      </c>
      <c r="AI949" s="3">
        <v>0.083563</v>
      </c>
      <c r="AJ949" s="3" t="s">
        <v>870</v>
      </c>
    </row>
    <row r="950" spans="1:36">
      <c r="A950" s="5">
        <v>43336</v>
      </c>
      <c r="B950" s="3" t="s">
        <v>3131</v>
      </c>
      <c r="C950" s="3" t="s">
        <v>3132</v>
      </c>
      <c r="D950" s="3" t="s">
        <v>3132</v>
      </c>
      <c r="E950" s="3" t="s">
        <v>3133</v>
      </c>
      <c r="F950" s="3" t="s">
        <v>867</v>
      </c>
      <c r="G950" s="3">
        <v>2</v>
      </c>
      <c r="H950" s="3">
        <v>0</v>
      </c>
      <c r="I950" s="3">
        <v>2</v>
      </c>
      <c r="J950" s="3">
        <v>0</v>
      </c>
      <c r="K950" s="3">
        <v>0</v>
      </c>
      <c r="L950" s="3">
        <v>0</v>
      </c>
      <c r="M950" s="3">
        <v>0</v>
      </c>
      <c r="N950" s="3" t="s">
        <v>868</v>
      </c>
      <c r="O950" s="3">
        <v>0</v>
      </c>
      <c r="P950" s="3">
        <v>0</v>
      </c>
      <c r="Q950" s="3">
        <v>0</v>
      </c>
      <c r="R950" s="3">
        <v>0</v>
      </c>
      <c r="S950" s="3">
        <v>0</v>
      </c>
      <c r="T950" s="3">
        <v>0</v>
      </c>
      <c r="U950" s="3">
        <v>0</v>
      </c>
      <c r="V950" s="3">
        <v>10</v>
      </c>
      <c r="W950" s="3"/>
      <c r="X950" s="3"/>
      <c r="Y950" s="3"/>
      <c r="Z950" s="3">
        <v>-1</v>
      </c>
      <c r="AA950" s="3">
        <v>-1</v>
      </c>
      <c r="AB950" s="3" t="s">
        <v>891</v>
      </c>
      <c r="AC950" s="3">
        <v>0</v>
      </c>
      <c r="AD950" s="3">
        <v>0</v>
      </c>
      <c r="AE950" s="3">
        <v>0</v>
      </c>
      <c r="AF950" s="3">
        <v>0</v>
      </c>
      <c r="AG950" s="3">
        <v>0</v>
      </c>
      <c r="AH950" s="3">
        <v>3.63636363636363</v>
      </c>
      <c r="AI950" s="3">
        <v>0.038194</v>
      </c>
      <c r="AJ950" s="3" t="s">
        <v>870</v>
      </c>
    </row>
    <row r="951" spans="1:36">
      <c r="A951" s="5">
        <v>43336</v>
      </c>
      <c r="B951" s="3" t="s">
        <v>3134</v>
      </c>
      <c r="C951" s="3" t="s">
        <v>3135</v>
      </c>
      <c r="D951" s="3" t="s">
        <v>3135</v>
      </c>
      <c r="E951" s="3" t="s">
        <v>3136</v>
      </c>
      <c r="F951" s="3" t="s">
        <v>867</v>
      </c>
      <c r="G951" s="3">
        <v>1</v>
      </c>
      <c r="H951" s="3">
        <v>0</v>
      </c>
      <c r="I951" s="3">
        <v>1</v>
      </c>
      <c r="J951" s="3">
        <v>0</v>
      </c>
      <c r="K951" s="3">
        <v>0</v>
      </c>
      <c r="L951" s="3">
        <v>0</v>
      </c>
      <c r="M951" s="3">
        <v>0</v>
      </c>
      <c r="N951" s="3" t="s">
        <v>868</v>
      </c>
      <c r="O951" s="3">
        <v>0</v>
      </c>
      <c r="P951" s="3">
        <v>0</v>
      </c>
      <c r="Q951" s="3">
        <v>0</v>
      </c>
      <c r="R951" s="3">
        <v>0</v>
      </c>
      <c r="S951" s="3">
        <v>0</v>
      </c>
      <c r="T951" s="3">
        <v>0</v>
      </c>
      <c r="U951" s="3">
        <v>0</v>
      </c>
      <c r="V951" s="3">
        <v>3</v>
      </c>
      <c r="W951" s="3" t="s">
        <v>936</v>
      </c>
      <c r="X951" s="3">
        <v>15</v>
      </c>
      <c r="Y951" s="3">
        <v>15</v>
      </c>
      <c r="Z951" s="3">
        <v>15</v>
      </c>
      <c r="AA951" s="3">
        <v>0</v>
      </c>
      <c r="AB951" s="3" t="s">
        <v>937</v>
      </c>
      <c r="AC951" s="3">
        <v>1</v>
      </c>
      <c r="AD951" s="3">
        <v>15</v>
      </c>
      <c r="AE951" s="3">
        <v>0</v>
      </c>
      <c r="AF951" s="3">
        <v>0</v>
      </c>
      <c r="AG951" s="3">
        <v>0</v>
      </c>
      <c r="AH951" s="3">
        <v>2.4</v>
      </c>
      <c r="AI951" s="3">
        <v>0.055556</v>
      </c>
      <c r="AJ951" s="3" t="s">
        <v>898</v>
      </c>
    </row>
    <row r="952" spans="1:36">
      <c r="A952" s="5">
        <v>43336</v>
      </c>
      <c r="B952" s="3" t="s">
        <v>3137</v>
      </c>
      <c r="C952" s="3" t="s">
        <v>3138</v>
      </c>
      <c r="D952" s="3" t="s">
        <v>3138</v>
      </c>
      <c r="E952" s="3" t="s">
        <v>131</v>
      </c>
      <c r="F952" s="3" t="s">
        <v>867</v>
      </c>
      <c r="G952" s="3">
        <v>27</v>
      </c>
      <c r="H952" s="3">
        <v>0</v>
      </c>
      <c r="I952" s="3">
        <v>2</v>
      </c>
      <c r="J952" s="3">
        <v>22</v>
      </c>
      <c r="K952" s="3">
        <v>1</v>
      </c>
      <c r="L952" s="3">
        <v>2</v>
      </c>
      <c r="M952" s="3">
        <v>0</v>
      </c>
      <c r="N952" s="3" t="s">
        <v>868</v>
      </c>
      <c r="O952" s="3">
        <v>14</v>
      </c>
      <c r="P952" s="3">
        <v>7.5</v>
      </c>
      <c r="Q952" s="3">
        <v>0</v>
      </c>
      <c r="R952" s="3">
        <v>0</v>
      </c>
      <c r="S952" s="3">
        <v>0</v>
      </c>
      <c r="T952" s="3">
        <v>0</v>
      </c>
      <c r="U952" s="3">
        <v>1</v>
      </c>
      <c r="V952" s="3">
        <v>2</v>
      </c>
      <c r="W952" s="3" t="s">
        <v>871</v>
      </c>
      <c r="X952" s="3">
        <v>24.99</v>
      </c>
      <c r="Y952" s="3">
        <v>24.99</v>
      </c>
      <c r="Z952" s="3">
        <v>24.99</v>
      </c>
      <c r="AA952" s="3">
        <v>0</v>
      </c>
      <c r="AB952" s="3" t="s">
        <v>883</v>
      </c>
      <c r="AC952" s="3">
        <v>8</v>
      </c>
      <c r="AD952" s="3">
        <v>19.99</v>
      </c>
      <c r="AE952" s="3">
        <v>364</v>
      </c>
      <c r="AF952" s="3">
        <v>0</v>
      </c>
      <c r="AG952" s="3">
        <v>104.406231</v>
      </c>
      <c r="AH952" s="3">
        <v>0.073394495412844</v>
      </c>
      <c r="AI952" s="3">
        <v>4.193694</v>
      </c>
      <c r="AJ952" s="3" t="s">
        <v>870</v>
      </c>
    </row>
    <row r="953" spans="1:36">
      <c r="A953" s="5">
        <v>43336</v>
      </c>
      <c r="B953" s="3" t="s">
        <v>3139</v>
      </c>
      <c r="C953" s="3" t="s">
        <v>3140</v>
      </c>
      <c r="D953" s="3" t="s">
        <v>3140</v>
      </c>
      <c r="E953" s="3" t="s">
        <v>3141</v>
      </c>
      <c r="F953" s="3" t="s">
        <v>867</v>
      </c>
      <c r="G953" s="3">
        <v>6</v>
      </c>
      <c r="H953" s="3">
        <v>0</v>
      </c>
      <c r="I953" s="3">
        <v>0</v>
      </c>
      <c r="J953" s="3">
        <v>0</v>
      </c>
      <c r="K953" s="3">
        <v>6</v>
      </c>
      <c r="L953" s="3">
        <v>0</v>
      </c>
      <c r="M953" s="3">
        <v>0</v>
      </c>
      <c r="N953" s="3" t="s">
        <v>868</v>
      </c>
      <c r="O953" s="3">
        <v>6</v>
      </c>
      <c r="P953" s="3">
        <v>1.83</v>
      </c>
      <c r="Q953" s="3">
        <v>0</v>
      </c>
      <c r="R953" s="3">
        <v>0</v>
      </c>
      <c r="S953" s="3">
        <v>1</v>
      </c>
      <c r="T953" s="3">
        <v>1</v>
      </c>
      <c r="U953" s="3">
        <v>2</v>
      </c>
      <c r="V953" s="3">
        <v>2</v>
      </c>
      <c r="W953" s="3"/>
      <c r="X953" s="3">
        <v>23.98</v>
      </c>
      <c r="Y953" s="3">
        <v>23.98</v>
      </c>
      <c r="Z953" s="3">
        <v>23.98</v>
      </c>
      <c r="AA953" s="3">
        <v>0</v>
      </c>
      <c r="AB953" s="3" t="s">
        <v>883</v>
      </c>
      <c r="AC953" s="3">
        <v>0</v>
      </c>
      <c r="AD953" s="3">
        <v>16.1</v>
      </c>
      <c r="AE953" s="3">
        <v>105</v>
      </c>
      <c r="AF953" s="3">
        <v>0</v>
      </c>
      <c r="AG953" s="3">
        <v>71.698803</v>
      </c>
      <c r="AH953" s="3">
        <v>0.275862068965517</v>
      </c>
      <c r="AI953" s="3">
        <v>0.529398</v>
      </c>
      <c r="AJ953" s="3" t="s">
        <v>870</v>
      </c>
    </row>
    <row r="954" spans="1:36">
      <c r="A954" s="5">
        <v>43336</v>
      </c>
      <c r="B954" s="3" t="s">
        <v>3142</v>
      </c>
      <c r="C954" s="3" t="s">
        <v>3143</v>
      </c>
      <c r="D954" s="3" t="s">
        <v>704</v>
      </c>
      <c r="E954" s="3" t="s">
        <v>705</v>
      </c>
      <c r="F954" s="3" t="s">
        <v>867</v>
      </c>
      <c r="G954" s="3">
        <v>6</v>
      </c>
      <c r="H954" s="3">
        <v>0</v>
      </c>
      <c r="I954" s="3">
        <v>6</v>
      </c>
      <c r="J954" s="3">
        <v>0</v>
      </c>
      <c r="K954" s="3">
        <v>0</v>
      </c>
      <c r="L954" s="3">
        <v>0</v>
      </c>
      <c r="M954" s="3">
        <v>0</v>
      </c>
      <c r="N954" s="3" t="s">
        <v>868</v>
      </c>
      <c r="O954" s="3">
        <v>0</v>
      </c>
      <c r="P954" s="3">
        <v>0</v>
      </c>
      <c r="Q954" s="3">
        <v>0</v>
      </c>
      <c r="R954" s="3">
        <v>0</v>
      </c>
      <c r="S954" s="3">
        <v>2</v>
      </c>
      <c r="T954" s="3">
        <v>5</v>
      </c>
      <c r="U954" s="3">
        <v>7</v>
      </c>
      <c r="V954" s="3">
        <v>7</v>
      </c>
      <c r="W954" s="3"/>
      <c r="X954" s="3">
        <v>23.98</v>
      </c>
      <c r="Y954" s="3">
        <v>23.98</v>
      </c>
      <c r="Z954" s="3">
        <v>23.98</v>
      </c>
      <c r="AA954" s="3">
        <v>0</v>
      </c>
      <c r="AB954" s="3" t="s">
        <v>869</v>
      </c>
      <c r="AC954" s="3">
        <v>6</v>
      </c>
      <c r="AD954" s="3">
        <v>23.98</v>
      </c>
      <c r="AE954" s="3">
        <v>0</v>
      </c>
      <c r="AF954" s="3">
        <v>0</v>
      </c>
      <c r="AG954" s="3">
        <v>0</v>
      </c>
      <c r="AH954" s="3">
        <v>2.77777777777777</v>
      </c>
      <c r="AI954" s="3">
        <v>0.377399999999999</v>
      </c>
      <c r="AJ954" s="3" t="s">
        <v>870</v>
      </c>
    </row>
    <row r="955" spans="1:36">
      <c r="A955" s="5">
        <v>43336</v>
      </c>
      <c r="B955" s="3" t="s">
        <v>3144</v>
      </c>
      <c r="C955" s="3" t="s">
        <v>3145</v>
      </c>
      <c r="D955" s="3" t="s">
        <v>3145</v>
      </c>
      <c r="E955" s="3" t="s">
        <v>3146</v>
      </c>
      <c r="F955" s="3" t="s">
        <v>867</v>
      </c>
      <c r="G955" s="3">
        <v>21</v>
      </c>
      <c r="H955" s="3">
        <v>0</v>
      </c>
      <c r="I955" s="3">
        <v>4</v>
      </c>
      <c r="J955" s="3">
        <v>17</v>
      </c>
      <c r="K955" s="3">
        <v>0</v>
      </c>
      <c r="L955" s="3">
        <v>0</v>
      </c>
      <c r="M955" s="3">
        <v>0</v>
      </c>
      <c r="N955" s="3" t="s">
        <v>868</v>
      </c>
      <c r="O955" s="3">
        <v>0</v>
      </c>
      <c r="P955" s="3">
        <v>0</v>
      </c>
      <c r="Q955" s="3">
        <v>0</v>
      </c>
      <c r="R955" s="3">
        <v>0</v>
      </c>
      <c r="S955" s="3">
        <v>1</v>
      </c>
      <c r="T955" s="3">
        <v>7</v>
      </c>
      <c r="U955" s="3">
        <v>10</v>
      </c>
      <c r="V955" s="3">
        <v>13</v>
      </c>
      <c r="W955" s="3"/>
      <c r="X955" s="3">
        <v>22.98</v>
      </c>
      <c r="Y955" s="3">
        <v>22.98</v>
      </c>
      <c r="Z955" s="3">
        <v>22.98</v>
      </c>
      <c r="AA955" s="3">
        <v>0</v>
      </c>
      <c r="AB955" s="3" t="s">
        <v>869</v>
      </c>
      <c r="AC955" s="3">
        <v>21</v>
      </c>
      <c r="AD955" s="3">
        <v>22.98</v>
      </c>
      <c r="AE955" s="3">
        <v>0</v>
      </c>
      <c r="AF955" s="3">
        <v>0</v>
      </c>
      <c r="AG955" s="3">
        <v>0</v>
      </c>
      <c r="AH955" s="3">
        <v>0.477064220183486</v>
      </c>
      <c r="AI955" s="3">
        <v>4.47757799999999</v>
      </c>
      <c r="AJ955" s="3" t="s">
        <v>870</v>
      </c>
    </row>
    <row r="956" spans="1:36">
      <c r="A956" s="5">
        <v>43336</v>
      </c>
      <c r="B956" s="3" t="s">
        <v>3147</v>
      </c>
      <c r="C956" s="3" t="s">
        <v>3148</v>
      </c>
      <c r="D956" s="3" t="s">
        <v>541</v>
      </c>
      <c r="E956" s="3" t="s">
        <v>542</v>
      </c>
      <c r="F956" s="3" t="s">
        <v>867</v>
      </c>
      <c r="G956" s="3">
        <v>24</v>
      </c>
      <c r="H956" s="3">
        <v>0</v>
      </c>
      <c r="I956" s="3">
        <v>24</v>
      </c>
      <c r="J956" s="3">
        <v>0</v>
      </c>
      <c r="K956" s="3">
        <v>0</v>
      </c>
      <c r="L956" s="3">
        <v>0</v>
      </c>
      <c r="M956" s="3">
        <v>0</v>
      </c>
      <c r="N956" s="3" t="s">
        <v>868</v>
      </c>
      <c r="O956" s="3">
        <v>0</v>
      </c>
      <c r="P956" s="3">
        <v>0</v>
      </c>
      <c r="Q956" s="3">
        <v>0</v>
      </c>
      <c r="R956" s="3">
        <v>0</v>
      </c>
      <c r="S956" s="3">
        <v>2</v>
      </c>
      <c r="T956" s="3">
        <v>9</v>
      </c>
      <c r="U956" s="3">
        <v>16</v>
      </c>
      <c r="V956" s="3">
        <v>16</v>
      </c>
      <c r="W956" s="3"/>
      <c r="X956" s="3">
        <v>21.98</v>
      </c>
      <c r="Y956" s="3">
        <v>21.98</v>
      </c>
      <c r="Z956" s="3">
        <v>21.98</v>
      </c>
      <c r="AA956" s="3">
        <v>0</v>
      </c>
      <c r="AB956" s="3" t="s">
        <v>869</v>
      </c>
      <c r="AC956" s="3">
        <v>25</v>
      </c>
      <c r="AD956" s="3">
        <v>21.98</v>
      </c>
      <c r="AE956" s="3">
        <v>0</v>
      </c>
      <c r="AF956" s="3">
        <v>0</v>
      </c>
      <c r="AG956" s="3">
        <v>0</v>
      </c>
      <c r="AH956" s="3">
        <v>1.64102564102564</v>
      </c>
      <c r="AI956" s="3">
        <v>3.592632</v>
      </c>
      <c r="AJ956" s="3" t="s">
        <v>870</v>
      </c>
    </row>
    <row r="957" spans="1:36">
      <c r="A957" s="5">
        <v>43336</v>
      </c>
      <c r="B957" s="3" t="s">
        <v>3149</v>
      </c>
      <c r="C957" s="3" t="s">
        <v>3150</v>
      </c>
      <c r="D957" s="3" t="s">
        <v>3150</v>
      </c>
      <c r="E957" s="3" t="s">
        <v>3151</v>
      </c>
      <c r="F957" s="3" t="s">
        <v>867</v>
      </c>
      <c r="G957" s="3">
        <v>11</v>
      </c>
      <c r="H957" s="3">
        <v>0</v>
      </c>
      <c r="I957" s="3">
        <v>1</v>
      </c>
      <c r="J957" s="3">
        <v>10</v>
      </c>
      <c r="K957" s="3">
        <v>0</v>
      </c>
      <c r="L957" s="3">
        <v>0</v>
      </c>
      <c r="M957" s="3">
        <v>0</v>
      </c>
      <c r="N957" s="3" t="s">
        <v>868</v>
      </c>
      <c r="O957" s="3">
        <v>0</v>
      </c>
      <c r="P957" s="3">
        <v>0</v>
      </c>
      <c r="Q957" s="3">
        <v>0</v>
      </c>
      <c r="R957" s="3">
        <v>0</v>
      </c>
      <c r="S957" s="3">
        <v>0</v>
      </c>
      <c r="T957" s="3">
        <v>1</v>
      </c>
      <c r="U957" s="3">
        <v>3</v>
      </c>
      <c r="V957" s="3">
        <v>3</v>
      </c>
      <c r="W957" s="3" t="s">
        <v>871</v>
      </c>
      <c r="X957" s="3">
        <v>23.98</v>
      </c>
      <c r="Y957" s="3">
        <v>23.98</v>
      </c>
      <c r="Z957" s="3">
        <v>23.98</v>
      </c>
      <c r="AA957" s="3">
        <v>0</v>
      </c>
      <c r="AB957" s="3" t="s">
        <v>869</v>
      </c>
      <c r="AC957" s="3">
        <v>11</v>
      </c>
      <c r="AD957" s="3">
        <v>23.98</v>
      </c>
      <c r="AE957" s="3">
        <v>0</v>
      </c>
      <c r="AF957" s="3">
        <v>0</v>
      </c>
      <c r="AG957" s="3">
        <v>0</v>
      </c>
      <c r="AH957" s="3">
        <v>0.25</v>
      </c>
      <c r="AI957" s="3">
        <v>1.094841</v>
      </c>
      <c r="AJ957" s="3" t="s">
        <v>870</v>
      </c>
    </row>
    <row r="958" spans="1:36">
      <c r="A958" s="5">
        <v>43336</v>
      </c>
      <c r="B958" s="3" t="s">
        <v>104</v>
      </c>
      <c r="C958" s="3" t="s">
        <v>105</v>
      </c>
      <c r="D958" s="3" t="s">
        <v>106</v>
      </c>
      <c r="E958" s="3" t="s">
        <v>107</v>
      </c>
      <c r="F958" s="3" t="s">
        <v>867</v>
      </c>
      <c r="G958" s="3">
        <v>5</v>
      </c>
      <c r="H958" s="3">
        <v>0</v>
      </c>
      <c r="I958" s="3">
        <v>5</v>
      </c>
      <c r="J958" s="3">
        <v>0</v>
      </c>
      <c r="K958" s="3">
        <v>0</v>
      </c>
      <c r="L958" s="3">
        <v>0</v>
      </c>
      <c r="M958" s="3">
        <v>0</v>
      </c>
      <c r="N958" s="3" t="s">
        <v>868</v>
      </c>
      <c r="O958" s="3">
        <v>0</v>
      </c>
      <c r="P958" s="3">
        <v>0</v>
      </c>
      <c r="Q958" s="3">
        <v>0</v>
      </c>
      <c r="R958" s="3">
        <v>0</v>
      </c>
      <c r="S958" s="3">
        <v>0</v>
      </c>
      <c r="T958" s="3">
        <v>0</v>
      </c>
      <c r="U958" s="3">
        <v>0</v>
      </c>
      <c r="V958" s="3">
        <v>0</v>
      </c>
      <c r="W958" s="3" t="s">
        <v>871</v>
      </c>
      <c r="X958" s="3">
        <v>24.98</v>
      </c>
      <c r="Y958" s="3">
        <v>24.98</v>
      </c>
      <c r="Z958" s="3">
        <v>24.98</v>
      </c>
      <c r="AA958" s="3">
        <v>0</v>
      </c>
      <c r="AB958" s="3" t="s">
        <v>869</v>
      </c>
      <c r="AC958" s="3">
        <v>5</v>
      </c>
      <c r="AD958" s="3">
        <v>24.98</v>
      </c>
      <c r="AE958" s="3">
        <v>0</v>
      </c>
      <c r="AF958" s="3">
        <v>0</v>
      </c>
      <c r="AG958" s="3">
        <v>0</v>
      </c>
      <c r="AH958" s="3">
        <v>5.2258064516129</v>
      </c>
      <c r="AI958" s="3">
        <v>0.30506</v>
      </c>
      <c r="AJ958" s="3" t="s">
        <v>870</v>
      </c>
    </row>
    <row r="959" spans="1:36">
      <c r="A959" s="5">
        <v>43336</v>
      </c>
      <c r="B959" s="3" t="s">
        <v>3152</v>
      </c>
      <c r="C959" s="3" t="s">
        <v>3153</v>
      </c>
      <c r="D959" s="3" t="s">
        <v>3153</v>
      </c>
      <c r="E959" s="3" t="s">
        <v>3154</v>
      </c>
      <c r="F959" s="3" t="s">
        <v>867</v>
      </c>
      <c r="G959" s="3">
        <v>22</v>
      </c>
      <c r="H959" s="3">
        <v>0</v>
      </c>
      <c r="I959" s="3">
        <v>22</v>
      </c>
      <c r="J959" s="3">
        <v>0</v>
      </c>
      <c r="K959" s="3">
        <v>0</v>
      </c>
      <c r="L959" s="3">
        <v>0</v>
      </c>
      <c r="M959" s="3">
        <v>0</v>
      </c>
      <c r="N959" s="3" t="s">
        <v>868</v>
      </c>
      <c r="O959" s="3">
        <v>0</v>
      </c>
      <c r="P959" s="3">
        <v>0</v>
      </c>
      <c r="Q959" s="3">
        <v>0</v>
      </c>
      <c r="R959" s="3">
        <v>0</v>
      </c>
      <c r="S959" s="3">
        <v>0</v>
      </c>
      <c r="T959" s="3">
        <v>3</v>
      </c>
      <c r="U959" s="3">
        <v>5</v>
      </c>
      <c r="V959" s="3">
        <v>14</v>
      </c>
      <c r="W959" s="3"/>
      <c r="X959" s="3">
        <v>22.98</v>
      </c>
      <c r="Y959" s="3">
        <v>22.98</v>
      </c>
      <c r="Z959" s="3">
        <v>22.98</v>
      </c>
      <c r="AA959" s="3">
        <v>0</v>
      </c>
      <c r="AB959" s="3" t="s">
        <v>883</v>
      </c>
      <c r="AC959" s="3">
        <v>15</v>
      </c>
      <c r="AD959" s="3">
        <v>21.67</v>
      </c>
      <c r="AE959" s="3">
        <v>28</v>
      </c>
      <c r="AF959" s="3">
        <v>0</v>
      </c>
      <c r="AG959" s="3">
        <v>1.518533</v>
      </c>
      <c r="AH959" s="3">
        <v>0.727272727272727</v>
      </c>
      <c r="AI959" s="3">
        <v>1.83838599999999</v>
      </c>
      <c r="AJ959" s="3" t="s">
        <v>870</v>
      </c>
    </row>
    <row r="960" spans="1:36">
      <c r="A960" s="5">
        <v>43336</v>
      </c>
      <c r="B960" s="3" t="s">
        <v>831</v>
      </c>
      <c r="C960" s="3" t="s">
        <v>795</v>
      </c>
      <c r="D960" s="3" t="s">
        <v>795</v>
      </c>
      <c r="E960" s="3" t="s">
        <v>796</v>
      </c>
      <c r="F960" s="3" t="s">
        <v>867</v>
      </c>
      <c r="G960" s="3">
        <v>16</v>
      </c>
      <c r="H960" s="3">
        <v>0</v>
      </c>
      <c r="I960" s="3">
        <v>4</v>
      </c>
      <c r="J960" s="3">
        <v>12</v>
      </c>
      <c r="K960" s="3">
        <v>0</v>
      </c>
      <c r="L960" s="3">
        <v>0</v>
      </c>
      <c r="M960" s="3">
        <v>0</v>
      </c>
      <c r="N960" s="3" t="s">
        <v>868</v>
      </c>
      <c r="O960" s="3">
        <v>0</v>
      </c>
      <c r="P960" s="3">
        <v>0</v>
      </c>
      <c r="Q960" s="3">
        <v>0</v>
      </c>
      <c r="R960" s="3">
        <v>0</v>
      </c>
      <c r="S960" s="3">
        <v>0</v>
      </c>
      <c r="T960" s="3">
        <v>6</v>
      </c>
      <c r="U960" s="3">
        <v>8</v>
      </c>
      <c r="V960" s="3">
        <v>17</v>
      </c>
      <c r="W960" s="3"/>
      <c r="X960" s="3">
        <v>22.98</v>
      </c>
      <c r="Y960" s="3">
        <v>22.98</v>
      </c>
      <c r="Z960" s="3">
        <v>22.98</v>
      </c>
      <c r="AA960" s="3">
        <v>0</v>
      </c>
      <c r="AB960" s="3" t="s">
        <v>869</v>
      </c>
      <c r="AC960" s="3">
        <v>16</v>
      </c>
      <c r="AD960" s="3">
        <v>22.98</v>
      </c>
      <c r="AE960" s="3">
        <v>0</v>
      </c>
      <c r="AF960" s="3">
        <v>0</v>
      </c>
      <c r="AG960" s="3">
        <v>0</v>
      </c>
      <c r="AH960" s="3">
        <v>0.731182795698924</v>
      </c>
      <c r="AI960" s="3">
        <v>1.120736</v>
      </c>
      <c r="AJ960" s="3" t="s">
        <v>870</v>
      </c>
    </row>
    <row r="961" spans="1:36">
      <c r="A961" s="5">
        <v>43336</v>
      </c>
      <c r="B961" s="3" t="s">
        <v>3155</v>
      </c>
      <c r="C961" s="3" t="s">
        <v>3156</v>
      </c>
      <c r="D961" s="3" t="s">
        <v>3156</v>
      </c>
      <c r="E961" s="3" t="s">
        <v>3157</v>
      </c>
      <c r="F961" s="3" t="s">
        <v>867</v>
      </c>
      <c r="G961" s="3">
        <v>6</v>
      </c>
      <c r="H961" s="3">
        <v>0</v>
      </c>
      <c r="I961" s="3">
        <v>0</v>
      </c>
      <c r="J961" s="3">
        <v>0</v>
      </c>
      <c r="K961" s="3">
        <v>6</v>
      </c>
      <c r="L961" s="3">
        <v>0</v>
      </c>
      <c r="M961" s="3">
        <v>0</v>
      </c>
      <c r="N961" s="3" t="s">
        <v>868</v>
      </c>
      <c r="O961" s="3">
        <v>6</v>
      </c>
      <c r="P961" s="3">
        <v>1.82</v>
      </c>
      <c r="Q961" s="3">
        <v>0</v>
      </c>
      <c r="R961" s="3">
        <v>0</v>
      </c>
      <c r="S961" s="3">
        <v>0</v>
      </c>
      <c r="T961" s="3">
        <v>0</v>
      </c>
      <c r="U961" s="3">
        <v>0</v>
      </c>
      <c r="V961" s="3">
        <v>0</v>
      </c>
      <c r="W961" s="3" t="s">
        <v>936</v>
      </c>
      <c r="X961" s="3">
        <v>23.98</v>
      </c>
      <c r="Y961" s="3">
        <v>23.98</v>
      </c>
      <c r="Z961" s="3">
        <v>23.98</v>
      </c>
      <c r="AA961" s="3">
        <v>0</v>
      </c>
      <c r="AB961" s="3" t="s">
        <v>937</v>
      </c>
      <c r="AC961" s="3">
        <v>0</v>
      </c>
      <c r="AD961" s="3">
        <v>19.78</v>
      </c>
      <c r="AE961" s="3">
        <v>266</v>
      </c>
      <c r="AF961" s="3">
        <v>0</v>
      </c>
      <c r="AG961" s="3">
        <v>116.38214</v>
      </c>
      <c r="AH961" s="3">
        <v>0</v>
      </c>
      <c r="AI961" s="3">
        <v>0.526272</v>
      </c>
      <c r="AJ961" s="3" t="s">
        <v>870</v>
      </c>
    </row>
    <row r="962" spans="1:36">
      <c r="A962" s="5">
        <v>43336</v>
      </c>
      <c r="B962" s="3" t="s">
        <v>3158</v>
      </c>
      <c r="C962" s="3" t="s">
        <v>3159</v>
      </c>
      <c r="D962" s="3" t="s">
        <v>3160</v>
      </c>
      <c r="E962" s="3" t="s">
        <v>3161</v>
      </c>
      <c r="F962" s="3" t="s">
        <v>867</v>
      </c>
      <c r="G962" s="3">
        <v>3</v>
      </c>
      <c r="H962" s="3">
        <v>0</v>
      </c>
      <c r="I962" s="3">
        <v>3</v>
      </c>
      <c r="J962" s="3">
        <v>0</v>
      </c>
      <c r="K962" s="3">
        <v>0</v>
      </c>
      <c r="L962" s="3">
        <v>0</v>
      </c>
      <c r="M962" s="3">
        <v>0</v>
      </c>
      <c r="N962" s="3" t="s">
        <v>868</v>
      </c>
      <c r="O962" s="3">
        <v>0</v>
      </c>
      <c r="P962" s="3">
        <v>0</v>
      </c>
      <c r="Q962" s="3">
        <v>0</v>
      </c>
      <c r="R962" s="3">
        <v>0</v>
      </c>
      <c r="S962" s="3">
        <v>0</v>
      </c>
      <c r="T962" s="3">
        <v>0</v>
      </c>
      <c r="U962" s="3">
        <v>0</v>
      </c>
      <c r="V962" s="3">
        <v>0</v>
      </c>
      <c r="W962" s="3" t="s">
        <v>871</v>
      </c>
      <c r="X962" s="3">
        <v>22.98</v>
      </c>
      <c r="Y962" s="3">
        <v>22.98</v>
      </c>
      <c r="Z962" s="3">
        <v>22.98</v>
      </c>
      <c r="AA962" s="3">
        <v>0</v>
      </c>
      <c r="AB962" s="3" t="s">
        <v>869</v>
      </c>
      <c r="AC962" s="3">
        <v>0</v>
      </c>
      <c r="AD962" s="3">
        <v>0</v>
      </c>
      <c r="AE962" s="3">
        <v>0</v>
      </c>
      <c r="AF962" s="3">
        <v>0</v>
      </c>
      <c r="AG962" s="3">
        <v>0</v>
      </c>
      <c r="AH962" s="3">
        <v>0.666666666666666</v>
      </c>
      <c r="AI962" s="3">
        <v>0.448356</v>
      </c>
      <c r="AJ962" s="3" t="s">
        <v>870</v>
      </c>
    </row>
    <row r="963" spans="1:36">
      <c r="A963" s="5">
        <v>43336</v>
      </c>
      <c r="B963" s="3" t="s">
        <v>3162</v>
      </c>
      <c r="C963" s="3" t="s">
        <v>3163</v>
      </c>
      <c r="D963" s="3" t="s">
        <v>3164</v>
      </c>
      <c r="E963" s="3" t="s">
        <v>3165</v>
      </c>
      <c r="F963" s="3" t="s">
        <v>867</v>
      </c>
      <c r="G963" s="3">
        <v>11</v>
      </c>
      <c r="H963" s="3">
        <v>0</v>
      </c>
      <c r="I963" s="3">
        <v>11</v>
      </c>
      <c r="J963" s="3">
        <v>0</v>
      </c>
      <c r="K963" s="3">
        <v>0</v>
      </c>
      <c r="L963" s="3">
        <v>0</v>
      </c>
      <c r="M963" s="3">
        <v>0</v>
      </c>
      <c r="N963" s="3" t="s">
        <v>868</v>
      </c>
      <c r="O963" s="3">
        <v>0</v>
      </c>
      <c r="P963" s="3">
        <v>0</v>
      </c>
      <c r="Q963" s="3">
        <v>0</v>
      </c>
      <c r="R963" s="3">
        <v>0</v>
      </c>
      <c r="S963" s="3">
        <v>0</v>
      </c>
      <c r="T963" s="3">
        <v>4</v>
      </c>
      <c r="U963" s="3">
        <v>9</v>
      </c>
      <c r="V963" s="3">
        <v>9</v>
      </c>
      <c r="W963" s="3"/>
      <c r="X963" s="3">
        <v>19.98</v>
      </c>
      <c r="Y963" s="3">
        <v>19.98</v>
      </c>
      <c r="Z963" s="3">
        <v>19.98</v>
      </c>
      <c r="AA963" s="3">
        <v>0</v>
      </c>
      <c r="AB963" s="3" t="s">
        <v>869</v>
      </c>
      <c r="AC963" s="3">
        <v>11</v>
      </c>
      <c r="AD963" s="3">
        <v>19.98</v>
      </c>
      <c r="AE963" s="3">
        <v>0</v>
      </c>
      <c r="AF963" s="3">
        <v>0</v>
      </c>
      <c r="AG963" s="3">
        <v>0</v>
      </c>
      <c r="AH963" s="3">
        <v>0.936170212765957</v>
      </c>
      <c r="AI963" s="3">
        <v>0.995368</v>
      </c>
      <c r="AJ963" s="3" t="s">
        <v>870</v>
      </c>
    </row>
    <row r="964" spans="1:36">
      <c r="A964" s="5">
        <v>43336</v>
      </c>
      <c r="B964" s="3" t="s">
        <v>3166</v>
      </c>
      <c r="C964" s="3" t="s">
        <v>3167</v>
      </c>
      <c r="D964" s="3" t="s">
        <v>3167</v>
      </c>
      <c r="E964" s="3" t="s">
        <v>3168</v>
      </c>
      <c r="F964" s="3" t="s">
        <v>867</v>
      </c>
      <c r="G964" s="3">
        <v>1</v>
      </c>
      <c r="H964" s="3">
        <v>0</v>
      </c>
      <c r="I964" s="3">
        <v>0</v>
      </c>
      <c r="J964" s="3">
        <v>0</v>
      </c>
      <c r="K964" s="3">
        <v>1</v>
      </c>
      <c r="L964" s="3">
        <v>0</v>
      </c>
      <c r="M964" s="3">
        <v>0</v>
      </c>
      <c r="N964" s="3" t="s">
        <v>868</v>
      </c>
      <c r="O964" s="3">
        <v>1</v>
      </c>
      <c r="P964" s="3">
        <v>0.47</v>
      </c>
      <c r="Q964" s="3">
        <v>0</v>
      </c>
      <c r="R964" s="3">
        <v>0</v>
      </c>
      <c r="S964" s="3">
        <v>0</v>
      </c>
      <c r="T964" s="3">
        <v>1</v>
      </c>
      <c r="U964" s="3">
        <v>1</v>
      </c>
      <c r="V964" s="3">
        <v>1</v>
      </c>
      <c r="W964" s="3"/>
      <c r="X964" s="3">
        <v>24.98</v>
      </c>
      <c r="Y964" s="3">
        <v>24.98</v>
      </c>
      <c r="Z964" s="3">
        <v>24.98</v>
      </c>
      <c r="AA964" s="3">
        <v>0</v>
      </c>
      <c r="AB964" s="3" t="s">
        <v>869</v>
      </c>
      <c r="AC964" s="3">
        <v>1</v>
      </c>
      <c r="AD964" s="3">
        <v>24.98</v>
      </c>
      <c r="AE964" s="3">
        <v>0</v>
      </c>
      <c r="AF964" s="3">
        <v>0</v>
      </c>
      <c r="AG964" s="3">
        <v>0</v>
      </c>
      <c r="AH964" s="3">
        <v>0.210526315789473</v>
      </c>
      <c r="AI964" s="3">
        <v>0.137251</v>
      </c>
      <c r="AJ964" s="3" t="s">
        <v>870</v>
      </c>
    </row>
    <row r="965" spans="1:36">
      <c r="A965" s="5">
        <v>43336</v>
      </c>
      <c r="B965" s="3" t="s">
        <v>3169</v>
      </c>
      <c r="C965" s="3" t="s">
        <v>3170</v>
      </c>
      <c r="D965" s="3" t="s">
        <v>3171</v>
      </c>
      <c r="E965" s="3" t="s">
        <v>3172</v>
      </c>
      <c r="F965" s="3" t="s">
        <v>867</v>
      </c>
      <c r="G965" s="3">
        <v>14</v>
      </c>
      <c r="H965" s="3">
        <v>0</v>
      </c>
      <c r="I965" s="3">
        <v>14</v>
      </c>
      <c r="J965" s="3">
        <v>0</v>
      </c>
      <c r="K965" s="3">
        <v>0</v>
      </c>
      <c r="L965" s="3">
        <v>0</v>
      </c>
      <c r="M965" s="3">
        <v>0</v>
      </c>
      <c r="N965" s="3" t="s">
        <v>868</v>
      </c>
      <c r="O965" s="3">
        <v>0</v>
      </c>
      <c r="P965" s="3">
        <v>0</v>
      </c>
      <c r="Q965" s="3">
        <v>0</v>
      </c>
      <c r="R965" s="3">
        <v>0</v>
      </c>
      <c r="S965" s="3">
        <v>2</v>
      </c>
      <c r="T965" s="3">
        <v>12</v>
      </c>
      <c r="U965" s="3">
        <v>22</v>
      </c>
      <c r="V965" s="3">
        <v>22</v>
      </c>
      <c r="W965" s="3"/>
      <c r="X965" s="3">
        <v>23.98</v>
      </c>
      <c r="Y965" s="3">
        <v>23.98</v>
      </c>
      <c r="Z965" s="3">
        <v>23.98</v>
      </c>
      <c r="AA965" s="3">
        <v>0</v>
      </c>
      <c r="AB965" s="3" t="s">
        <v>869</v>
      </c>
      <c r="AC965" s="3">
        <v>17</v>
      </c>
      <c r="AD965" s="3">
        <v>23.98</v>
      </c>
      <c r="AE965" s="3">
        <v>0</v>
      </c>
      <c r="AF965" s="3">
        <v>0</v>
      </c>
      <c r="AG965" s="3">
        <v>0</v>
      </c>
      <c r="AH965" s="3">
        <v>3.7037037037037</v>
      </c>
      <c r="AI965" s="3">
        <v>0.93415</v>
      </c>
      <c r="AJ965" s="3" t="s">
        <v>870</v>
      </c>
    </row>
    <row r="966" spans="1:36">
      <c r="A966" s="5">
        <v>43336</v>
      </c>
      <c r="B966" s="3" t="s">
        <v>3173</v>
      </c>
      <c r="C966" s="3" t="s">
        <v>3174</v>
      </c>
      <c r="D966" s="3" t="s">
        <v>3174</v>
      </c>
      <c r="E966" s="3" t="s">
        <v>3175</v>
      </c>
      <c r="F966" s="3" t="s">
        <v>867</v>
      </c>
      <c r="G966" s="3">
        <v>5</v>
      </c>
      <c r="H966" s="3">
        <v>0</v>
      </c>
      <c r="I966" s="3">
        <v>0</v>
      </c>
      <c r="J966" s="3">
        <v>4</v>
      </c>
      <c r="K966" s="3">
        <v>1</v>
      </c>
      <c r="L966" s="3">
        <v>0</v>
      </c>
      <c r="M966" s="3">
        <v>0</v>
      </c>
      <c r="N966" s="3" t="s">
        <v>868</v>
      </c>
      <c r="O966" s="3">
        <v>2</v>
      </c>
      <c r="P966" s="3">
        <v>1.03</v>
      </c>
      <c r="Q966" s="3">
        <v>0</v>
      </c>
      <c r="R966" s="3">
        <v>0</v>
      </c>
      <c r="S966" s="3">
        <v>0</v>
      </c>
      <c r="T966" s="3">
        <v>4</v>
      </c>
      <c r="U966" s="3">
        <v>5</v>
      </c>
      <c r="V966" s="3">
        <v>6</v>
      </c>
      <c r="W966" s="3"/>
      <c r="X966" s="3">
        <v>22.99</v>
      </c>
      <c r="Y966" s="3">
        <v>22.99</v>
      </c>
      <c r="Z966" s="3">
        <v>22.99</v>
      </c>
      <c r="AA966" s="3">
        <v>0</v>
      </c>
      <c r="AB966" s="3" t="s">
        <v>869</v>
      </c>
      <c r="AC966" s="3">
        <v>5</v>
      </c>
      <c r="AD966" s="3">
        <v>22.99</v>
      </c>
      <c r="AE966" s="3">
        <v>0</v>
      </c>
      <c r="AF966" s="3">
        <v>0</v>
      </c>
      <c r="AG966" s="3">
        <v>0</v>
      </c>
      <c r="AH966" s="3">
        <v>0.685714285714285</v>
      </c>
      <c r="AI966" s="3">
        <v>0.745225</v>
      </c>
      <c r="AJ966" s="3" t="s">
        <v>870</v>
      </c>
    </row>
    <row r="967" spans="1:36">
      <c r="A967" s="5">
        <v>43336</v>
      </c>
      <c r="B967" s="3" t="s">
        <v>3176</v>
      </c>
      <c r="C967" s="3" t="s">
        <v>3177</v>
      </c>
      <c r="D967" s="3" t="s">
        <v>3177</v>
      </c>
      <c r="E967" s="3" t="s">
        <v>3178</v>
      </c>
      <c r="F967" s="3" t="s">
        <v>867</v>
      </c>
      <c r="G967" s="3">
        <v>10</v>
      </c>
      <c r="H967" s="3">
        <v>0</v>
      </c>
      <c r="I967" s="3">
        <v>10</v>
      </c>
      <c r="J967" s="3">
        <v>0</v>
      </c>
      <c r="K967" s="3">
        <v>0</v>
      </c>
      <c r="L967" s="3">
        <v>0</v>
      </c>
      <c r="M967" s="3">
        <v>0</v>
      </c>
      <c r="N967" s="3" t="s">
        <v>868</v>
      </c>
      <c r="O967" s="3">
        <v>0</v>
      </c>
      <c r="P967" s="3">
        <v>0</v>
      </c>
      <c r="Q967" s="3">
        <v>0</v>
      </c>
      <c r="R967" s="3">
        <v>0</v>
      </c>
      <c r="S967" s="3">
        <v>0</v>
      </c>
      <c r="T967" s="3">
        <v>2</v>
      </c>
      <c r="U967" s="3">
        <v>3</v>
      </c>
      <c r="V967" s="3">
        <v>5</v>
      </c>
      <c r="W967" s="3"/>
      <c r="X967" s="3">
        <v>22.98</v>
      </c>
      <c r="Y967" s="3">
        <v>22.98</v>
      </c>
      <c r="Z967" s="3">
        <v>22.98</v>
      </c>
      <c r="AA967" s="3">
        <v>0</v>
      </c>
      <c r="AB967" s="3" t="s">
        <v>869</v>
      </c>
      <c r="AC967" s="3">
        <v>10</v>
      </c>
      <c r="AD967" s="3">
        <v>22.98</v>
      </c>
      <c r="AE967" s="3">
        <v>0</v>
      </c>
      <c r="AF967" s="3">
        <v>0</v>
      </c>
      <c r="AG967" s="3">
        <v>0</v>
      </c>
      <c r="AH967" s="3">
        <v>0.54054054054054</v>
      </c>
      <c r="AI967" s="3">
        <v>1.35332</v>
      </c>
      <c r="AJ967" s="3" t="s">
        <v>870</v>
      </c>
    </row>
    <row r="968" spans="1:36">
      <c r="A968" s="5">
        <v>43336</v>
      </c>
      <c r="B968" s="3" t="s">
        <v>3179</v>
      </c>
      <c r="C968" s="3" t="s">
        <v>3180</v>
      </c>
      <c r="D968" s="3" t="s">
        <v>2669</v>
      </c>
      <c r="E968" s="3" t="s">
        <v>2670</v>
      </c>
      <c r="F968" s="3" t="s">
        <v>867</v>
      </c>
      <c r="G968" s="3">
        <v>9</v>
      </c>
      <c r="H968" s="3">
        <v>0</v>
      </c>
      <c r="I968" s="3">
        <v>9</v>
      </c>
      <c r="J968" s="3">
        <v>0</v>
      </c>
      <c r="K968" s="3">
        <v>0</v>
      </c>
      <c r="L968" s="3">
        <v>0</v>
      </c>
      <c r="M968" s="3">
        <v>0</v>
      </c>
      <c r="N968" s="3" t="s">
        <v>868</v>
      </c>
      <c r="O968" s="3">
        <v>0</v>
      </c>
      <c r="P968" s="3">
        <v>0</v>
      </c>
      <c r="Q968" s="3">
        <v>0</v>
      </c>
      <c r="R968" s="3">
        <v>0</v>
      </c>
      <c r="S968" s="3">
        <v>1</v>
      </c>
      <c r="T968" s="3">
        <v>1</v>
      </c>
      <c r="U968" s="3">
        <v>1</v>
      </c>
      <c r="V968" s="3">
        <v>1</v>
      </c>
      <c r="W968" s="3"/>
      <c r="X968" s="3">
        <v>22.98</v>
      </c>
      <c r="Y968" s="3">
        <v>22.98</v>
      </c>
      <c r="Z968" s="3">
        <v>22.98</v>
      </c>
      <c r="AA968" s="3">
        <v>0</v>
      </c>
      <c r="AB968" s="3" t="s">
        <v>883</v>
      </c>
      <c r="AC968" s="3">
        <v>1</v>
      </c>
      <c r="AD968" s="3">
        <v>18.38</v>
      </c>
      <c r="AE968" s="3">
        <v>133</v>
      </c>
      <c r="AF968" s="3">
        <v>0</v>
      </c>
      <c r="AG968" s="3">
        <v>35.5936</v>
      </c>
      <c r="AH968" s="3">
        <v>1.2</v>
      </c>
      <c r="AI968" s="3">
        <v>1.335105</v>
      </c>
      <c r="AJ968" s="3" t="s">
        <v>870</v>
      </c>
    </row>
    <row r="969" spans="1:36">
      <c r="A969" s="5">
        <v>43336</v>
      </c>
      <c r="B969" s="3" t="s">
        <v>3181</v>
      </c>
      <c r="C969" s="3" t="s">
        <v>3182</v>
      </c>
      <c r="D969" s="3" t="s">
        <v>3182</v>
      </c>
      <c r="E969" s="3" t="s">
        <v>3183</v>
      </c>
      <c r="F969" s="3" t="s">
        <v>867</v>
      </c>
      <c r="G969" s="3">
        <v>20</v>
      </c>
      <c r="H969" s="3">
        <v>0</v>
      </c>
      <c r="I969" s="3">
        <v>0</v>
      </c>
      <c r="J969" s="3">
        <v>20</v>
      </c>
      <c r="K969" s="3">
        <v>0</v>
      </c>
      <c r="L969" s="3">
        <v>0</v>
      </c>
      <c r="M969" s="3">
        <v>0</v>
      </c>
      <c r="N969" s="3" t="s">
        <v>868</v>
      </c>
      <c r="O969" s="3">
        <v>19</v>
      </c>
      <c r="P969" s="3">
        <v>9.05</v>
      </c>
      <c r="Q969" s="3">
        <v>0</v>
      </c>
      <c r="R969" s="3">
        <v>0</v>
      </c>
      <c r="S969" s="3">
        <v>1</v>
      </c>
      <c r="T969" s="3">
        <v>2</v>
      </c>
      <c r="U969" s="3">
        <v>4</v>
      </c>
      <c r="V969" s="3">
        <v>4</v>
      </c>
      <c r="W969" s="3" t="s">
        <v>871</v>
      </c>
      <c r="X969" s="3">
        <v>22.98</v>
      </c>
      <c r="Y969" s="3">
        <v>22.98</v>
      </c>
      <c r="Z969" s="3">
        <v>22.98</v>
      </c>
      <c r="AA969" s="3">
        <v>0</v>
      </c>
      <c r="AB969" s="3" t="s">
        <v>869</v>
      </c>
      <c r="AC969" s="3">
        <v>20</v>
      </c>
      <c r="AD969" s="3">
        <v>22.98</v>
      </c>
      <c r="AE969" s="3">
        <v>0</v>
      </c>
      <c r="AF969" s="3">
        <v>0</v>
      </c>
      <c r="AG969" s="3">
        <v>0</v>
      </c>
      <c r="AH969" s="3">
        <v>0.136752136752136</v>
      </c>
      <c r="AI969" s="3">
        <v>2.76204</v>
      </c>
      <c r="AJ969" s="3" t="s">
        <v>870</v>
      </c>
    </row>
    <row r="970" spans="1:36">
      <c r="A970" s="5">
        <v>43336</v>
      </c>
      <c r="B970" s="3" t="s">
        <v>3184</v>
      </c>
      <c r="C970" s="3" t="s">
        <v>3185</v>
      </c>
      <c r="D970" s="3" t="s">
        <v>3186</v>
      </c>
      <c r="E970" s="3" t="s">
        <v>3187</v>
      </c>
      <c r="F970" s="3" t="s">
        <v>867</v>
      </c>
      <c r="G970" s="3">
        <v>22</v>
      </c>
      <c r="H970" s="3">
        <v>0</v>
      </c>
      <c r="I970" s="3">
        <v>22</v>
      </c>
      <c r="J970" s="3">
        <v>0</v>
      </c>
      <c r="K970" s="3">
        <v>0</v>
      </c>
      <c r="L970" s="3">
        <v>0</v>
      </c>
      <c r="M970" s="3">
        <v>0</v>
      </c>
      <c r="N970" s="3" t="s">
        <v>868</v>
      </c>
      <c r="O970" s="3">
        <v>0</v>
      </c>
      <c r="P970" s="3">
        <v>0</v>
      </c>
      <c r="Q970" s="3">
        <v>0</v>
      </c>
      <c r="R970" s="3">
        <v>0</v>
      </c>
      <c r="S970" s="3">
        <v>1</v>
      </c>
      <c r="T970" s="3">
        <v>10</v>
      </c>
      <c r="U970" s="3">
        <v>11</v>
      </c>
      <c r="V970" s="3">
        <v>11</v>
      </c>
      <c r="W970" s="3"/>
      <c r="X970" s="3">
        <v>24.98</v>
      </c>
      <c r="Y970" s="3">
        <v>24.98</v>
      </c>
      <c r="Z970" s="3">
        <v>24.98</v>
      </c>
      <c r="AA970" s="3">
        <v>0</v>
      </c>
      <c r="AB970" s="3" t="s">
        <v>869</v>
      </c>
      <c r="AC970" s="3">
        <v>23</v>
      </c>
      <c r="AD970" s="3">
        <v>24.98</v>
      </c>
      <c r="AE970" s="3">
        <v>0</v>
      </c>
      <c r="AF970" s="3">
        <v>0</v>
      </c>
      <c r="AG970" s="3">
        <v>0</v>
      </c>
      <c r="AH970" s="3">
        <v>0.423076923076923</v>
      </c>
      <c r="AI970" s="3">
        <v>3.82041</v>
      </c>
      <c r="AJ970" s="3" t="s">
        <v>870</v>
      </c>
    </row>
    <row r="971" spans="1:36">
      <c r="A971" s="5">
        <v>43336</v>
      </c>
      <c r="B971" s="3" t="s">
        <v>3188</v>
      </c>
      <c r="C971" s="3" t="s">
        <v>3189</v>
      </c>
      <c r="D971" s="3" t="s">
        <v>3190</v>
      </c>
      <c r="E971" s="3" t="s">
        <v>131</v>
      </c>
      <c r="F971" s="3" t="s">
        <v>867</v>
      </c>
      <c r="G971" s="3">
        <v>1</v>
      </c>
      <c r="H971" s="3">
        <v>0</v>
      </c>
      <c r="I971" s="3">
        <v>1</v>
      </c>
      <c r="J971" s="3">
        <v>0</v>
      </c>
      <c r="K971" s="3">
        <v>0</v>
      </c>
      <c r="L971" s="3">
        <v>0</v>
      </c>
      <c r="M971" s="3">
        <v>0</v>
      </c>
      <c r="N971" s="3" t="s">
        <v>868</v>
      </c>
      <c r="O971" s="3">
        <v>0</v>
      </c>
      <c r="P971" s="3">
        <v>0</v>
      </c>
      <c r="Q971" s="3">
        <v>0</v>
      </c>
      <c r="R971" s="3">
        <v>0</v>
      </c>
      <c r="S971" s="3">
        <v>0</v>
      </c>
      <c r="T971" s="3">
        <v>0</v>
      </c>
      <c r="U971" s="3">
        <v>0</v>
      </c>
      <c r="V971" s="3">
        <v>0</v>
      </c>
      <c r="W971" s="3" t="s">
        <v>871</v>
      </c>
      <c r="X971" s="3">
        <v>23.98</v>
      </c>
      <c r="Y971" s="3">
        <v>24.98</v>
      </c>
      <c r="Z971" s="3">
        <v>24.98</v>
      </c>
      <c r="AA971" s="3">
        <v>0</v>
      </c>
      <c r="AB971" s="3" t="s">
        <v>869</v>
      </c>
      <c r="AC971" s="3">
        <v>0</v>
      </c>
      <c r="AD971" s="3">
        <v>0</v>
      </c>
      <c r="AE971" s="3">
        <v>0</v>
      </c>
      <c r="AF971" s="3">
        <v>0</v>
      </c>
      <c r="AG971" s="3">
        <v>0</v>
      </c>
      <c r="AH971" s="3">
        <v>0.131147540983606</v>
      </c>
      <c r="AI971" s="3">
        <v>0.198435</v>
      </c>
      <c r="AJ971" s="3" t="s">
        <v>870</v>
      </c>
    </row>
    <row r="972" spans="1:36">
      <c r="A972" s="5">
        <v>43336</v>
      </c>
      <c r="B972" s="3" t="s">
        <v>3191</v>
      </c>
      <c r="C972" s="3" t="s">
        <v>3192</v>
      </c>
      <c r="D972" s="3" t="s">
        <v>1035</v>
      </c>
      <c r="E972" s="3" t="s">
        <v>1036</v>
      </c>
      <c r="F972" s="3" t="s">
        <v>867</v>
      </c>
      <c r="G972" s="3">
        <v>10</v>
      </c>
      <c r="H972" s="3">
        <v>0</v>
      </c>
      <c r="I972" s="3">
        <v>10</v>
      </c>
      <c r="J972" s="3">
        <v>0</v>
      </c>
      <c r="K972" s="3">
        <v>0</v>
      </c>
      <c r="L972" s="3">
        <v>0</v>
      </c>
      <c r="M972" s="3">
        <v>0</v>
      </c>
      <c r="N972" s="3" t="s">
        <v>868</v>
      </c>
      <c r="O972" s="3">
        <v>0</v>
      </c>
      <c r="P972" s="3">
        <v>0</v>
      </c>
      <c r="Q972" s="3">
        <v>0</v>
      </c>
      <c r="R972" s="3">
        <v>0</v>
      </c>
      <c r="S972" s="3">
        <v>0</v>
      </c>
      <c r="T972" s="3">
        <v>0</v>
      </c>
      <c r="U972" s="3">
        <v>0</v>
      </c>
      <c r="V972" s="3">
        <v>0</v>
      </c>
      <c r="W972" s="3" t="s">
        <v>871</v>
      </c>
      <c r="X972" s="3">
        <v>23.98</v>
      </c>
      <c r="Y972" s="3">
        <v>23.98</v>
      </c>
      <c r="Z972" s="3">
        <v>23.98</v>
      </c>
      <c r="AA972" s="3">
        <v>0</v>
      </c>
      <c r="AB972" s="3" t="s">
        <v>869</v>
      </c>
      <c r="AC972" s="3">
        <v>0</v>
      </c>
      <c r="AD972" s="3">
        <v>0</v>
      </c>
      <c r="AE972" s="3">
        <v>0</v>
      </c>
      <c r="AF972" s="3">
        <v>0</v>
      </c>
      <c r="AG972" s="3">
        <v>0</v>
      </c>
      <c r="AH972" s="3">
        <v>1.42857142857142</v>
      </c>
      <c r="AI972" s="3">
        <v>1.67542</v>
      </c>
      <c r="AJ972" s="3" t="s">
        <v>870</v>
      </c>
    </row>
    <row r="973" spans="1:36">
      <c r="A973" s="5">
        <v>43336</v>
      </c>
      <c r="B973" s="3" t="s">
        <v>3193</v>
      </c>
      <c r="C973" s="3" t="s">
        <v>919</v>
      </c>
      <c r="D973" s="3" t="s">
        <v>919</v>
      </c>
      <c r="E973" s="3" t="s">
        <v>920</v>
      </c>
      <c r="F973" s="3" t="s">
        <v>867</v>
      </c>
      <c r="G973" s="3">
        <v>14</v>
      </c>
      <c r="H973" s="3">
        <v>0</v>
      </c>
      <c r="I973" s="3">
        <v>1</v>
      </c>
      <c r="J973" s="3">
        <v>13</v>
      </c>
      <c r="K973" s="3">
        <v>0</v>
      </c>
      <c r="L973" s="3">
        <v>0</v>
      </c>
      <c r="M973" s="3">
        <v>0</v>
      </c>
      <c r="N973" s="3" t="s">
        <v>868</v>
      </c>
      <c r="O973" s="3">
        <v>0</v>
      </c>
      <c r="P973" s="3">
        <v>0</v>
      </c>
      <c r="Q973" s="3">
        <v>0</v>
      </c>
      <c r="R973" s="3">
        <v>0</v>
      </c>
      <c r="S973" s="3">
        <v>0</v>
      </c>
      <c r="T973" s="3">
        <v>0</v>
      </c>
      <c r="U973" s="3">
        <v>0</v>
      </c>
      <c r="V973" s="3">
        <v>3</v>
      </c>
      <c r="W973" s="3" t="s">
        <v>871</v>
      </c>
      <c r="X973" s="3">
        <v>22.98</v>
      </c>
      <c r="Y973" s="3">
        <v>22.98</v>
      </c>
      <c r="Z973" s="3">
        <v>21.98</v>
      </c>
      <c r="AA973" s="3">
        <v>0</v>
      </c>
      <c r="AB973" s="3" t="s">
        <v>883</v>
      </c>
      <c r="AC973" s="3">
        <v>13</v>
      </c>
      <c r="AD973" s="3">
        <v>21.98</v>
      </c>
      <c r="AE973" s="3">
        <v>0</v>
      </c>
      <c r="AF973" s="3">
        <v>0</v>
      </c>
      <c r="AG973" s="3">
        <v>0</v>
      </c>
      <c r="AH973" s="3">
        <v>0.851063829787234</v>
      </c>
      <c r="AI973" s="3">
        <v>0.980644</v>
      </c>
      <c r="AJ973" s="3" t="s">
        <v>870</v>
      </c>
    </row>
    <row r="974" spans="1:36">
      <c r="A974" s="5">
        <v>43336</v>
      </c>
      <c r="B974" s="3" t="s">
        <v>3194</v>
      </c>
      <c r="C974" s="3" t="s">
        <v>3195</v>
      </c>
      <c r="D974" s="3" t="s">
        <v>3196</v>
      </c>
      <c r="E974" s="3" t="s">
        <v>3197</v>
      </c>
      <c r="F974" s="3" t="s">
        <v>867</v>
      </c>
      <c r="G974" s="3">
        <v>8</v>
      </c>
      <c r="H974" s="3">
        <v>0</v>
      </c>
      <c r="I974" s="3">
        <v>8</v>
      </c>
      <c r="J974" s="3">
        <v>0</v>
      </c>
      <c r="K974" s="3">
        <v>0</v>
      </c>
      <c r="L974" s="3">
        <v>0</v>
      </c>
      <c r="M974" s="3">
        <v>0</v>
      </c>
      <c r="N974" s="3" t="s">
        <v>868</v>
      </c>
      <c r="O974" s="3">
        <v>0</v>
      </c>
      <c r="P974" s="3">
        <v>0</v>
      </c>
      <c r="Q974" s="3">
        <v>0</v>
      </c>
      <c r="R974" s="3">
        <v>0</v>
      </c>
      <c r="S974" s="3">
        <v>2</v>
      </c>
      <c r="T974" s="3">
        <v>2</v>
      </c>
      <c r="U974" s="3">
        <v>2</v>
      </c>
      <c r="V974" s="3">
        <v>2</v>
      </c>
      <c r="W974" s="3"/>
      <c r="X974" s="3">
        <v>27.98</v>
      </c>
      <c r="Y974" s="3">
        <v>27.98</v>
      </c>
      <c r="Z974" s="3">
        <v>27.98</v>
      </c>
      <c r="AA974" s="3">
        <v>0</v>
      </c>
      <c r="AB974" s="3" t="s">
        <v>883</v>
      </c>
      <c r="AC974" s="3">
        <v>0</v>
      </c>
      <c r="AD974" s="3">
        <v>22.38</v>
      </c>
      <c r="AE974" s="3">
        <v>210</v>
      </c>
      <c r="AF974" s="3">
        <v>0</v>
      </c>
      <c r="AG974" s="3">
        <v>162.082484</v>
      </c>
      <c r="AH974" s="3">
        <v>2.18181818181818</v>
      </c>
      <c r="AI974" s="3">
        <v>1.319504</v>
      </c>
      <c r="AJ974" s="3" t="s">
        <v>870</v>
      </c>
    </row>
    <row r="975" spans="1:36">
      <c r="A975" s="5">
        <v>43336</v>
      </c>
      <c r="B975" s="3" t="s">
        <v>709</v>
      </c>
      <c r="C975" s="3" t="s">
        <v>710</v>
      </c>
      <c r="D975" s="3" t="s">
        <v>710</v>
      </c>
      <c r="E975" s="3" t="s">
        <v>711</v>
      </c>
      <c r="F975" s="3" t="s">
        <v>867</v>
      </c>
      <c r="G975" s="3">
        <v>10</v>
      </c>
      <c r="H975" s="3">
        <v>0</v>
      </c>
      <c r="I975" s="3">
        <v>1</v>
      </c>
      <c r="J975" s="3">
        <v>9</v>
      </c>
      <c r="K975" s="3">
        <v>0</v>
      </c>
      <c r="L975" s="3">
        <v>0</v>
      </c>
      <c r="M975" s="3">
        <v>0</v>
      </c>
      <c r="N975" s="3" t="s">
        <v>868</v>
      </c>
      <c r="O975" s="3">
        <v>0</v>
      </c>
      <c r="P975" s="3">
        <v>0</v>
      </c>
      <c r="Q975" s="3">
        <v>0</v>
      </c>
      <c r="R975" s="3">
        <v>0</v>
      </c>
      <c r="S975" s="3">
        <v>0</v>
      </c>
      <c r="T975" s="3">
        <v>1</v>
      </c>
      <c r="U975" s="3">
        <v>5</v>
      </c>
      <c r="V975" s="3">
        <v>8</v>
      </c>
      <c r="W975" s="3"/>
      <c r="X975" s="3">
        <v>22.98</v>
      </c>
      <c r="Y975" s="3">
        <v>22.98</v>
      </c>
      <c r="Z975" s="3">
        <v>22.98</v>
      </c>
      <c r="AA975" s="3">
        <v>0</v>
      </c>
      <c r="AB975" s="3" t="s">
        <v>869</v>
      </c>
      <c r="AC975" s="3">
        <v>10</v>
      </c>
      <c r="AD975" s="3">
        <v>22.98</v>
      </c>
      <c r="AE975" s="3">
        <v>0</v>
      </c>
      <c r="AF975" s="3">
        <v>0</v>
      </c>
      <c r="AG975" s="3">
        <v>0</v>
      </c>
      <c r="AH975" s="3">
        <v>0.680851063829787</v>
      </c>
      <c r="AI975" s="3">
        <v>0.83563</v>
      </c>
      <c r="AJ975" s="3" t="s">
        <v>870</v>
      </c>
    </row>
    <row r="976" spans="1:36">
      <c r="A976" s="5">
        <v>43336</v>
      </c>
      <c r="B976" s="3" t="s">
        <v>3198</v>
      </c>
      <c r="C976" s="3" t="s">
        <v>3199</v>
      </c>
      <c r="D976" s="3" t="s">
        <v>3200</v>
      </c>
      <c r="E976" s="3" t="s">
        <v>3201</v>
      </c>
      <c r="F976" s="3" t="s">
        <v>867</v>
      </c>
      <c r="G976" s="3">
        <v>3</v>
      </c>
      <c r="H976" s="3">
        <v>0</v>
      </c>
      <c r="I976" s="3">
        <v>3</v>
      </c>
      <c r="J976" s="3">
        <v>0</v>
      </c>
      <c r="K976" s="3">
        <v>0</v>
      </c>
      <c r="L976" s="3">
        <v>0</v>
      </c>
      <c r="M976" s="3">
        <v>0</v>
      </c>
      <c r="N976" s="3" t="s">
        <v>868</v>
      </c>
      <c r="O976" s="3">
        <v>0</v>
      </c>
      <c r="P976" s="3">
        <v>0</v>
      </c>
      <c r="Q976" s="3">
        <v>0</v>
      </c>
      <c r="R976" s="3">
        <v>0</v>
      </c>
      <c r="S976" s="3">
        <v>0</v>
      </c>
      <c r="T976" s="3">
        <v>0</v>
      </c>
      <c r="U976" s="3">
        <v>0</v>
      </c>
      <c r="V976" s="3">
        <v>0</v>
      </c>
      <c r="W976" s="3" t="s">
        <v>871</v>
      </c>
      <c r="X976" s="3">
        <v>24.98</v>
      </c>
      <c r="Y976" s="3">
        <v>24.98</v>
      </c>
      <c r="Z976" s="3">
        <v>24.98</v>
      </c>
      <c r="AA976" s="3">
        <v>0</v>
      </c>
      <c r="AB976" s="3" t="s">
        <v>883</v>
      </c>
      <c r="AC976" s="3">
        <v>0</v>
      </c>
      <c r="AD976" s="3">
        <v>19.98</v>
      </c>
      <c r="AE976" s="3">
        <v>63</v>
      </c>
      <c r="AF976" s="3">
        <v>0</v>
      </c>
      <c r="AG976" s="3">
        <v>34.393565</v>
      </c>
      <c r="AH976" s="3">
        <v>1.33333333333333</v>
      </c>
      <c r="AI976" s="3">
        <v>0.411753</v>
      </c>
      <c r="AJ976" s="3" t="s">
        <v>870</v>
      </c>
    </row>
    <row r="977" spans="1:36">
      <c r="A977" s="5">
        <v>43336</v>
      </c>
      <c r="B977" s="3" t="s">
        <v>588</v>
      </c>
      <c r="C977" s="3" t="s">
        <v>589</v>
      </c>
      <c r="D977" s="3" t="s">
        <v>589</v>
      </c>
      <c r="E977" s="3" t="s">
        <v>590</v>
      </c>
      <c r="F977" s="3" t="s">
        <v>867</v>
      </c>
      <c r="G977" s="3">
        <v>17</v>
      </c>
      <c r="H977" s="3">
        <v>0</v>
      </c>
      <c r="I977" s="3">
        <v>17</v>
      </c>
      <c r="J977" s="3">
        <v>0</v>
      </c>
      <c r="K977" s="3">
        <v>0</v>
      </c>
      <c r="L977" s="3">
        <v>0</v>
      </c>
      <c r="M977" s="3">
        <v>0</v>
      </c>
      <c r="N977" s="3" t="s">
        <v>868</v>
      </c>
      <c r="O977" s="3">
        <v>0</v>
      </c>
      <c r="P977" s="3">
        <v>0</v>
      </c>
      <c r="Q977" s="3">
        <v>0</v>
      </c>
      <c r="R977" s="3">
        <v>0</v>
      </c>
      <c r="S977" s="3">
        <v>3</v>
      </c>
      <c r="T977" s="3">
        <v>19</v>
      </c>
      <c r="U977" s="3">
        <v>41</v>
      </c>
      <c r="V977" s="3">
        <v>70</v>
      </c>
      <c r="W977" s="3"/>
      <c r="X977" s="3">
        <v>22.98</v>
      </c>
      <c r="Y977" s="3">
        <v>22.98</v>
      </c>
      <c r="Z977" s="3">
        <v>22.98</v>
      </c>
      <c r="AA977" s="3">
        <v>0</v>
      </c>
      <c r="AB977" s="3" t="s">
        <v>869</v>
      </c>
      <c r="AC977" s="3">
        <v>17</v>
      </c>
      <c r="AD977" s="3">
        <v>22.98</v>
      </c>
      <c r="AE977" s="3">
        <v>0</v>
      </c>
      <c r="AF977" s="3">
        <v>0</v>
      </c>
      <c r="AG977" s="3">
        <v>0</v>
      </c>
      <c r="AH977" s="3">
        <v>2.1875</v>
      </c>
      <c r="AI977" s="3">
        <v>2.019923</v>
      </c>
      <c r="AJ977" s="3" t="s">
        <v>870</v>
      </c>
    </row>
    <row r="978" spans="1:36">
      <c r="A978" s="5">
        <v>43336</v>
      </c>
      <c r="B978" s="3" t="s">
        <v>3202</v>
      </c>
      <c r="C978" s="3" t="s">
        <v>3203</v>
      </c>
      <c r="D978" s="3" t="s">
        <v>3203</v>
      </c>
      <c r="E978" s="3" t="s">
        <v>3204</v>
      </c>
      <c r="F978" s="3" t="s">
        <v>867</v>
      </c>
      <c r="G978" s="3">
        <v>11</v>
      </c>
      <c r="H978" s="3">
        <v>0</v>
      </c>
      <c r="I978" s="3">
        <v>11</v>
      </c>
      <c r="J978" s="3">
        <v>0</v>
      </c>
      <c r="K978" s="3">
        <v>0</v>
      </c>
      <c r="L978" s="3">
        <v>0</v>
      </c>
      <c r="M978" s="3">
        <v>0</v>
      </c>
      <c r="N978" s="3" t="s">
        <v>868</v>
      </c>
      <c r="O978" s="3">
        <v>0</v>
      </c>
      <c r="P978" s="3">
        <v>0</v>
      </c>
      <c r="Q978" s="3">
        <v>0</v>
      </c>
      <c r="R978" s="3">
        <v>0</v>
      </c>
      <c r="S978" s="3">
        <v>0</v>
      </c>
      <c r="T978" s="3">
        <v>3</v>
      </c>
      <c r="U978" s="3">
        <v>7</v>
      </c>
      <c r="V978" s="3">
        <v>10</v>
      </c>
      <c r="W978" s="3"/>
      <c r="X978" s="3">
        <v>14.98</v>
      </c>
      <c r="Y978" s="3">
        <v>14.98</v>
      </c>
      <c r="Z978" s="3">
        <v>14.98</v>
      </c>
      <c r="AA978" s="3">
        <v>0</v>
      </c>
      <c r="AB978" s="3" t="s">
        <v>869</v>
      </c>
      <c r="AC978" s="3">
        <v>11</v>
      </c>
      <c r="AD978" s="3">
        <v>14.98</v>
      </c>
      <c r="AE978" s="3">
        <v>0</v>
      </c>
      <c r="AF978" s="3">
        <v>0</v>
      </c>
      <c r="AG978" s="3">
        <v>0</v>
      </c>
      <c r="AH978" s="3">
        <v>0.56338028169014</v>
      </c>
      <c r="AI978" s="3">
        <v>1.646623</v>
      </c>
      <c r="AJ978" s="3" t="s">
        <v>870</v>
      </c>
    </row>
    <row r="979" spans="1:36">
      <c r="A979" s="5">
        <v>43336</v>
      </c>
      <c r="B979" s="3" t="s">
        <v>3205</v>
      </c>
      <c r="C979" s="3" t="s">
        <v>3206</v>
      </c>
      <c r="D979" s="3" t="s">
        <v>3206</v>
      </c>
      <c r="E979" s="3" t="s">
        <v>3207</v>
      </c>
      <c r="F979" s="3" t="s">
        <v>867</v>
      </c>
      <c r="G979" s="3">
        <v>5</v>
      </c>
      <c r="H979" s="3">
        <v>0</v>
      </c>
      <c r="I979" s="3">
        <v>0</v>
      </c>
      <c r="J979" s="3">
        <v>0</v>
      </c>
      <c r="K979" s="3">
        <v>5</v>
      </c>
      <c r="L979" s="3">
        <v>0</v>
      </c>
      <c r="M979" s="3">
        <v>0</v>
      </c>
      <c r="N979" s="3" t="s">
        <v>868</v>
      </c>
      <c r="O979" s="3">
        <v>5</v>
      </c>
      <c r="P979" s="3">
        <v>2.16</v>
      </c>
      <c r="Q979" s="3">
        <v>0</v>
      </c>
      <c r="R979" s="3">
        <v>0</v>
      </c>
      <c r="S979" s="3">
        <v>0</v>
      </c>
      <c r="T979" s="3">
        <v>5</v>
      </c>
      <c r="U979" s="3">
        <v>6</v>
      </c>
      <c r="V979" s="3">
        <v>6</v>
      </c>
      <c r="W979" s="3"/>
      <c r="X979" s="3">
        <v>22.99</v>
      </c>
      <c r="Y979" s="3">
        <v>22.99</v>
      </c>
      <c r="Z979" s="3">
        <v>22.99</v>
      </c>
      <c r="AA979" s="3">
        <v>0</v>
      </c>
      <c r="AB979" s="3" t="s">
        <v>869</v>
      </c>
      <c r="AC979" s="3">
        <v>5</v>
      </c>
      <c r="AD979" s="3">
        <v>16.98</v>
      </c>
      <c r="AE979" s="3">
        <v>0</v>
      </c>
      <c r="AF979" s="3">
        <v>0</v>
      </c>
      <c r="AG979" s="3">
        <v>0</v>
      </c>
      <c r="AH979" s="3">
        <v>0.648648648648648</v>
      </c>
      <c r="AI979" s="3">
        <v>0.6301</v>
      </c>
      <c r="AJ979" s="3" t="s">
        <v>870</v>
      </c>
    </row>
    <row r="980" spans="1:36">
      <c r="A980" s="5">
        <v>43336</v>
      </c>
      <c r="B980" s="3" t="s">
        <v>69</v>
      </c>
      <c r="C980" s="3" t="s">
        <v>70</v>
      </c>
      <c r="D980" s="3" t="s">
        <v>70</v>
      </c>
      <c r="E980" s="3" t="s">
        <v>71</v>
      </c>
      <c r="F980" s="3" t="s">
        <v>867</v>
      </c>
      <c r="G980" s="3">
        <v>4</v>
      </c>
      <c r="H980" s="3">
        <v>0</v>
      </c>
      <c r="I980" s="3">
        <v>4</v>
      </c>
      <c r="J980" s="3">
        <v>0</v>
      </c>
      <c r="K980" s="3">
        <v>0</v>
      </c>
      <c r="L980" s="3">
        <v>0</v>
      </c>
      <c r="M980" s="3">
        <v>0</v>
      </c>
      <c r="N980" s="3" t="s">
        <v>868</v>
      </c>
      <c r="O980" s="3">
        <v>0</v>
      </c>
      <c r="P980" s="3">
        <v>0</v>
      </c>
      <c r="Q980" s="3">
        <v>0</v>
      </c>
      <c r="R980" s="3">
        <v>0</v>
      </c>
      <c r="S980" s="3">
        <v>1</v>
      </c>
      <c r="T980" s="3">
        <v>3</v>
      </c>
      <c r="U980" s="3">
        <v>5</v>
      </c>
      <c r="V980" s="3">
        <v>8</v>
      </c>
      <c r="W980" s="3"/>
      <c r="X980" s="3">
        <v>27.98</v>
      </c>
      <c r="Y980" s="3">
        <v>27.98</v>
      </c>
      <c r="Z980" s="3">
        <v>27.98</v>
      </c>
      <c r="AA980" s="3">
        <v>0</v>
      </c>
      <c r="AB980" s="3" t="s">
        <v>883</v>
      </c>
      <c r="AC980" s="3">
        <v>0</v>
      </c>
      <c r="AD980" s="3">
        <v>12.14</v>
      </c>
      <c r="AE980" s="3">
        <v>35</v>
      </c>
      <c r="AF980" s="3">
        <v>0</v>
      </c>
      <c r="AG980" s="3">
        <v>63.040064</v>
      </c>
      <c r="AH980" s="3">
        <v>1.28</v>
      </c>
      <c r="AI980" s="3">
        <v>0.67628</v>
      </c>
      <c r="AJ980" s="3" t="s">
        <v>870</v>
      </c>
    </row>
    <row r="981" spans="1:36">
      <c r="A981" s="5">
        <v>43336</v>
      </c>
      <c r="B981" s="3" t="s">
        <v>3208</v>
      </c>
      <c r="C981" s="3" t="s">
        <v>3209</v>
      </c>
      <c r="D981" s="3" t="s">
        <v>3209</v>
      </c>
      <c r="E981" s="3" t="s">
        <v>3210</v>
      </c>
      <c r="F981" s="3" t="s">
        <v>867</v>
      </c>
      <c r="G981" s="3">
        <v>18</v>
      </c>
      <c r="H981" s="3">
        <v>0</v>
      </c>
      <c r="I981" s="3">
        <v>0</v>
      </c>
      <c r="J981" s="3">
        <v>2</v>
      </c>
      <c r="K981" s="3">
        <v>1</v>
      </c>
      <c r="L981" s="3">
        <v>15</v>
      </c>
      <c r="M981" s="3">
        <v>0</v>
      </c>
      <c r="N981" s="3" t="s">
        <v>868</v>
      </c>
      <c r="O981" s="3">
        <v>17</v>
      </c>
      <c r="P981" s="3">
        <v>5.74</v>
      </c>
      <c r="Q981" s="3">
        <v>0</v>
      </c>
      <c r="R981" s="3">
        <v>0</v>
      </c>
      <c r="S981" s="3">
        <v>0</v>
      </c>
      <c r="T981" s="3">
        <v>1</v>
      </c>
      <c r="U981" s="3">
        <v>1</v>
      </c>
      <c r="V981" s="3">
        <v>5</v>
      </c>
      <c r="W981" s="3" t="s">
        <v>871</v>
      </c>
      <c r="X981" s="3">
        <v>22.99</v>
      </c>
      <c r="Y981" s="3">
        <v>22.99</v>
      </c>
      <c r="Z981" s="3">
        <v>22.99</v>
      </c>
      <c r="AA981" s="3">
        <v>0</v>
      </c>
      <c r="AB981" s="3" t="s">
        <v>869</v>
      </c>
      <c r="AC981" s="3">
        <v>18</v>
      </c>
      <c r="AD981" s="3">
        <v>22.99</v>
      </c>
      <c r="AE981" s="3">
        <v>0</v>
      </c>
      <c r="AF981" s="3">
        <v>0</v>
      </c>
      <c r="AG981" s="3">
        <v>0</v>
      </c>
      <c r="AH981" s="3">
        <v>0.253164556962025</v>
      </c>
      <c r="AI981" s="3">
        <v>1.758276</v>
      </c>
      <c r="AJ981" s="3" t="s">
        <v>870</v>
      </c>
    </row>
    <row r="982" spans="1:36">
      <c r="A982" s="5">
        <v>43336</v>
      </c>
      <c r="B982" s="3" t="s">
        <v>3211</v>
      </c>
      <c r="C982" s="3" t="s">
        <v>343</v>
      </c>
      <c r="D982" s="3" t="s">
        <v>343</v>
      </c>
      <c r="E982" s="3" t="s">
        <v>344</v>
      </c>
      <c r="F982" s="3" t="s">
        <v>867</v>
      </c>
      <c r="G982" s="3">
        <v>7</v>
      </c>
      <c r="H982" s="3">
        <v>0</v>
      </c>
      <c r="I982" s="3">
        <v>7</v>
      </c>
      <c r="J982" s="3">
        <v>0</v>
      </c>
      <c r="K982" s="3">
        <v>0</v>
      </c>
      <c r="L982" s="3">
        <v>0</v>
      </c>
      <c r="M982" s="3">
        <v>0</v>
      </c>
      <c r="N982" s="3" t="s">
        <v>868</v>
      </c>
      <c r="O982" s="3">
        <v>0</v>
      </c>
      <c r="P982" s="3">
        <v>0</v>
      </c>
      <c r="Q982" s="3">
        <v>0</v>
      </c>
      <c r="R982" s="3">
        <v>0</v>
      </c>
      <c r="S982" s="3">
        <v>0</v>
      </c>
      <c r="T982" s="3">
        <v>0</v>
      </c>
      <c r="U982" s="3">
        <v>29</v>
      </c>
      <c r="V982" s="3">
        <v>93</v>
      </c>
      <c r="W982" s="3" t="s">
        <v>871</v>
      </c>
      <c r="X982" s="3">
        <v>24.98</v>
      </c>
      <c r="Y982" s="3">
        <v>24.98</v>
      </c>
      <c r="Z982" s="3">
        <v>23.98</v>
      </c>
      <c r="AA982" s="3">
        <v>0</v>
      </c>
      <c r="AB982" s="3" t="s">
        <v>869</v>
      </c>
      <c r="AC982" s="3">
        <v>7</v>
      </c>
      <c r="AD982" s="3">
        <v>24.98</v>
      </c>
      <c r="AE982" s="3">
        <v>0</v>
      </c>
      <c r="AF982" s="3">
        <v>0</v>
      </c>
      <c r="AG982" s="3">
        <v>0</v>
      </c>
      <c r="AH982" s="3">
        <v>6.8433734939759</v>
      </c>
      <c r="AI982" s="3">
        <v>0.318703</v>
      </c>
      <c r="AJ982" s="3" t="s">
        <v>870</v>
      </c>
    </row>
    <row r="983" spans="1:36">
      <c r="A983" s="5">
        <v>43336</v>
      </c>
      <c r="B983" s="3" t="s">
        <v>3212</v>
      </c>
      <c r="C983" s="3" t="s">
        <v>3213</v>
      </c>
      <c r="D983" s="3" t="s">
        <v>3213</v>
      </c>
      <c r="E983" s="3" t="s">
        <v>3214</v>
      </c>
      <c r="F983" s="3" t="s">
        <v>867</v>
      </c>
      <c r="G983" s="3">
        <v>1</v>
      </c>
      <c r="H983" s="3">
        <v>0</v>
      </c>
      <c r="I983" s="3">
        <v>0</v>
      </c>
      <c r="J983" s="3">
        <v>0</v>
      </c>
      <c r="K983" s="3">
        <v>1</v>
      </c>
      <c r="L983" s="3">
        <v>0</v>
      </c>
      <c r="M983" s="3">
        <v>0</v>
      </c>
      <c r="N983" s="3" t="s">
        <v>868</v>
      </c>
      <c r="O983" s="3">
        <v>1</v>
      </c>
      <c r="P983" s="3">
        <v>0.21</v>
      </c>
      <c r="Q983" s="3">
        <v>0</v>
      </c>
      <c r="R983" s="3">
        <v>0</v>
      </c>
      <c r="S983" s="3">
        <v>0</v>
      </c>
      <c r="T983" s="3">
        <v>1</v>
      </c>
      <c r="U983" s="3">
        <v>3</v>
      </c>
      <c r="V983" s="3">
        <v>4</v>
      </c>
      <c r="W983" s="3"/>
      <c r="X983" s="3">
        <v>26.98</v>
      </c>
      <c r="Y983" s="3">
        <v>26.98</v>
      </c>
      <c r="Z983" s="3">
        <v>26.98</v>
      </c>
      <c r="AA983" s="3">
        <v>0</v>
      </c>
      <c r="AB983" s="3" t="s">
        <v>869</v>
      </c>
      <c r="AC983" s="3">
        <v>1</v>
      </c>
      <c r="AD983" s="3">
        <v>26.98</v>
      </c>
      <c r="AE983" s="3">
        <v>0</v>
      </c>
      <c r="AF983" s="3">
        <v>0</v>
      </c>
      <c r="AG983" s="3">
        <v>0</v>
      </c>
      <c r="AH983" s="3">
        <v>1.33333333333333</v>
      </c>
      <c r="AI983" s="3">
        <v>0.061012</v>
      </c>
      <c r="AJ983" s="3" t="s">
        <v>870</v>
      </c>
    </row>
    <row r="984" spans="1:36">
      <c r="A984" s="5">
        <v>43336</v>
      </c>
      <c r="B984" s="3" t="s">
        <v>485</v>
      </c>
      <c r="C984" s="3" t="s">
        <v>486</v>
      </c>
      <c r="D984" s="3" t="s">
        <v>486</v>
      </c>
      <c r="E984" s="3" t="s">
        <v>487</v>
      </c>
      <c r="F984" s="3" t="s">
        <v>867</v>
      </c>
      <c r="G984" s="3">
        <v>31</v>
      </c>
      <c r="H984" s="3">
        <v>0</v>
      </c>
      <c r="I984" s="3">
        <v>4</v>
      </c>
      <c r="J984" s="3">
        <v>27</v>
      </c>
      <c r="K984" s="3">
        <v>0</v>
      </c>
      <c r="L984" s="3">
        <v>0</v>
      </c>
      <c r="M984" s="3">
        <v>0</v>
      </c>
      <c r="N984" s="3" t="s">
        <v>868</v>
      </c>
      <c r="O984" s="3">
        <v>0</v>
      </c>
      <c r="P984" s="3">
        <v>0</v>
      </c>
      <c r="Q984" s="3">
        <v>0</v>
      </c>
      <c r="R984" s="3">
        <v>0</v>
      </c>
      <c r="S984" s="3">
        <v>0</v>
      </c>
      <c r="T984" s="3">
        <v>5</v>
      </c>
      <c r="U984" s="3">
        <v>5</v>
      </c>
      <c r="V984" s="3">
        <v>6</v>
      </c>
      <c r="W984" s="3"/>
      <c r="X984" s="3">
        <v>39.98</v>
      </c>
      <c r="Y984" s="3">
        <v>22.98</v>
      </c>
      <c r="Z984" s="3">
        <v>22.98</v>
      </c>
      <c r="AA984" s="3">
        <v>0</v>
      </c>
      <c r="AB984" s="3" t="s">
        <v>883</v>
      </c>
      <c r="AC984" s="3">
        <v>19</v>
      </c>
      <c r="AD984" s="3">
        <v>20.95</v>
      </c>
      <c r="AE984" s="3">
        <v>98</v>
      </c>
      <c r="AF984" s="3">
        <v>0</v>
      </c>
      <c r="AG984" s="3">
        <v>2.986561</v>
      </c>
      <c r="AH984" s="3">
        <v>0.180451127819548</v>
      </c>
      <c r="AI984" s="3">
        <v>6.60975799999999</v>
      </c>
      <c r="AJ984" s="3" t="s">
        <v>870</v>
      </c>
    </row>
    <row r="985" spans="1:36">
      <c r="A985" s="5">
        <v>43336</v>
      </c>
      <c r="B985" s="3" t="s">
        <v>415</v>
      </c>
      <c r="C985" s="3" t="s">
        <v>416</v>
      </c>
      <c r="D985" s="3" t="s">
        <v>416</v>
      </c>
      <c r="E985" s="3" t="s">
        <v>417</v>
      </c>
      <c r="F985" s="3" t="s">
        <v>867</v>
      </c>
      <c r="G985" s="3">
        <v>13</v>
      </c>
      <c r="H985" s="3">
        <v>0</v>
      </c>
      <c r="I985" s="3">
        <v>5</v>
      </c>
      <c r="J985" s="3">
        <v>8</v>
      </c>
      <c r="K985" s="3">
        <v>0</v>
      </c>
      <c r="L985" s="3">
        <v>0</v>
      </c>
      <c r="M985" s="3">
        <v>0</v>
      </c>
      <c r="N985" s="3" t="s">
        <v>868</v>
      </c>
      <c r="O985" s="3">
        <v>0</v>
      </c>
      <c r="P985" s="3">
        <v>0</v>
      </c>
      <c r="Q985" s="3">
        <v>0</v>
      </c>
      <c r="R985" s="3">
        <v>0</v>
      </c>
      <c r="S985" s="3">
        <v>0</v>
      </c>
      <c r="T985" s="3">
        <v>2</v>
      </c>
      <c r="U985" s="3">
        <v>4</v>
      </c>
      <c r="V985" s="3">
        <v>10</v>
      </c>
      <c r="W985" s="3" t="s">
        <v>871</v>
      </c>
      <c r="X985" s="3">
        <v>23.98</v>
      </c>
      <c r="Y985" s="3">
        <v>23.98</v>
      </c>
      <c r="Z985" s="3">
        <v>23.98</v>
      </c>
      <c r="AA985" s="3">
        <v>0</v>
      </c>
      <c r="AB985" s="3" t="s">
        <v>883</v>
      </c>
      <c r="AC985" s="3">
        <v>0</v>
      </c>
      <c r="AD985" s="3">
        <v>17.22</v>
      </c>
      <c r="AE985" s="3">
        <v>154</v>
      </c>
      <c r="AF985" s="3">
        <v>0</v>
      </c>
      <c r="AG985" s="3">
        <v>170.51568</v>
      </c>
      <c r="AH985" s="3">
        <v>0.689655172413793</v>
      </c>
      <c r="AI985" s="3">
        <v>1.506921</v>
      </c>
      <c r="AJ985" s="3" t="s">
        <v>870</v>
      </c>
    </row>
    <row r="986" spans="1:36">
      <c r="A986" s="5">
        <v>43336</v>
      </c>
      <c r="B986" s="3" t="s">
        <v>721</v>
      </c>
      <c r="C986" s="3" t="s">
        <v>722</v>
      </c>
      <c r="D986" s="3" t="s">
        <v>722</v>
      </c>
      <c r="E986" s="3" t="s">
        <v>723</v>
      </c>
      <c r="F986" s="3" t="s">
        <v>867</v>
      </c>
      <c r="G986" s="3">
        <v>12</v>
      </c>
      <c r="H986" s="3">
        <v>0</v>
      </c>
      <c r="I986" s="3">
        <v>11</v>
      </c>
      <c r="J986" s="3">
        <v>1</v>
      </c>
      <c r="K986" s="3">
        <v>0</v>
      </c>
      <c r="L986" s="3">
        <v>0</v>
      </c>
      <c r="M986" s="3">
        <v>0</v>
      </c>
      <c r="N986" s="3" t="s">
        <v>868</v>
      </c>
      <c r="O986" s="3">
        <v>0</v>
      </c>
      <c r="P986" s="3">
        <v>0</v>
      </c>
      <c r="Q986" s="3">
        <v>0</v>
      </c>
      <c r="R986" s="3">
        <v>0</v>
      </c>
      <c r="S986" s="3">
        <v>0</v>
      </c>
      <c r="T986" s="3">
        <v>0</v>
      </c>
      <c r="U986" s="3">
        <v>3</v>
      </c>
      <c r="V986" s="3">
        <v>5</v>
      </c>
      <c r="W986" s="3" t="s">
        <v>871</v>
      </c>
      <c r="X986" s="3">
        <v>20.98</v>
      </c>
      <c r="Y986" s="3">
        <v>20.98</v>
      </c>
      <c r="Z986" s="3">
        <v>20.98</v>
      </c>
      <c r="AA986" s="3">
        <v>0</v>
      </c>
      <c r="AB986" s="3" t="s">
        <v>883</v>
      </c>
      <c r="AC986" s="3">
        <v>0</v>
      </c>
      <c r="AD986" s="3">
        <v>11.87</v>
      </c>
      <c r="AE986" s="3">
        <v>56</v>
      </c>
      <c r="AF986" s="3">
        <v>0</v>
      </c>
      <c r="AG986" s="3">
        <v>153.340413</v>
      </c>
      <c r="AH986" s="3">
        <v>0.454545454545454</v>
      </c>
      <c r="AI986" s="3">
        <v>1.002756</v>
      </c>
      <c r="AJ986" s="3" t="s">
        <v>870</v>
      </c>
    </row>
    <row r="987" spans="1:36">
      <c r="A987" s="5">
        <v>43336</v>
      </c>
      <c r="B987" s="3" t="s">
        <v>3215</v>
      </c>
      <c r="C987" s="3" t="s">
        <v>3216</v>
      </c>
      <c r="D987" s="3" t="s">
        <v>2871</v>
      </c>
      <c r="E987" s="3" t="s">
        <v>2872</v>
      </c>
      <c r="F987" s="3" t="s">
        <v>867</v>
      </c>
      <c r="G987" s="3">
        <v>6</v>
      </c>
      <c r="H987" s="3">
        <v>0</v>
      </c>
      <c r="I987" s="3">
        <v>6</v>
      </c>
      <c r="J987" s="3">
        <v>0</v>
      </c>
      <c r="K987" s="3">
        <v>0</v>
      </c>
      <c r="L987" s="3">
        <v>0</v>
      </c>
      <c r="M987" s="3">
        <v>0</v>
      </c>
      <c r="N987" s="3" t="s">
        <v>868</v>
      </c>
      <c r="O987" s="3">
        <v>0</v>
      </c>
      <c r="P987" s="3">
        <v>0</v>
      </c>
      <c r="Q987" s="3">
        <v>0</v>
      </c>
      <c r="R987" s="3">
        <v>0</v>
      </c>
      <c r="S987" s="3">
        <v>2</v>
      </c>
      <c r="T987" s="3">
        <v>3</v>
      </c>
      <c r="U987" s="3">
        <v>3</v>
      </c>
      <c r="V987" s="3">
        <v>3</v>
      </c>
      <c r="W987" s="3"/>
      <c r="X987" s="3">
        <v>20.98</v>
      </c>
      <c r="Y987" s="3">
        <v>20.98</v>
      </c>
      <c r="Z987" s="3">
        <v>20.98</v>
      </c>
      <c r="AA987" s="3">
        <v>0</v>
      </c>
      <c r="AB987" s="3" t="s">
        <v>869</v>
      </c>
      <c r="AC987" s="3">
        <v>7</v>
      </c>
      <c r="AD987" s="3">
        <v>20.98</v>
      </c>
      <c r="AE987" s="3">
        <v>0</v>
      </c>
      <c r="AF987" s="3">
        <v>0</v>
      </c>
      <c r="AG987" s="3">
        <v>0</v>
      </c>
      <c r="AH987" s="3">
        <v>2.83333333333333</v>
      </c>
      <c r="AI987" s="3">
        <v>0.501378</v>
      </c>
      <c r="AJ987" s="3" t="s">
        <v>870</v>
      </c>
    </row>
    <row r="988" spans="1:36">
      <c r="A988" s="5">
        <v>43336</v>
      </c>
      <c r="B988" s="3" t="s">
        <v>3217</v>
      </c>
      <c r="C988" s="3" t="s">
        <v>1325</v>
      </c>
      <c r="D988" s="3" t="s">
        <v>1325</v>
      </c>
      <c r="E988" s="3" t="s">
        <v>1326</v>
      </c>
      <c r="F988" s="3" t="s">
        <v>867</v>
      </c>
      <c r="G988" s="3">
        <v>3</v>
      </c>
      <c r="H988" s="3">
        <v>0</v>
      </c>
      <c r="I988" s="3">
        <v>3</v>
      </c>
      <c r="J988" s="3">
        <v>0</v>
      </c>
      <c r="K988" s="3">
        <v>0</v>
      </c>
      <c r="L988" s="3">
        <v>0</v>
      </c>
      <c r="M988" s="3">
        <v>0</v>
      </c>
      <c r="N988" s="3" t="s">
        <v>868</v>
      </c>
      <c r="O988" s="3">
        <v>0</v>
      </c>
      <c r="P988" s="3">
        <v>0</v>
      </c>
      <c r="Q988" s="3">
        <v>0</v>
      </c>
      <c r="R988" s="3">
        <v>0</v>
      </c>
      <c r="S988" s="3">
        <v>0</v>
      </c>
      <c r="T988" s="3">
        <v>1</v>
      </c>
      <c r="U988" s="3">
        <v>3</v>
      </c>
      <c r="V988" s="3">
        <v>4</v>
      </c>
      <c r="W988" s="3"/>
      <c r="X988" s="3">
        <v>22.98</v>
      </c>
      <c r="Y988" s="3">
        <v>22.98</v>
      </c>
      <c r="Z988" s="3">
        <v>22.98</v>
      </c>
      <c r="AA988" s="3">
        <v>0</v>
      </c>
      <c r="AB988" s="3" t="s">
        <v>869</v>
      </c>
      <c r="AC988" s="3">
        <v>3</v>
      </c>
      <c r="AD988" s="3">
        <v>22.98</v>
      </c>
      <c r="AE988" s="3">
        <v>0</v>
      </c>
      <c r="AF988" s="3">
        <v>0</v>
      </c>
      <c r="AG988" s="3">
        <v>0</v>
      </c>
      <c r="AH988" s="3">
        <v>0.64516129032258</v>
      </c>
      <c r="AI988" s="3">
        <v>0.352635</v>
      </c>
      <c r="AJ988" s="3" t="s">
        <v>870</v>
      </c>
    </row>
    <row r="989" spans="1:36">
      <c r="A989" s="5">
        <v>43336</v>
      </c>
      <c r="B989" s="3" t="s">
        <v>3218</v>
      </c>
      <c r="C989" s="3" t="s">
        <v>3219</v>
      </c>
      <c r="D989" s="3" t="s">
        <v>3220</v>
      </c>
      <c r="E989" s="3" t="s">
        <v>3221</v>
      </c>
      <c r="F989" s="3" t="s">
        <v>867</v>
      </c>
      <c r="G989" s="3">
        <v>4</v>
      </c>
      <c r="H989" s="3">
        <v>0</v>
      </c>
      <c r="I989" s="3">
        <v>4</v>
      </c>
      <c r="J989" s="3">
        <v>0</v>
      </c>
      <c r="K989" s="3">
        <v>0</v>
      </c>
      <c r="L989" s="3">
        <v>0</v>
      </c>
      <c r="M989" s="3">
        <v>0</v>
      </c>
      <c r="N989" s="3" t="s">
        <v>868</v>
      </c>
      <c r="O989" s="3">
        <v>0</v>
      </c>
      <c r="P989" s="3">
        <v>0</v>
      </c>
      <c r="Q989" s="3">
        <v>0</v>
      </c>
      <c r="R989" s="3">
        <v>0</v>
      </c>
      <c r="S989" s="3">
        <v>0</v>
      </c>
      <c r="T989" s="3">
        <v>0</v>
      </c>
      <c r="U989" s="3">
        <v>1</v>
      </c>
      <c r="V989" s="3">
        <v>1</v>
      </c>
      <c r="W989" s="3" t="s">
        <v>871</v>
      </c>
      <c r="X989" s="3">
        <v>20.98</v>
      </c>
      <c r="Y989" s="3">
        <v>20.98</v>
      </c>
      <c r="Z989" s="3">
        <v>20.98</v>
      </c>
      <c r="AA989" s="3">
        <v>0</v>
      </c>
      <c r="AB989" s="3" t="s">
        <v>869</v>
      </c>
      <c r="AC989" s="3">
        <v>4</v>
      </c>
      <c r="AD989" s="3">
        <v>20.98</v>
      </c>
      <c r="AE989" s="3">
        <v>0</v>
      </c>
      <c r="AF989" s="3">
        <v>0</v>
      </c>
      <c r="AG989" s="3">
        <v>0</v>
      </c>
      <c r="AH989" s="3">
        <v>1.6551724137931</v>
      </c>
      <c r="AI989" s="3">
        <v>0.334252</v>
      </c>
      <c r="AJ989" s="3" t="s">
        <v>870</v>
      </c>
    </row>
    <row r="990" spans="1:36">
      <c r="A990" s="5">
        <v>43336</v>
      </c>
      <c r="B990" s="3" t="s">
        <v>3222</v>
      </c>
      <c r="C990" s="3" t="s">
        <v>3223</v>
      </c>
      <c r="D990" s="3" t="s">
        <v>3224</v>
      </c>
      <c r="E990" s="3" t="s">
        <v>3225</v>
      </c>
      <c r="F990" s="3" t="s">
        <v>867</v>
      </c>
      <c r="G990" s="3">
        <v>5</v>
      </c>
      <c r="H990" s="3">
        <v>0</v>
      </c>
      <c r="I990" s="3">
        <v>5</v>
      </c>
      <c r="J990" s="3">
        <v>0</v>
      </c>
      <c r="K990" s="3">
        <v>0</v>
      </c>
      <c r="L990" s="3">
        <v>0</v>
      </c>
      <c r="M990" s="3">
        <v>0</v>
      </c>
      <c r="N990" s="3" t="s">
        <v>868</v>
      </c>
      <c r="O990" s="3">
        <v>0</v>
      </c>
      <c r="P990" s="3">
        <v>0</v>
      </c>
      <c r="Q990" s="3">
        <v>0</v>
      </c>
      <c r="R990" s="3">
        <v>0</v>
      </c>
      <c r="S990" s="3">
        <v>0</v>
      </c>
      <c r="T990" s="3">
        <v>0</v>
      </c>
      <c r="U990" s="3">
        <v>0</v>
      </c>
      <c r="V990" s="3">
        <v>0</v>
      </c>
      <c r="W990" s="3" t="s">
        <v>871</v>
      </c>
      <c r="X990" s="3">
        <v>22.98</v>
      </c>
      <c r="Y990" s="3">
        <v>22.98</v>
      </c>
      <c r="Z990" s="3">
        <v>22.98</v>
      </c>
      <c r="AA990" s="3">
        <v>0</v>
      </c>
      <c r="AB990" s="3" t="s">
        <v>869</v>
      </c>
      <c r="AC990" s="3">
        <v>5</v>
      </c>
      <c r="AD990" s="3">
        <v>22.98</v>
      </c>
      <c r="AE990" s="3">
        <v>0</v>
      </c>
      <c r="AF990" s="3">
        <v>0</v>
      </c>
      <c r="AG990" s="3">
        <v>0</v>
      </c>
      <c r="AH990" s="3">
        <v>0.571428571428571</v>
      </c>
      <c r="AI990" s="3">
        <v>0.587724999999999</v>
      </c>
      <c r="AJ990" s="3" t="s">
        <v>870</v>
      </c>
    </row>
    <row r="991" spans="1:36">
      <c r="A991" s="5">
        <v>43336</v>
      </c>
      <c r="B991" s="3" t="s">
        <v>3226</v>
      </c>
      <c r="C991" s="3" t="s">
        <v>2150</v>
      </c>
      <c r="D991" s="3" t="s">
        <v>2150</v>
      </c>
      <c r="E991" s="3" t="s">
        <v>2151</v>
      </c>
      <c r="F991" s="3" t="s">
        <v>867</v>
      </c>
      <c r="G991" s="3">
        <v>1</v>
      </c>
      <c r="H991" s="3">
        <v>0</v>
      </c>
      <c r="I991" s="3">
        <v>1</v>
      </c>
      <c r="J991" s="3">
        <v>0</v>
      </c>
      <c r="K991" s="3">
        <v>0</v>
      </c>
      <c r="L991" s="3">
        <v>0</v>
      </c>
      <c r="M991" s="3">
        <v>0</v>
      </c>
      <c r="N991" s="3" t="s">
        <v>868</v>
      </c>
      <c r="O991" s="3">
        <v>0</v>
      </c>
      <c r="P991" s="3">
        <v>0</v>
      </c>
      <c r="Q991" s="3">
        <v>0</v>
      </c>
      <c r="R991" s="3">
        <v>0</v>
      </c>
      <c r="S991" s="3">
        <v>0</v>
      </c>
      <c r="T991" s="3">
        <v>0</v>
      </c>
      <c r="U991" s="3">
        <v>5</v>
      </c>
      <c r="V991" s="3">
        <v>6</v>
      </c>
      <c r="W991" s="3" t="s">
        <v>871</v>
      </c>
      <c r="X991" s="3">
        <v>26.98</v>
      </c>
      <c r="Y991" s="3">
        <v>26.98</v>
      </c>
      <c r="Z991" s="3">
        <v>26.98</v>
      </c>
      <c r="AA991" s="3">
        <v>0</v>
      </c>
      <c r="AB991" s="3" t="s">
        <v>869</v>
      </c>
      <c r="AC991" s="3">
        <v>1</v>
      </c>
      <c r="AD991" s="3">
        <v>26.98</v>
      </c>
      <c r="AE991" s="3">
        <v>0</v>
      </c>
      <c r="AF991" s="3">
        <v>0</v>
      </c>
      <c r="AG991" s="3">
        <v>0</v>
      </c>
      <c r="AH991" s="3">
        <v>2</v>
      </c>
      <c r="AI991" s="3">
        <v>0.132326</v>
      </c>
      <c r="AJ991" s="3" t="s">
        <v>870</v>
      </c>
    </row>
    <row r="992" spans="1:36">
      <c r="A992" s="5">
        <v>43336</v>
      </c>
      <c r="B992" s="3" t="s">
        <v>3227</v>
      </c>
      <c r="C992" s="3" t="s">
        <v>3228</v>
      </c>
      <c r="D992" s="3" t="s">
        <v>3228</v>
      </c>
      <c r="E992" s="3" t="s">
        <v>3229</v>
      </c>
      <c r="F992" s="3" t="s">
        <v>867</v>
      </c>
      <c r="G992" s="3">
        <v>3</v>
      </c>
      <c r="H992" s="3">
        <v>0</v>
      </c>
      <c r="I992" s="3">
        <v>0</v>
      </c>
      <c r="J992" s="3">
        <v>3</v>
      </c>
      <c r="K992" s="3">
        <v>0</v>
      </c>
      <c r="L992" s="3">
        <v>0</v>
      </c>
      <c r="M992" s="3">
        <v>0</v>
      </c>
      <c r="N992" s="3" t="s">
        <v>868</v>
      </c>
      <c r="O992" s="3">
        <v>0</v>
      </c>
      <c r="P992" s="3">
        <v>0</v>
      </c>
      <c r="Q992" s="3">
        <v>0</v>
      </c>
      <c r="R992" s="3">
        <v>0</v>
      </c>
      <c r="S992" s="3">
        <v>1</v>
      </c>
      <c r="T992" s="3">
        <v>3</v>
      </c>
      <c r="U992" s="3">
        <v>10</v>
      </c>
      <c r="V992" s="3">
        <v>10</v>
      </c>
      <c r="W992" s="3"/>
      <c r="X992" s="3">
        <v>26.98</v>
      </c>
      <c r="Y992" s="3">
        <v>26.98</v>
      </c>
      <c r="Z992" s="3">
        <v>26.98</v>
      </c>
      <c r="AA992" s="3">
        <v>0</v>
      </c>
      <c r="AB992" s="3" t="s">
        <v>869</v>
      </c>
      <c r="AC992" s="3">
        <v>3</v>
      </c>
      <c r="AD992" s="3">
        <v>26.98</v>
      </c>
      <c r="AE992" s="3">
        <v>0</v>
      </c>
      <c r="AF992" s="3">
        <v>0</v>
      </c>
      <c r="AG992" s="3">
        <v>0</v>
      </c>
      <c r="AH992" s="3">
        <v>1.11111111111111</v>
      </c>
      <c r="AI992" s="3">
        <v>0.396978</v>
      </c>
      <c r="AJ992" s="3" t="s">
        <v>870</v>
      </c>
    </row>
    <row r="993" spans="1:36">
      <c r="A993" s="5">
        <v>43336</v>
      </c>
      <c r="B993" s="3" t="s">
        <v>3230</v>
      </c>
      <c r="C993" s="3" t="s">
        <v>3231</v>
      </c>
      <c r="D993" s="3" t="s">
        <v>3231</v>
      </c>
      <c r="E993" s="3" t="s">
        <v>3232</v>
      </c>
      <c r="F993" s="3" t="s">
        <v>867</v>
      </c>
      <c r="G993" s="3">
        <v>2</v>
      </c>
      <c r="H993" s="3">
        <v>0</v>
      </c>
      <c r="I993" s="3">
        <v>1</v>
      </c>
      <c r="J993" s="3">
        <v>1</v>
      </c>
      <c r="K993" s="3">
        <v>0</v>
      </c>
      <c r="L993" s="3">
        <v>0</v>
      </c>
      <c r="M993" s="3">
        <v>0</v>
      </c>
      <c r="N993" s="3" t="s">
        <v>868</v>
      </c>
      <c r="O993" s="3">
        <v>0</v>
      </c>
      <c r="P993" s="3">
        <v>0</v>
      </c>
      <c r="Q993" s="3">
        <v>0</v>
      </c>
      <c r="R993" s="3">
        <v>0</v>
      </c>
      <c r="S993" s="3">
        <v>0</v>
      </c>
      <c r="T993" s="3">
        <v>1</v>
      </c>
      <c r="U993" s="3">
        <v>2</v>
      </c>
      <c r="V993" s="3">
        <v>3</v>
      </c>
      <c r="W993" s="3" t="s">
        <v>871</v>
      </c>
      <c r="X993" s="3">
        <v>12.98</v>
      </c>
      <c r="Y993" s="3">
        <v>12.98</v>
      </c>
      <c r="Z993" s="3">
        <v>12.98</v>
      </c>
      <c r="AA993" s="3">
        <v>0</v>
      </c>
      <c r="AB993" s="3" t="s">
        <v>883</v>
      </c>
      <c r="AC993" s="3">
        <v>0</v>
      </c>
      <c r="AD993" s="3">
        <v>11.84</v>
      </c>
      <c r="AE993" s="3">
        <v>91</v>
      </c>
      <c r="AF993" s="3">
        <v>0</v>
      </c>
      <c r="AG993" s="3">
        <v>35.773997</v>
      </c>
      <c r="AH993" s="3">
        <v>0.27906976744186</v>
      </c>
      <c r="AI993" s="3">
        <v>0.276204</v>
      </c>
      <c r="AJ993" s="3" t="s">
        <v>870</v>
      </c>
    </row>
    <row r="994" spans="1:36">
      <c r="A994" s="5">
        <v>43336</v>
      </c>
      <c r="B994" s="3" t="s">
        <v>3233</v>
      </c>
      <c r="C994" s="3" t="s">
        <v>3234</v>
      </c>
      <c r="D994" s="3" t="s">
        <v>2323</v>
      </c>
      <c r="E994" s="3" t="s">
        <v>2324</v>
      </c>
      <c r="F994" s="3" t="s">
        <v>867</v>
      </c>
      <c r="G994" s="3">
        <v>4</v>
      </c>
      <c r="H994" s="3">
        <v>0</v>
      </c>
      <c r="I994" s="3">
        <v>4</v>
      </c>
      <c r="J994" s="3">
        <v>0</v>
      </c>
      <c r="K994" s="3">
        <v>0</v>
      </c>
      <c r="L994" s="3">
        <v>0</v>
      </c>
      <c r="M994" s="3">
        <v>0</v>
      </c>
      <c r="N994" s="3" t="s">
        <v>868</v>
      </c>
      <c r="O994" s="3">
        <v>0</v>
      </c>
      <c r="P994" s="3">
        <v>0</v>
      </c>
      <c r="Q994" s="3">
        <v>0</v>
      </c>
      <c r="R994" s="3">
        <v>0</v>
      </c>
      <c r="S994" s="3">
        <v>0</v>
      </c>
      <c r="T994" s="3">
        <v>0</v>
      </c>
      <c r="U994" s="3">
        <v>0</v>
      </c>
      <c r="V994" s="3">
        <v>0</v>
      </c>
      <c r="W994" s="3" t="s">
        <v>871</v>
      </c>
      <c r="X994" s="3">
        <v>22.98</v>
      </c>
      <c r="Y994" s="3">
        <v>22.98</v>
      </c>
      <c r="Z994" s="3">
        <v>12.98</v>
      </c>
      <c r="AA994" s="3">
        <v>0</v>
      </c>
      <c r="AB994" s="3" t="s">
        <v>869</v>
      </c>
      <c r="AC994" s="3">
        <v>4</v>
      </c>
      <c r="AD994" s="3">
        <v>22.98</v>
      </c>
      <c r="AE994" s="3">
        <v>0</v>
      </c>
      <c r="AF994" s="3">
        <v>0</v>
      </c>
      <c r="AG994" s="3">
        <v>0</v>
      </c>
      <c r="AH994" s="3">
        <v>0.8</v>
      </c>
      <c r="AI994" s="3">
        <v>0.552408</v>
      </c>
      <c r="AJ994" s="3" t="s">
        <v>870</v>
      </c>
    </row>
    <row r="995" spans="1:36">
      <c r="A995" s="5">
        <v>43336</v>
      </c>
      <c r="B995" s="3" t="s">
        <v>3235</v>
      </c>
      <c r="C995" s="3" t="s">
        <v>3236</v>
      </c>
      <c r="D995" s="3" t="s">
        <v>2184</v>
      </c>
      <c r="E995" s="3" t="s">
        <v>2185</v>
      </c>
      <c r="F995" s="3" t="s">
        <v>867</v>
      </c>
      <c r="G995" s="3">
        <v>6</v>
      </c>
      <c r="H995" s="3">
        <v>0</v>
      </c>
      <c r="I995" s="3">
        <v>6</v>
      </c>
      <c r="J995" s="3">
        <v>0</v>
      </c>
      <c r="K995" s="3">
        <v>0</v>
      </c>
      <c r="L995" s="3">
        <v>0</v>
      </c>
      <c r="M995" s="3">
        <v>0</v>
      </c>
      <c r="N995" s="3" t="s">
        <v>868</v>
      </c>
      <c r="O995" s="3">
        <v>0</v>
      </c>
      <c r="P995" s="3">
        <v>0</v>
      </c>
      <c r="Q995" s="3">
        <v>0</v>
      </c>
      <c r="R995" s="3">
        <v>0</v>
      </c>
      <c r="S995" s="3">
        <v>6</v>
      </c>
      <c r="T995" s="3">
        <v>23</v>
      </c>
      <c r="U995" s="3">
        <v>40</v>
      </c>
      <c r="V995" s="3">
        <v>40</v>
      </c>
      <c r="W995" s="3"/>
      <c r="X995" s="3">
        <v>21.98</v>
      </c>
      <c r="Y995" s="3">
        <v>21.98</v>
      </c>
      <c r="Z995" s="3">
        <v>21.98</v>
      </c>
      <c r="AA995" s="3">
        <v>0</v>
      </c>
      <c r="AB995" s="3" t="s">
        <v>869</v>
      </c>
      <c r="AC995" s="3">
        <v>8</v>
      </c>
      <c r="AD995" s="3">
        <v>21.98</v>
      </c>
      <c r="AE995" s="3">
        <v>0</v>
      </c>
      <c r="AF995" s="3">
        <v>0</v>
      </c>
      <c r="AG995" s="3">
        <v>0</v>
      </c>
      <c r="AH995" s="3">
        <v>2.01550387596899</v>
      </c>
      <c r="AI995" s="3">
        <v>0.898158</v>
      </c>
      <c r="AJ995" s="3" t="s">
        <v>870</v>
      </c>
    </row>
    <row r="996" spans="1:36">
      <c r="A996" s="5">
        <v>43336</v>
      </c>
      <c r="B996" s="3" t="s">
        <v>3237</v>
      </c>
      <c r="C996" s="3" t="s">
        <v>3238</v>
      </c>
      <c r="D996" s="3" t="s">
        <v>3238</v>
      </c>
      <c r="E996" s="3" t="s">
        <v>3239</v>
      </c>
      <c r="F996" s="3" t="s">
        <v>867</v>
      </c>
      <c r="G996" s="3">
        <v>5</v>
      </c>
      <c r="H996" s="3">
        <v>0</v>
      </c>
      <c r="I996" s="3">
        <v>0</v>
      </c>
      <c r="J996" s="3">
        <v>4</v>
      </c>
      <c r="K996" s="3">
        <v>1</v>
      </c>
      <c r="L996" s="3">
        <v>0</v>
      </c>
      <c r="M996" s="3">
        <v>0</v>
      </c>
      <c r="N996" s="3" t="s">
        <v>868</v>
      </c>
      <c r="O996" s="3">
        <v>2</v>
      </c>
      <c r="P996" s="3">
        <v>1.4</v>
      </c>
      <c r="Q996" s="3">
        <v>0</v>
      </c>
      <c r="R996" s="3">
        <v>0</v>
      </c>
      <c r="S996" s="3">
        <v>0</v>
      </c>
      <c r="T996" s="3">
        <v>8</v>
      </c>
      <c r="U996" s="3">
        <v>10</v>
      </c>
      <c r="V996" s="3">
        <v>12</v>
      </c>
      <c r="W996" s="3"/>
      <c r="X996" s="3">
        <v>22.99</v>
      </c>
      <c r="Y996" s="3">
        <v>15.18</v>
      </c>
      <c r="Z996" s="3">
        <v>15.18</v>
      </c>
      <c r="AA996" s="3">
        <v>0</v>
      </c>
      <c r="AB996" s="3" t="s">
        <v>869</v>
      </c>
      <c r="AC996" s="3">
        <v>5</v>
      </c>
      <c r="AD996" s="3">
        <v>15.18</v>
      </c>
      <c r="AE996" s="3">
        <v>0</v>
      </c>
      <c r="AF996" s="3">
        <v>0</v>
      </c>
      <c r="AG996" s="3">
        <v>0</v>
      </c>
      <c r="AH996" s="3">
        <v>0.393442622950819</v>
      </c>
      <c r="AI996" s="3">
        <v>1.01075</v>
      </c>
      <c r="AJ996" s="3" t="s">
        <v>870</v>
      </c>
    </row>
    <row r="997" spans="1:36">
      <c r="A997" s="5">
        <v>43336</v>
      </c>
      <c r="B997" s="3" t="s">
        <v>3240</v>
      </c>
      <c r="C997" s="3" t="s">
        <v>3241</v>
      </c>
      <c r="D997" s="3" t="s">
        <v>3241</v>
      </c>
      <c r="E997" s="3" t="s">
        <v>3242</v>
      </c>
      <c r="F997" s="3" t="s">
        <v>867</v>
      </c>
      <c r="G997" s="3">
        <v>1</v>
      </c>
      <c r="H997" s="3">
        <v>0</v>
      </c>
      <c r="I997" s="3">
        <v>0</v>
      </c>
      <c r="J997" s="3">
        <v>1</v>
      </c>
      <c r="K997" s="3">
        <v>0</v>
      </c>
      <c r="L997" s="3">
        <v>0</v>
      </c>
      <c r="M997" s="3">
        <v>0</v>
      </c>
      <c r="N997" s="3" t="s">
        <v>868</v>
      </c>
      <c r="O997" s="3">
        <v>0</v>
      </c>
      <c r="P997" s="3">
        <v>0</v>
      </c>
      <c r="Q997" s="3">
        <v>0</v>
      </c>
      <c r="R997" s="3">
        <v>0</v>
      </c>
      <c r="S997" s="3">
        <v>0</v>
      </c>
      <c r="T997" s="3">
        <v>0</v>
      </c>
      <c r="U997" s="3">
        <v>0</v>
      </c>
      <c r="V997" s="3">
        <v>1</v>
      </c>
      <c r="W997" s="3" t="s">
        <v>871</v>
      </c>
      <c r="X997" s="3">
        <v>22.98</v>
      </c>
      <c r="Y997" s="3">
        <v>22.98</v>
      </c>
      <c r="Z997" s="3">
        <v>22.98</v>
      </c>
      <c r="AA997" s="3">
        <v>0</v>
      </c>
      <c r="AB997" s="3" t="s">
        <v>883</v>
      </c>
      <c r="AC997" s="3">
        <v>0</v>
      </c>
      <c r="AD997" s="3">
        <v>21.56</v>
      </c>
      <c r="AE997" s="3">
        <v>7</v>
      </c>
      <c r="AF997" s="3">
        <v>0</v>
      </c>
      <c r="AG997" s="3">
        <v>27.23637</v>
      </c>
      <c r="AH997" s="3">
        <v>0.0851063829787234</v>
      </c>
      <c r="AI997" s="3">
        <v>0.117545</v>
      </c>
      <c r="AJ997" s="3" t="s">
        <v>870</v>
      </c>
    </row>
    <row r="998" spans="1:36">
      <c r="A998" s="5">
        <v>43336</v>
      </c>
      <c r="B998" s="3" t="s">
        <v>108</v>
      </c>
      <c r="C998" s="3" t="s">
        <v>109</v>
      </c>
      <c r="D998" s="3" t="s">
        <v>110</v>
      </c>
      <c r="E998" s="3" t="s">
        <v>111</v>
      </c>
      <c r="F998" s="3" t="s">
        <v>867</v>
      </c>
      <c r="G998" s="3">
        <v>24</v>
      </c>
      <c r="H998" s="3">
        <v>0</v>
      </c>
      <c r="I998" s="3">
        <v>24</v>
      </c>
      <c r="J998" s="3">
        <v>0</v>
      </c>
      <c r="K998" s="3">
        <v>0</v>
      </c>
      <c r="L998" s="3">
        <v>0</v>
      </c>
      <c r="M998" s="3">
        <v>0</v>
      </c>
      <c r="N998" s="3" t="s">
        <v>868</v>
      </c>
      <c r="O998" s="3">
        <v>0</v>
      </c>
      <c r="P998" s="3">
        <v>0</v>
      </c>
      <c r="Q998" s="3">
        <v>0</v>
      </c>
      <c r="R998" s="3">
        <v>0</v>
      </c>
      <c r="S998" s="3">
        <v>2</v>
      </c>
      <c r="T998" s="3">
        <v>11</v>
      </c>
      <c r="U998" s="3">
        <v>26</v>
      </c>
      <c r="V998" s="3">
        <v>26</v>
      </c>
      <c r="W998" s="3"/>
      <c r="X998" s="3">
        <v>24.98</v>
      </c>
      <c r="Y998" s="3">
        <v>24.98</v>
      </c>
      <c r="Z998" s="3">
        <v>24.98</v>
      </c>
      <c r="AA998" s="3">
        <v>0</v>
      </c>
      <c r="AB998" s="3" t="s">
        <v>869</v>
      </c>
      <c r="AC998" s="3">
        <v>24</v>
      </c>
      <c r="AD998" s="3">
        <v>24.98</v>
      </c>
      <c r="AE998" s="3">
        <v>0</v>
      </c>
      <c r="AF998" s="3">
        <v>0</v>
      </c>
      <c r="AG998" s="3">
        <v>0</v>
      </c>
      <c r="AH998" s="3">
        <v>3.34883720930232</v>
      </c>
      <c r="AI998" s="3">
        <v>1.466664</v>
      </c>
      <c r="AJ998" s="3" t="s">
        <v>870</v>
      </c>
    </row>
    <row r="999" spans="1:36">
      <c r="A999" s="5">
        <v>43336</v>
      </c>
      <c r="B999" s="3" t="s">
        <v>3243</v>
      </c>
      <c r="C999" s="3" t="s">
        <v>3244</v>
      </c>
      <c r="D999" s="3" t="s">
        <v>3244</v>
      </c>
      <c r="E999" s="3" t="s">
        <v>3245</v>
      </c>
      <c r="F999" s="3" t="s">
        <v>867</v>
      </c>
      <c r="G999" s="3">
        <v>2</v>
      </c>
      <c r="H999" s="3">
        <v>0</v>
      </c>
      <c r="I999" s="3">
        <v>1</v>
      </c>
      <c r="J999" s="3">
        <v>1</v>
      </c>
      <c r="K999" s="3">
        <v>0</v>
      </c>
      <c r="L999" s="3">
        <v>0</v>
      </c>
      <c r="M999" s="3">
        <v>0</v>
      </c>
      <c r="N999" s="3" t="s">
        <v>868</v>
      </c>
      <c r="O999" s="3">
        <v>0</v>
      </c>
      <c r="P999" s="3">
        <v>0</v>
      </c>
      <c r="Q999" s="3">
        <v>0</v>
      </c>
      <c r="R999" s="3">
        <v>0</v>
      </c>
      <c r="S999" s="3">
        <v>5</v>
      </c>
      <c r="T999" s="3">
        <v>11</v>
      </c>
      <c r="U999" s="3">
        <v>19</v>
      </c>
      <c r="V999" s="3">
        <v>26</v>
      </c>
      <c r="W999" s="3"/>
      <c r="X999" s="3">
        <v>23.98</v>
      </c>
      <c r="Y999" s="3">
        <v>23.98</v>
      </c>
      <c r="Z999" s="3">
        <v>23.98</v>
      </c>
      <c r="AA999" s="3">
        <v>0</v>
      </c>
      <c r="AB999" s="3" t="s">
        <v>869</v>
      </c>
      <c r="AC999" s="3">
        <v>5</v>
      </c>
      <c r="AD999" s="3">
        <v>23.98</v>
      </c>
      <c r="AE999" s="3">
        <v>0</v>
      </c>
      <c r="AF999" s="3">
        <v>0</v>
      </c>
      <c r="AG999" s="3">
        <v>0</v>
      </c>
      <c r="AH999" s="3">
        <v>1.70491803278688</v>
      </c>
      <c r="AI999" s="3">
        <v>0.322172</v>
      </c>
      <c r="AJ999" s="3" t="s">
        <v>870</v>
      </c>
    </row>
    <row r="1000" spans="1:36">
      <c r="A1000" s="5">
        <v>43336</v>
      </c>
      <c r="B1000" s="3" t="s">
        <v>3246</v>
      </c>
      <c r="C1000" s="3" t="s">
        <v>3247</v>
      </c>
      <c r="D1000" s="3" t="s">
        <v>3247</v>
      </c>
      <c r="E1000" s="3" t="s">
        <v>3248</v>
      </c>
      <c r="F1000" s="3" t="s">
        <v>867</v>
      </c>
      <c r="G1000" s="3">
        <v>13</v>
      </c>
      <c r="H1000" s="3">
        <v>0</v>
      </c>
      <c r="I1000" s="3">
        <v>2</v>
      </c>
      <c r="J1000" s="3">
        <v>11</v>
      </c>
      <c r="K1000" s="3">
        <v>0</v>
      </c>
      <c r="L1000" s="3">
        <v>0</v>
      </c>
      <c r="M1000" s="3">
        <v>0</v>
      </c>
      <c r="N1000" s="3" t="s">
        <v>868</v>
      </c>
      <c r="O1000" s="3">
        <v>0</v>
      </c>
      <c r="P1000" s="3">
        <v>0</v>
      </c>
      <c r="Q1000" s="3">
        <v>0</v>
      </c>
      <c r="R1000" s="3">
        <v>0</v>
      </c>
      <c r="S1000" s="3">
        <v>0</v>
      </c>
      <c r="T1000" s="3">
        <v>0</v>
      </c>
      <c r="U1000" s="3">
        <v>2</v>
      </c>
      <c r="V1000" s="3">
        <v>5</v>
      </c>
      <c r="W1000" s="3" t="s">
        <v>871</v>
      </c>
      <c r="X1000" s="3">
        <v>22.98</v>
      </c>
      <c r="Y1000" s="3">
        <v>22.98</v>
      </c>
      <c r="Z1000" s="3">
        <v>22.98</v>
      </c>
      <c r="AA1000" s="3">
        <v>0</v>
      </c>
      <c r="AB1000" s="3" t="s">
        <v>883</v>
      </c>
      <c r="AC1000" s="3">
        <v>0</v>
      </c>
      <c r="AD1000" s="3">
        <v>19.39</v>
      </c>
      <c r="AE1000" s="3">
        <v>266</v>
      </c>
      <c r="AF1000" s="3">
        <v>0</v>
      </c>
      <c r="AG1000" s="3">
        <v>339.401738</v>
      </c>
      <c r="AH1000" s="3">
        <v>0.363636363636363</v>
      </c>
      <c r="AI1000" s="3">
        <v>1.795326</v>
      </c>
      <c r="AJ1000" s="3" t="s">
        <v>870</v>
      </c>
    </row>
    <row r="1001" spans="1:36">
      <c r="A1001" s="5">
        <v>43336</v>
      </c>
      <c r="B1001" s="3" t="s">
        <v>3249</v>
      </c>
      <c r="C1001" s="3" t="s">
        <v>3250</v>
      </c>
      <c r="D1001" s="3" t="s">
        <v>3250</v>
      </c>
      <c r="E1001" s="3" t="s">
        <v>3251</v>
      </c>
      <c r="F1001" s="3" t="s">
        <v>867</v>
      </c>
      <c r="G1001" s="3">
        <v>5</v>
      </c>
      <c r="H1001" s="3">
        <v>0</v>
      </c>
      <c r="I1001" s="3">
        <v>0</v>
      </c>
      <c r="J1001" s="3">
        <v>5</v>
      </c>
      <c r="K1001" s="3">
        <v>0</v>
      </c>
      <c r="L1001" s="3">
        <v>0</v>
      </c>
      <c r="M1001" s="3">
        <v>0</v>
      </c>
      <c r="N1001" s="3" t="s">
        <v>868</v>
      </c>
      <c r="O1001" s="3">
        <v>0</v>
      </c>
      <c r="P1001" s="3">
        <v>0</v>
      </c>
      <c r="Q1001" s="3">
        <v>0</v>
      </c>
      <c r="R1001" s="3">
        <v>0</v>
      </c>
      <c r="S1001" s="3">
        <v>0</v>
      </c>
      <c r="T1001" s="3">
        <v>4</v>
      </c>
      <c r="U1001" s="3">
        <v>4</v>
      </c>
      <c r="V1001" s="3">
        <v>6</v>
      </c>
      <c r="W1001" s="3"/>
      <c r="X1001" s="3">
        <v>23.98</v>
      </c>
      <c r="Y1001" s="3">
        <v>23.98</v>
      </c>
      <c r="Z1001" s="3">
        <v>23.98</v>
      </c>
      <c r="AA1001" s="3">
        <v>0</v>
      </c>
      <c r="AB1001" s="3" t="s">
        <v>869</v>
      </c>
      <c r="AC1001" s="3">
        <v>5</v>
      </c>
      <c r="AD1001" s="3">
        <v>23.98</v>
      </c>
      <c r="AE1001" s="3">
        <v>0</v>
      </c>
      <c r="AF1001" s="3">
        <v>0</v>
      </c>
      <c r="AG1001" s="3">
        <v>0</v>
      </c>
      <c r="AH1001" s="3">
        <v>0.705882352941176</v>
      </c>
      <c r="AI1001" s="3">
        <v>0.499445</v>
      </c>
      <c r="AJ1001" s="3" t="s">
        <v>870</v>
      </c>
    </row>
    <row r="1002" spans="1:36">
      <c r="A1002" s="5">
        <v>43336</v>
      </c>
      <c r="B1002" s="3" t="s">
        <v>3252</v>
      </c>
      <c r="C1002" s="3" t="s">
        <v>3253</v>
      </c>
      <c r="D1002" s="3" t="s">
        <v>3254</v>
      </c>
      <c r="E1002" s="3" t="s">
        <v>3255</v>
      </c>
      <c r="F1002" s="3" t="s">
        <v>867</v>
      </c>
      <c r="G1002" s="3">
        <v>6</v>
      </c>
      <c r="H1002" s="3">
        <v>0</v>
      </c>
      <c r="I1002" s="3">
        <v>6</v>
      </c>
      <c r="J1002" s="3">
        <v>0</v>
      </c>
      <c r="K1002" s="3">
        <v>0</v>
      </c>
      <c r="L1002" s="3">
        <v>0</v>
      </c>
      <c r="M1002" s="3">
        <v>0</v>
      </c>
      <c r="N1002" s="3" t="s">
        <v>868</v>
      </c>
      <c r="O1002" s="3">
        <v>0</v>
      </c>
      <c r="P1002" s="3">
        <v>0</v>
      </c>
      <c r="Q1002" s="3">
        <v>0</v>
      </c>
      <c r="R1002" s="3">
        <v>0</v>
      </c>
      <c r="S1002" s="3">
        <v>0</v>
      </c>
      <c r="T1002" s="3">
        <v>0</v>
      </c>
      <c r="U1002" s="3">
        <v>0</v>
      </c>
      <c r="V1002" s="3">
        <v>0</v>
      </c>
      <c r="W1002" s="3" t="s">
        <v>871</v>
      </c>
      <c r="X1002" s="3">
        <v>19.99</v>
      </c>
      <c r="Y1002" s="3">
        <v>19.99</v>
      </c>
      <c r="Z1002" s="3">
        <v>19.99</v>
      </c>
      <c r="AA1002" s="3">
        <v>0</v>
      </c>
      <c r="AB1002" s="3" t="s">
        <v>869</v>
      </c>
      <c r="AC1002" s="3">
        <v>0</v>
      </c>
      <c r="AD1002" s="3">
        <v>19.99</v>
      </c>
      <c r="AE1002" s="3">
        <v>63</v>
      </c>
      <c r="AF1002" s="3">
        <v>0</v>
      </c>
      <c r="AG1002" s="3">
        <v>149.730621</v>
      </c>
      <c r="AH1002" s="3">
        <v>0</v>
      </c>
      <c r="AI1002" s="3">
        <v>1.30578</v>
      </c>
      <c r="AJ1002" s="3" t="s">
        <v>925</v>
      </c>
    </row>
    <row r="1003" spans="1:36">
      <c r="A1003" s="5">
        <v>43336</v>
      </c>
      <c r="B1003" s="3" t="s">
        <v>3256</v>
      </c>
      <c r="C1003" s="3" t="s">
        <v>3257</v>
      </c>
      <c r="D1003" s="3" t="s">
        <v>3257</v>
      </c>
      <c r="E1003" s="3" t="s">
        <v>3258</v>
      </c>
      <c r="F1003" s="3" t="s">
        <v>867</v>
      </c>
      <c r="G1003" s="3">
        <v>2</v>
      </c>
      <c r="H1003" s="3">
        <v>0</v>
      </c>
      <c r="I1003" s="3">
        <v>2</v>
      </c>
      <c r="J1003" s="3">
        <v>0</v>
      </c>
      <c r="K1003" s="3">
        <v>0</v>
      </c>
      <c r="L1003" s="3">
        <v>0</v>
      </c>
      <c r="M1003" s="3">
        <v>0</v>
      </c>
      <c r="N1003" s="3" t="s">
        <v>868</v>
      </c>
      <c r="O1003" s="3">
        <v>0</v>
      </c>
      <c r="P1003" s="3">
        <v>0</v>
      </c>
      <c r="Q1003" s="3">
        <v>0</v>
      </c>
      <c r="R1003" s="3">
        <v>0</v>
      </c>
      <c r="S1003" s="3">
        <v>0</v>
      </c>
      <c r="T1003" s="3">
        <v>0</v>
      </c>
      <c r="U1003" s="3">
        <v>14</v>
      </c>
      <c r="V1003" s="3">
        <v>26</v>
      </c>
      <c r="W1003" s="3"/>
      <c r="X1003" s="3"/>
      <c r="Y1003" s="3"/>
      <c r="Z1003" s="3">
        <v>-1</v>
      </c>
      <c r="AA1003" s="3">
        <v>-1</v>
      </c>
      <c r="AB1003" s="3" t="s">
        <v>891</v>
      </c>
      <c r="AC1003" s="3">
        <v>0</v>
      </c>
      <c r="AD1003" s="3">
        <v>0</v>
      </c>
      <c r="AE1003" s="3">
        <v>0</v>
      </c>
      <c r="AF1003" s="3">
        <v>0</v>
      </c>
      <c r="AG1003" s="3">
        <v>0</v>
      </c>
      <c r="AH1003" s="3">
        <v>2.53658536585365</v>
      </c>
      <c r="AI1003" s="3">
        <v>0.091058</v>
      </c>
      <c r="AJ1003" s="3" t="s">
        <v>870</v>
      </c>
    </row>
    <row r="1004" spans="1:36">
      <c r="A1004" s="5">
        <v>43336</v>
      </c>
      <c r="B1004" s="3" t="s">
        <v>3259</v>
      </c>
      <c r="C1004" s="3" t="s">
        <v>1368</v>
      </c>
      <c r="D1004" s="3" t="s">
        <v>1368</v>
      </c>
      <c r="E1004" s="3" t="s">
        <v>1369</v>
      </c>
      <c r="F1004" s="3" t="s">
        <v>867</v>
      </c>
      <c r="G1004" s="3">
        <v>12</v>
      </c>
      <c r="H1004" s="3">
        <v>0</v>
      </c>
      <c r="I1004" s="3">
        <v>5</v>
      </c>
      <c r="J1004" s="3">
        <v>7</v>
      </c>
      <c r="K1004" s="3">
        <v>0</v>
      </c>
      <c r="L1004" s="3">
        <v>0</v>
      </c>
      <c r="M1004" s="3">
        <v>0</v>
      </c>
      <c r="N1004" s="3" t="s">
        <v>868</v>
      </c>
      <c r="O1004" s="3">
        <v>0</v>
      </c>
      <c r="P1004" s="3">
        <v>0</v>
      </c>
      <c r="Q1004" s="3">
        <v>0</v>
      </c>
      <c r="R1004" s="3">
        <v>0</v>
      </c>
      <c r="S1004" s="3">
        <v>1</v>
      </c>
      <c r="T1004" s="3">
        <v>4</v>
      </c>
      <c r="U1004" s="3">
        <v>16</v>
      </c>
      <c r="V1004" s="3">
        <v>27</v>
      </c>
      <c r="W1004" s="3"/>
      <c r="X1004" s="3">
        <v>27.98</v>
      </c>
      <c r="Y1004" s="3">
        <v>27.98</v>
      </c>
      <c r="Z1004" s="3">
        <v>27.98</v>
      </c>
      <c r="AA1004" s="3">
        <v>0</v>
      </c>
      <c r="AB1004" s="3" t="s">
        <v>869</v>
      </c>
      <c r="AC1004" s="3">
        <v>13</v>
      </c>
      <c r="AD1004" s="3">
        <v>27.98</v>
      </c>
      <c r="AE1004" s="3">
        <v>0</v>
      </c>
      <c r="AF1004" s="3">
        <v>0</v>
      </c>
      <c r="AG1004" s="3">
        <v>0</v>
      </c>
      <c r="AH1004" s="3">
        <v>1.28735632183908</v>
      </c>
      <c r="AI1004" s="3">
        <v>1.112136</v>
      </c>
      <c r="AJ1004" s="3" t="s">
        <v>870</v>
      </c>
    </row>
    <row r="1005" spans="1:36">
      <c r="A1005" s="5">
        <v>43336</v>
      </c>
      <c r="B1005" s="3" t="s">
        <v>3260</v>
      </c>
      <c r="C1005" s="3" t="s">
        <v>3261</v>
      </c>
      <c r="D1005" s="3" t="s">
        <v>3261</v>
      </c>
      <c r="E1005" s="3" t="s">
        <v>3262</v>
      </c>
      <c r="F1005" s="3" t="s">
        <v>867</v>
      </c>
      <c r="G1005" s="3">
        <v>3</v>
      </c>
      <c r="H1005" s="3">
        <v>0</v>
      </c>
      <c r="I1005" s="3">
        <v>3</v>
      </c>
      <c r="J1005" s="3">
        <v>0</v>
      </c>
      <c r="K1005" s="3">
        <v>0</v>
      </c>
      <c r="L1005" s="3">
        <v>0</v>
      </c>
      <c r="M1005" s="3">
        <v>0</v>
      </c>
      <c r="N1005" s="3" t="s">
        <v>868</v>
      </c>
      <c r="O1005" s="3">
        <v>0</v>
      </c>
      <c r="P1005" s="3">
        <v>0</v>
      </c>
      <c r="Q1005" s="3">
        <v>0</v>
      </c>
      <c r="R1005" s="3">
        <v>0</v>
      </c>
      <c r="S1005" s="3">
        <v>0</v>
      </c>
      <c r="T1005" s="3">
        <v>2</v>
      </c>
      <c r="U1005" s="3">
        <v>24</v>
      </c>
      <c r="V1005" s="3">
        <v>57</v>
      </c>
      <c r="W1005" s="3"/>
      <c r="X1005" s="3"/>
      <c r="Y1005" s="3"/>
      <c r="Z1005" s="3">
        <v>-1</v>
      </c>
      <c r="AA1005" s="3">
        <v>-1</v>
      </c>
      <c r="AB1005" s="3" t="s">
        <v>891</v>
      </c>
      <c r="AC1005" s="3">
        <v>0</v>
      </c>
      <c r="AD1005" s="3">
        <v>0</v>
      </c>
      <c r="AE1005" s="3">
        <v>0</v>
      </c>
      <c r="AF1005" s="3">
        <v>0</v>
      </c>
      <c r="AG1005" s="3">
        <v>0</v>
      </c>
      <c r="AH1005" s="3">
        <v>5.18181818181818</v>
      </c>
      <c r="AI1005" s="3">
        <v>0.200175</v>
      </c>
      <c r="AJ1005" s="3" t="s">
        <v>898</v>
      </c>
    </row>
    <row r="1006" spans="1:36">
      <c r="A1006" s="5">
        <v>43336</v>
      </c>
      <c r="B1006" s="3" t="s">
        <v>807</v>
      </c>
      <c r="C1006" s="3" t="s">
        <v>808</v>
      </c>
      <c r="D1006" s="3" t="s">
        <v>809</v>
      </c>
      <c r="E1006" s="3" t="s">
        <v>810</v>
      </c>
      <c r="F1006" s="3" t="s">
        <v>867</v>
      </c>
      <c r="G1006" s="3">
        <v>10</v>
      </c>
      <c r="H1006" s="3">
        <v>0</v>
      </c>
      <c r="I1006" s="3">
        <v>10</v>
      </c>
      <c r="J1006" s="3">
        <v>0</v>
      </c>
      <c r="K1006" s="3">
        <v>0</v>
      </c>
      <c r="L1006" s="3">
        <v>0</v>
      </c>
      <c r="M1006" s="3">
        <v>0</v>
      </c>
      <c r="N1006" s="3" t="s">
        <v>868</v>
      </c>
      <c r="O1006" s="3">
        <v>0</v>
      </c>
      <c r="P1006" s="3">
        <v>0</v>
      </c>
      <c r="Q1006" s="3">
        <v>0</v>
      </c>
      <c r="R1006" s="3">
        <v>0</v>
      </c>
      <c r="S1006" s="3">
        <v>0</v>
      </c>
      <c r="T1006" s="3">
        <v>6</v>
      </c>
      <c r="U1006" s="3">
        <v>10</v>
      </c>
      <c r="V1006" s="3">
        <v>10</v>
      </c>
      <c r="W1006" s="3"/>
      <c r="X1006" s="3">
        <v>22.98</v>
      </c>
      <c r="Y1006" s="3">
        <v>22.98</v>
      </c>
      <c r="Z1006" s="3">
        <v>22.98</v>
      </c>
      <c r="AA1006" s="3">
        <v>0</v>
      </c>
      <c r="AB1006" s="3" t="s">
        <v>869</v>
      </c>
      <c r="AC1006" s="3">
        <v>0</v>
      </c>
      <c r="AD1006" s="3">
        <v>0</v>
      </c>
      <c r="AE1006" s="3">
        <v>0</v>
      </c>
      <c r="AF1006" s="3">
        <v>0</v>
      </c>
      <c r="AG1006" s="3">
        <v>0</v>
      </c>
      <c r="AH1006" s="3">
        <v>2.22222222222222</v>
      </c>
      <c r="AI1006" s="3">
        <v>0.40249</v>
      </c>
      <c r="AJ1006" s="3" t="s">
        <v>870</v>
      </c>
    </row>
    <row r="1007" spans="1:36">
      <c r="A1007" s="5">
        <v>43336</v>
      </c>
      <c r="B1007" s="3" t="s">
        <v>313</v>
      </c>
      <c r="C1007" s="3" t="s">
        <v>314</v>
      </c>
      <c r="D1007" s="3" t="s">
        <v>315</v>
      </c>
      <c r="E1007" s="3" t="s">
        <v>316</v>
      </c>
      <c r="F1007" s="3" t="s">
        <v>867</v>
      </c>
      <c r="G1007" s="3">
        <v>15</v>
      </c>
      <c r="H1007" s="3">
        <v>0</v>
      </c>
      <c r="I1007" s="3">
        <v>15</v>
      </c>
      <c r="J1007" s="3">
        <v>0</v>
      </c>
      <c r="K1007" s="3">
        <v>0</v>
      </c>
      <c r="L1007" s="3">
        <v>0</v>
      </c>
      <c r="M1007" s="3">
        <v>0</v>
      </c>
      <c r="N1007" s="3" t="s">
        <v>868</v>
      </c>
      <c r="O1007" s="3">
        <v>0</v>
      </c>
      <c r="P1007" s="3">
        <v>0</v>
      </c>
      <c r="Q1007" s="3">
        <v>0</v>
      </c>
      <c r="R1007" s="3">
        <v>0</v>
      </c>
      <c r="S1007" s="3">
        <v>5</v>
      </c>
      <c r="T1007" s="3">
        <v>9</v>
      </c>
      <c r="U1007" s="3">
        <v>9</v>
      </c>
      <c r="V1007" s="3">
        <v>9</v>
      </c>
      <c r="W1007" s="3"/>
      <c r="X1007" s="3">
        <v>21.98</v>
      </c>
      <c r="Y1007" s="3">
        <v>21.98</v>
      </c>
      <c r="Z1007" s="3">
        <v>21.98</v>
      </c>
      <c r="AA1007" s="3">
        <v>0</v>
      </c>
      <c r="AB1007" s="3" t="s">
        <v>869</v>
      </c>
      <c r="AC1007" s="3">
        <v>16</v>
      </c>
      <c r="AD1007" s="3">
        <v>21.98</v>
      </c>
      <c r="AE1007" s="3">
        <v>0</v>
      </c>
      <c r="AF1007" s="3">
        <v>0</v>
      </c>
      <c r="AG1007" s="3">
        <v>0</v>
      </c>
      <c r="AH1007" s="3">
        <v>2.19512195121951</v>
      </c>
      <c r="AI1007" s="3">
        <v>0.682935</v>
      </c>
      <c r="AJ1007" s="3" t="s">
        <v>870</v>
      </c>
    </row>
    <row r="1008" spans="1:36">
      <c r="A1008" s="5">
        <v>43336</v>
      </c>
      <c r="B1008" s="3" t="s">
        <v>3263</v>
      </c>
      <c r="C1008" s="3" t="s">
        <v>3264</v>
      </c>
      <c r="D1008" s="3" t="s">
        <v>3264</v>
      </c>
      <c r="E1008" s="3" t="s">
        <v>3265</v>
      </c>
      <c r="F1008" s="3" t="s">
        <v>867</v>
      </c>
      <c r="G1008" s="3">
        <v>10</v>
      </c>
      <c r="H1008" s="3">
        <v>0</v>
      </c>
      <c r="I1008" s="3">
        <v>0</v>
      </c>
      <c r="J1008" s="3">
        <v>10</v>
      </c>
      <c r="K1008" s="3">
        <v>0</v>
      </c>
      <c r="L1008" s="3">
        <v>0</v>
      </c>
      <c r="M1008" s="3">
        <v>0</v>
      </c>
      <c r="N1008" s="3" t="s">
        <v>868</v>
      </c>
      <c r="O1008" s="3">
        <v>0</v>
      </c>
      <c r="P1008" s="3">
        <v>0</v>
      </c>
      <c r="Q1008" s="3">
        <v>0</v>
      </c>
      <c r="R1008" s="3">
        <v>0</v>
      </c>
      <c r="S1008" s="3">
        <v>0</v>
      </c>
      <c r="T1008" s="3">
        <v>0</v>
      </c>
      <c r="U1008" s="3">
        <v>1</v>
      </c>
      <c r="V1008" s="3">
        <v>1</v>
      </c>
      <c r="W1008" s="3" t="s">
        <v>871</v>
      </c>
      <c r="X1008" s="3">
        <v>22.99</v>
      </c>
      <c r="Y1008" s="3">
        <v>22.99</v>
      </c>
      <c r="Z1008" s="3">
        <v>22.99</v>
      </c>
      <c r="AA1008" s="3">
        <v>0</v>
      </c>
      <c r="AB1008" s="3" t="s">
        <v>883</v>
      </c>
      <c r="AC1008" s="3">
        <v>0</v>
      </c>
      <c r="AD1008" s="3">
        <v>20.39</v>
      </c>
      <c r="AE1008" s="3">
        <v>168</v>
      </c>
      <c r="AF1008" s="3">
        <v>0</v>
      </c>
      <c r="AG1008" s="3">
        <v>283.031334</v>
      </c>
      <c r="AH1008" s="3">
        <v>0.0952380952380952</v>
      </c>
      <c r="AI1008" s="3">
        <v>1.45901</v>
      </c>
      <c r="AJ1008" s="3" t="s">
        <v>870</v>
      </c>
    </row>
    <row r="1009" spans="1:36">
      <c r="A1009" s="5">
        <v>43336</v>
      </c>
      <c r="B1009" s="3" t="s">
        <v>3266</v>
      </c>
      <c r="C1009" s="3" t="s">
        <v>3267</v>
      </c>
      <c r="D1009" s="3" t="s">
        <v>3267</v>
      </c>
      <c r="E1009" s="3" t="s">
        <v>3268</v>
      </c>
      <c r="F1009" s="3" t="s">
        <v>867</v>
      </c>
      <c r="G1009" s="3">
        <v>7</v>
      </c>
      <c r="H1009" s="3">
        <v>0</v>
      </c>
      <c r="I1009" s="3">
        <v>0</v>
      </c>
      <c r="J1009" s="3">
        <v>7</v>
      </c>
      <c r="K1009" s="3">
        <v>0</v>
      </c>
      <c r="L1009" s="3">
        <v>0</v>
      </c>
      <c r="M1009" s="3">
        <v>0</v>
      </c>
      <c r="N1009" s="3" t="s">
        <v>868</v>
      </c>
      <c r="O1009" s="3">
        <v>0</v>
      </c>
      <c r="P1009" s="3">
        <v>0</v>
      </c>
      <c r="Q1009" s="3">
        <v>0</v>
      </c>
      <c r="R1009" s="3">
        <v>0</v>
      </c>
      <c r="S1009" s="3">
        <v>5</v>
      </c>
      <c r="T1009" s="3">
        <v>6</v>
      </c>
      <c r="U1009" s="3">
        <v>6</v>
      </c>
      <c r="V1009" s="3">
        <v>8</v>
      </c>
      <c r="W1009" s="3"/>
      <c r="X1009" s="3">
        <v>22.99</v>
      </c>
      <c r="Y1009" s="3">
        <v>22.99</v>
      </c>
      <c r="Z1009" s="3">
        <v>22.99</v>
      </c>
      <c r="AA1009" s="3">
        <v>0</v>
      </c>
      <c r="AB1009" s="3" t="s">
        <v>869</v>
      </c>
      <c r="AC1009" s="3">
        <v>8</v>
      </c>
      <c r="AD1009" s="3">
        <v>22.98</v>
      </c>
      <c r="AE1009" s="3">
        <v>0</v>
      </c>
      <c r="AF1009" s="3">
        <v>0</v>
      </c>
      <c r="AG1009" s="3">
        <v>0</v>
      </c>
      <c r="AH1009" s="3">
        <v>0.680851063829787</v>
      </c>
      <c r="AI1009" s="3">
        <v>1.021307</v>
      </c>
      <c r="AJ1009" s="3" t="s">
        <v>870</v>
      </c>
    </row>
    <row r="1010" spans="1:36">
      <c r="A1010" s="5">
        <v>43336</v>
      </c>
      <c r="B1010" s="3" t="s">
        <v>3269</v>
      </c>
      <c r="C1010" s="3" t="s">
        <v>3270</v>
      </c>
      <c r="D1010" s="3" t="s">
        <v>3270</v>
      </c>
      <c r="E1010" s="3" t="s">
        <v>3271</v>
      </c>
      <c r="F1010" s="3" t="s">
        <v>867</v>
      </c>
      <c r="G1010" s="3">
        <v>3</v>
      </c>
      <c r="H1010" s="3">
        <v>0</v>
      </c>
      <c r="I1010" s="3">
        <v>0</v>
      </c>
      <c r="J1010" s="3">
        <v>2</v>
      </c>
      <c r="K1010" s="3">
        <v>1</v>
      </c>
      <c r="L1010" s="3">
        <v>0</v>
      </c>
      <c r="M1010" s="3">
        <v>0</v>
      </c>
      <c r="N1010" s="3" t="s">
        <v>868</v>
      </c>
      <c r="O1010" s="3">
        <v>1</v>
      </c>
      <c r="P1010" s="3">
        <v>0.4</v>
      </c>
      <c r="Q1010" s="3">
        <v>0</v>
      </c>
      <c r="R1010" s="3">
        <v>0</v>
      </c>
      <c r="S1010" s="3">
        <v>0</v>
      </c>
      <c r="T1010" s="3">
        <v>0</v>
      </c>
      <c r="U1010" s="3">
        <v>0</v>
      </c>
      <c r="V1010" s="3">
        <v>0</v>
      </c>
      <c r="W1010" s="3" t="s">
        <v>871</v>
      </c>
      <c r="X1010" s="3">
        <v>25.98</v>
      </c>
      <c r="Y1010" s="3">
        <v>25.98</v>
      </c>
      <c r="Z1010" s="3">
        <v>25.98</v>
      </c>
      <c r="AA1010" s="3">
        <v>0</v>
      </c>
      <c r="AB1010" s="3" t="s">
        <v>883</v>
      </c>
      <c r="AC1010" s="3">
        <v>0</v>
      </c>
      <c r="AD1010" s="3">
        <v>24.14</v>
      </c>
      <c r="AE1010" s="3">
        <v>112</v>
      </c>
      <c r="AF1010" s="3">
        <v>0</v>
      </c>
      <c r="AG1010" s="3">
        <v>78.622695</v>
      </c>
      <c r="AH1010" s="3">
        <v>0</v>
      </c>
      <c r="AI1010" s="3">
        <v>0.345843</v>
      </c>
      <c r="AJ1010" s="3" t="s">
        <v>870</v>
      </c>
    </row>
    <row r="1011" spans="1:36">
      <c r="A1011" s="5">
        <v>43336</v>
      </c>
      <c r="B1011" s="3" t="s">
        <v>3272</v>
      </c>
      <c r="C1011" s="3" t="s">
        <v>3273</v>
      </c>
      <c r="D1011" s="3" t="s">
        <v>3273</v>
      </c>
      <c r="E1011" s="3" t="s">
        <v>3274</v>
      </c>
      <c r="F1011" s="3" t="s">
        <v>867</v>
      </c>
      <c r="G1011" s="3">
        <v>12</v>
      </c>
      <c r="H1011" s="3">
        <v>0</v>
      </c>
      <c r="I1011" s="3">
        <v>12</v>
      </c>
      <c r="J1011" s="3">
        <v>0</v>
      </c>
      <c r="K1011" s="3">
        <v>0</v>
      </c>
      <c r="L1011" s="3">
        <v>0</v>
      </c>
      <c r="M1011" s="3">
        <v>0</v>
      </c>
      <c r="N1011" s="3" t="s">
        <v>868</v>
      </c>
      <c r="O1011" s="3">
        <v>0</v>
      </c>
      <c r="P1011" s="3">
        <v>0</v>
      </c>
      <c r="Q1011" s="3">
        <v>0</v>
      </c>
      <c r="R1011" s="3">
        <v>0</v>
      </c>
      <c r="S1011" s="3">
        <v>1</v>
      </c>
      <c r="T1011" s="3">
        <v>4</v>
      </c>
      <c r="U1011" s="3">
        <v>15</v>
      </c>
      <c r="V1011" s="3">
        <v>29</v>
      </c>
      <c r="W1011" s="3"/>
      <c r="X1011" s="3">
        <v>21.98</v>
      </c>
      <c r="Y1011" s="3">
        <v>21.98</v>
      </c>
      <c r="Z1011" s="3">
        <v>21.98</v>
      </c>
      <c r="AA1011" s="3">
        <v>0</v>
      </c>
      <c r="AB1011" s="3" t="s">
        <v>869</v>
      </c>
      <c r="AC1011" s="3">
        <v>12</v>
      </c>
      <c r="AD1011" s="3">
        <v>21.98</v>
      </c>
      <c r="AE1011" s="3">
        <v>0</v>
      </c>
      <c r="AF1011" s="3">
        <v>0</v>
      </c>
      <c r="AG1011" s="3">
        <v>0</v>
      </c>
      <c r="AH1011" s="3">
        <v>1.5064935064935</v>
      </c>
      <c r="AI1011" s="3">
        <v>1.796316</v>
      </c>
      <c r="AJ1011" s="3" t="s">
        <v>870</v>
      </c>
    </row>
    <row r="1012" spans="1:36">
      <c r="A1012" s="5">
        <v>43336</v>
      </c>
      <c r="B1012" s="3" t="s">
        <v>3275</v>
      </c>
      <c r="C1012" s="3" t="s">
        <v>3276</v>
      </c>
      <c r="D1012" s="3" t="s">
        <v>3276</v>
      </c>
      <c r="E1012" s="3" t="s">
        <v>3277</v>
      </c>
      <c r="F1012" s="3" t="s">
        <v>867</v>
      </c>
      <c r="G1012" s="3">
        <v>5</v>
      </c>
      <c r="H1012" s="3">
        <v>0</v>
      </c>
      <c r="I1012" s="3">
        <v>0</v>
      </c>
      <c r="J1012" s="3">
        <v>0</v>
      </c>
      <c r="K1012" s="3">
        <v>5</v>
      </c>
      <c r="L1012" s="3">
        <v>0</v>
      </c>
      <c r="M1012" s="3">
        <v>0</v>
      </c>
      <c r="N1012" s="3" t="s">
        <v>868</v>
      </c>
      <c r="O1012" s="3">
        <v>5</v>
      </c>
      <c r="P1012" s="3">
        <v>1.52</v>
      </c>
      <c r="Q1012" s="3">
        <v>0</v>
      </c>
      <c r="R1012" s="3">
        <v>0</v>
      </c>
      <c r="S1012" s="3">
        <v>0</v>
      </c>
      <c r="T1012" s="3">
        <v>2</v>
      </c>
      <c r="U1012" s="3">
        <v>2</v>
      </c>
      <c r="V1012" s="3">
        <v>2</v>
      </c>
      <c r="W1012" s="3"/>
      <c r="X1012" s="3">
        <v>23.98</v>
      </c>
      <c r="Y1012" s="3">
        <v>23.98</v>
      </c>
      <c r="Z1012" s="3">
        <v>23.98</v>
      </c>
      <c r="AA1012" s="3">
        <v>0</v>
      </c>
      <c r="AB1012" s="3" t="s">
        <v>869</v>
      </c>
      <c r="AC1012" s="3">
        <v>6</v>
      </c>
      <c r="AD1012" s="3">
        <v>23.98</v>
      </c>
      <c r="AE1012" s="3">
        <v>0</v>
      </c>
      <c r="AF1012" s="3">
        <v>0</v>
      </c>
      <c r="AG1012" s="3">
        <v>0</v>
      </c>
      <c r="AH1012" s="3">
        <v>0.266666666666666</v>
      </c>
      <c r="AI1012" s="3">
        <v>0.441165</v>
      </c>
      <c r="AJ1012" s="3" t="s">
        <v>870</v>
      </c>
    </row>
    <row r="1013" spans="1:36">
      <c r="A1013" s="6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4"/>
      <c r="AG1013" s="4"/>
      <c r="AH1013" s="4"/>
      <c r="AI1013" s="4"/>
      <c r="AJ1013" s="4"/>
    </row>
    <row r="1014" spans="1:36">
      <c r="A1014" s="6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4"/>
      <c r="AG1014" s="4"/>
      <c r="AH1014" s="4"/>
      <c r="AI1014" s="4"/>
      <c r="AJ1014" s="4"/>
    </row>
    <row r="1015" spans="1:36">
      <c r="A1015" s="6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4"/>
      <c r="AG1015" s="4"/>
      <c r="AH1015" s="4"/>
      <c r="AI1015" s="4"/>
      <c r="AJ1015" s="4"/>
    </row>
    <row r="1016" spans="1:36">
      <c r="A1016" s="6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4"/>
      <c r="AG1016" s="4"/>
      <c r="AH1016" s="4"/>
      <c r="AI1016" s="4"/>
      <c r="AJ1016" s="4"/>
    </row>
    <row r="1017" spans="1:36">
      <c r="A1017" s="6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4"/>
      <c r="AG1017" s="4"/>
      <c r="AH1017" s="4"/>
      <c r="AI1017" s="4"/>
      <c r="AJ1017" s="4"/>
    </row>
    <row r="1018" spans="1:36">
      <c r="A1018" s="6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4"/>
      <c r="AG1018" s="4"/>
      <c r="AH1018" s="4"/>
      <c r="AI1018" s="4"/>
      <c r="AJ1018" s="4"/>
    </row>
    <row r="1019" spans="1:36">
      <c r="A1019" s="6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</row>
    <row r="1020" spans="1:36">
      <c r="A1020" s="6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4"/>
      <c r="AG1020" s="4"/>
      <c r="AH1020" s="4"/>
      <c r="AI1020" s="4"/>
      <c r="AJ1020" s="4"/>
    </row>
    <row r="1021" spans="1:36">
      <c r="A1021" s="6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4"/>
      <c r="AG1021" s="4"/>
      <c r="AH1021" s="4"/>
      <c r="AI1021" s="4"/>
      <c r="AJ1021" s="4"/>
    </row>
    <row r="1022" spans="1:36">
      <c r="A1022" s="6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4"/>
      <c r="AG1022" s="4"/>
      <c r="AH1022" s="4"/>
      <c r="AI1022" s="4"/>
      <c r="AJ1022" s="4"/>
    </row>
    <row r="1023" spans="1:36">
      <c r="A1023" s="6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4"/>
      <c r="AG1023" s="4"/>
      <c r="AH1023" s="4"/>
      <c r="AI1023" s="4"/>
      <c r="AJ1023" s="4"/>
    </row>
    <row r="1024" spans="1:36">
      <c r="A1024" s="6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4"/>
      <c r="AG1024" s="4"/>
      <c r="AH1024" s="4"/>
      <c r="AI1024" s="4"/>
      <c r="AJ1024" s="4"/>
    </row>
    <row r="1025" spans="1:36">
      <c r="A1025" s="6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4"/>
      <c r="AG1025" s="4"/>
      <c r="AH1025" s="4"/>
      <c r="AI1025" s="4"/>
      <c r="AJ1025" s="4"/>
    </row>
    <row r="1026" spans="1:36">
      <c r="A1026" s="6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4"/>
      <c r="AG1026" s="4"/>
      <c r="AH1026" s="4"/>
      <c r="AI1026" s="4"/>
      <c r="AJ1026" s="4"/>
    </row>
    <row r="1027" spans="1:36">
      <c r="A1027" s="6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4"/>
      <c r="AG1027" s="4"/>
      <c r="AH1027" s="4"/>
      <c r="AI1027" s="4"/>
      <c r="AJ1027" s="4"/>
    </row>
    <row r="1028" spans="1:36">
      <c r="A1028" s="6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4"/>
      <c r="AG1028" s="4"/>
      <c r="AH1028" s="4"/>
      <c r="AI1028" s="4"/>
      <c r="AJ1028" s="4"/>
    </row>
    <row r="1029" spans="1:36">
      <c r="A1029" s="6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4"/>
      <c r="AG1029" s="4"/>
      <c r="AH1029" s="4"/>
      <c r="AI1029" s="4"/>
      <c r="AJ1029" s="4"/>
    </row>
    <row r="1030" spans="1:36">
      <c r="A1030" s="6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4"/>
      <c r="AG1030" s="4"/>
      <c r="AH1030" s="4"/>
      <c r="AI1030" s="4"/>
      <c r="AJ1030" s="4"/>
    </row>
    <row r="1031" spans="1:36">
      <c r="A1031" s="6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4"/>
      <c r="AG1031" s="4"/>
      <c r="AH1031" s="4"/>
      <c r="AI1031" s="4"/>
      <c r="AJ1031" s="4"/>
    </row>
    <row r="1032" spans="1:36">
      <c r="A1032" s="6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4"/>
      <c r="AG1032" s="4"/>
      <c r="AH1032" s="4"/>
      <c r="AI1032" s="4"/>
      <c r="AJ1032" s="4"/>
    </row>
    <row r="1033" spans="1:36">
      <c r="A1033" s="6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4"/>
      <c r="AG1033" s="4"/>
      <c r="AH1033" s="4"/>
      <c r="AI1033" s="4"/>
      <c r="AJ1033" s="4"/>
    </row>
    <row r="1034" spans="1:36">
      <c r="A1034" s="6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4"/>
      <c r="AG1034" s="4"/>
      <c r="AH1034" s="4"/>
      <c r="AI1034" s="4"/>
      <c r="AJ1034" s="4"/>
    </row>
    <row r="1035" spans="1:36">
      <c r="A1035" s="6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4"/>
      <c r="AG1035" s="4"/>
      <c r="AH1035" s="4"/>
      <c r="AI1035" s="4"/>
      <c r="AJ1035" s="4"/>
    </row>
    <row r="1036" spans="1:36">
      <c r="A1036" s="6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4"/>
      <c r="AG1036" s="4"/>
      <c r="AH1036" s="4"/>
      <c r="AI1036" s="4"/>
      <c r="AJ1036" s="4"/>
    </row>
    <row r="1037" spans="1:36">
      <c r="A1037" s="6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4"/>
      <c r="AG1037" s="4"/>
      <c r="AH1037" s="4"/>
      <c r="AI1037" s="4"/>
      <c r="AJ1037" s="4"/>
    </row>
    <row r="1038" spans="1:36">
      <c r="A1038" s="6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4"/>
      <c r="AG1038" s="4"/>
      <c r="AH1038" s="4"/>
      <c r="AI1038" s="4"/>
      <c r="AJ1038" s="4"/>
    </row>
    <row r="1039" spans="1:36">
      <c r="A1039" s="6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4"/>
      <c r="AG1039" s="4"/>
      <c r="AH1039" s="4"/>
      <c r="AI1039" s="4"/>
      <c r="AJ1039" s="4"/>
    </row>
    <row r="1040" spans="1:36">
      <c r="A1040" s="6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  <c r="AJ1040" s="4"/>
    </row>
    <row r="1041" spans="1:36">
      <c r="A1041" s="6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  <c r="AJ1041" s="4"/>
    </row>
    <row r="1042" spans="1:36">
      <c r="A1042" s="6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  <c r="AJ1042" s="4"/>
    </row>
    <row r="1043" spans="1:36">
      <c r="A1043" s="6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  <c r="AJ1043" s="4"/>
    </row>
    <row r="1044" spans="1:36">
      <c r="A1044" s="6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  <c r="AJ1044" s="4"/>
    </row>
    <row r="1045" spans="1:36">
      <c r="A1045" s="6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  <c r="AJ1045" s="4"/>
    </row>
    <row r="1046" spans="1:36">
      <c r="A1046" s="6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  <c r="AJ1046" s="4"/>
    </row>
    <row r="1047" spans="1:36">
      <c r="A1047" s="6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  <c r="AJ1047" s="4"/>
    </row>
    <row r="1048" spans="1:36">
      <c r="A1048" s="6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  <c r="AJ1048" s="4"/>
    </row>
    <row r="1049" spans="1:36">
      <c r="A1049" s="6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  <c r="AJ1049" s="4"/>
    </row>
    <row r="1050" spans="1:36">
      <c r="A1050" s="6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  <c r="AJ1050" s="4"/>
    </row>
    <row r="1051" spans="1:36">
      <c r="A1051" s="6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  <c r="AJ1051" s="4"/>
    </row>
    <row r="1052" spans="1:36">
      <c r="A1052" s="6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  <c r="AJ1052" s="4"/>
    </row>
    <row r="1053" spans="1:36">
      <c r="A1053" s="6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  <c r="AJ1053" s="4"/>
    </row>
    <row r="1054" spans="1:36">
      <c r="A1054" s="6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  <c r="AJ1054" s="4"/>
    </row>
    <row r="1055" spans="1:36">
      <c r="A1055" s="6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  <c r="AJ1055" s="4"/>
    </row>
    <row r="1056" spans="1:36">
      <c r="A1056" s="6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  <c r="AJ1056" s="4"/>
    </row>
    <row r="1057" spans="1:36">
      <c r="A1057" s="6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  <c r="AJ1057" s="4"/>
    </row>
    <row r="1058" spans="1:36">
      <c r="A1058" s="6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  <c r="AJ1058" s="4"/>
    </row>
    <row r="1059" spans="1:36">
      <c r="A1059" s="6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  <c r="AJ1059" s="4"/>
    </row>
    <row r="1060" spans="1:36">
      <c r="A1060" s="6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  <c r="AJ1060" s="4"/>
    </row>
    <row r="1061" spans="1:36">
      <c r="A1061" s="6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  <c r="AJ1061" s="4"/>
    </row>
    <row r="1062" spans="1:36">
      <c r="A1062" s="6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  <c r="AJ1062" s="4"/>
    </row>
    <row r="1063" spans="1:36">
      <c r="A1063" s="6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  <c r="AJ1063" s="4"/>
    </row>
    <row r="1064" spans="1:36">
      <c r="A1064" s="6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  <c r="AJ1064" s="4"/>
    </row>
    <row r="1065" spans="1:36">
      <c r="A1065" s="6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  <c r="AJ1065" s="4"/>
    </row>
    <row r="1066" spans="1:36">
      <c r="A1066" s="6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  <c r="AJ1066" s="4"/>
    </row>
    <row r="1067" spans="1:36">
      <c r="A1067" s="6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  <c r="AJ1067" s="4"/>
    </row>
    <row r="1068" spans="1:36">
      <c r="A1068" s="6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  <c r="AJ1068" s="4"/>
    </row>
    <row r="1069" spans="1:36">
      <c r="A1069" s="6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  <c r="AJ1069" s="4"/>
    </row>
    <row r="1070" spans="1:36">
      <c r="A1070" s="6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  <c r="AJ1070" s="4"/>
    </row>
    <row r="1071" spans="1:36">
      <c r="A1071" s="6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  <c r="AJ1071" s="4"/>
    </row>
    <row r="1072" spans="1:36">
      <c r="A1072" s="6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  <c r="AJ1072" s="4"/>
    </row>
    <row r="1073" spans="1:36">
      <c r="A1073" s="6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  <c r="AJ1073" s="4"/>
    </row>
    <row r="1074" spans="1:36">
      <c r="A1074" s="6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  <c r="AJ1074" s="4"/>
    </row>
    <row r="1075" spans="1:36">
      <c r="A1075" s="6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  <c r="AJ1075" s="4"/>
    </row>
    <row r="1076" spans="1:36">
      <c r="A1076" s="6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  <c r="AJ1076" s="4"/>
    </row>
    <row r="1077" spans="1:36">
      <c r="A1077" s="6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  <c r="AJ1077" s="4"/>
    </row>
    <row r="1078" spans="1:36">
      <c r="A1078" s="6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  <c r="AJ1078" s="4"/>
    </row>
    <row r="1079" spans="1:36">
      <c r="A1079" s="6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  <c r="AJ1079" s="4"/>
    </row>
    <row r="1080" spans="1:36">
      <c r="A1080" s="6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  <c r="AJ1080" s="4"/>
    </row>
    <row r="1081" spans="1:36">
      <c r="A1081" s="6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  <c r="AJ1081" s="4"/>
    </row>
    <row r="1082" spans="1:36">
      <c r="A1082" s="6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  <c r="AJ1082" s="4"/>
    </row>
    <row r="1083" spans="1:36">
      <c r="A1083" s="6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  <c r="AJ1083" s="4"/>
    </row>
    <row r="1084" spans="1:36">
      <c r="A1084" s="6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  <c r="AJ1084" s="4"/>
    </row>
    <row r="1085" spans="1:36">
      <c r="A1085" s="6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  <c r="AJ1085" s="4"/>
    </row>
    <row r="1086" spans="1:36">
      <c r="A1086" s="6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  <c r="AJ1086" s="4"/>
    </row>
    <row r="1087" spans="1:36">
      <c r="A1087" s="6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  <c r="AJ1087" s="4"/>
    </row>
    <row r="1088" spans="1:36">
      <c r="A1088" s="6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  <c r="AJ1088" s="4"/>
    </row>
    <row r="1089" spans="1:36">
      <c r="A1089" s="6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  <c r="AJ1089" s="4"/>
    </row>
    <row r="1090" spans="1:36">
      <c r="A1090" s="6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  <c r="AJ1090" s="4"/>
    </row>
    <row r="1091" spans="1:36">
      <c r="A1091" s="6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  <c r="AJ1091" s="4"/>
    </row>
    <row r="1092" spans="1:36">
      <c r="A1092" s="6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  <c r="AJ1092" s="4"/>
    </row>
    <row r="1093" spans="1:36">
      <c r="A1093" s="6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  <c r="AJ1093" s="4"/>
    </row>
    <row r="1094" spans="1:36">
      <c r="A1094" s="6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  <c r="AJ1094" s="4"/>
    </row>
    <row r="1095" spans="1:36">
      <c r="A1095" s="6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  <c r="AJ1095" s="4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009"/>
  <sheetViews>
    <sheetView zoomScale="115" zoomScaleNormal="115" topLeftCell="A2966" workbookViewId="0">
      <selection activeCell="R3002" sqref="R3002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3278</v>
      </c>
      <c r="F1" s="3" t="s">
        <v>3279</v>
      </c>
      <c r="G1" s="3" t="s">
        <v>3280</v>
      </c>
      <c r="H1" s="3" t="s">
        <v>3281</v>
      </c>
      <c r="I1" s="3" t="s">
        <v>3282</v>
      </c>
      <c r="J1" s="3" t="s">
        <v>3283</v>
      </c>
      <c r="K1" s="3" t="s">
        <v>3284</v>
      </c>
      <c r="L1" s="3" t="s">
        <v>3285</v>
      </c>
      <c r="M1" s="3" t="s">
        <v>3286</v>
      </c>
      <c r="N1" s="3" t="s">
        <v>3287</v>
      </c>
      <c r="O1" s="3" t="s">
        <v>3288</v>
      </c>
      <c r="P1" s="3" t="s">
        <v>3289</v>
      </c>
      <c r="Q1" s="3" t="s">
        <v>3290</v>
      </c>
      <c r="R1" s="3" t="s">
        <v>3291</v>
      </c>
    </row>
    <row r="2" spans="1:18">
      <c r="A2" s="3" t="s">
        <v>1389</v>
      </c>
      <c r="B2" s="3" t="s">
        <v>3292</v>
      </c>
      <c r="C2" s="3" t="s">
        <v>1389</v>
      </c>
      <c r="D2" s="3"/>
      <c r="E2" s="3" t="s">
        <v>3293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3294</v>
      </c>
      <c r="B3" s="3" t="s">
        <v>3295</v>
      </c>
      <c r="C3" s="3" t="s">
        <v>3295</v>
      </c>
      <c r="D3" s="3"/>
      <c r="E3" s="3" t="s">
        <v>3293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3296</v>
      </c>
      <c r="B4" s="3" t="s">
        <v>1186</v>
      </c>
      <c r="C4" s="3" t="s">
        <v>1186</v>
      </c>
      <c r="D4" s="3"/>
      <c r="E4" s="3" t="s">
        <v>3293</v>
      </c>
      <c r="F4" s="3"/>
      <c r="G4" s="3"/>
      <c r="H4" s="3"/>
      <c r="I4" s="3"/>
      <c r="J4" s="3">
        <v>5</v>
      </c>
      <c r="K4" s="3">
        <v>5</v>
      </c>
      <c r="L4" s="3">
        <v>0</v>
      </c>
      <c r="M4" s="3">
        <v>0</v>
      </c>
      <c r="N4" s="3">
        <v>5</v>
      </c>
      <c r="O4" s="3"/>
      <c r="P4" s="3">
        <v>0</v>
      </c>
      <c r="Q4" s="3">
        <v>0</v>
      </c>
      <c r="R4" s="3">
        <v>0</v>
      </c>
    </row>
    <row r="5" spans="1:18">
      <c r="A5" s="3" t="s">
        <v>3297</v>
      </c>
      <c r="B5" s="3" t="s">
        <v>2783</v>
      </c>
      <c r="C5" s="3" t="s">
        <v>2783</v>
      </c>
      <c r="D5" s="3"/>
      <c r="E5" s="3" t="s">
        <v>3293</v>
      </c>
      <c r="F5" s="3"/>
      <c r="G5" s="3"/>
      <c r="H5" s="3"/>
      <c r="I5" s="3"/>
      <c r="J5" s="3">
        <v>0</v>
      </c>
      <c r="K5" s="3">
        <v>0</v>
      </c>
      <c r="L5" s="3">
        <v>0</v>
      </c>
      <c r="M5" s="3">
        <v>0</v>
      </c>
      <c r="N5" s="3">
        <v>0</v>
      </c>
      <c r="O5" s="3"/>
      <c r="P5" s="3">
        <v>0</v>
      </c>
      <c r="Q5" s="3">
        <v>0</v>
      </c>
      <c r="R5" s="3">
        <v>0</v>
      </c>
    </row>
    <row r="6" spans="1:18">
      <c r="A6" s="3" t="s">
        <v>3298</v>
      </c>
      <c r="B6" s="3" t="s">
        <v>2560</v>
      </c>
      <c r="C6" s="3" t="s">
        <v>2560</v>
      </c>
      <c r="D6" s="3"/>
      <c r="E6" s="3" t="s">
        <v>3293</v>
      </c>
      <c r="F6" s="3"/>
      <c r="G6" s="3"/>
      <c r="H6" s="3"/>
      <c r="I6" s="3"/>
      <c r="J6" s="3">
        <v>1</v>
      </c>
      <c r="K6" s="3">
        <v>1</v>
      </c>
      <c r="L6" s="3">
        <v>0</v>
      </c>
      <c r="M6" s="3">
        <v>0</v>
      </c>
      <c r="N6" s="3">
        <v>1</v>
      </c>
      <c r="O6" s="3"/>
      <c r="P6" s="3">
        <v>0</v>
      </c>
      <c r="Q6" s="3">
        <v>0</v>
      </c>
      <c r="R6" s="3">
        <v>0</v>
      </c>
    </row>
    <row r="7" spans="1:18">
      <c r="A7" s="3" t="s">
        <v>3299</v>
      </c>
      <c r="B7" s="3" t="s">
        <v>1486</v>
      </c>
      <c r="C7" s="3" t="s">
        <v>1486</v>
      </c>
      <c r="D7" s="3"/>
      <c r="E7" s="3" t="s">
        <v>3293</v>
      </c>
      <c r="F7" s="3"/>
      <c r="G7" s="3"/>
      <c r="H7" s="3"/>
      <c r="I7" s="3"/>
      <c r="J7" s="3">
        <v>4</v>
      </c>
      <c r="K7" s="3">
        <v>4</v>
      </c>
      <c r="L7" s="3">
        <v>0</v>
      </c>
      <c r="M7" s="3">
        <v>0</v>
      </c>
      <c r="N7" s="3">
        <v>4</v>
      </c>
      <c r="O7" s="3"/>
      <c r="P7" s="3">
        <v>0</v>
      </c>
      <c r="Q7" s="3">
        <v>0</v>
      </c>
      <c r="R7" s="3">
        <v>0</v>
      </c>
    </row>
    <row r="8" spans="1:18">
      <c r="A8" s="3" t="s">
        <v>3300</v>
      </c>
      <c r="B8" s="3" t="s">
        <v>1565</v>
      </c>
      <c r="C8" s="3" t="s">
        <v>1565</v>
      </c>
      <c r="D8" s="3"/>
      <c r="E8" s="3" t="s">
        <v>3293</v>
      </c>
      <c r="F8" s="3"/>
      <c r="G8" s="3"/>
      <c r="H8" s="3"/>
      <c r="I8" s="3"/>
      <c r="J8" s="3">
        <v>11</v>
      </c>
      <c r="K8" s="3">
        <v>11</v>
      </c>
      <c r="L8" s="3">
        <v>0</v>
      </c>
      <c r="M8" s="3">
        <v>0</v>
      </c>
      <c r="N8" s="3">
        <v>11</v>
      </c>
      <c r="O8" s="3"/>
      <c r="P8" s="3">
        <v>0</v>
      </c>
      <c r="Q8" s="3">
        <v>0</v>
      </c>
      <c r="R8" s="3">
        <v>0</v>
      </c>
    </row>
    <row r="9" spans="1:18">
      <c r="A9" s="3" t="s">
        <v>3301</v>
      </c>
      <c r="B9" s="3" t="s">
        <v>3302</v>
      </c>
      <c r="C9" s="3" t="s">
        <v>3302</v>
      </c>
      <c r="D9" s="3"/>
      <c r="E9" s="3" t="s">
        <v>3293</v>
      </c>
      <c r="F9" s="3"/>
      <c r="G9" s="3"/>
      <c r="H9" s="3"/>
      <c r="I9" s="3"/>
      <c r="J9" s="3">
        <v>0</v>
      </c>
      <c r="K9" s="3">
        <v>0</v>
      </c>
      <c r="L9" s="3">
        <v>0</v>
      </c>
      <c r="M9" s="3">
        <v>0</v>
      </c>
      <c r="N9" s="3">
        <v>0</v>
      </c>
      <c r="O9" s="3"/>
      <c r="P9" s="3">
        <v>0</v>
      </c>
      <c r="Q9" s="3">
        <v>0</v>
      </c>
      <c r="R9" s="3">
        <v>0</v>
      </c>
    </row>
    <row r="10" spans="1:18">
      <c r="A10" s="3" t="s">
        <v>3303</v>
      </c>
      <c r="B10" s="3" t="s">
        <v>3304</v>
      </c>
      <c r="C10" s="3" t="s">
        <v>3304</v>
      </c>
      <c r="D10" s="3"/>
      <c r="E10" s="3" t="s">
        <v>3293</v>
      </c>
      <c r="F10" s="3"/>
      <c r="G10" s="3"/>
      <c r="H10" s="3"/>
      <c r="I10" s="3"/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/>
      <c r="P10" s="3">
        <v>0</v>
      </c>
      <c r="Q10" s="3">
        <v>0</v>
      </c>
      <c r="R10" s="3">
        <v>0</v>
      </c>
    </row>
    <row r="11" spans="1:18">
      <c r="A11" s="3" t="s">
        <v>3305</v>
      </c>
      <c r="B11" s="3" t="s">
        <v>185</v>
      </c>
      <c r="C11" s="3" t="s">
        <v>185</v>
      </c>
      <c r="D11" s="3"/>
      <c r="E11" s="3" t="s">
        <v>3293</v>
      </c>
      <c r="F11" s="3"/>
      <c r="G11" s="3"/>
      <c r="H11" s="3"/>
      <c r="I11" s="3"/>
      <c r="J11" s="3">
        <v>10</v>
      </c>
      <c r="K11" s="3">
        <v>10</v>
      </c>
      <c r="L11" s="3">
        <v>0</v>
      </c>
      <c r="M11" s="3">
        <v>0</v>
      </c>
      <c r="N11" s="3">
        <v>10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11</v>
      </c>
      <c r="B12" s="3" t="s">
        <v>12</v>
      </c>
      <c r="C12" s="3" t="s">
        <v>12</v>
      </c>
      <c r="D12" s="3"/>
      <c r="E12" s="3" t="s">
        <v>3293</v>
      </c>
      <c r="F12" s="3"/>
      <c r="G12" s="3"/>
      <c r="H12" s="3"/>
      <c r="I12" s="3"/>
      <c r="J12" s="3">
        <v>3</v>
      </c>
      <c r="K12" s="3">
        <v>1</v>
      </c>
      <c r="L12" s="3">
        <v>0</v>
      </c>
      <c r="M12" s="3">
        <v>2</v>
      </c>
      <c r="N12" s="3">
        <v>3</v>
      </c>
      <c r="O12" s="3"/>
      <c r="P12" s="3">
        <v>0</v>
      </c>
      <c r="Q12" s="3">
        <v>0</v>
      </c>
      <c r="R12" s="3">
        <v>0</v>
      </c>
    </row>
    <row r="13" spans="1:18">
      <c r="A13" s="3" t="s">
        <v>3306</v>
      </c>
      <c r="B13" s="3" t="s">
        <v>201</v>
      </c>
      <c r="C13" s="3" t="s">
        <v>201</v>
      </c>
      <c r="D13" s="3"/>
      <c r="E13" s="3" t="s">
        <v>3293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3307</v>
      </c>
      <c r="B14" s="3" t="s">
        <v>3308</v>
      </c>
      <c r="C14" s="3" t="s">
        <v>3308</v>
      </c>
      <c r="D14" s="3"/>
      <c r="E14" s="3" t="s">
        <v>3293</v>
      </c>
      <c r="F14" s="3"/>
      <c r="G14" s="3"/>
      <c r="H14" s="3"/>
      <c r="I14" s="3"/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/>
      <c r="P14" s="3">
        <v>0</v>
      </c>
      <c r="Q14" s="3">
        <v>0</v>
      </c>
      <c r="R14" s="3">
        <v>0</v>
      </c>
    </row>
    <row r="15" spans="1:18">
      <c r="A15" s="3" t="s">
        <v>3309</v>
      </c>
      <c r="B15" s="3" t="s">
        <v>173</v>
      </c>
      <c r="C15" s="3" t="s">
        <v>173</v>
      </c>
      <c r="D15" s="3"/>
      <c r="E15" s="3" t="s">
        <v>3293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3310</v>
      </c>
      <c r="B16" s="3" t="s">
        <v>193</v>
      </c>
      <c r="C16" s="3" t="s">
        <v>193</v>
      </c>
      <c r="D16" s="3"/>
      <c r="E16" s="3" t="s">
        <v>3293</v>
      </c>
      <c r="F16" s="3"/>
      <c r="G16" s="3"/>
      <c r="H16" s="3"/>
      <c r="I16" s="3"/>
      <c r="J16" s="3">
        <v>2</v>
      </c>
      <c r="K16" s="3">
        <v>2</v>
      </c>
      <c r="L16" s="3">
        <v>0</v>
      </c>
      <c r="M16" s="3">
        <v>0</v>
      </c>
      <c r="N16" s="3">
        <v>2</v>
      </c>
      <c r="O16" s="3"/>
      <c r="P16" s="3">
        <v>0</v>
      </c>
      <c r="Q16" s="3">
        <v>0</v>
      </c>
      <c r="R16" s="3">
        <v>0</v>
      </c>
    </row>
    <row r="17" spans="1:18">
      <c r="A17" s="3" t="s">
        <v>17</v>
      </c>
      <c r="B17" s="3" t="s">
        <v>18</v>
      </c>
      <c r="C17" s="3" t="s">
        <v>18</v>
      </c>
      <c r="D17" s="3"/>
      <c r="E17" s="3" t="s">
        <v>3293</v>
      </c>
      <c r="F17" s="3"/>
      <c r="G17" s="3"/>
      <c r="H17" s="3"/>
      <c r="I17" s="3"/>
      <c r="J17" s="3">
        <v>5</v>
      </c>
      <c r="K17" s="3">
        <v>4</v>
      </c>
      <c r="L17" s="3">
        <v>0</v>
      </c>
      <c r="M17" s="3">
        <v>1</v>
      </c>
      <c r="N17" s="3">
        <v>5</v>
      </c>
      <c r="O17" s="3"/>
      <c r="P17" s="3">
        <v>0</v>
      </c>
      <c r="Q17" s="3">
        <v>0</v>
      </c>
      <c r="R17" s="3">
        <v>0</v>
      </c>
    </row>
    <row r="18" spans="1:18">
      <c r="A18" s="3" t="s">
        <v>14</v>
      </c>
      <c r="B18" s="3" t="s">
        <v>15</v>
      </c>
      <c r="C18" s="3" t="s">
        <v>15</v>
      </c>
      <c r="D18" s="3"/>
      <c r="E18" s="3" t="s">
        <v>3293</v>
      </c>
      <c r="F18" s="3"/>
      <c r="G18" s="3"/>
      <c r="H18" s="3"/>
      <c r="I18" s="3"/>
      <c r="J18" s="3">
        <v>17</v>
      </c>
      <c r="K18" s="3">
        <v>16</v>
      </c>
      <c r="L18" s="3">
        <v>0</v>
      </c>
      <c r="M18" s="3">
        <v>1</v>
      </c>
      <c r="N18" s="3">
        <v>17</v>
      </c>
      <c r="O18" s="3"/>
      <c r="P18" s="3">
        <v>0</v>
      </c>
      <c r="Q18" s="3">
        <v>0</v>
      </c>
      <c r="R18" s="3">
        <v>0</v>
      </c>
    </row>
    <row r="19" spans="1:18">
      <c r="A19" s="3" t="s">
        <v>3311</v>
      </c>
      <c r="B19" s="3" t="s">
        <v>3238</v>
      </c>
      <c r="C19" s="3" t="s">
        <v>3238</v>
      </c>
      <c r="D19" s="3"/>
      <c r="E19" s="3" t="s">
        <v>3293</v>
      </c>
      <c r="F19" s="3"/>
      <c r="G19" s="3"/>
      <c r="H19" s="3"/>
      <c r="I19" s="3"/>
      <c r="J19" s="3">
        <v>5</v>
      </c>
      <c r="K19" s="3">
        <v>5</v>
      </c>
      <c r="L19" s="3">
        <v>0</v>
      </c>
      <c r="M19" s="3">
        <v>0</v>
      </c>
      <c r="N19" s="3">
        <v>5</v>
      </c>
      <c r="O19" s="3"/>
      <c r="P19" s="3">
        <v>0</v>
      </c>
      <c r="Q19" s="3">
        <v>0</v>
      </c>
      <c r="R19" s="3">
        <v>0</v>
      </c>
    </row>
    <row r="20" spans="1:18">
      <c r="A20" s="3" t="s">
        <v>3312</v>
      </c>
      <c r="B20" s="3" t="s">
        <v>162</v>
      </c>
      <c r="C20" s="3" t="s">
        <v>162</v>
      </c>
      <c r="D20" s="3"/>
      <c r="E20" s="3" t="s">
        <v>3293</v>
      </c>
      <c r="F20" s="3"/>
      <c r="G20" s="3"/>
      <c r="H20" s="3"/>
      <c r="I20" s="3"/>
      <c r="J20" s="3">
        <v>14</v>
      </c>
      <c r="K20" s="3">
        <v>14</v>
      </c>
      <c r="L20" s="3">
        <v>0</v>
      </c>
      <c r="M20" s="3">
        <v>0</v>
      </c>
      <c r="N20" s="3">
        <v>14</v>
      </c>
      <c r="O20" s="3"/>
      <c r="P20" s="3">
        <v>0</v>
      </c>
      <c r="Q20" s="3">
        <v>0</v>
      </c>
      <c r="R20" s="3">
        <v>0</v>
      </c>
    </row>
    <row r="21" spans="1:18">
      <c r="A21" s="3" t="s">
        <v>3313</v>
      </c>
      <c r="B21" s="3" t="s">
        <v>3314</v>
      </c>
      <c r="C21" s="3" t="s">
        <v>3314</v>
      </c>
      <c r="D21" s="3"/>
      <c r="E21" s="3" t="s">
        <v>3293</v>
      </c>
      <c r="F21" s="3"/>
      <c r="G21" s="3"/>
      <c r="H21" s="3"/>
      <c r="I21" s="3"/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3315</v>
      </c>
      <c r="B22" s="3" t="s">
        <v>1999</v>
      </c>
      <c r="C22" s="3" t="s">
        <v>1999</v>
      </c>
      <c r="D22" s="3"/>
      <c r="E22" s="3" t="s">
        <v>3293</v>
      </c>
      <c r="F22" s="3"/>
      <c r="G22" s="3"/>
      <c r="H22" s="3"/>
      <c r="I22" s="3"/>
      <c r="J22" s="3">
        <v>34</v>
      </c>
      <c r="K22" s="3">
        <v>34</v>
      </c>
      <c r="L22" s="3">
        <v>0</v>
      </c>
      <c r="M22" s="3">
        <v>0</v>
      </c>
      <c r="N22" s="3">
        <v>34</v>
      </c>
      <c r="O22" s="3"/>
      <c r="P22" s="3">
        <v>0</v>
      </c>
      <c r="Q22" s="3">
        <v>0</v>
      </c>
      <c r="R22" s="3">
        <v>0</v>
      </c>
    </row>
    <row r="23" spans="1:18">
      <c r="A23" s="3" t="s">
        <v>3316</v>
      </c>
      <c r="B23" s="3" t="s">
        <v>2909</v>
      </c>
      <c r="C23" s="3" t="s">
        <v>2909</v>
      </c>
      <c r="D23" s="3"/>
      <c r="E23" s="3" t="s">
        <v>3293</v>
      </c>
      <c r="F23" s="3"/>
      <c r="G23" s="3"/>
      <c r="H23" s="3"/>
      <c r="I23" s="3"/>
      <c r="J23" s="3">
        <v>13</v>
      </c>
      <c r="K23" s="3">
        <v>13</v>
      </c>
      <c r="L23" s="3">
        <v>0</v>
      </c>
      <c r="M23" s="3">
        <v>0</v>
      </c>
      <c r="N23" s="3">
        <v>13</v>
      </c>
      <c r="O23" s="3"/>
      <c r="P23" s="3">
        <v>0</v>
      </c>
      <c r="Q23" s="3">
        <v>0</v>
      </c>
      <c r="R23" s="3">
        <v>0</v>
      </c>
    </row>
    <row r="24" spans="1:18">
      <c r="A24" s="3" t="s">
        <v>3317</v>
      </c>
      <c r="B24" s="3" t="s">
        <v>1839</v>
      </c>
      <c r="C24" s="3" t="s">
        <v>1839</v>
      </c>
      <c r="D24" s="3"/>
      <c r="E24" s="3" t="s">
        <v>3293</v>
      </c>
      <c r="F24" s="3"/>
      <c r="G24" s="3"/>
      <c r="H24" s="3"/>
      <c r="I24" s="3"/>
      <c r="J24" s="3">
        <v>6</v>
      </c>
      <c r="K24" s="3">
        <v>6</v>
      </c>
      <c r="L24" s="3">
        <v>0</v>
      </c>
      <c r="M24" s="3">
        <v>0</v>
      </c>
      <c r="N24" s="3">
        <v>6</v>
      </c>
      <c r="O24" s="3"/>
      <c r="P24" s="3">
        <v>0</v>
      </c>
      <c r="Q24" s="3">
        <v>0</v>
      </c>
      <c r="R24" s="3">
        <v>0</v>
      </c>
    </row>
    <row r="25" spans="1:18">
      <c r="A25" s="3" t="s">
        <v>3318</v>
      </c>
      <c r="B25" s="3" t="s">
        <v>2626</v>
      </c>
      <c r="C25" s="3" t="s">
        <v>2626</v>
      </c>
      <c r="D25" s="3"/>
      <c r="E25" s="3" t="s">
        <v>3293</v>
      </c>
      <c r="F25" s="3"/>
      <c r="G25" s="3"/>
      <c r="H25" s="3"/>
      <c r="I25" s="3"/>
      <c r="J25" s="3">
        <v>39</v>
      </c>
      <c r="K25" s="3">
        <v>39</v>
      </c>
      <c r="L25" s="3">
        <v>0</v>
      </c>
      <c r="M25" s="3">
        <v>0</v>
      </c>
      <c r="N25" s="3">
        <v>39</v>
      </c>
      <c r="O25" s="3"/>
      <c r="P25" s="3">
        <v>0</v>
      </c>
      <c r="Q25" s="3">
        <v>0</v>
      </c>
      <c r="R25" s="3">
        <v>0</v>
      </c>
    </row>
    <row r="26" spans="1:18">
      <c r="A26" s="3" t="s">
        <v>3319</v>
      </c>
      <c r="B26" s="3" t="s">
        <v>1220</v>
      </c>
      <c r="C26" s="3" t="s">
        <v>1220</v>
      </c>
      <c r="D26" s="3"/>
      <c r="E26" s="3" t="s">
        <v>3293</v>
      </c>
      <c r="F26" s="3"/>
      <c r="G26" s="3"/>
      <c r="H26" s="3"/>
      <c r="I26" s="3"/>
      <c r="J26" s="3">
        <v>46</v>
      </c>
      <c r="K26" s="3">
        <v>46</v>
      </c>
      <c r="L26" s="3">
        <v>0</v>
      </c>
      <c r="M26" s="3">
        <v>0</v>
      </c>
      <c r="N26" s="3">
        <v>46</v>
      </c>
      <c r="O26" s="3"/>
      <c r="P26" s="3">
        <v>0</v>
      </c>
      <c r="Q26" s="3">
        <v>0</v>
      </c>
      <c r="R26" s="3">
        <v>0</v>
      </c>
    </row>
    <row r="27" spans="1:18">
      <c r="A27" s="3" t="s">
        <v>3320</v>
      </c>
      <c r="B27" s="3" t="s">
        <v>1212</v>
      </c>
      <c r="C27" s="3" t="s">
        <v>1212</v>
      </c>
      <c r="D27" s="3"/>
      <c r="E27" s="3" t="s">
        <v>3293</v>
      </c>
      <c r="F27" s="3"/>
      <c r="G27" s="3"/>
      <c r="H27" s="3"/>
      <c r="I27" s="3"/>
      <c r="J27" s="3">
        <v>3</v>
      </c>
      <c r="K27" s="3">
        <v>3</v>
      </c>
      <c r="L27" s="3">
        <v>0</v>
      </c>
      <c r="M27" s="3">
        <v>0</v>
      </c>
      <c r="N27" s="3">
        <v>3</v>
      </c>
      <c r="O27" s="3"/>
      <c r="P27" s="3">
        <v>0</v>
      </c>
      <c r="Q27" s="3">
        <v>0</v>
      </c>
      <c r="R27" s="3">
        <v>0</v>
      </c>
    </row>
    <row r="28" spans="1:18">
      <c r="A28" s="3" t="s">
        <v>3321</v>
      </c>
      <c r="B28" s="3" t="s">
        <v>1414</v>
      </c>
      <c r="C28" s="3" t="s">
        <v>1414</v>
      </c>
      <c r="D28" s="3"/>
      <c r="E28" s="3" t="s">
        <v>3293</v>
      </c>
      <c r="F28" s="3"/>
      <c r="G28" s="3"/>
      <c r="H28" s="3"/>
      <c r="I28" s="3"/>
      <c r="J28" s="3">
        <v>1</v>
      </c>
      <c r="K28" s="3">
        <v>1</v>
      </c>
      <c r="L28" s="3">
        <v>0</v>
      </c>
      <c r="M28" s="3">
        <v>0</v>
      </c>
      <c r="N28" s="3">
        <v>1</v>
      </c>
      <c r="O28" s="3"/>
      <c r="P28" s="3">
        <v>0</v>
      </c>
      <c r="Q28" s="3">
        <v>0</v>
      </c>
      <c r="R28" s="3">
        <v>0</v>
      </c>
    </row>
    <row r="29" spans="1:18">
      <c r="A29" s="3" t="s">
        <v>3322</v>
      </c>
      <c r="B29" s="3" t="s">
        <v>3206</v>
      </c>
      <c r="C29" s="3" t="s">
        <v>3206</v>
      </c>
      <c r="D29" s="3"/>
      <c r="E29" s="3" t="s">
        <v>3293</v>
      </c>
      <c r="F29" s="3"/>
      <c r="G29" s="3"/>
      <c r="H29" s="3"/>
      <c r="I29" s="3"/>
      <c r="J29" s="3">
        <v>5</v>
      </c>
      <c r="K29" s="3">
        <v>5</v>
      </c>
      <c r="L29" s="3">
        <v>0</v>
      </c>
      <c r="M29" s="3">
        <v>0</v>
      </c>
      <c r="N29" s="3">
        <v>5</v>
      </c>
      <c r="O29" s="3"/>
      <c r="P29" s="3">
        <v>0</v>
      </c>
      <c r="Q29" s="3">
        <v>0</v>
      </c>
      <c r="R29" s="3">
        <v>0</v>
      </c>
    </row>
    <row r="30" spans="1:18">
      <c r="A30" s="3" t="s">
        <v>3323</v>
      </c>
      <c r="B30" s="3" t="s">
        <v>2541</v>
      </c>
      <c r="C30" s="3" t="s">
        <v>2541</v>
      </c>
      <c r="D30" s="3"/>
      <c r="E30" s="3" t="s">
        <v>3293</v>
      </c>
      <c r="F30" s="3"/>
      <c r="G30" s="3"/>
      <c r="H30" s="3"/>
      <c r="I30" s="3"/>
      <c r="J30" s="3">
        <v>15</v>
      </c>
      <c r="K30" s="3">
        <v>15</v>
      </c>
      <c r="L30" s="3">
        <v>0</v>
      </c>
      <c r="M30" s="3">
        <v>0</v>
      </c>
      <c r="N30" s="3">
        <v>15</v>
      </c>
      <c r="O30" s="3"/>
      <c r="P30" s="3">
        <v>0</v>
      </c>
      <c r="Q30" s="3">
        <v>0</v>
      </c>
      <c r="R30" s="3">
        <v>0</v>
      </c>
    </row>
    <row r="31" spans="1:18">
      <c r="A31" s="3" t="s">
        <v>3324</v>
      </c>
      <c r="B31" s="3" t="s">
        <v>2700</v>
      </c>
      <c r="C31" s="3" t="s">
        <v>2700</v>
      </c>
      <c r="D31" s="3"/>
      <c r="E31" s="3" t="s">
        <v>3293</v>
      </c>
      <c r="F31" s="3"/>
      <c r="G31" s="3"/>
      <c r="H31" s="3"/>
      <c r="I31" s="3"/>
      <c r="J31" s="3">
        <v>17</v>
      </c>
      <c r="K31" s="3">
        <v>17</v>
      </c>
      <c r="L31" s="3">
        <v>0</v>
      </c>
      <c r="M31" s="3">
        <v>0</v>
      </c>
      <c r="N31" s="3">
        <v>17</v>
      </c>
      <c r="O31" s="3"/>
      <c r="P31" s="3">
        <v>0</v>
      </c>
      <c r="Q31" s="3">
        <v>0</v>
      </c>
      <c r="R31" s="3">
        <v>0</v>
      </c>
    </row>
    <row r="32" spans="1:18">
      <c r="A32" s="3" t="s">
        <v>3325</v>
      </c>
      <c r="B32" s="3" t="s">
        <v>1970</v>
      </c>
      <c r="C32" s="3" t="s">
        <v>1970</v>
      </c>
      <c r="D32" s="3"/>
      <c r="E32" s="3" t="s">
        <v>3293</v>
      </c>
      <c r="F32" s="3"/>
      <c r="G32" s="3"/>
      <c r="H32" s="3"/>
      <c r="I32" s="3"/>
      <c r="J32" s="3">
        <v>29</v>
      </c>
      <c r="K32" s="3">
        <v>29</v>
      </c>
      <c r="L32" s="3">
        <v>0</v>
      </c>
      <c r="M32" s="3">
        <v>0</v>
      </c>
      <c r="N32" s="3">
        <v>29</v>
      </c>
      <c r="O32" s="3"/>
      <c r="P32" s="3">
        <v>0</v>
      </c>
      <c r="Q32" s="3">
        <v>0</v>
      </c>
      <c r="R32" s="3">
        <v>0</v>
      </c>
    </row>
    <row r="33" spans="1:18">
      <c r="A33" s="3" t="s">
        <v>3326</v>
      </c>
      <c r="B33" s="3" t="s">
        <v>1921</v>
      </c>
      <c r="C33" s="3" t="s">
        <v>1921</v>
      </c>
      <c r="D33" s="3"/>
      <c r="E33" s="3" t="s">
        <v>3293</v>
      </c>
      <c r="F33" s="3"/>
      <c r="G33" s="3"/>
      <c r="H33" s="3"/>
      <c r="I33" s="3"/>
      <c r="J33" s="3">
        <v>7</v>
      </c>
      <c r="K33" s="3">
        <v>7</v>
      </c>
      <c r="L33" s="3">
        <v>0</v>
      </c>
      <c r="M33" s="3">
        <v>0</v>
      </c>
      <c r="N33" s="3">
        <v>7</v>
      </c>
      <c r="O33" s="3"/>
      <c r="P33" s="3">
        <v>0</v>
      </c>
      <c r="Q33" s="3">
        <v>0</v>
      </c>
      <c r="R33" s="3">
        <v>0</v>
      </c>
    </row>
    <row r="34" spans="1:18">
      <c r="A34" s="3" t="s">
        <v>3327</v>
      </c>
      <c r="B34" s="3" t="s">
        <v>2153</v>
      </c>
      <c r="C34" s="3" t="s">
        <v>2153</v>
      </c>
      <c r="D34" s="3"/>
      <c r="E34" s="3" t="s">
        <v>3293</v>
      </c>
      <c r="F34" s="3"/>
      <c r="G34" s="3"/>
      <c r="H34" s="3"/>
      <c r="I34" s="3"/>
      <c r="J34" s="3">
        <v>2</v>
      </c>
      <c r="K34" s="3">
        <v>2</v>
      </c>
      <c r="L34" s="3">
        <v>0</v>
      </c>
      <c r="M34" s="3">
        <v>0</v>
      </c>
      <c r="N34" s="3">
        <v>2</v>
      </c>
      <c r="O34" s="3"/>
      <c r="P34" s="3">
        <v>0</v>
      </c>
      <c r="Q34" s="3">
        <v>0</v>
      </c>
      <c r="R34" s="3">
        <v>0</v>
      </c>
    </row>
    <row r="35" spans="1:18">
      <c r="A35" s="3" t="s">
        <v>3328</v>
      </c>
      <c r="B35" s="3" t="s">
        <v>331</v>
      </c>
      <c r="C35" s="3" t="s">
        <v>331</v>
      </c>
      <c r="D35" s="3"/>
      <c r="E35" s="3" t="s">
        <v>3293</v>
      </c>
      <c r="F35" s="3"/>
      <c r="G35" s="3"/>
      <c r="H35" s="3"/>
      <c r="I35" s="3"/>
      <c r="J35" s="3">
        <v>2</v>
      </c>
      <c r="K35" s="3">
        <v>2</v>
      </c>
      <c r="L35" s="3">
        <v>0</v>
      </c>
      <c r="M35" s="3">
        <v>0</v>
      </c>
      <c r="N35" s="3">
        <v>2</v>
      </c>
      <c r="O35" s="3"/>
      <c r="P35" s="3">
        <v>0</v>
      </c>
      <c r="Q35" s="3">
        <v>0</v>
      </c>
      <c r="R35" s="3">
        <v>0</v>
      </c>
    </row>
    <row r="36" spans="1:18">
      <c r="A36" s="3" t="s">
        <v>3329</v>
      </c>
      <c r="B36" s="3" t="s">
        <v>1127</v>
      </c>
      <c r="C36" s="3" t="s">
        <v>1127</v>
      </c>
      <c r="D36" s="3"/>
      <c r="E36" s="3" t="s">
        <v>3293</v>
      </c>
      <c r="F36" s="3"/>
      <c r="G36" s="3"/>
      <c r="H36" s="3"/>
      <c r="I36" s="3"/>
      <c r="J36" s="3">
        <v>2</v>
      </c>
      <c r="K36" s="3">
        <v>2</v>
      </c>
      <c r="L36" s="3">
        <v>0</v>
      </c>
      <c r="M36" s="3">
        <v>0</v>
      </c>
      <c r="N36" s="3">
        <v>2</v>
      </c>
      <c r="O36" s="3"/>
      <c r="P36" s="3">
        <v>0</v>
      </c>
      <c r="Q36" s="3">
        <v>0</v>
      </c>
      <c r="R36" s="3">
        <v>0</v>
      </c>
    </row>
    <row r="37" spans="1:18">
      <c r="A37" s="3" t="s">
        <v>3330</v>
      </c>
      <c r="B37" s="3" t="s">
        <v>1695</v>
      </c>
      <c r="C37" s="3" t="s">
        <v>1695</v>
      </c>
      <c r="D37" s="3"/>
      <c r="E37" s="3" t="s">
        <v>3293</v>
      </c>
      <c r="F37" s="3"/>
      <c r="G37" s="3"/>
      <c r="H37" s="3"/>
      <c r="I37" s="3"/>
      <c r="J37" s="3">
        <v>14</v>
      </c>
      <c r="K37" s="3">
        <v>14</v>
      </c>
      <c r="L37" s="3">
        <v>0</v>
      </c>
      <c r="M37" s="3">
        <v>0</v>
      </c>
      <c r="N37" s="3">
        <v>14</v>
      </c>
      <c r="O37" s="3"/>
      <c r="P37" s="3">
        <v>0</v>
      </c>
      <c r="Q37" s="3">
        <v>0</v>
      </c>
      <c r="R37" s="3">
        <v>0</v>
      </c>
    </row>
    <row r="38" spans="1:18">
      <c r="A38" s="3" t="s">
        <v>3331</v>
      </c>
      <c r="B38" s="3" t="s">
        <v>3332</v>
      </c>
      <c r="C38" s="3" t="s">
        <v>3332</v>
      </c>
      <c r="D38" s="3"/>
      <c r="E38" s="3" t="s">
        <v>3293</v>
      </c>
      <c r="F38" s="3"/>
      <c r="G38" s="3"/>
      <c r="H38" s="3"/>
      <c r="I38" s="3"/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/>
      <c r="P38" s="3">
        <v>0</v>
      </c>
      <c r="Q38" s="3">
        <v>0</v>
      </c>
      <c r="R38" s="3">
        <v>0</v>
      </c>
    </row>
    <row r="39" spans="1:18">
      <c r="A39" s="3" t="s">
        <v>3333</v>
      </c>
      <c r="B39" s="3" t="s">
        <v>3334</v>
      </c>
      <c r="C39" s="3" t="s">
        <v>3334</v>
      </c>
      <c r="D39" s="3"/>
      <c r="E39" s="3" t="s">
        <v>3293</v>
      </c>
      <c r="F39" s="3"/>
      <c r="G39" s="3"/>
      <c r="H39" s="3"/>
      <c r="I39" s="3"/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/>
      <c r="P39" s="3">
        <v>0</v>
      </c>
      <c r="Q39" s="3">
        <v>0</v>
      </c>
      <c r="R39" s="3">
        <v>0</v>
      </c>
    </row>
    <row r="40" spans="1:18">
      <c r="A40" s="3" t="s">
        <v>3335</v>
      </c>
      <c r="B40" s="3" t="s">
        <v>1698</v>
      </c>
      <c r="C40" s="3" t="s">
        <v>1698</v>
      </c>
      <c r="D40" s="3"/>
      <c r="E40" s="3" t="s">
        <v>3293</v>
      </c>
      <c r="F40" s="3"/>
      <c r="G40" s="3"/>
      <c r="H40" s="3"/>
      <c r="I40" s="3"/>
      <c r="J40" s="3">
        <v>3</v>
      </c>
      <c r="K40" s="3">
        <v>3</v>
      </c>
      <c r="L40" s="3">
        <v>0</v>
      </c>
      <c r="M40" s="3">
        <v>0</v>
      </c>
      <c r="N40" s="3">
        <v>3</v>
      </c>
      <c r="O40" s="3"/>
      <c r="P40" s="3">
        <v>0</v>
      </c>
      <c r="Q40" s="3">
        <v>0</v>
      </c>
      <c r="R40" s="3">
        <v>0</v>
      </c>
    </row>
    <row r="41" spans="1:18">
      <c r="A41" s="3" t="s">
        <v>3336</v>
      </c>
      <c r="B41" s="3" t="s">
        <v>1242</v>
      </c>
      <c r="C41" s="3" t="s">
        <v>1242</v>
      </c>
      <c r="D41" s="3"/>
      <c r="E41" s="3" t="s">
        <v>3293</v>
      </c>
      <c r="F41" s="3"/>
      <c r="G41" s="3"/>
      <c r="H41" s="3"/>
      <c r="I41" s="3"/>
      <c r="J41" s="3">
        <v>13</v>
      </c>
      <c r="K41" s="3">
        <v>13</v>
      </c>
      <c r="L41" s="3">
        <v>0</v>
      </c>
      <c r="M41" s="3">
        <v>0</v>
      </c>
      <c r="N41" s="3">
        <v>13</v>
      </c>
      <c r="O41" s="3"/>
      <c r="P41" s="3">
        <v>0</v>
      </c>
      <c r="Q41" s="3">
        <v>0</v>
      </c>
      <c r="R41" s="3">
        <v>0</v>
      </c>
    </row>
    <row r="42" spans="1:18">
      <c r="A42" s="3" t="s">
        <v>3337</v>
      </c>
      <c r="B42" s="3" t="s">
        <v>299</v>
      </c>
      <c r="C42" s="3" t="s">
        <v>299</v>
      </c>
      <c r="D42" s="3"/>
      <c r="E42" s="3" t="s">
        <v>3293</v>
      </c>
      <c r="F42" s="3"/>
      <c r="G42" s="3"/>
      <c r="H42" s="3"/>
      <c r="I42" s="3"/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/>
      <c r="P42" s="3">
        <v>0</v>
      </c>
      <c r="Q42" s="3">
        <v>0</v>
      </c>
      <c r="R42" s="3">
        <v>0</v>
      </c>
    </row>
    <row r="43" spans="1:18">
      <c r="A43" s="3" t="s">
        <v>3338</v>
      </c>
      <c r="B43" s="3" t="s">
        <v>291</v>
      </c>
      <c r="C43" s="3" t="s">
        <v>291</v>
      </c>
      <c r="D43" s="3"/>
      <c r="E43" s="3" t="s">
        <v>3293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3339</v>
      </c>
      <c r="B44" s="3" t="s">
        <v>228</v>
      </c>
      <c r="C44" s="3" t="s">
        <v>228</v>
      </c>
      <c r="D44" s="3"/>
      <c r="E44" s="3" t="s">
        <v>3293</v>
      </c>
      <c r="F44" s="3"/>
      <c r="G44" s="3"/>
      <c r="H44" s="3"/>
      <c r="I44" s="3"/>
      <c r="J44" s="3">
        <v>1</v>
      </c>
      <c r="K44" s="3">
        <v>1</v>
      </c>
      <c r="L44" s="3">
        <v>0</v>
      </c>
      <c r="M44" s="3">
        <v>0</v>
      </c>
      <c r="N44" s="3">
        <v>1</v>
      </c>
      <c r="O44" s="3"/>
      <c r="P44" s="3">
        <v>0</v>
      </c>
      <c r="Q44" s="3">
        <v>0</v>
      </c>
      <c r="R44" s="3">
        <v>0</v>
      </c>
    </row>
    <row r="45" spans="1:18">
      <c r="A45" s="3" t="s">
        <v>3340</v>
      </c>
      <c r="B45" s="3" t="s">
        <v>339</v>
      </c>
      <c r="C45" s="3" t="s">
        <v>339</v>
      </c>
      <c r="D45" s="3"/>
      <c r="E45" s="3" t="s">
        <v>3293</v>
      </c>
      <c r="F45" s="3"/>
      <c r="G45" s="3"/>
      <c r="H45" s="3"/>
      <c r="I45" s="3"/>
      <c r="J45" s="3">
        <v>1</v>
      </c>
      <c r="K45" s="3">
        <v>1</v>
      </c>
      <c r="L45" s="3">
        <v>0</v>
      </c>
      <c r="M45" s="3">
        <v>0</v>
      </c>
      <c r="N45" s="3">
        <v>1</v>
      </c>
      <c r="O45" s="3"/>
      <c r="P45" s="3">
        <v>0</v>
      </c>
      <c r="Q45" s="3">
        <v>0</v>
      </c>
      <c r="R45" s="3">
        <v>0</v>
      </c>
    </row>
    <row r="46" spans="1:18">
      <c r="A46" s="3" t="s">
        <v>3341</v>
      </c>
      <c r="B46" s="3" t="s">
        <v>873</v>
      </c>
      <c r="C46" s="3" t="s">
        <v>873</v>
      </c>
      <c r="D46" s="3"/>
      <c r="E46" s="3" t="s">
        <v>3293</v>
      </c>
      <c r="F46" s="3"/>
      <c r="G46" s="3"/>
      <c r="H46" s="3"/>
      <c r="I46" s="3"/>
      <c r="J46" s="3">
        <v>17</v>
      </c>
      <c r="K46" s="3">
        <v>17</v>
      </c>
      <c r="L46" s="3">
        <v>0</v>
      </c>
      <c r="M46" s="3">
        <v>0</v>
      </c>
      <c r="N46" s="3">
        <v>17</v>
      </c>
      <c r="O46" s="3"/>
      <c r="P46" s="3">
        <v>0</v>
      </c>
      <c r="Q46" s="3">
        <v>0</v>
      </c>
      <c r="R46" s="3">
        <v>0</v>
      </c>
    </row>
    <row r="47" spans="1:18">
      <c r="A47" s="3" t="s">
        <v>3342</v>
      </c>
      <c r="B47" s="3" t="s">
        <v>2718</v>
      </c>
      <c r="C47" s="3" t="s">
        <v>2718</v>
      </c>
      <c r="D47" s="3"/>
      <c r="E47" s="3" t="s">
        <v>3293</v>
      </c>
      <c r="F47" s="3"/>
      <c r="G47" s="3"/>
      <c r="H47" s="3"/>
      <c r="I47" s="3"/>
      <c r="J47" s="3">
        <v>3</v>
      </c>
      <c r="K47" s="3">
        <v>3</v>
      </c>
      <c r="L47" s="3">
        <v>0</v>
      </c>
      <c r="M47" s="3">
        <v>0</v>
      </c>
      <c r="N47" s="3">
        <v>3</v>
      </c>
      <c r="O47" s="3"/>
      <c r="P47" s="3">
        <v>0</v>
      </c>
      <c r="Q47" s="3">
        <v>0</v>
      </c>
      <c r="R47" s="3">
        <v>0</v>
      </c>
    </row>
    <row r="48" spans="1:18">
      <c r="A48" s="3" t="s">
        <v>23</v>
      </c>
      <c r="B48" s="3" t="s">
        <v>24</v>
      </c>
      <c r="C48" s="3" t="s">
        <v>24</v>
      </c>
      <c r="D48" s="3"/>
      <c r="E48" s="3" t="s">
        <v>3293</v>
      </c>
      <c r="F48" s="3"/>
      <c r="G48" s="3"/>
      <c r="H48" s="3"/>
      <c r="I48" s="3"/>
      <c r="J48" s="3">
        <v>2</v>
      </c>
      <c r="K48" s="3">
        <v>1</v>
      </c>
      <c r="L48" s="3">
        <v>0</v>
      </c>
      <c r="M48" s="3">
        <v>1</v>
      </c>
      <c r="N48" s="3">
        <v>2</v>
      </c>
      <c r="O48" s="3"/>
      <c r="P48" s="3">
        <v>0</v>
      </c>
      <c r="Q48" s="3">
        <v>0</v>
      </c>
      <c r="R48" s="3">
        <v>0</v>
      </c>
    </row>
    <row r="49" spans="1:18">
      <c r="A49" s="3" t="s">
        <v>8</v>
      </c>
      <c r="B49" s="3" t="s">
        <v>9</v>
      </c>
      <c r="C49" s="3" t="s">
        <v>9</v>
      </c>
      <c r="D49" s="3"/>
      <c r="E49" s="3" t="s">
        <v>3293</v>
      </c>
      <c r="F49" s="3"/>
      <c r="G49" s="3"/>
      <c r="H49" s="3"/>
      <c r="I49" s="3"/>
      <c r="J49" s="3">
        <v>8</v>
      </c>
      <c r="K49" s="3">
        <v>7</v>
      </c>
      <c r="L49" s="3">
        <v>0</v>
      </c>
      <c r="M49" s="3">
        <v>1</v>
      </c>
      <c r="N49" s="3">
        <v>8</v>
      </c>
      <c r="O49" s="3"/>
      <c r="P49" s="3">
        <v>0</v>
      </c>
      <c r="Q49" s="3">
        <v>0</v>
      </c>
      <c r="R49" s="3">
        <v>0</v>
      </c>
    </row>
    <row r="50" spans="1:18">
      <c r="A50" s="3" t="s">
        <v>3343</v>
      </c>
      <c r="B50" s="3" t="s">
        <v>3344</v>
      </c>
      <c r="C50" s="3" t="s">
        <v>3344</v>
      </c>
      <c r="D50" s="3"/>
      <c r="E50" s="3" t="s">
        <v>3293</v>
      </c>
      <c r="F50" s="3"/>
      <c r="G50" s="3"/>
      <c r="H50" s="3"/>
      <c r="I50" s="3"/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/>
      <c r="P50" s="3">
        <v>0</v>
      </c>
      <c r="Q50" s="3">
        <v>0</v>
      </c>
      <c r="R50" s="3">
        <v>0</v>
      </c>
    </row>
    <row r="51" spans="1:18">
      <c r="A51" s="3" t="s">
        <v>3345</v>
      </c>
      <c r="B51" s="3" t="s">
        <v>2919</v>
      </c>
      <c r="C51" s="3" t="s">
        <v>2919</v>
      </c>
      <c r="D51" s="3"/>
      <c r="E51" s="3" t="s">
        <v>3293</v>
      </c>
      <c r="F51" s="3"/>
      <c r="G51" s="3"/>
      <c r="H51" s="3"/>
      <c r="I51" s="3"/>
      <c r="J51" s="3">
        <v>4</v>
      </c>
      <c r="K51" s="3">
        <v>4</v>
      </c>
      <c r="L51" s="3">
        <v>0</v>
      </c>
      <c r="M51" s="3">
        <v>0</v>
      </c>
      <c r="N51" s="3">
        <v>4</v>
      </c>
      <c r="O51" s="3"/>
      <c r="P51" s="3">
        <v>0</v>
      </c>
      <c r="Q51" s="3">
        <v>0</v>
      </c>
      <c r="R51" s="3">
        <v>0</v>
      </c>
    </row>
    <row r="52" spans="1:18">
      <c r="A52" s="3" t="s">
        <v>3346</v>
      </c>
      <c r="B52" s="3" t="s">
        <v>3347</v>
      </c>
      <c r="C52" s="3" t="s">
        <v>3347</v>
      </c>
      <c r="D52" s="3"/>
      <c r="E52" s="3" t="s">
        <v>3293</v>
      </c>
      <c r="F52" s="3"/>
      <c r="G52" s="3"/>
      <c r="H52" s="3"/>
      <c r="I52" s="3"/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/>
      <c r="P52" s="3">
        <v>0</v>
      </c>
      <c r="Q52" s="3">
        <v>0</v>
      </c>
      <c r="R52" s="3">
        <v>0</v>
      </c>
    </row>
    <row r="53" spans="1:18">
      <c r="A53" s="3" t="s">
        <v>3348</v>
      </c>
      <c r="B53" s="3" t="s">
        <v>3349</v>
      </c>
      <c r="C53" s="3" t="s">
        <v>3349</v>
      </c>
      <c r="D53" s="3"/>
      <c r="E53" s="3" t="s">
        <v>3293</v>
      </c>
      <c r="F53" s="3"/>
      <c r="G53" s="3"/>
      <c r="H53" s="3"/>
      <c r="I53" s="3"/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/>
      <c r="P53" s="3">
        <v>0</v>
      </c>
      <c r="Q53" s="3">
        <v>0</v>
      </c>
      <c r="R53" s="3">
        <v>0</v>
      </c>
    </row>
    <row r="54" spans="1:18">
      <c r="A54" s="3" t="s">
        <v>3350</v>
      </c>
      <c r="B54" s="3" t="s">
        <v>3351</v>
      </c>
      <c r="C54" s="3" t="s">
        <v>3351</v>
      </c>
      <c r="D54" s="3"/>
      <c r="E54" s="3" t="s">
        <v>3293</v>
      </c>
      <c r="F54" s="3"/>
      <c r="G54" s="3"/>
      <c r="H54" s="3"/>
      <c r="I54" s="3"/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/>
      <c r="P54" s="3">
        <v>0</v>
      </c>
      <c r="Q54" s="3">
        <v>0</v>
      </c>
      <c r="R54" s="3">
        <v>0</v>
      </c>
    </row>
    <row r="55" spans="1:18">
      <c r="A55" s="3" t="s">
        <v>3352</v>
      </c>
      <c r="B55" s="3" t="s">
        <v>3353</v>
      </c>
      <c r="C55" s="3" t="s">
        <v>3353</v>
      </c>
      <c r="D55" s="3"/>
      <c r="E55" s="3" t="s">
        <v>3293</v>
      </c>
      <c r="F55" s="3"/>
      <c r="G55" s="3"/>
      <c r="H55" s="3"/>
      <c r="I55" s="3"/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/>
      <c r="P55" s="3">
        <v>0</v>
      </c>
      <c r="Q55" s="3">
        <v>0</v>
      </c>
      <c r="R55" s="3">
        <v>0</v>
      </c>
    </row>
    <row r="56" spans="1:18">
      <c r="A56" s="3" t="s">
        <v>3354</v>
      </c>
      <c r="B56" s="3" t="s">
        <v>1528</v>
      </c>
      <c r="C56" s="3" t="s">
        <v>1528</v>
      </c>
      <c r="D56" s="3"/>
      <c r="E56" s="3" t="s">
        <v>3293</v>
      </c>
      <c r="F56" s="3"/>
      <c r="G56" s="3"/>
      <c r="H56" s="3"/>
      <c r="I56" s="3"/>
      <c r="J56" s="3">
        <v>1</v>
      </c>
      <c r="K56" s="3">
        <v>0</v>
      </c>
      <c r="L56" s="3">
        <v>1</v>
      </c>
      <c r="M56" s="3">
        <v>0</v>
      </c>
      <c r="N56" s="3">
        <v>1</v>
      </c>
      <c r="O56" s="3"/>
      <c r="P56" s="3">
        <v>0</v>
      </c>
      <c r="Q56" s="3">
        <v>0</v>
      </c>
      <c r="R56" s="3">
        <v>0</v>
      </c>
    </row>
    <row r="57" spans="1:18">
      <c r="A57" s="3" t="s">
        <v>3355</v>
      </c>
      <c r="B57" s="3" t="s">
        <v>3356</v>
      </c>
      <c r="C57" s="3" t="s">
        <v>3356</v>
      </c>
      <c r="D57" s="3"/>
      <c r="E57" s="3" t="s">
        <v>3293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3357</v>
      </c>
      <c r="B58" s="3" t="s">
        <v>3358</v>
      </c>
      <c r="C58" s="3" t="s">
        <v>3358</v>
      </c>
      <c r="D58" s="3"/>
      <c r="E58" s="3" t="s">
        <v>3293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3359</v>
      </c>
      <c r="B59" s="3" t="s">
        <v>2229</v>
      </c>
      <c r="C59" s="3" t="s">
        <v>2229</v>
      </c>
      <c r="D59" s="3"/>
      <c r="E59" s="3" t="s">
        <v>3293</v>
      </c>
      <c r="F59" s="3"/>
      <c r="G59" s="3"/>
      <c r="H59" s="3"/>
      <c r="I59" s="3"/>
      <c r="J59" s="3">
        <v>1</v>
      </c>
      <c r="K59" s="3">
        <v>1</v>
      </c>
      <c r="L59" s="3">
        <v>0</v>
      </c>
      <c r="M59" s="3">
        <v>0</v>
      </c>
      <c r="N59" s="3">
        <v>1</v>
      </c>
      <c r="O59" s="3"/>
      <c r="P59" s="3">
        <v>0</v>
      </c>
      <c r="Q59" s="3">
        <v>0</v>
      </c>
      <c r="R59" s="3">
        <v>0</v>
      </c>
    </row>
    <row r="60" spans="1:18">
      <c r="A60" s="3" t="s">
        <v>3360</v>
      </c>
      <c r="B60" s="3" t="s">
        <v>3361</v>
      </c>
      <c r="C60" s="3" t="s">
        <v>3361</v>
      </c>
      <c r="D60" s="3"/>
      <c r="E60" s="3" t="s">
        <v>3293</v>
      </c>
      <c r="F60" s="3"/>
      <c r="G60" s="3"/>
      <c r="H60" s="3"/>
      <c r="I60" s="3"/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/>
      <c r="P60" s="3">
        <v>0</v>
      </c>
      <c r="Q60" s="3">
        <v>0</v>
      </c>
      <c r="R60" s="3">
        <v>0</v>
      </c>
    </row>
    <row r="61" spans="1:18">
      <c r="A61" s="3" t="s">
        <v>3362</v>
      </c>
      <c r="B61" s="3" t="s">
        <v>3363</v>
      </c>
      <c r="C61" s="3" t="s">
        <v>3363</v>
      </c>
      <c r="D61" s="3"/>
      <c r="E61" s="3" t="s">
        <v>3293</v>
      </c>
      <c r="F61" s="3"/>
      <c r="G61" s="3"/>
      <c r="H61" s="3"/>
      <c r="I61" s="3"/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/>
      <c r="P61" s="3">
        <v>0</v>
      </c>
      <c r="Q61" s="3">
        <v>0</v>
      </c>
      <c r="R61" s="3">
        <v>0</v>
      </c>
    </row>
    <row r="62" spans="1:18">
      <c r="A62" s="3" t="s">
        <v>3364</v>
      </c>
      <c r="B62" s="3" t="s">
        <v>3365</v>
      </c>
      <c r="C62" s="3" t="s">
        <v>3365</v>
      </c>
      <c r="D62" s="3"/>
      <c r="E62" s="3" t="s">
        <v>3293</v>
      </c>
      <c r="F62" s="3"/>
      <c r="G62" s="3"/>
      <c r="H62" s="3"/>
      <c r="I62" s="3"/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/>
      <c r="P62" s="3">
        <v>0</v>
      </c>
      <c r="Q62" s="3">
        <v>0</v>
      </c>
      <c r="R62" s="3">
        <v>0</v>
      </c>
    </row>
    <row r="63" spans="1:18">
      <c r="A63" s="3" t="s">
        <v>3366</v>
      </c>
      <c r="B63" s="3" t="s">
        <v>3367</v>
      </c>
      <c r="C63" s="3" t="s">
        <v>3367</v>
      </c>
      <c r="D63" s="3"/>
      <c r="E63" s="3" t="s">
        <v>3293</v>
      </c>
      <c r="F63" s="3"/>
      <c r="G63" s="3"/>
      <c r="H63" s="3"/>
      <c r="I63" s="3"/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/>
      <c r="P63" s="3">
        <v>0</v>
      </c>
      <c r="Q63" s="3">
        <v>0</v>
      </c>
      <c r="R63" s="3">
        <v>0</v>
      </c>
    </row>
    <row r="64" spans="1:18">
      <c r="A64" s="3" t="s">
        <v>3368</v>
      </c>
      <c r="B64" s="3" t="s">
        <v>1957</v>
      </c>
      <c r="C64" s="3" t="s">
        <v>1957</v>
      </c>
      <c r="D64" s="3"/>
      <c r="E64" s="3" t="s">
        <v>3293</v>
      </c>
      <c r="F64" s="3"/>
      <c r="G64" s="3"/>
      <c r="H64" s="3"/>
      <c r="I64" s="3"/>
      <c r="J64" s="3">
        <v>1</v>
      </c>
      <c r="K64" s="3">
        <v>1</v>
      </c>
      <c r="L64" s="3">
        <v>0</v>
      </c>
      <c r="M64" s="3">
        <v>0</v>
      </c>
      <c r="N64" s="3">
        <v>1</v>
      </c>
      <c r="O64" s="3"/>
      <c r="P64" s="3">
        <v>0</v>
      </c>
      <c r="Q64" s="3">
        <v>0</v>
      </c>
      <c r="R64" s="3">
        <v>0</v>
      </c>
    </row>
    <row r="65" spans="1:18">
      <c r="A65" s="3" t="s">
        <v>3369</v>
      </c>
      <c r="B65" s="3" t="s">
        <v>1052</v>
      </c>
      <c r="C65" s="3" t="s">
        <v>1052</v>
      </c>
      <c r="D65" s="3"/>
      <c r="E65" s="3" t="s">
        <v>3293</v>
      </c>
      <c r="F65" s="3"/>
      <c r="G65" s="3"/>
      <c r="H65" s="3"/>
      <c r="I65" s="3"/>
      <c r="J65" s="3">
        <v>4</v>
      </c>
      <c r="K65" s="3">
        <v>4</v>
      </c>
      <c r="L65" s="3">
        <v>0</v>
      </c>
      <c r="M65" s="3">
        <v>0</v>
      </c>
      <c r="N65" s="3">
        <v>4</v>
      </c>
      <c r="O65" s="3"/>
      <c r="P65" s="3">
        <v>0</v>
      </c>
      <c r="Q65" s="3">
        <v>0</v>
      </c>
      <c r="R65" s="3">
        <v>0</v>
      </c>
    </row>
    <row r="66" spans="1:18">
      <c r="A66" s="3" t="s">
        <v>3370</v>
      </c>
      <c r="B66" s="3" t="s">
        <v>3371</v>
      </c>
      <c r="C66" s="3" t="s">
        <v>3371</v>
      </c>
      <c r="D66" s="3"/>
      <c r="E66" s="3" t="s">
        <v>3293</v>
      </c>
      <c r="F66" s="3"/>
      <c r="G66" s="3"/>
      <c r="H66" s="3"/>
      <c r="I66" s="3"/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/>
      <c r="P66" s="3">
        <v>0</v>
      </c>
      <c r="Q66" s="3">
        <v>0</v>
      </c>
      <c r="R66" s="3">
        <v>0</v>
      </c>
    </row>
    <row r="67" spans="1:18">
      <c r="A67" s="3" t="s">
        <v>3372</v>
      </c>
      <c r="B67" s="3" t="s">
        <v>1420</v>
      </c>
      <c r="C67" s="3" t="s">
        <v>1420</v>
      </c>
      <c r="D67" s="3"/>
      <c r="E67" s="3" t="s">
        <v>3293</v>
      </c>
      <c r="F67" s="3"/>
      <c r="G67" s="3"/>
      <c r="H67" s="3"/>
      <c r="I67" s="3"/>
      <c r="J67" s="3">
        <v>1</v>
      </c>
      <c r="K67" s="3">
        <v>1</v>
      </c>
      <c r="L67" s="3">
        <v>0</v>
      </c>
      <c r="M67" s="3">
        <v>0</v>
      </c>
      <c r="N67" s="3">
        <v>1</v>
      </c>
      <c r="O67" s="3"/>
      <c r="P67" s="3">
        <v>0</v>
      </c>
      <c r="Q67" s="3">
        <v>0</v>
      </c>
      <c r="R67" s="3">
        <v>0</v>
      </c>
    </row>
    <row r="68" spans="1:18">
      <c r="A68" s="3" t="s">
        <v>3373</v>
      </c>
      <c r="B68" s="3" t="s">
        <v>420</v>
      </c>
      <c r="C68" s="3" t="s">
        <v>420</v>
      </c>
      <c r="D68" s="3"/>
      <c r="E68" s="3" t="s">
        <v>3293</v>
      </c>
      <c r="F68" s="3"/>
      <c r="G68" s="3"/>
      <c r="H68" s="3"/>
      <c r="I68" s="3"/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/>
      <c r="P68" s="3">
        <v>0</v>
      </c>
      <c r="Q68" s="3">
        <v>0</v>
      </c>
      <c r="R68" s="3">
        <v>0</v>
      </c>
    </row>
    <row r="69" spans="1:18">
      <c r="A69" s="3" t="s">
        <v>3374</v>
      </c>
      <c r="B69" s="3" t="s">
        <v>1156</v>
      </c>
      <c r="C69" s="3" t="s">
        <v>1156</v>
      </c>
      <c r="D69" s="3"/>
      <c r="E69" s="3" t="s">
        <v>3293</v>
      </c>
      <c r="F69" s="3"/>
      <c r="G69" s="3"/>
      <c r="H69" s="3"/>
      <c r="I69" s="3"/>
      <c r="J69" s="3">
        <v>2</v>
      </c>
      <c r="K69" s="3">
        <v>2</v>
      </c>
      <c r="L69" s="3">
        <v>0</v>
      </c>
      <c r="M69" s="3">
        <v>0</v>
      </c>
      <c r="N69" s="3">
        <v>2</v>
      </c>
      <c r="O69" s="3"/>
      <c r="P69" s="3">
        <v>0</v>
      </c>
      <c r="Q69" s="3">
        <v>0</v>
      </c>
      <c r="R69" s="3">
        <v>0</v>
      </c>
    </row>
    <row r="70" spans="1:18">
      <c r="A70" s="3" t="s">
        <v>3375</v>
      </c>
      <c r="B70" s="3" t="s">
        <v>2330</v>
      </c>
      <c r="C70" s="3" t="s">
        <v>2330</v>
      </c>
      <c r="D70" s="3"/>
      <c r="E70" s="3" t="s">
        <v>3293</v>
      </c>
      <c r="F70" s="3"/>
      <c r="G70" s="3"/>
      <c r="H70" s="3"/>
      <c r="I70" s="3"/>
      <c r="J70" s="3">
        <v>2</v>
      </c>
      <c r="K70" s="3">
        <v>2</v>
      </c>
      <c r="L70" s="3">
        <v>0</v>
      </c>
      <c r="M70" s="3">
        <v>0</v>
      </c>
      <c r="N70" s="3">
        <v>2</v>
      </c>
      <c r="O70" s="3"/>
      <c r="P70" s="3">
        <v>0</v>
      </c>
      <c r="Q70" s="3">
        <v>0</v>
      </c>
      <c r="R70" s="3">
        <v>0</v>
      </c>
    </row>
    <row r="71" spans="1:18">
      <c r="A71" s="3" t="s">
        <v>3376</v>
      </c>
      <c r="B71" s="3" t="s">
        <v>3377</v>
      </c>
      <c r="C71" s="3" t="s">
        <v>3377</v>
      </c>
      <c r="D71" s="3"/>
      <c r="E71" s="3" t="s">
        <v>3293</v>
      </c>
      <c r="F71" s="3"/>
      <c r="G71" s="3"/>
      <c r="H71" s="3"/>
      <c r="I71" s="3"/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/>
      <c r="P71" s="3">
        <v>0</v>
      </c>
      <c r="Q71" s="3">
        <v>0</v>
      </c>
      <c r="R71" s="3">
        <v>0</v>
      </c>
    </row>
    <row r="72" spans="1:18">
      <c r="A72" s="3" t="s">
        <v>3378</v>
      </c>
      <c r="B72" s="3" t="s">
        <v>3379</v>
      </c>
      <c r="C72" s="3" t="s">
        <v>3379</v>
      </c>
      <c r="D72" s="3"/>
      <c r="E72" s="3" t="s">
        <v>3293</v>
      </c>
      <c r="F72" s="3"/>
      <c r="G72" s="3"/>
      <c r="H72" s="3"/>
      <c r="I72" s="3"/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/>
      <c r="P72" s="3">
        <v>0</v>
      </c>
      <c r="Q72" s="3">
        <v>0</v>
      </c>
      <c r="R72" s="3">
        <v>0</v>
      </c>
    </row>
    <row r="73" spans="1:18">
      <c r="A73" s="3" t="s">
        <v>3380</v>
      </c>
      <c r="B73" s="3" t="s">
        <v>3381</v>
      </c>
      <c r="C73" s="3" t="s">
        <v>3381</v>
      </c>
      <c r="D73" s="3"/>
      <c r="E73" s="3" t="s">
        <v>3293</v>
      </c>
      <c r="F73" s="3"/>
      <c r="G73" s="3"/>
      <c r="H73" s="3"/>
      <c r="I73" s="3"/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/>
      <c r="P73" s="3">
        <v>0</v>
      </c>
      <c r="Q73" s="3">
        <v>0</v>
      </c>
      <c r="R73" s="3">
        <v>0</v>
      </c>
    </row>
    <row r="74" spans="1:18">
      <c r="A74" s="3" t="s">
        <v>3382</v>
      </c>
      <c r="B74" s="3" t="s">
        <v>3383</v>
      </c>
      <c r="C74" s="3" t="s">
        <v>3383</v>
      </c>
      <c r="D74" s="3"/>
      <c r="E74" s="3" t="s">
        <v>3293</v>
      </c>
      <c r="F74" s="3"/>
      <c r="G74" s="3"/>
      <c r="H74" s="3"/>
      <c r="I74" s="3"/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/>
      <c r="P74" s="3">
        <v>0</v>
      </c>
      <c r="Q74" s="3">
        <v>0</v>
      </c>
      <c r="R74" s="3">
        <v>0</v>
      </c>
    </row>
    <row r="75" spans="1:18">
      <c r="A75" s="3" t="s">
        <v>3384</v>
      </c>
      <c r="B75" s="3" t="s">
        <v>3385</v>
      </c>
      <c r="C75" s="3" t="s">
        <v>3385</v>
      </c>
      <c r="D75" s="3"/>
      <c r="E75" s="3" t="s">
        <v>3293</v>
      </c>
      <c r="F75" s="3"/>
      <c r="G75" s="3"/>
      <c r="H75" s="3"/>
      <c r="I75" s="3"/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/>
      <c r="P75" s="3">
        <v>0</v>
      </c>
      <c r="Q75" s="3">
        <v>0</v>
      </c>
      <c r="R75" s="3">
        <v>0</v>
      </c>
    </row>
    <row r="76" spans="1:18">
      <c r="A76" s="3" t="s">
        <v>3386</v>
      </c>
      <c r="B76" s="3" t="s">
        <v>1193</v>
      </c>
      <c r="C76" s="3" t="s">
        <v>1193</v>
      </c>
      <c r="D76" s="3"/>
      <c r="E76" s="3" t="s">
        <v>3293</v>
      </c>
      <c r="F76" s="3"/>
      <c r="G76" s="3"/>
      <c r="H76" s="3"/>
      <c r="I76" s="3"/>
      <c r="J76" s="3">
        <v>2</v>
      </c>
      <c r="K76" s="3">
        <v>2</v>
      </c>
      <c r="L76" s="3">
        <v>0</v>
      </c>
      <c r="M76" s="3">
        <v>0</v>
      </c>
      <c r="N76" s="3">
        <v>2</v>
      </c>
      <c r="O76" s="3"/>
      <c r="P76" s="3">
        <v>0</v>
      </c>
      <c r="Q76" s="3">
        <v>0</v>
      </c>
      <c r="R76" s="3">
        <v>0</v>
      </c>
    </row>
    <row r="77" spans="1:18">
      <c r="A77" s="3" t="s">
        <v>1826</v>
      </c>
      <c r="B77" s="3" t="s">
        <v>1827</v>
      </c>
      <c r="C77" s="3" t="s">
        <v>1827</v>
      </c>
      <c r="D77" s="3"/>
      <c r="E77" s="3" t="s">
        <v>3293</v>
      </c>
      <c r="F77" s="3"/>
      <c r="G77" s="3"/>
      <c r="H77" s="3"/>
      <c r="I77" s="3"/>
      <c r="J77" s="3">
        <v>5</v>
      </c>
      <c r="K77" s="3">
        <v>5</v>
      </c>
      <c r="L77" s="3">
        <v>0</v>
      </c>
      <c r="M77" s="3">
        <v>0</v>
      </c>
      <c r="N77" s="3">
        <v>5</v>
      </c>
      <c r="O77" s="3"/>
      <c r="P77" s="3">
        <v>0</v>
      </c>
      <c r="Q77" s="3">
        <v>0</v>
      </c>
      <c r="R77" s="3">
        <v>0</v>
      </c>
    </row>
    <row r="78" spans="1:18">
      <c r="A78" s="3" t="s">
        <v>3387</v>
      </c>
      <c r="B78" s="3" t="s">
        <v>1982</v>
      </c>
      <c r="C78" s="3" t="s">
        <v>1982</v>
      </c>
      <c r="D78" s="3"/>
      <c r="E78" s="3" t="s">
        <v>3293</v>
      </c>
      <c r="F78" s="3"/>
      <c r="G78" s="3"/>
      <c r="H78" s="3"/>
      <c r="I78" s="3"/>
      <c r="J78" s="3">
        <v>30</v>
      </c>
      <c r="K78" s="3">
        <v>30</v>
      </c>
      <c r="L78" s="3">
        <v>0</v>
      </c>
      <c r="M78" s="3">
        <v>0</v>
      </c>
      <c r="N78" s="3">
        <v>30</v>
      </c>
      <c r="O78" s="3"/>
      <c r="P78" s="3">
        <v>0</v>
      </c>
      <c r="Q78" s="3">
        <v>0</v>
      </c>
      <c r="R78" s="3">
        <v>0</v>
      </c>
    </row>
    <row r="79" spans="1:18">
      <c r="A79" s="3" t="s">
        <v>20</v>
      </c>
      <c r="B79" s="3" t="s">
        <v>21</v>
      </c>
      <c r="C79" s="3" t="s">
        <v>21</v>
      </c>
      <c r="D79" s="3"/>
      <c r="E79" s="3" t="s">
        <v>3293</v>
      </c>
      <c r="F79" s="3"/>
      <c r="G79" s="3"/>
      <c r="H79" s="3"/>
      <c r="I79" s="3"/>
      <c r="J79" s="3">
        <v>1</v>
      </c>
      <c r="K79" s="3">
        <v>0</v>
      </c>
      <c r="L79" s="3">
        <v>0</v>
      </c>
      <c r="M79" s="3">
        <v>1</v>
      </c>
      <c r="N79" s="3">
        <v>1</v>
      </c>
      <c r="O79" s="3"/>
      <c r="P79" s="3">
        <v>0</v>
      </c>
      <c r="Q79" s="3">
        <v>0</v>
      </c>
      <c r="R79" s="3">
        <v>0</v>
      </c>
    </row>
    <row r="80" spans="1:18">
      <c r="A80" s="3" t="s">
        <v>3388</v>
      </c>
      <c r="B80" s="3" t="s">
        <v>3389</v>
      </c>
      <c r="C80" s="3" t="s">
        <v>3389</v>
      </c>
      <c r="D80" s="3" t="s">
        <v>3390</v>
      </c>
      <c r="E80" s="3" t="s">
        <v>867</v>
      </c>
      <c r="F80" s="3">
        <v>179</v>
      </c>
      <c r="G80" s="3" t="s">
        <v>3391</v>
      </c>
      <c r="H80" s="3"/>
      <c r="I80" s="3" t="s">
        <v>3392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0.71</v>
      </c>
      <c r="P80" s="3">
        <v>0</v>
      </c>
      <c r="Q80" s="3">
        <v>0</v>
      </c>
      <c r="R80" s="3">
        <v>0</v>
      </c>
    </row>
    <row r="81" spans="1:18">
      <c r="A81" s="3" t="s">
        <v>1048</v>
      </c>
      <c r="B81" s="3" t="s">
        <v>1049</v>
      </c>
      <c r="C81" s="3" t="s">
        <v>1049</v>
      </c>
      <c r="D81" s="3" t="s">
        <v>1050</v>
      </c>
      <c r="E81" s="3" t="s">
        <v>867</v>
      </c>
      <c r="F81" s="3">
        <v>179</v>
      </c>
      <c r="G81" s="3" t="s">
        <v>3391</v>
      </c>
      <c r="H81" s="3"/>
      <c r="I81" s="3" t="s">
        <v>3392</v>
      </c>
      <c r="J81" s="3">
        <v>1</v>
      </c>
      <c r="K81" s="3">
        <v>1</v>
      </c>
      <c r="L81" s="3">
        <v>0</v>
      </c>
      <c r="M81" s="3">
        <v>0</v>
      </c>
      <c r="N81" s="3">
        <v>1</v>
      </c>
      <c r="O81" s="3">
        <v>0.53</v>
      </c>
      <c r="P81" s="3">
        <v>0</v>
      </c>
      <c r="Q81" s="3">
        <v>0</v>
      </c>
      <c r="R81" s="3">
        <v>0</v>
      </c>
    </row>
    <row r="82" spans="1:18">
      <c r="A82" s="3" t="s">
        <v>3393</v>
      </c>
      <c r="B82" s="3" t="s">
        <v>3394</v>
      </c>
      <c r="C82" s="3" t="s">
        <v>3394</v>
      </c>
      <c r="D82" s="3" t="s">
        <v>3395</v>
      </c>
      <c r="E82" s="3" t="s">
        <v>867</v>
      </c>
      <c r="F82" s="3">
        <v>179</v>
      </c>
      <c r="G82" s="3" t="s">
        <v>3391</v>
      </c>
      <c r="H82" s="3"/>
      <c r="I82" s="3" t="s">
        <v>3392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0.68</v>
      </c>
      <c r="P82" s="3">
        <v>0</v>
      </c>
      <c r="Q82" s="3">
        <v>0</v>
      </c>
      <c r="R82" s="3">
        <v>0</v>
      </c>
    </row>
    <row r="83" spans="1:18">
      <c r="A83" s="3" t="s">
        <v>3396</v>
      </c>
      <c r="B83" s="3" t="s">
        <v>3397</v>
      </c>
      <c r="C83" s="3" t="s">
        <v>3397</v>
      </c>
      <c r="D83" s="3" t="s">
        <v>3398</v>
      </c>
      <c r="E83" s="3" t="s">
        <v>867</v>
      </c>
      <c r="F83" s="3">
        <v>179</v>
      </c>
      <c r="G83" s="3" t="s">
        <v>3391</v>
      </c>
      <c r="H83" s="3"/>
      <c r="I83" s="3" t="s">
        <v>3392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0.59</v>
      </c>
      <c r="P83" s="3">
        <v>0</v>
      </c>
      <c r="Q83" s="3">
        <v>0</v>
      </c>
      <c r="R83" s="3">
        <v>0</v>
      </c>
    </row>
    <row r="84" spans="1:18">
      <c r="A84" s="3" t="s">
        <v>3399</v>
      </c>
      <c r="B84" s="3" t="s">
        <v>3400</v>
      </c>
      <c r="C84" s="3" t="s">
        <v>3400</v>
      </c>
      <c r="D84" s="3" t="s">
        <v>3401</v>
      </c>
      <c r="E84" s="3" t="s">
        <v>867</v>
      </c>
      <c r="F84" s="3">
        <v>179</v>
      </c>
      <c r="G84" s="3" t="s">
        <v>3391</v>
      </c>
      <c r="H84" s="3"/>
      <c r="I84" s="3" t="s">
        <v>3392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0.46</v>
      </c>
      <c r="P84" s="3">
        <v>0</v>
      </c>
      <c r="Q84" s="3">
        <v>0</v>
      </c>
      <c r="R84" s="3">
        <v>0</v>
      </c>
    </row>
    <row r="85" spans="1:18">
      <c r="A85" s="3" t="s">
        <v>3402</v>
      </c>
      <c r="B85" s="3" t="s">
        <v>3403</v>
      </c>
      <c r="C85" s="3" t="s">
        <v>3403</v>
      </c>
      <c r="D85" s="3" t="s">
        <v>3404</v>
      </c>
      <c r="E85" s="3" t="s">
        <v>867</v>
      </c>
      <c r="F85" s="3">
        <v>179</v>
      </c>
      <c r="G85" s="3" t="s">
        <v>3391</v>
      </c>
      <c r="H85" s="3"/>
      <c r="I85" s="3" t="s">
        <v>3392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0.68</v>
      </c>
      <c r="P85" s="3">
        <v>0</v>
      </c>
      <c r="Q85" s="3">
        <v>0</v>
      </c>
      <c r="R85" s="3">
        <v>0</v>
      </c>
    </row>
    <row r="86" spans="1:18">
      <c r="A86" s="3" t="s">
        <v>3405</v>
      </c>
      <c r="B86" s="3" t="s">
        <v>3406</v>
      </c>
      <c r="C86" s="3" t="s">
        <v>3406</v>
      </c>
      <c r="D86" s="3" t="s">
        <v>3407</v>
      </c>
      <c r="E86" s="3" t="s">
        <v>867</v>
      </c>
      <c r="F86" s="3">
        <v>65.98</v>
      </c>
      <c r="G86" s="3" t="s">
        <v>3391</v>
      </c>
      <c r="H86" s="3"/>
      <c r="I86" s="3" t="s">
        <v>3392</v>
      </c>
      <c r="J86" s="3">
        <v>1</v>
      </c>
      <c r="K86" s="3">
        <v>0</v>
      </c>
      <c r="L86" s="3">
        <v>1</v>
      </c>
      <c r="M86" s="3">
        <v>0</v>
      </c>
      <c r="N86" s="3">
        <v>1</v>
      </c>
      <c r="O86" s="3">
        <v>0.68</v>
      </c>
      <c r="P86" s="3">
        <v>0</v>
      </c>
      <c r="Q86" s="3">
        <v>0</v>
      </c>
      <c r="R86" s="3">
        <v>0</v>
      </c>
    </row>
    <row r="87" spans="1:18">
      <c r="A87" s="3" t="s">
        <v>3408</v>
      </c>
      <c r="B87" s="3" t="s">
        <v>3409</v>
      </c>
      <c r="C87" s="3" t="s">
        <v>3409</v>
      </c>
      <c r="D87" s="3" t="s">
        <v>3410</v>
      </c>
      <c r="E87" s="3" t="s">
        <v>867</v>
      </c>
      <c r="F87" s="3">
        <v>60.98</v>
      </c>
      <c r="G87" s="3" t="s">
        <v>3391</v>
      </c>
      <c r="H87" s="3"/>
      <c r="I87" s="3" t="s">
        <v>3392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0.68</v>
      </c>
      <c r="P87" s="3">
        <v>0</v>
      </c>
      <c r="Q87" s="3">
        <v>0</v>
      </c>
      <c r="R87" s="3">
        <v>0</v>
      </c>
    </row>
    <row r="88" spans="1:18">
      <c r="A88" s="3" t="s">
        <v>2798</v>
      </c>
      <c r="B88" s="3" t="s">
        <v>2799</v>
      </c>
      <c r="C88" s="3" t="s">
        <v>2799</v>
      </c>
      <c r="D88" s="3" t="s">
        <v>2800</v>
      </c>
      <c r="E88" s="3" t="s">
        <v>867</v>
      </c>
      <c r="F88" s="3">
        <v>60.98</v>
      </c>
      <c r="G88" s="3" t="s">
        <v>3391</v>
      </c>
      <c r="H88" s="3"/>
      <c r="I88" s="3" t="s">
        <v>3392</v>
      </c>
      <c r="J88" s="3">
        <v>1</v>
      </c>
      <c r="K88" s="3">
        <v>1</v>
      </c>
      <c r="L88" s="3">
        <v>0</v>
      </c>
      <c r="M88" s="3">
        <v>0</v>
      </c>
      <c r="N88" s="3">
        <v>1</v>
      </c>
      <c r="O88" s="3">
        <v>0.4</v>
      </c>
      <c r="P88" s="3">
        <v>0</v>
      </c>
      <c r="Q88" s="3">
        <v>0</v>
      </c>
      <c r="R88" s="3">
        <v>0</v>
      </c>
    </row>
    <row r="89" spans="1:18">
      <c r="A89" s="3" t="s">
        <v>3411</v>
      </c>
      <c r="B89" s="3" t="s">
        <v>3412</v>
      </c>
      <c r="C89" s="3" t="s">
        <v>3412</v>
      </c>
      <c r="D89" s="3" t="s">
        <v>3413</v>
      </c>
      <c r="E89" s="3" t="s">
        <v>867</v>
      </c>
      <c r="F89" s="3">
        <v>179</v>
      </c>
      <c r="G89" s="3" t="s">
        <v>3391</v>
      </c>
      <c r="H89" s="3"/>
      <c r="I89" s="3" t="s">
        <v>3392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0.73</v>
      </c>
      <c r="P89" s="3">
        <v>0</v>
      </c>
      <c r="Q89" s="3">
        <v>0</v>
      </c>
      <c r="R89" s="3">
        <v>0</v>
      </c>
    </row>
    <row r="90" spans="1:18">
      <c r="A90" s="3" t="s">
        <v>2951</v>
      </c>
      <c r="B90" s="3" t="s">
        <v>2952</v>
      </c>
      <c r="C90" s="3" t="s">
        <v>2952</v>
      </c>
      <c r="D90" s="3" t="s">
        <v>2953</v>
      </c>
      <c r="E90" s="3" t="s">
        <v>867</v>
      </c>
      <c r="F90" s="3">
        <v>179</v>
      </c>
      <c r="G90" s="3" t="s">
        <v>3391</v>
      </c>
      <c r="H90" s="3"/>
      <c r="I90" s="3" t="s">
        <v>3392</v>
      </c>
      <c r="J90" s="3">
        <v>1</v>
      </c>
      <c r="K90" s="3">
        <v>1</v>
      </c>
      <c r="L90" s="3">
        <v>0</v>
      </c>
      <c r="M90" s="3">
        <v>0</v>
      </c>
      <c r="N90" s="3">
        <v>1</v>
      </c>
      <c r="O90" s="3">
        <v>0.78</v>
      </c>
      <c r="P90" s="3">
        <v>0</v>
      </c>
      <c r="Q90" s="3">
        <v>0</v>
      </c>
      <c r="R90" s="3">
        <v>0</v>
      </c>
    </row>
    <row r="91" spans="1:18">
      <c r="A91" s="3" t="s">
        <v>2211</v>
      </c>
      <c r="B91" s="3" t="s">
        <v>2212</v>
      </c>
      <c r="C91" s="3" t="s">
        <v>2212</v>
      </c>
      <c r="D91" s="3" t="s">
        <v>2213</v>
      </c>
      <c r="E91" s="3" t="s">
        <v>867</v>
      </c>
      <c r="F91" s="3">
        <v>179</v>
      </c>
      <c r="G91" s="3" t="s">
        <v>3391</v>
      </c>
      <c r="H91" s="3"/>
      <c r="I91" s="3" t="s">
        <v>3392</v>
      </c>
      <c r="J91" s="3">
        <v>1</v>
      </c>
      <c r="K91" s="3">
        <v>1</v>
      </c>
      <c r="L91" s="3">
        <v>0</v>
      </c>
      <c r="M91" s="3">
        <v>0</v>
      </c>
      <c r="N91" s="3">
        <v>1</v>
      </c>
      <c r="O91" s="3">
        <v>0.83</v>
      </c>
      <c r="P91" s="3">
        <v>0</v>
      </c>
      <c r="Q91" s="3">
        <v>0</v>
      </c>
      <c r="R91" s="3">
        <v>0</v>
      </c>
    </row>
    <row r="92" spans="1:18">
      <c r="A92" s="3" t="s">
        <v>3414</v>
      </c>
      <c r="B92" s="3" t="s">
        <v>3415</v>
      </c>
      <c r="C92" s="3" t="s">
        <v>3415</v>
      </c>
      <c r="D92" s="3" t="s">
        <v>3416</v>
      </c>
      <c r="E92" s="3" t="s">
        <v>867</v>
      </c>
      <c r="F92" s="3">
        <v>65.98</v>
      </c>
      <c r="G92" s="3" t="s">
        <v>3391</v>
      </c>
      <c r="H92" s="3"/>
      <c r="I92" s="3" t="s">
        <v>3392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0.94</v>
      </c>
      <c r="P92" s="3">
        <v>0</v>
      </c>
      <c r="Q92" s="3">
        <v>0</v>
      </c>
      <c r="R92" s="3">
        <v>0</v>
      </c>
    </row>
    <row r="93" spans="1:18">
      <c r="A93" s="3" t="s">
        <v>3417</v>
      </c>
      <c r="B93" s="3" t="s">
        <v>3418</v>
      </c>
      <c r="C93" s="3" t="s">
        <v>3418</v>
      </c>
      <c r="D93" s="3" t="s">
        <v>3419</v>
      </c>
      <c r="E93" s="3" t="s">
        <v>867</v>
      </c>
      <c r="F93" s="3">
        <v>65.98</v>
      </c>
      <c r="G93" s="3" t="s">
        <v>3391</v>
      </c>
      <c r="H93" s="3"/>
      <c r="I93" s="3" t="s">
        <v>3392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0.58</v>
      </c>
      <c r="P93" s="3">
        <v>0</v>
      </c>
      <c r="Q93" s="3">
        <v>0</v>
      </c>
      <c r="R93" s="3">
        <v>0</v>
      </c>
    </row>
    <row r="94" spans="1:18">
      <c r="A94" s="3" t="s">
        <v>1360</v>
      </c>
      <c r="B94" s="3" t="s">
        <v>1361</v>
      </c>
      <c r="C94" s="3" t="s">
        <v>1361</v>
      </c>
      <c r="D94" s="3" t="s">
        <v>1362</v>
      </c>
      <c r="E94" s="3" t="s">
        <v>867</v>
      </c>
      <c r="F94" s="3">
        <v>65.98</v>
      </c>
      <c r="G94" s="3" t="s">
        <v>3391</v>
      </c>
      <c r="H94" s="3"/>
      <c r="I94" s="3" t="s">
        <v>3392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0.54</v>
      </c>
      <c r="P94" s="3">
        <v>0</v>
      </c>
      <c r="Q94" s="3">
        <v>0</v>
      </c>
      <c r="R94" s="3">
        <v>0</v>
      </c>
    </row>
    <row r="95" spans="1:18">
      <c r="A95" s="3" t="s">
        <v>1569</v>
      </c>
      <c r="B95" s="3" t="s">
        <v>1570</v>
      </c>
      <c r="C95" s="3" t="s">
        <v>1570</v>
      </c>
      <c r="D95" s="3" t="s">
        <v>1571</v>
      </c>
      <c r="E95" s="3" t="s">
        <v>867</v>
      </c>
      <c r="F95" s="3">
        <v>62.98</v>
      </c>
      <c r="G95" s="3" t="s">
        <v>3391</v>
      </c>
      <c r="H95" s="3"/>
      <c r="I95" s="3" t="s">
        <v>3392</v>
      </c>
      <c r="J95" s="3">
        <v>1</v>
      </c>
      <c r="K95" s="3">
        <v>1</v>
      </c>
      <c r="L95" s="3">
        <v>0</v>
      </c>
      <c r="M95" s="3">
        <v>0</v>
      </c>
      <c r="N95" s="3">
        <v>1</v>
      </c>
      <c r="O95" s="3">
        <v>0.44</v>
      </c>
      <c r="P95" s="3">
        <v>0</v>
      </c>
      <c r="Q95" s="3">
        <v>0</v>
      </c>
      <c r="R95" s="3">
        <v>0</v>
      </c>
    </row>
    <row r="96" spans="1:18">
      <c r="A96" s="3" t="s">
        <v>2038</v>
      </c>
      <c r="B96" s="3" t="s">
        <v>2039</v>
      </c>
      <c r="C96" s="3" t="s">
        <v>2039</v>
      </c>
      <c r="D96" s="3"/>
      <c r="E96" s="3" t="s">
        <v>3293</v>
      </c>
      <c r="F96" s="3"/>
      <c r="G96" s="3"/>
      <c r="H96" s="3"/>
      <c r="I96" s="3"/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/>
      <c r="P96" s="3">
        <v>0</v>
      </c>
      <c r="Q96" s="3">
        <v>0</v>
      </c>
      <c r="R96" s="3">
        <v>0</v>
      </c>
    </row>
    <row r="97" spans="1:18">
      <c r="A97" s="3" t="s">
        <v>3420</v>
      </c>
      <c r="B97" s="3" t="s">
        <v>3421</v>
      </c>
      <c r="C97" s="3" t="s">
        <v>3421</v>
      </c>
      <c r="D97" s="3" t="s">
        <v>3422</v>
      </c>
      <c r="E97" s="3" t="s">
        <v>867</v>
      </c>
      <c r="F97" s="3">
        <v>65.98</v>
      </c>
      <c r="G97" s="3" t="s">
        <v>3391</v>
      </c>
      <c r="H97" s="3"/>
      <c r="I97" s="3" t="s">
        <v>3392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0.73</v>
      </c>
      <c r="P97" s="3">
        <v>0</v>
      </c>
      <c r="Q97" s="3">
        <v>0</v>
      </c>
      <c r="R97" s="3">
        <v>0</v>
      </c>
    </row>
    <row r="98" spans="1:18">
      <c r="A98" s="3" t="s">
        <v>3423</v>
      </c>
      <c r="B98" s="3" t="s">
        <v>3424</v>
      </c>
      <c r="C98" s="3" t="s">
        <v>3424</v>
      </c>
      <c r="D98" s="3" t="s">
        <v>3425</v>
      </c>
      <c r="E98" s="3" t="s">
        <v>867</v>
      </c>
      <c r="F98" s="3">
        <v>65.98</v>
      </c>
      <c r="G98" s="3" t="s">
        <v>3391</v>
      </c>
      <c r="H98" s="3"/>
      <c r="I98" s="3" t="s">
        <v>3392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0.51</v>
      </c>
      <c r="P98" s="3">
        <v>0</v>
      </c>
      <c r="Q98" s="3">
        <v>0</v>
      </c>
      <c r="R98" s="3">
        <v>0</v>
      </c>
    </row>
    <row r="99" spans="1:18">
      <c r="A99" s="3" t="s">
        <v>2688</v>
      </c>
      <c r="B99" s="3" t="s">
        <v>2689</v>
      </c>
      <c r="C99" s="3" t="s">
        <v>2689</v>
      </c>
      <c r="D99" s="3" t="s">
        <v>2690</v>
      </c>
      <c r="E99" s="3" t="s">
        <v>867</v>
      </c>
      <c r="F99" s="3">
        <v>65.98</v>
      </c>
      <c r="G99" s="3" t="s">
        <v>3391</v>
      </c>
      <c r="H99" s="3"/>
      <c r="I99" s="3" t="s">
        <v>3392</v>
      </c>
      <c r="J99" s="3">
        <v>1</v>
      </c>
      <c r="K99" s="3">
        <v>1</v>
      </c>
      <c r="L99" s="3">
        <v>0</v>
      </c>
      <c r="M99" s="3">
        <v>0</v>
      </c>
      <c r="N99" s="3">
        <v>1</v>
      </c>
      <c r="O99" s="3">
        <v>0.55</v>
      </c>
      <c r="P99" s="3">
        <v>0</v>
      </c>
      <c r="Q99" s="3">
        <v>0</v>
      </c>
      <c r="R99" s="3">
        <v>0</v>
      </c>
    </row>
    <row r="100" spans="1:18">
      <c r="A100" s="3" t="s">
        <v>3426</v>
      </c>
      <c r="B100" s="3" t="s">
        <v>3427</v>
      </c>
      <c r="C100" s="3" t="s">
        <v>3427</v>
      </c>
      <c r="D100" s="3" t="s">
        <v>3428</v>
      </c>
      <c r="E100" s="3" t="s">
        <v>867</v>
      </c>
      <c r="F100" s="3">
        <v>65.98</v>
      </c>
      <c r="G100" s="3" t="s">
        <v>3391</v>
      </c>
      <c r="H100" s="3"/>
      <c r="I100" s="3" t="s">
        <v>3392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0.49</v>
      </c>
      <c r="P100" s="3">
        <v>0</v>
      </c>
      <c r="Q100" s="3">
        <v>0</v>
      </c>
      <c r="R100" s="3">
        <v>0</v>
      </c>
    </row>
    <row r="101" spans="1:18">
      <c r="A101" s="3" t="s">
        <v>2502</v>
      </c>
      <c r="B101" s="3" t="s">
        <v>2503</v>
      </c>
      <c r="C101" s="3" t="s">
        <v>2503</v>
      </c>
      <c r="D101" s="3" t="s">
        <v>2504</v>
      </c>
      <c r="E101" s="3" t="s">
        <v>867</v>
      </c>
      <c r="F101" s="3">
        <v>65.98</v>
      </c>
      <c r="G101" s="3" t="s">
        <v>3391</v>
      </c>
      <c r="H101" s="3"/>
      <c r="I101" s="3" t="s">
        <v>3392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0.63</v>
      </c>
      <c r="P101" s="3">
        <v>0</v>
      </c>
      <c r="Q101" s="3">
        <v>0</v>
      </c>
      <c r="R101" s="3">
        <v>0</v>
      </c>
    </row>
    <row r="102" spans="1:18">
      <c r="A102" s="3" t="s">
        <v>3429</v>
      </c>
      <c r="B102" s="3" t="s">
        <v>3430</v>
      </c>
      <c r="C102" s="3" t="s">
        <v>3430</v>
      </c>
      <c r="D102" s="3" t="s">
        <v>3431</v>
      </c>
      <c r="E102" s="3" t="s">
        <v>867</v>
      </c>
      <c r="F102" s="3">
        <v>65.98</v>
      </c>
      <c r="G102" s="3" t="s">
        <v>3391</v>
      </c>
      <c r="H102" s="3"/>
      <c r="I102" s="3" t="s">
        <v>3392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1.03</v>
      </c>
      <c r="P102" s="3">
        <v>0</v>
      </c>
      <c r="Q102" s="3">
        <v>0</v>
      </c>
      <c r="R102" s="3">
        <v>0</v>
      </c>
    </row>
    <row r="103" spans="1:18">
      <c r="A103" s="3" t="s">
        <v>2305</v>
      </c>
      <c r="B103" s="3" t="s">
        <v>2306</v>
      </c>
      <c r="C103" s="3" t="s">
        <v>2306</v>
      </c>
      <c r="D103" s="3" t="s">
        <v>2307</v>
      </c>
      <c r="E103" s="3" t="s">
        <v>867</v>
      </c>
      <c r="F103" s="3">
        <v>64.98</v>
      </c>
      <c r="G103" s="3" t="s">
        <v>3391</v>
      </c>
      <c r="H103" s="3"/>
      <c r="I103" s="3" t="s">
        <v>3392</v>
      </c>
      <c r="J103" s="3">
        <v>2</v>
      </c>
      <c r="K103" s="3">
        <v>2</v>
      </c>
      <c r="L103" s="3">
        <v>0</v>
      </c>
      <c r="M103" s="3">
        <v>0</v>
      </c>
      <c r="N103" s="3">
        <v>2</v>
      </c>
      <c r="O103" s="3">
        <v>0.7</v>
      </c>
      <c r="P103" s="3">
        <v>0</v>
      </c>
      <c r="Q103" s="3">
        <v>0</v>
      </c>
      <c r="R103" s="3">
        <v>0</v>
      </c>
    </row>
    <row r="104" spans="1:18">
      <c r="A104" s="3" t="s">
        <v>3432</v>
      </c>
      <c r="B104" s="3" t="s">
        <v>3433</v>
      </c>
      <c r="C104" s="3" t="s">
        <v>3433</v>
      </c>
      <c r="D104" s="3" t="s">
        <v>3434</v>
      </c>
      <c r="E104" s="3" t="s">
        <v>867</v>
      </c>
      <c r="F104" s="3">
        <v>64.98</v>
      </c>
      <c r="G104" s="3" t="s">
        <v>3391</v>
      </c>
      <c r="H104" s="3"/>
      <c r="I104" s="3" t="s">
        <v>3392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0.7</v>
      </c>
      <c r="P104" s="3">
        <v>0</v>
      </c>
      <c r="Q104" s="3">
        <v>0</v>
      </c>
      <c r="R104" s="3">
        <v>0</v>
      </c>
    </row>
    <row r="105" spans="1:18">
      <c r="A105" s="3" t="s">
        <v>3435</v>
      </c>
      <c r="B105" s="3" t="s">
        <v>3436</v>
      </c>
      <c r="C105" s="3" t="s">
        <v>3436</v>
      </c>
      <c r="D105" s="3" t="s">
        <v>3437</v>
      </c>
      <c r="E105" s="3" t="s">
        <v>867</v>
      </c>
      <c r="F105" s="3">
        <v>64.98</v>
      </c>
      <c r="G105" s="3" t="s">
        <v>3391</v>
      </c>
      <c r="H105" s="3"/>
      <c r="I105" s="3" t="s">
        <v>3392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0.34</v>
      </c>
      <c r="P105" s="3">
        <v>0</v>
      </c>
      <c r="Q105" s="3">
        <v>0</v>
      </c>
      <c r="R105" s="3">
        <v>0</v>
      </c>
    </row>
    <row r="106" spans="1:18">
      <c r="A106" s="3" t="s">
        <v>3438</v>
      </c>
      <c r="B106" s="3" t="s">
        <v>3439</v>
      </c>
      <c r="C106" s="3" t="s">
        <v>3439</v>
      </c>
      <c r="D106" s="3" t="s">
        <v>3440</v>
      </c>
      <c r="E106" s="3" t="s">
        <v>867</v>
      </c>
      <c r="F106" s="3">
        <v>64.98</v>
      </c>
      <c r="G106" s="3" t="s">
        <v>3391</v>
      </c>
      <c r="H106" s="3"/>
      <c r="I106" s="3" t="s">
        <v>3392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0.7</v>
      </c>
      <c r="P106" s="3">
        <v>0</v>
      </c>
      <c r="Q106" s="3">
        <v>0</v>
      </c>
      <c r="R106" s="3">
        <v>0</v>
      </c>
    </row>
    <row r="107" spans="1:18">
      <c r="A107" s="3" t="s">
        <v>2468</v>
      </c>
      <c r="B107" s="3" t="s">
        <v>2469</v>
      </c>
      <c r="C107" s="3" t="s">
        <v>2469</v>
      </c>
      <c r="D107" s="3" t="s">
        <v>2470</v>
      </c>
      <c r="E107" s="3" t="s">
        <v>867</v>
      </c>
      <c r="F107" s="3">
        <v>64.98</v>
      </c>
      <c r="G107" s="3" t="s">
        <v>3391</v>
      </c>
      <c r="H107" s="3"/>
      <c r="I107" s="3" t="s">
        <v>3392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>
        <v>0.7</v>
      </c>
      <c r="P107" s="3">
        <v>0</v>
      </c>
      <c r="Q107" s="3">
        <v>0</v>
      </c>
      <c r="R107" s="3">
        <v>0</v>
      </c>
    </row>
    <row r="108" spans="1:18">
      <c r="A108" s="3" t="s">
        <v>2104</v>
      </c>
      <c r="B108" s="3" t="s">
        <v>2105</v>
      </c>
      <c r="C108" s="3" t="s">
        <v>2105</v>
      </c>
      <c r="D108" s="3" t="s">
        <v>2106</v>
      </c>
      <c r="E108" s="3" t="s">
        <v>867</v>
      </c>
      <c r="F108" s="3">
        <v>64.98</v>
      </c>
      <c r="G108" s="3" t="s">
        <v>3391</v>
      </c>
      <c r="H108" s="3"/>
      <c r="I108" s="3" t="s">
        <v>3392</v>
      </c>
      <c r="J108" s="3">
        <v>1</v>
      </c>
      <c r="K108" s="3">
        <v>1</v>
      </c>
      <c r="L108" s="3">
        <v>0</v>
      </c>
      <c r="M108" s="3">
        <v>0</v>
      </c>
      <c r="N108" s="3">
        <v>1</v>
      </c>
      <c r="O108" s="3">
        <v>0.7</v>
      </c>
      <c r="P108" s="3">
        <v>0</v>
      </c>
      <c r="Q108" s="3">
        <v>0</v>
      </c>
      <c r="R108" s="3">
        <v>0</v>
      </c>
    </row>
    <row r="109" spans="1:18">
      <c r="A109" s="3" t="s">
        <v>3022</v>
      </c>
      <c r="B109" s="3" t="s">
        <v>3023</v>
      </c>
      <c r="C109" s="3" t="s">
        <v>3023</v>
      </c>
      <c r="D109" s="3" t="s">
        <v>3024</v>
      </c>
      <c r="E109" s="3" t="s">
        <v>867</v>
      </c>
      <c r="F109" s="3">
        <v>64.98</v>
      </c>
      <c r="G109" s="3" t="s">
        <v>3391</v>
      </c>
      <c r="H109" s="3"/>
      <c r="I109" s="3" t="s">
        <v>3392</v>
      </c>
      <c r="J109" s="3">
        <v>1</v>
      </c>
      <c r="K109" s="3">
        <v>1</v>
      </c>
      <c r="L109" s="3">
        <v>0</v>
      </c>
      <c r="M109" s="3">
        <v>0</v>
      </c>
      <c r="N109" s="3">
        <v>1</v>
      </c>
      <c r="O109" s="3">
        <v>0.7</v>
      </c>
      <c r="P109" s="3">
        <v>0</v>
      </c>
      <c r="Q109" s="3">
        <v>0</v>
      </c>
      <c r="R109" s="3">
        <v>0</v>
      </c>
    </row>
    <row r="110" spans="1:18">
      <c r="A110" s="3" t="s">
        <v>1480</v>
      </c>
      <c r="B110" s="3" t="s">
        <v>1481</v>
      </c>
      <c r="C110" s="3" t="s">
        <v>1481</v>
      </c>
      <c r="D110" s="3" t="s">
        <v>1482</v>
      </c>
      <c r="E110" s="3" t="s">
        <v>867</v>
      </c>
      <c r="F110" s="3">
        <v>64.98</v>
      </c>
      <c r="G110" s="3" t="s">
        <v>3391</v>
      </c>
      <c r="H110" s="3"/>
      <c r="I110" s="3" t="s">
        <v>3392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>
        <v>0.7</v>
      </c>
      <c r="P110" s="3">
        <v>0</v>
      </c>
      <c r="Q110" s="3">
        <v>0</v>
      </c>
      <c r="R110" s="3">
        <v>0</v>
      </c>
    </row>
    <row r="111" spans="1:18">
      <c r="A111" s="3" t="s">
        <v>3441</v>
      </c>
      <c r="B111" s="3" t="s">
        <v>3442</v>
      </c>
      <c r="C111" s="3" t="s">
        <v>3443</v>
      </c>
      <c r="D111" s="3"/>
      <c r="E111" s="3" t="s">
        <v>3293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3444</v>
      </c>
      <c r="B112" s="3" t="s">
        <v>2250</v>
      </c>
      <c r="C112" s="3" t="s">
        <v>2250</v>
      </c>
      <c r="D112" s="3"/>
      <c r="E112" s="3" t="s">
        <v>3293</v>
      </c>
      <c r="F112" s="3"/>
      <c r="G112" s="3"/>
      <c r="H112" s="3"/>
      <c r="I112" s="3"/>
      <c r="J112" s="3">
        <v>23</v>
      </c>
      <c r="K112" s="3">
        <v>23</v>
      </c>
      <c r="L112" s="3">
        <v>0</v>
      </c>
      <c r="M112" s="3">
        <v>0</v>
      </c>
      <c r="N112" s="3">
        <v>23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3445</v>
      </c>
      <c r="B113" s="3" t="s">
        <v>2467</v>
      </c>
      <c r="C113" s="3" t="s">
        <v>2467</v>
      </c>
      <c r="D113" s="3"/>
      <c r="E113" s="3" t="s">
        <v>3293</v>
      </c>
      <c r="F113" s="3"/>
      <c r="G113" s="3"/>
      <c r="H113" s="3"/>
      <c r="I113" s="3"/>
      <c r="J113" s="3">
        <v>7</v>
      </c>
      <c r="K113" s="3">
        <v>7</v>
      </c>
      <c r="L113" s="3">
        <v>0</v>
      </c>
      <c r="M113" s="3">
        <v>0</v>
      </c>
      <c r="N113" s="3">
        <v>7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26</v>
      </c>
      <c r="B114" s="3" t="s">
        <v>27</v>
      </c>
      <c r="C114" s="3" t="s">
        <v>27</v>
      </c>
      <c r="D114" s="3"/>
      <c r="E114" s="3" t="s">
        <v>3293</v>
      </c>
      <c r="F114" s="3"/>
      <c r="G114" s="3"/>
      <c r="H114" s="3"/>
      <c r="I114" s="3"/>
      <c r="J114" s="3">
        <v>21</v>
      </c>
      <c r="K114" s="3">
        <v>20</v>
      </c>
      <c r="L114" s="3">
        <v>0</v>
      </c>
      <c r="M114" s="3">
        <v>1</v>
      </c>
      <c r="N114" s="3">
        <v>21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3446</v>
      </c>
      <c r="B115" s="3" t="s">
        <v>1245</v>
      </c>
      <c r="C115" s="3" t="s">
        <v>1245</v>
      </c>
      <c r="D115" s="3"/>
      <c r="E115" s="3" t="s">
        <v>3293</v>
      </c>
      <c r="F115" s="3"/>
      <c r="G115" s="3"/>
      <c r="H115" s="3"/>
      <c r="I115" s="3"/>
      <c r="J115" s="3">
        <v>17</v>
      </c>
      <c r="K115" s="3">
        <v>17</v>
      </c>
      <c r="L115" s="3">
        <v>0</v>
      </c>
      <c r="M115" s="3">
        <v>0</v>
      </c>
      <c r="N115" s="3">
        <v>17</v>
      </c>
      <c r="O115" s="3"/>
      <c r="P115" s="3">
        <v>0</v>
      </c>
      <c r="Q115" s="3">
        <v>0</v>
      </c>
      <c r="R115" s="3">
        <v>0</v>
      </c>
    </row>
    <row r="116" spans="1:18">
      <c r="A116" s="3" t="s">
        <v>29</v>
      </c>
      <c r="B116" s="3" t="s">
        <v>30</v>
      </c>
      <c r="C116" s="3" t="s">
        <v>30</v>
      </c>
      <c r="D116" s="3"/>
      <c r="E116" s="3" t="s">
        <v>3293</v>
      </c>
      <c r="F116" s="3"/>
      <c r="G116" s="3"/>
      <c r="H116" s="3"/>
      <c r="I116" s="3"/>
      <c r="J116" s="3">
        <v>13</v>
      </c>
      <c r="K116" s="3">
        <v>12</v>
      </c>
      <c r="L116" s="3">
        <v>0</v>
      </c>
      <c r="M116" s="3">
        <v>1</v>
      </c>
      <c r="N116" s="3">
        <v>13</v>
      </c>
      <c r="O116" s="3"/>
      <c r="P116" s="3">
        <v>0</v>
      </c>
      <c r="Q116" s="3">
        <v>0</v>
      </c>
      <c r="R116" s="3">
        <v>0</v>
      </c>
    </row>
    <row r="117" spans="1:18">
      <c r="A117" s="3" t="s">
        <v>2615</v>
      </c>
      <c r="B117" s="3" t="s">
        <v>2616</v>
      </c>
      <c r="C117" s="3" t="s">
        <v>2616</v>
      </c>
      <c r="D117" s="3"/>
      <c r="E117" s="3" t="s">
        <v>3293</v>
      </c>
      <c r="F117" s="3"/>
      <c r="G117" s="3"/>
      <c r="H117" s="3"/>
      <c r="I117" s="3"/>
      <c r="J117" s="3">
        <v>23</v>
      </c>
      <c r="K117" s="3">
        <v>23</v>
      </c>
      <c r="L117" s="3">
        <v>0</v>
      </c>
      <c r="M117" s="3">
        <v>0</v>
      </c>
      <c r="N117" s="3">
        <v>23</v>
      </c>
      <c r="O117" s="3"/>
      <c r="P117" s="3">
        <v>0</v>
      </c>
      <c r="Q117" s="3">
        <v>0</v>
      </c>
      <c r="R117" s="3">
        <v>0</v>
      </c>
    </row>
    <row r="118" spans="1:18">
      <c r="A118" s="3" t="s">
        <v>3447</v>
      </c>
      <c r="B118" s="3" t="s">
        <v>106</v>
      </c>
      <c r="C118" s="3" t="s">
        <v>106</v>
      </c>
      <c r="D118" s="3"/>
      <c r="E118" s="3" t="s">
        <v>3293</v>
      </c>
      <c r="F118" s="3"/>
      <c r="G118" s="3"/>
      <c r="H118" s="3"/>
      <c r="I118" s="3"/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/>
      <c r="P118" s="3">
        <v>0</v>
      </c>
      <c r="Q118" s="3">
        <v>0</v>
      </c>
      <c r="R118" s="3">
        <v>0</v>
      </c>
    </row>
    <row r="119" spans="1:18">
      <c r="A119" s="3" t="s">
        <v>3448</v>
      </c>
      <c r="B119" s="3" t="s">
        <v>2112</v>
      </c>
      <c r="C119" s="3" t="s">
        <v>2112</v>
      </c>
      <c r="D119" s="3"/>
      <c r="E119" s="3" t="s">
        <v>3293</v>
      </c>
      <c r="F119" s="3"/>
      <c r="G119" s="3"/>
      <c r="H119" s="3"/>
      <c r="I119" s="3"/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/>
      <c r="P119" s="3">
        <v>0</v>
      </c>
      <c r="Q119" s="3">
        <v>0</v>
      </c>
      <c r="R119" s="3">
        <v>0</v>
      </c>
    </row>
    <row r="120" spans="1:18">
      <c r="A120" s="3" t="s">
        <v>3449</v>
      </c>
      <c r="B120" s="3" t="s">
        <v>3450</v>
      </c>
      <c r="C120" s="3" t="s">
        <v>3450</v>
      </c>
      <c r="D120" s="3"/>
      <c r="E120" s="3" t="s">
        <v>3293</v>
      </c>
      <c r="F120" s="3"/>
      <c r="G120" s="3"/>
      <c r="H120" s="3"/>
      <c r="I120" s="3"/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/>
      <c r="P120" s="3">
        <v>0</v>
      </c>
      <c r="Q120" s="3">
        <v>0</v>
      </c>
      <c r="R120" s="3">
        <v>0</v>
      </c>
    </row>
    <row r="121" spans="1:18">
      <c r="A121" s="3" t="s">
        <v>3451</v>
      </c>
      <c r="B121" s="3" t="s">
        <v>110</v>
      </c>
      <c r="C121" s="3" t="s">
        <v>110</v>
      </c>
      <c r="D121" s="3"/>
      <c r="E121" s="3" t="s">
        <v>3293</v>
      </c>
      <c r="F121" s="3"/>
      <c r="G121" s="3"/>
      <c r="H121" s="3"/>
      <c r="I121" s="3"/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3452</v>
      </c>
      <c r="B122" s="3" t="s">
        <v>1968</v>
      </c>
      <c r="C122" s="3" t="s">
        <v>1968</v>
      </c>
      <c r="D122" s="3"/>
      <c r="E122" s="3" t="s">
        <v>3293</v>
      </c>
      <c r="F122" s="3"/>
      <c r="G122" s="3"/>
      <c r="H122" s="3"/>
      <c r="I122" s="3"/>
      <c r="J122" s="3">
        <v>10</v>
      </c>
      <c r="K122" s="3">
        <v>10</v>
      </c>
      <c r="L122" s="3">
        <v>0</v>
      </c>
      <c r="M122" s="3">
        <v>0</v>
      </c>
      <c r="N122" s="3">
        <v>10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3453</v>
      </c>
      <c r="B123" s="3" t="s">
        <v>1341</v>
      </c>
      <c r="C123" s="3" t="s">
        <v>1341</v>
      </c>
      <c r="D123" s="3"/>
      <c r="E123" s="3" t="s">
        <v>3293</v>
      </c>
      <c r="F123" s="3"/>
      <c r="G123" s="3"/>
      <c r="H123" s="3"/>
      <c r="I123" s="3"/>
      <c r="J123" s="3">
        <v>2</v>
      </c>
      <c r="K123" s="3">
        <v>2</v>
      </c>
      <c r="L123" s="3">
        <v>0</v>
      </c>
      <c r="M123" s="3">
        <v>0</v>
      </c>
      <c r="N123" s="3">
        <v>2</v>
      </c>
      <c r="O123" s="3"/>
      <c r="P123" s="3">
        <v>0</v>
      </c>
      <c r="Q123" s="3">
        <v>0</v>
      </c>
      <c r="R123" s="3">
        <v>0</v>
      </c>
    </row>
    <row r="124" spans="1:18">
      <c r="A124" s="3" t="s">
        <v>3454</v>
      </c>
      <c r="B124" s="3" t="s">
        <v>2885</v>
      </c>
      <c r="C124" s="3" t="s">
        <v>2885</v>
      </c>
      <c r="D124" s="3"/>
      <c r="E124" s="3" t="s">
        <v>3293</v>
      </c>
      <c r="F124" s="3"/>
      <c r="G124" s="3"/>
      <c r="H124" s="3"/>
      <c r="I124" s="3"/>
      <c r="J124" s="3">
        <v>13</v>
      </c>
      <c r="K124" s="3">
        <v>13</v>
      </c>
      <c r="L124" s="3">
        <v>0</v>
      </c>
      <c r="M124" s="3">
        <v>0</v>
      </c>
      <c r="N124" s="3">
        <v>13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3455</v>
      </c>
      <c r="B125" s="3" t="s">
        <v>964</v>
      </c>
      <c r="C125" s="3" t="s">
        <v>964</v>
      </c>
      <c r="D125" s="3"/>
      <c r="E125" s="3" t="s">
        <v>3293</v>
      </c>
      <c r="F125" s="3"/>
      <c r="G125" s="3"/>
      <c r="H125" s="3"/>
      <c r="I125" s="3"/>
      <c r="J125" s="3">
        <v>33</v>
      </c>
      <c r="K125" s="3">
        <v>33</v>
      </c>
      <c r="L125" s="3">
        <v>0</v>
      </c>
      <c r="M125" s="3">
        <v>0</v>
      </c>
      <c r="N125" s="3">
        <v>33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3456</v>
      </c>
      <c r="B126" s="3" t="s">
        <v>33</v>
      </c>
      <c r="C126" s="3" t="s">
        <v>33</v>
      </c>
      <c r="D126" s="3"/>
      <c r="E126" s="3" t="s">
        <v>3293</v>
      </c>
      <c r="F126" s="3"/>
      <c r="G126" s="3"/>
      <c r="H126" s="3"/>
      <c r="I126" s="3"/>
      <c r="J126" s="3">
        <v>21</v>
      </c>
      <c r="K126" s="3">
        <v>20</v>
      </c>
      <c r="L126" s="3">
        <v>0</v>
      </c>
      <c r="M126" s="3">
        <v>1</v>
      </c>
      <c r="N126" s="3">
        <v>21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1505</v>
      </c>
      <c r="B127" s="3" t="s">
        <v>126</v>
      </c>
      <c r="C127" s="3" t="s">
        <v>126</v>
      </c>
      <c r="D127" s="3" t="s">
        <v>127</v>
      </c>
      <c r="E127" s="3" t="s">
        <v>867</v>
      </c>
      <c r="F127" s="3">
        <v>22.99</v>
      </c>
      <c r="G127" s="3" t="s">
        <v>3391</v>
      </c>
      <c r="H127" s="3"/>
      <c r="I127" s="3" t="s">
        <v>3392</v>
      </c>
      <c r="J127" s="3">
        <v>30</v>
      </c>
      <c r="K127" s="3">
        <v>30</v>
      </c>
      <c r="L127" s="3">
        <v>0</v>
      </c>
      <c r="M127" s="3">
        <v>0</v>
      </c>
      <c r="N127" s="3">
        <v>30</v>
      </c>
      <c r="O127" s="3">
        <v>0.15</v>
      </c>
      <c r="P127" s="3">
        <v>0</v>
      </c>
      <c r="Q127" s="3">
        <v>0</v>
      </c>
      <c r="R127" s="3">
        <v>0</v>
      </c>
    </row>
    <row r="128" spans="1:18">
      <c r="A128" s="3" t="s">
        <v>2762</v>
      </c>
      <c r="B128" s="3" t="s">
        <v>189</v>
      </c>
      <c r="C128" s="3" t="s">
        <v>189</v>
      </c>
      <c r="D128" s="3" t="s">
        <v>190</v>
      </c>
      <c r="E128" s="3" t="s">
        <v>867</v>
      </c>
      <c r="F128" s="3">
        <v>26.98</v>
      </c>
      <c r="G128" s="3" t="s">
        <v>3391</v>
      </c>
      <c r="H128" s="3"/>
      <c r="I128" s="3" t="s">
        <v>3392</v>
      </c>
      <c r="J128" s="3">
        <v>3</v>
      </c>
      <c r="K128" s="3">
        <v>3</v>
      </c>
      <c r="L128" s="3">
        <v>0</v>
      </c>
      <c r="M128" s="3">
        <v>0</v>
      </c>
      <c r="N128" s="3">
        <v>3</v>
      </c>
      <c r="O128" s="3">
        <v>0.06</v>
      </c>
      <c r="P128" s="3">
        <v>0</v>
      </c>
      <c r="Q128" s="3">
        <v>0</v>
      </c>
      <c r="R128" s="3">
        <v>0</v>
      </c>
    </row>
    <row r="129" spans="1:18">
      <c r="A129" s="3" t="s">
        <v>3457</v>
      </c>
      <c r="B129" s="3" t="s">
        <v>1100</v>
      </c>
      <c r="C129" s="3" t="s">
        <v>1100</v>
      </c>
      <c r="D129" s="3"/>
      <c r="E129" s="3" t="s">
        <v>3293</v>
      </c>
      <c r="F129" s="3"/>
      <c r="G129" s="3"/>
      <c r="H129" s="3"/>
      <c r="I129" s="3"/>
      <c r="J129" s="3">
        <v>3</v>
      </c>
      <c r="K129" s="3">
        <v>3</v>
      </c>
      <c r="L129" s="3">
        <v>0</v>
      </c>
      <c r="M129" s="3">
        <v>0</v>
      </c>
      <c r="N129" s="3">
        <v>3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3458</v>
      </c>
      <c r="B130" s="3" t="s">
        <v>2024</v>
      </c>
      <c r="C130" s="3" t="s">
        <v>2024</v>
      </c>
      <c r="D130" s="3"/>
      <c r="E130" s="3" t="s">
        <v>3293</v>
      </c>
      <c r="F130" s="3"/>
      <c r="G130" s="3"/>
      <c r="H130" s="3"/>
      <c r="I130" s="3"/>
      <c r="J130" s="3">
        <v>1</v>
      </c>
      <c r="K130" s="3">
        <v>1</v>
      </c>
      <c r="L130" s="3">
        <v>0</v>
      </c>
      <c r="M130" s="3">
        <v>0</v>
      </c>
      <c r="N130" s="3">
        <v>1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1706</v>
      </c>
      <c r="B131" s="3" t="s">
        <v>1707</v>
      </c>
      <c r="C131" s="3" t="s">
        <v>1707</v>
      </c>
      <c r="D131" s="3"/>
      <c r="E131" s="3" t="s">
        <v>3293</v>
      </c>
      <c r="F131" s="3"/>
      <c r="G131" s="3"/>
      <c r="H131" s="3"/>
      <c r="I131" s="3"/>
      <c r="J131" s="3">
        <v>1</v>
      </c>
      <c r="K131" s="3">
        <v>1</v>
      </c>
      <c r="L131" s="3">
        <v>0</v>
      </c>
      <c r="M131" s="3">
        <v>0</v>
      </c>
      <c r="N131" s="3">
        <v>1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3459</v>
      </c>
      <c r="B132" s="3" t="s">
        <v>166</v>
      </c>
      <c r="C132" s="3" t="s">
        <v>166</v>
      </c>
      <c r="D132" s="3"/>
      <c r="E132" s="3" t="s">
        <v>3293</v>
      </c>
      <c r="F132" s="3"/>
      <c r="G132" s="3"/>
      <c r="H132" s="3"/>
      <c r="I132" s="3"/>
      <c r="J132" s="3">
        <v>5</v>
      </c>
      <c r="K132" s="3">
        <v>5</v>
      </c>
      <c r="L132" s="3">
        <v>0</v>
      </c>
      <c r="M132" s="3">
        <v>0</v>
      </c>
      <c r="N132" s="3">
        <v>5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3460</v>
      </c>
      <c r="B133" s="3" t="s">
        <v>3213</v>
      </c>
      <c r="C133" s="3" t="s">
        <v>3213</v>
      </c>
      <c r="D133" s="3"/>
      <c r="E133" s="3" t="s">
        <v>3293</v>
      </c>
      <c r="F133" s="3"/>
      <c r="G133" s="3"/>
      <c r="H133" s="3"/>
      <c r="I133" s="3"/>
      <c r="J133" s="3">
        <v>1</v>
      </c>
      <c r="K133" s="3">
        <v>1</v>
      </c>
      <c r="L133" s="3">
        <v>0</v>
      </c>
      <c r="M133" s="3">
        <v>0</v>
      </c>
      <c r="N133" s="3">
        <v>1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3461</v>
      </c>
      <c r="B134" s="3" t="s">
        <v>3462</v>
      </c>
      <c r="C134" s="3" t="s">
        <v>3462</v>
      </c>
      <c r="D134" s="3" t="s">
        <v>31</v>
      </c>
      <c r="E134" s="3" t="s">
        <v>867</v>
      </c>
      <c r="F134" s="3">
        <v>26.98</v>
      </c>
      <c r="G134" s="3" t="s">
        <v>3391</v>
      </c>
      <c r="H134" s="3"/>
      <c r="I134" s="3" t="s">
        <v>3392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0.06</v>
      </c>
      <c r="P134" s="3">
        <v>0</v>
      </c>
      <c r="Q134" s="3">
        <v>0</v>
      </c>
      <c r="R134" s="3">
        <v>0</v>
      </c>
    </row>
    <row r="135" spans="1:18">
      <c r="A135" s="3" t="s">
        <v>3463</v>
      </c>
      <c r="B135" s="3" t="s">
        <v>213</v>
      </c>
      <c r="C135" s="3" t="s">
        <v>213</v>
      </c>
      <c r="D135" s="3" t="s">
        <v>107</v>
      </c>
      <c r="E135" s="3" t="s">
        <v>867</v>
      </c>
      <c r="F135" s="3">
        <v>26.98</v>
      </c>
      <c r="G135" s="3" t="s">
        <v>3391</v>
      </c>
      <c r="H135" s="3"/>
      <c r="I135" s="3" t="s">
        <v>3392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0.06</v>
      </c>
      <c r="P135" s="3">
        <v>0</v>
      </c>
      <c r="Q135" s="3">
        <v>0</v>
      </c>
      <c r="R135" s="3">
        <v>0</v>
      </c>
    </row>
    <row r="136" spans="1:18">
      <c r="A136" s="3" t="s">
        <v>3464</v>
      </c>
      <c r="B136" s="3" t="s">
        <v>2970</v>
      </c>
      <c r="C136" s="3" t="s">
        <v>2970</v>
      </c>
      <c r="D136" s="3"/>
      <c r="E136" s="3" t="s">
        <v>3293</v>
      </c>
      <c r="F136" s="3"/>
      <c r="G136" s="3"/>
      <c r="H136" s="3"/>
      <c r="I136" s="3"/>
      <c r="J136" s="3">
        <v>10</v>
      </c>
      <c r="K136" s="3">
        <v>10</v>
      </c>
      <c r="L136" s="3">
        <v>0</v>
      </c>
      <c r="M136" s="3">
        <v>0</v>
      </c>
      <c r="N136" s="3">
        <v>10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3465</v>
      </c>
      <c r="B137" s="3" t="s">
        <v>2169</v>
      </c>
      <c r="C137" s="3" t="s">
        <v>2169</v>
      </c>
      <c r="D137" s="3"/>
      <c r="E137" s="3" t="s">
        <v>3293</v>
      </c>
      <c r="F137" s="3"/>
      <c r="G137" s="3"/>
      <c r="H137" s="3"/>
      <c r="I137" s="3"/>
      <c r="J137" s="3">
        <v>2</v>
      </c>
      <c r="K137" s="3">
        <v>2</v>
      </c>
      <c r="L137" s="3">
        <v>0</v>
      </c>
      <c r="M137" s="3">
        <v>0</v>
      </c>
      <c r="N137" s="3">
        <v>2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3466</v>
      </c>
      <c r="B138" s="3" t="s">
        <v>1142</v>
      </c>
      <c r="C138" s="3" t="s">
        <v>1142</v>
      </c>
      <c r="D138" s="3"/>
      <c r="E138" s="3" t="s">
        <v>3293</v>
      </c>
      <c r="F138" s="3"/>
      <c r="G138" s="3"/>
      <c r="H138" s="3"/>
      <c r="I138" s="3"/>
      <c r="J138" s="3">
        <v>7</v>
      </c>
      <c r="K138" s="3">
        <v>7</v>
      </c>
      <c r="L138" s="3">
        <v>0</v>
      </c>
      <c r="M138" s="3">
        <v>0</v>
      </c>
      <c r="N138" s="3">
        <v>7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3467</v>
      </c>
      <c r="B139" s="3" t="s">
        <v>1059</v>
      </c>
      <c r="C139" s="3" t="s">
        <v>1059</v>
      </c>
      <c r="D139" s="3"/>
      <c r="E139" s="3" t="s">
        <v>3293</v>
      </c>
      <c r="F139" s="3"/>
      <c r="G139" s="3"/>
      <c r="H139" s="3"/>
      <c r="I139" s="3"/>
      <c r="J139" s="3">
        <v>5</v>
      </c>
      <c r="K139" s="3">
        <v>5</v>
      </c>
      <c r="L139" s="3">
        <v>0</v>
      </c>
      <c r="M139" s="3">
        <v>0</v>
      </c>
      <c r="N139" s="3">
        <v>5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3468</v>
      </c>
      <c r="B140" s="3" t="s">
        <v>1484</v>
      </c>
      <c r="C140" s="3" t="s">
        <v>1484</v>
      </c>
      <c r="D140" s="3"/>
      <c r="E140" s="3" t="s">
        <v>3293</v>
      </c>
      <c r="F140" s="3"/>
      <c r="G140" s="3"/>
      <c r="H140" s="3"/>
      <c r="I140" s="3"/>
      <c r="J140" s="3">
        <v>6</v>
      </c>
      <c r="K140" s="3">
        <v>6</v>
      </c>
      <c r="L140" s="3">
        <v>0</v>
      </c>
      <c r="M140" s="3">
        <v>0</v>
      </c>
      <c r="N140" s="3">
        <v>6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3469</v>
      </c>
      <c r="B141" s="3" t="s">
        <v>2146</v>
      </c>
      <c r="C141" s="3" t="s">
        <v>2146</v>
      </c>
      <c r="D141" s="3"/>
      <c r="E141" s="3" t="s">
        <v>3293</v>
      </c>
      <c r="F141" s="3"/>
      <c r="G141" s="3"/>
      <c r="H141" s="3"/>
      <c r="I141" s="3"/>
      <c r="J141" s="3">
        <v>8</v>
      </c>
      <c r="K141" s="3">
        <v>8</v>
      </c>
      <c r="L141" s="3">
        <v>0</v>
      </c>
      <c r="M141" s="3">
        <v>0</v>
      </c>
      <c r="N141" s="3">
        <v>8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3470</v>
      </c>
      <c r="B142" s="3" t="s">
        <v>2460</v>
      </c>
      <c r="C142" s="3" t="s">
        <v>2460</v>
      </c>
      <c r="D142" s="3"/>
      <c r="E142" s="3" t="s">
        <v>3293</v>
      </c>
      <c r="F142" s="3"/>
      <c r="G142" s="3"/>
      <c r="H142" s="3"/>
      <c r="I142" s="3"/>
      <c r="J142" s="3">
        <v>9</v>
      </c>
      <c r="K142" s="3">
        <v>9</v>
      </c>
      <c r="L142" s="3">
        <v>0</v>
      </c>
      <c r="M142" s="3">
        <v>0</v>
      </c>
      <c r="N142" s="3">
        <v>9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3471</v>
      </c>
      <c r="B143" s="3" t="s">
        <v>3472</v>
      </c>
      <c r="C143" s="3" t="s">
        <v>3472</v>
      </c>
      <c r="D143" s="3"/>
      <c r="E143" s="3" t="s">
        <v>3293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65</v>
      </c>
      <c r="B144" s="3" t="s">
        <v>66</v>
      </c>
      <c r="C144" s="3" t="s">
        <v>67</v>
      </c>
      <c r="D144" s="3" t="s">
        <v>68</v>
      </c>
      <c r="E144" s="3" t="s">
        <v>867</v>
      </c>
      <c r="F144" s="3">
        <v>23.98</v>
      </c>
      <c r="G144" s="3" t="s">
        <v>3391</v>
      </c>
      <c r="H144" s="3"/>
      <c r="I144" s="3" t="s">
        <v>3392</v>
      </c>
      <c r="J144" s="3">
        <v>7</v>
      </c>
      <c r="K144" s="3">
        <v>4</v>
      </c>
      <c r="L144" s="3">
        <v>2</v>
      </c>
      <c r="M144" s="3">
        <v>1</v>
      </c>
      <c r="N144" s="3">
        <v>12</v>
      </c>
      <c r="O144" s="3">
        <v>0.04</v>
      </c>
      <c r="P144" s="3">
        <v>0</v>
      </c>
      <c r="Q144" s="3">
        <v>5</v>
      </c>
      <c r="R144" s="3">
        <v>0</v>
      </c>
    </row>
    <row r="145" spans="1:18">
      <c r="A145" s="3" t="s">
        <v>1945</v>
      </c>
      <c r="B145" s="3" t="s">
        <v>1946</v>
      </c>
      <c r="C145" s="3" t="s">
        <v>1947</v>
      </c>
      <c r="D145" s="3" t="s">
        <v>1948</v>
      </c>
      <c r="E145" s="3" t="s">
        <v>867</v>
      </c>
      <c r="F145" s="3">
        <v>22.98</v>
      </c>
      <c r="G145" s="3" t="s">
        <v>3391</v>
      </c>
      <c r="H145" s="3"/>
      <c r="I145" s="3" t="s">
        <v>3392</v>
      </c>
      <c r="J145" s="3">
        <v>14</v>
      </c>
      <c r="K145" s="3">
        <v>14</v>
      </c>
      <c r="L145" s="3">
        <v>0</v>
      </c>
      <c r="M145" s="3">
        <v>0</v>
      </c>
      <c r="N145" s="3">
        <v>14</v>
      </c>
      <c r="O145" s="3">
        <v>0.04</v>
      </c>
      <c r="P145" s="3">
        <v>0</v>
      </c>
      <c r="Q145" s="3">
        <v>0</v>
      </c>
      <c r="R145" s="3">
        <v>0</v>
      </c>
    </row>
    <row r="146" spans="1:18">
      <c r="A146" s="3" t="s">
        <v>2086</v>
      </c>
      <c r="B146" s="3" t="s">
        <v>2087</v>
      </c>
      <c r="C146" s="3" t="s">
        <v>2088</v>
      </c>
      <c r="D146" s="3" t="s">
        <v>2089</v>
      </c>
      <c r="E146" s="3" t="s">
        <v>867</v>
      </c>
      <c r="F146" s="3">
        <v>22.98</v>
      </c>
      <c r="G146" s="3" t="s">
        <v>3391</v>
      </c>
      <c r="H146" s="3"/>
      <c r="I146" s="3" t="s">
        <v>3392</v>
      </c>
      <c r="J146" s="3">
        <v>4</v>
      </c>
      <c r="K146" s="3">
        <v>4</v>
      </c>
      <c r="L146" s="3">
        <v>0</v>
      </c>
      <c r="M146" s="3">
        <v>0</v>
      </c>
      <c r="N146" s="3">
        <v>4</v>
      </c>
      <c r="O146" s="3">
        <v>0.04</v>
      </c>
      <c r="P146" s="3">
        <v>0</v>
      </c>
      <c r="Q146" s="3">
        <v>0</v>
      </c>
      <c r="R146" s="3">
        <v>0</v>
      </c>
    </row>
    <row r="147" spans="1:18">
      <c r="A147" s="3" t="s">
        <v>52</v>
      </c>
      <c r="B147" s="3" t="s">
        <v>53</v>
      </c>
      <c r="C147" s="3" t="s">
        <v>54</v>
      </c>
      <c r="D147" s="3" t="s">
        <v>55</v>
      </c>
      <c r="E147" s="3" t="s">
        <v>867</v>
      </c>
      <c r="F147" s="3">
        <v>23.98</v>
      </c>
      <c r="G147" s="3" t="s">
        <v>3391</v>
      </c>
      <c r="H147" s="3"/>
      <c r="I147" s="3" t="s">
        <v>3392</v>
      </c>
      <c r="J147" s="3">
        <v>34</v>
      </c>
      <c r="K147" s="3">
        <v>32</v>
      </c>
      <c r="L147" s="3">
        <v>1</v>
      </c>
      <c r="M147" s="3">
        <v>1</v>
      </c>
      <c r="N147" s="3">
        <v>34</v>
      </c>
      <c r="O147" s="3">
        <v>0.07</v>
      </c>
      <c r="P147" s="3">
        <v>0</v>
      </c>
      <c r="Q147" s="3">
        <v>0</v>
      </c>
      <c r="R147" s="3">
        <v>0</v>
      </c>
    </row>
    <row r="148" spans="1:18">
      <c r="A148" s="3" t="s">
        <v>3473</v>
      </c>
      <c r="B148" s="3" t="s">
        <v>3474</v>
      </c>
      <c r="C148" s="3" t="s">
        <v>2547</v>
      </c>
      <c r="D148" s="3" t="s">
        <v>198</v>
      </c>
      <c r="E148" s="3" t="s">
        <v>867</v>
      </c>
      <c r="F148" s="3">
        <v>23.98</v>
      </c>
      <c r="G148" s="3" t="s">
        <v>3391</v>
      </c>
      <c r="H148" s="3"/>
      <c r="I148" s="3" t="s">
        <v>3392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0.05</v>
      </c>
      <c r="P148" s="3">
        <v>0</v>
      </c>
      <c r="Q148" s="3">
        <v>0</v>
      </c>
      <c r="R148" s="3">
        <v>0</v>
      </c>
    </row>
    <row r="149" spans="1:18">
      <c r="A149" s="3" t="s">
        <v>48</v>
      </c>
      <c r="B149" s="3" t="s">
        <v>49</v>
      </c>
      <c r="C149" s="3" t="s">
        <v>50</v>
      </c>
      <c r="D149" s="3" t="s">
        <v>51</v>
      </c>
      <c r="E149" s="3" t="s">
        <v>867</v>
      </c>
      <c r="F149" s="3">
        <v>22.98</v>
      </c>
      <c r="G149" s="3" t="s">
        <v>3391</v>
      </c>
      <c r="H149" s="3"/>
      <c r="I149" s="3" t="s">
        <v>3392</v>
      </c>
      <c r="J149" s="3">
        <v>19</v>
      </c>
      <c r="K149" s="3">
        <v>14</v>
      </c>
      <c r="L149" s="3">
        <v>0</v>
      </c>
      <c r="M149" s="3">
        <v>5</v>
      </c>
      <c r="N149" s="3">
        <v>19</v>
      </c>
      <c r="O149" s="3">
        <v>0.07</v>
      </c>
      <c r="P149" s="3">
        <v>0</v>
      </c>
      <c r="Q149" s="3">
        <v>0</v>
      </c>
      <c r="R149" s="3">
        <v>0</v>
      </c>
    </row>
    <row r="150" spans="1:18">
      <c r="A150" s="3" t="s">
        <v>39</v>
      </c>
      <c r="B150" s="3" t="s">
        <v>40</v>
      </c>
      <c r="C150" s="3" t="s">
        <v>41</v>
      </c>
      <c r="D150" s="3" t="s">
        <v>42</v>
      </c>
      <c r="E150" s="3" t="s">
        <v>867</v>
      </c>
      <c r="F150" s="3">
        <v>22.98</v>
      </c>
      <c r="G150" s="3" t="s">
        <v>3391</v>
      </c>
      <c r="H150" s="3"/>
      <c r="I150" s="3" t="s">
        <v>3392</v>
      </c>
      <c r="J150" s="3">
        <v>16</v>
      </c>
      <c r="K150" s="3">
        <v>14</v>
      </c>
      <c r="L150" s="3">
        <v>0</v>
      </c>
      <c r="M150" s="3">
        <v>2</v>
      </c>
      <c r="N150" s="3">
        <v>21</v>
      </c>
      <c r="O150" s="3">
        <v>0.07</v>
      </c>
      <c r="P150" s="3">
        <v>0</v>
      </c>
      <c r="Q150" s="3">
        <v>5</v>
      </c>
      <c r="R150" s="3">
        <v>0</v>
      </c>
    </row>
    <row r="151" spans="1:18">
      <c r="A151" s="3" t="s">
        <v>3475</v>
      </c>
      <c r="B151" s="3" t="s">
        <v>3476</v>
      </c>
      <c r="C151" s="3" t="s">
        <v>3477</v>
      </c>
      <c r="D151" s="3" t="s">
        <v>3478</v>
      </c>
      <c r="E151" s="3" t="s">
        <v>867</v>
      </c>
      <c r="F151" s="3">
        <v>22.98</v>
      </c>
      <c r="G151" s="3" t="s">
        <v>3391</v>
      </c>
      <c r="H151" s="3"/>
      <c r="I151" s="3" t="s">
        <v>3392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0.07</v>
      </c>
      <c r="P151" s="3">
        <v>0</v>
      </c>
      <c r="Q151" s="3">
        <v>0</v>
      </c>
      <c r="R151" s="3">
        <v>0</v>
      </c>
    </row>
    <row r="152" spans="1:18">
      <c r="A152" s="3" t="s">
        <v>56</v>
      </c>
      <c r="B152" s="3" t="s">
        <v>57</v>
      </c>
      <c r="C152" s="3" t="s">
        <v>58</v>
      </c>
      <c r="D152" s="3" t="s">
        <v>59</v>
      </c>
      <c r="E152" s="3" t="s">
        <v>867</v>
      </c>
      <c r="F152" s="3">
        <v>23.98</v>
      </c>
      <c r="G152" s="3" t="s">
        <v>3391</v>
      </c>
      <c r="H152" s="3"/>
      <c r="I152" s="3" t="s">
        <v>3392</v>
      </c>
      <c r="J152" s="3">
        <v>2</v>
      </c>
      <c r="K152" s="3">
        <v>0</v>
      </c>
      <c r="L152" s="3">
        <v>0</v>
      </c>
      <c r="M152" s="3">
        <v>2</v>
      </c>
      <c r="N152" s="3">
        <v>2</v>
      </c>
      <c r="O152" s="3">
        <v>0.07</v>
      </c>
      <c r="P152" s="3">
        <v>0</v>
      </c>
      <c r="Q152" s="3">
        <v>0</v>
      </c>
      <c r="R152" s="3">
        <v>0</v>
      </c>
    </row>
    <row r="153" spans="1:18">
      <c r="A153" s="3" t="s">
        <v>35</v>
      </c>
      <c r="B153" s="3" t="s">
        <v>36</v>
      </c>
      <c r="C153" s="3" t="s">
        <v>37</v>
      </c>
      <c r="D153" s="3" t="s">
        <v>38</v>
      </c>
      <c r="E153" s="3" t="s">
        <v>867</v>
      </c>
      <c r="F153" s="3">
        <v>23.98</v>
      </c>
      <c r="G153" s="3" t="s">
        <v>3391</v>
      </c>
      <c r="H153" s="3"/>
      <c r="I153" s="3" t="s">
        <v>3392</v>
      </c>
      <c r="J153" s="3">
        <v>17</v>
      </c>
      <c r="K153" s="3">
        <v>14</v>
      </c>
      <c r="L153" s="3">
        <v>2</v>
      </c>
      <c r="M153" s="3">
        <v>1</v>
      </c>
      <c r="N153" s="3">
        <v>20</v>
      </c>
      <c r="O153" s="3">
        <v>0.07</v>
      </c>
      <c r="P153" s="3">
        <v>0</v>
      </c>
      <c r="Q153" s="3">
        <v>3</v>
      </c>
      <c r="R153" s="3">
        <v>0</v>
      </c>
    </row>
    <row r="154" spans="1:18">
      <c r="A154" s="3" t="s">
        <v>60</v>
      </c>
      <c r="B154" s="3" t="s">
        <v>61</v>
      </c>
      <c r="C154" s="3" t="s">
        <v>62</v>
      </c>
      <c r="D154" s="3" t="s">
        <v>63</v>
      </c>
      <c r="E154" s="3" t="s">
        <v>867</v>
      </c>
      <c r="F154" s="3">
        <v>22.98</v>
      </c>
      <c r="G154" s="3" t="s">
        <v>3391</v>
      </c>
      <c r="H154" s="3"/>
      <c r="I154" s="3" t="s">
        <v>3392</v>
      </c>
      <c r="J154" s="3">
        <v>25</v>
      </c>
      <c r="K154" s="3">
        <v>23</v>
      </c>
      <c r="L154" s="3">
        <v>0</v>
      </c>
      <c r="M154" s="3">
        <v>2</v>
      </c>
      <c r="N154" s="3">
        <v>25</v>
      </c>
      <c r="O154" s="3">
        <v>0.07</v>
      </c>
      <c r="P154" s="3">
        <v>0</v>
      </c>
      <c r="Q154" s="3">
        <v>0</v>
      </c>
      <c r="R154" s="3">
        <v>0</v>
      </c>
    </row>
    <row r="155" spans="1:18">
      <c r="A155" s="3" t="s">
        <v>2221</v>
      </c>
      <c r="B155" s="3" t="s">
        <v>2222</v>
      </c>
      <c r="C155" s="3" t="s">
        <v>2223</v>
      </c>
      <c r="D155" s="3" t="s">
        <v>2224</v>
      </c>
      <c r="E155" s="3" t="s">
        <v>867</v>
      </c>
      <c r="F155" s="3">
        <v>22.98</v>
      </c>
      <c r="G155" s="3" t="s">
        <v>3391</v>
      </c>
      <c r="H155" s="3"/>
      <c r="I155" s="3" t="s">
        <v>3392</v>
      </c>
      <c r="J155" s="3">
        <v>10</v>
      </c>
      <c r="K155" s="3">
        <v>10</v>
      </c>
      <c r="L155" s="3">
        <v>0</v>
      </c>
      <c r="M155" s="3">
        <v>0</v>
      </c>
      <c r="N155" s="3">
        <v>20</v>
      </c>
      <c r="O155" s="3">
        <v>0.07</v>
      </c>
      <c r="P155" s="3">
        <v>0</v>
      </c>
      <c r="Q155" s="3">
        <v>10</v>
      </c>
      <c r="R155" s="3">
        <v>0</v>
      </c>
    </row>
    <row r="156" spans="1:18">
      <c r="A156" s="3" t="s">
        <v>3479</v>
      </c>
      <c r="B156" s="3" t="s">
        <v>3480</v>
      </c>
      <c r="C156" s="3" t="s">
        <v>1199</v>
      </c>
      <c r="D156" s="3" t="s">
        <v>1200</v>
      </c>
      <c r="E156" s="3" t="s">
        <v>867</v>
      </c>
      <c r="F156" s="3">
        <v>22.98</v>
      </c>
      <c r="G156" s="3" t="s">
        <v>3391</v>
      </c>
      <c r="H156" s="3"/>
      <c r="I156" s="3" t="s">
        <v>3392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0.05</v>
      </c>
      <c r="P156" s="3">
        <v>0</v>
      </c>
      <c r="Q156" s="3">
        <v>0</v>
      </c>
      <c r="R156" s="3">
        <v>0</v>
      </c>
    </row>
    <row r="157" spans="1:18">
      <c r="A157" s="3" t="s">
        <v>43</v>
      </c>
      <c r="B157" s="3" t="s">
        <v>44</v>
      </c>
      <c r="C157" s="3" t="s">
        <v>45</v>
      </c>
      <c r="D157" s="3" t="s">
        <v>46</v>
      </c>
      <c r="E157" s="3" t="s">
        <v>867</v>
      </c>
      <c r="F157" s="3">
        <v>23.98</v>
      </c>
      <c r="G157" s="3" t="s">
        <v>3391</v>
      </c>
      <c r="H157" s="3"/>
      <c r="I157" s="3" t="s">
        <v>3392</v>
      </c>
      <c r="J157" s="3">
        <v>19</v>
      </c>
      <c r="K157" s="3">
        <v>16</v>
      </c>
      <c r="L157" s="3">
        <v>0</v>
      </c>
      <c r="M157" s="3">
        <v>3</v>
      </c>
      <c r="N157" s="3">
        <v>19</v>
      </c>
      <c r="O157" s="3">
        <v>0.07</v>
      </c>
      <c r="P157" s="3">
        <v>0</v>
      </c>
      <c r="Q157" s="3">
        <v>0</v>
      </c>
      <c r="R157" s="3">
        <v>0</v>
      </c>
    </row>
    <row r="158" spans="1:18">
      <c r="A158" s="3" t="s">
        <v>3481</v>
      </c>
      <c r="B158" s="3" t="s">
        <v>3482</v>
      </c>
      <c r="C158" s="3" t="s">
        <v>3261</v>
      </c>
      <c r="D158" s="3"/>
      <c r="E158" s="3" t="s">
        <v>3293</v>
      </c>
      <c r="F158" s="3"/>
      <c r="G158" s="3"/>
      <c r="H158" s="3"/>
      <c r="I158" s="3"/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2214</v>
      </c>
      <c r="B159" s="3" t="s">
        <v>2215</v>
      </c>
      <c r="C159" s="3" t="s">
        <v>2216</v>
      </c>
      <c r="D159" s="3" t="s">
        <v>2217</v>
      </c>
      <c r="E159" s="3" t="s">
        <v>867</v>
      </c>
      <c r="F159" s="3">
        <v>22.98</v>
      </c>
      <c r="G159" s="3" t="s">
        <v>3391</v>
      </c>
      <c r="H159" s="3"/>
      <c r="I159" s="3" t="s">
        <v>3392</v>
      </c>
      <c r="J159" s="3">
        <v>22</v>
      </c>
      <c r="K159" s="3">
        <v>21</v>
      </c>
      <c r="L159" s="3">
        <v>1</v>
      </c>
      <c r="M159" s="3">
        <v>0</v>
      </c>
      <c r="N159" s="3">
        <v>27</v>
      </c>
      <c r="O159" s="3">
        <v>0.07</v>
      </c>
      <c r="P159" s="3">
        <v>0</v>
      </c>
      <c r="Q159" s="3">
        <v>5</v>
      </c>
      <c r="R159" s="3">
        <v>0</v>
      </c>
    </row>
    <row r="160" spans="1:18">
      <c r="A160" s="3" t="s">
        <v>1795</v>
      </c>
      <c r="B160" s="3" t="s">
        <v>1796</v>
      </c>
      <c r="C160" s="3" t="s">
        <v>1797</v>
      </c>
      <c r="D160" s="3" t="s">
        <v>1798</v>
      </c>
      <c r="E160" s="3" t="s">
        <v>867</v>
      </c>
      <c r="F160" s="3">
        <v>22.98</v>
      </c>
      <c r="G160" s="3" t="s">
        <v>3391</v>
      </c>
      <c r="H160" s="3"/>
      <c r="I160" s="3" t="s">
        <v>3392</v>
      </c>
      <c r="J160" s="3">
        <v>12</v>
      </c>
      <c r="K160" s="3">
        <v>12</v>
      </c>
      <c r="L160" s="3">
        <v>0</v>
      </c>
      <c r="M160" s="3">
        <v>0</v>
      </c>
      <c r="N160" s="3">
        <v>16</v>
      </c>
      <c r="O160" s="3">
        <v>0.07</v>
      </c>
      <c r="P160" s="3">
        <v>0</v>
      </c>
      <c r="Q160" s="3">
        <v>4</v>
      </c>
      <c r="R160" s="3">
        <v>0</v>
      </c>
    </row>
    <row r="161" spans="1:18">
      <c r="A161" s="3" t="s">
        <v>3483</v>
      </c>
      <c r="B161" s="3" t="s">
        <v>3484</v>
      </c>
      <c r="C161" s="3" t="s">
        <v>1348</v>
      </c>
      <c r="D161" s="3" t="s">
        <v>1349</v>
      </c>
      <c r="E161" s="3" t="s">
        <v>867</v>
      </c>
      <c r="F161" s="3">
        <v>22.98</v>
      </c>
      <c r="G161" s="3" t="s">
        <v>3391</v>
      </c>
      <c r="H161" s="3"/>
      <c r="I161" s="3" t="s">
        <v>3392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0.07</v>
      </c>
      <c r="P161" s="3">
        <v>0</v>
      </c>
      <c r="Q161" s="3">
        <v>0</v>
      </c>
      <c r="R161" s="3">
        <v>0</v>
      </c>
    </row>
    <row r="162" spans="1:18">
      <c r="A162" s="3" t="s">
        <v>3169</v>
      </c>
      <c r="B162" s="3" t="s">
        <v>3170</v>
      </c>
      <c r="C162" s="3" t="s">
        <v>3171</v>
      </c>
      <c r="D162" s="3" t="s">
        <v>3172</v>
      </c>
      <c r="E162" s="3" t="s">
        <v>867</v>
      </c>
      <c r="F162" s="3">
        <v>23.98</v>
      </c>
      <c r="G162" s="3" t="s">
        <v>3391</v>
      </c>
      <c r="H162" s="3"/>
      <c r="I162" s="3" t="s">
        <v>3392</v>
      </c>
      <c r="J162" s="3">
        <v>13</v>
      </c>
      <c r="K162" s="3">
        <v>13</v>
      </c>
      <c r="L162" s="3">
        <v>0</v>
      </c>
      <c r="M162" s="3">
        <v>0</v>
      </c>
      <c r="N162" s="3">
        <v>13</v>
      </c>
      <c r="O162" s="3">
        <v>0.07</v>
      </c>
      <c r="P162" s="3">
        <v>0</v>
      </c>
      <c r="Q162" s="3">
        <v>0</v>
      </c>
      <c r="R162" s="3">
        <v>0</v>
      </c>
    </row>
    <row r="163" spans="1:18">
      <c r="A163" s="3" t="s">
        <v>2117</v>
      </c>
      <c r="B163" s="3" t="s">
        <v>2118</v>
      </c>
      <c r="C163" s="3" t="s">
        <v>1470</v>
      </c>
      <c r="D163" s="3" t="s">
        <v>1471</v>
      </c>
      <c r="E163" s="3" t="s">
        <v>867</v>
      </c>
      <c r="F163" s="3">
        <v>23.98</v>
      </c>
      <c r="G163" s="3" t="s">
        <v>3391</v>
      </c>
      <c r="H163" s="3"/>
      <c r="I163" s="3" t="s">
        <v>3392</v>
      </c>
      <c r="J163" s="3">
        <v>21</v>
      </c>
      <c r="K163" s="3">
        <v>21</v>
      </c>
      <c r="L163" s="3">
        <v>0</v>
      </c>
      <c r="M163" s="3">
        <v>0</v>
      </c>
      <c r="N163" s="3">
        <v>23</v>
      </c>
      <c r="O163" s="3">
        <v>0.07</v>
      </c>
      <c r="P163" s="3">
        <v>0</v>
      </c>
      <c r="Q163" s="3">
        <v>2</v>
      </c>
      <c r="R163" s="3">
        <v>0</v>
      </c>
    </row>
    <row r="164" spans="1:18">
      <c r="A164" s="3" t="s">
        <v>3485</v>
      </c>
      <c r="B164" s="3" t="s">
        <v>3486</v>
      </c>
      <c r="C164" s="3" t="s">
        <v>3487</v>
      </c>
      <c r="D164" s="3" t="s">
        <v>3488</v>
      </c>
      <c r="E164" s="3" t="s">
        <v>867</v>
      </c>
      <c r="F164" s="3">
        <v>22.98</v>
      </c>
      <c r="G164" s="3" t="s">
        <v>3391</v>
      </c>
      <c r="H164" s="3"/>
      <c r="I164" s="3" t="s">
        <v>3392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0.07</v>
      </c>
      <c r="P164" s="3">
        <v>0</v>
      </c>
      <c r="Q164" s="3">
        <v>0</v>
      </c>
      <c r="R164" s="3">
        <v>0</v>
      </c>
    </row>
    <row r="165" spans="1:18">
      <c r="A165" s="3" t="s">
        <v>3489</v>
      </c>
      <c r="B165" s="3" t="s">
        <v>3490</v>
      </c>
      <c r="C165" s="3" t="s">
        <v>3491</v>
      </c>
      <c r="D165" s="3" t="s">
        <v>3492</v>
      </c>
      <c r="E165" s="3" t="s">
        <v>867</v>
      </c>
      <c r="F165" s="3">
        <v>22.98</v>
      </c>
      <c r="G165" s="3" t="s">
        <v>3391</v>
      </c>
      <c r="H165" s="3"/>
      <c r="I165" s="3" t="s">
        <v>3392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0.07</v>
      </c>
      <c r="P165" s="3">
        <v>0</v>
      </c>
      <c r="Q165" s="3">
        <v>0</v>
      </c>
      <c r="R165" s="3">
        <v>0</v>
      </c>
    </row>
    <row r="166" spans="1:18">
      <c r="A166" s="3" t="s">
        <v>3493</v>
      </c>
      <c r="B166" s="3" t="s">
        <v>3494</v>
      </c>
      <c r="C166" s="3" t="s">
        <v>551</v>
      </c>
      <c r="D166" s="3" t="s">
        <v>552</v>
      </c>
      <c r="E166" s="3" t="s">
        <v>867</v>
      </c>
      <c r="F166" s="3">
        <v>22.98</v>
      </c>
      <c r="G166" s="3" t="s">
        <v>3391</v>
      </c>
      <c r="H166" s="3"/>
      <c r="I166" s="3" t="s">
        <v>3392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0.07</v>
      </c>
      <c r="P166" s="3">
        <v>0</v>
      </c>
      <c r="Q166" s="3">
        <v>0</v>
      </c>
      <c r="R166" s="3">
        <v>0</v>
      </c>
    </row>
    <row r="167" spans="1:18">
      <c r="A167" s="3" t="s">
        <v>3495</v>
      </c>
      <c r="B167" s="3" t="s">
        <v>3496</v>
      </c>
      <c r="C167" s="3" t="s">
        <v>3497</v>
      </c>
      <c r="D167" s="3" t="s">
        <v>3498</v>
      </c>
      <c r="E167" s="3" t="s">
        <v>867</v>
      </c>
      <c r="F167" s="3">
        <v>23.98</v>
      </c>
      <c r="G167" s="3" t="s">
        <v>3391</v>
      </c>
      <c r="H167" s="3"/>
      <c r="I167" s="3" t="s">
        <v>3392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0.07</v>
      </c>
      <c r="P167" s="3">
        <v>0</v>
      </c>
      <c r="Q167" s="3">
        <v>0</v>
      </c>
      <c r="R167" s="3">
        <v>0</v>
      </c>
    </row>
    <row r="168" spans="1:18">
      <c r="A168" s="3" t="s">
        <v>3499</v>
      </c>
      <c r="B168" s="3" t="s">
        <v>3500</v>
      </c>
      <c r="C168" s="3" t="s">
        <v>3501</v>
      </c>
      <c r="D168" s="3"/>
      <c r="E168" s="3" t="s">
        <v>3293</v>
      </c>
      <c r="F168" s="3"/>
      <c r="G168" s="3"/>
      <c r="H168" s="3"/>
      <c r="I168" s="3"/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/>
      <c r="P168" s="3">
        <v>0</v>
      </c>
      <c r="Q168" s="3">
        <v>0</v>
      </c>
      <c r="R168" s="3">
        <v>0</v>
      </c>
    </row>
    <row r="169" spans="1:18">
      <c r="A169" s="3" t="s">
        <v>2249</v>
      </c>
      <c r="B169" s="3" t="s">
        <v>2250</v>
      </c>
      <c r="C169" s="3" t="s">
        <v>2250</v>
      </c>
      <c r="D169" s="3" t="s">
        <v>2251</v>
      </c>
      <c r="E169" s="3" t="s">
        <v>867</v>
      </c>
      <c r="F169" s="3">
        <v>24.98</v>
      </c>
      <c r="G169" s="3" t="s">
        <v>3391</v>
      </c>
      <c r="H169" s="3"/>
      <c r="I169" s="3" t="s">
        <v>3392</v>
      </c>
      <c r="J169" s="3">
        <v>23</v>
      </c>
      <c r="K169" s="3">
        <v>23</v>
      </c>
      <c r="L169" s="3">
        <v>0</v>
      </c>
      <c r="M169" s="3">
        <v>0</v>
      </c>
      <c r="N169" s="3">
        <v>23</v>
      </c>
      <c r="O169" s="3">
        <v>0.06</v>
      </c>
      <c r="P169" s="3">
        <v>0</v>
      </c>
      <c r="Q169" s="3">
        <v>0</v>
      </c>
      <c r="R169" s="3">
        <v>0</v>
      </c>
    </row>
    <row r="170" spans="1:18">
      <c r="A170" s="3" t="s">
        <v>2466</v>
      </c>
      <c r="B170" s="3" t="s">
        <v>2467</v>
      </c>
      <c r="C170" s="3" t="s">
        <v>2467</v>
      </c>
      <c r="D170" s="3" t="s">
        <v>1708</v>
      </c>
      <c r="E170" s="3" t="s">
        <v>867</v>
      </c>
      <c r="F170" s="3">
        <v>24.98</v>
      </c>
      <c r="G170" s="3" t="s">
        <v>3391</v>
      </c>
      <c r="H170" s="3"/>
      <c r="I170" s="3" t="s">
        <v>3392</v>
      </c>
      <c r="J170" s="3">
        <v>7</v>
      </c>
      <c r="K170" s="3">
        <v>7</v>
      </c>
      <c r="L170" s="3">
        <v>0</v>
      </c>
      <c r="M170" s="3">
        <v>0</v>
      </c>
      <c r="N170" s="3">
        <v>7</v>
      </c>
      <c r="O170" s="3">
        <v>0.06</v>
      </c>
      <c r="P170" s="3">
        <v>0</v>
      </c>
      <c r="Q170" s="3">
        <v>0</v>
      </c>
      <c r="R170" s="3">
        <v>0</v>
      </c>
    </row>
    <row r="171" spans="1:18">
      <c r="A171" s="3" t="s">
        <v>64</v>
      </c>
      <c r="B171" s="3" t="s">
        <v>27</v>
      </c>
      <c r="C171" s="3" t="s">
        <v>27</v>
      </c>
      <c r="D171" s="3" t="s">
        <v>28</v>
      </c>
      <c r="E171" s="3" t="s">
        <v>867</v>
      </c>
      <c r="F171" s="3">
        <v>39.98</v>
      </c>
      <c r="G171" s="3" t="s">
        <v>3391</v>
      </c>
      <c r="H171" s="3"/>
      <c r="I171" s="3" t="s">
        <v>3392</v>
      </c>
      <c r="J171" s="3">
        <v>21</v>
      </c>
      <c r="K171" s="3">
        <v>20</v>
      </c>
      <c r="L171" s="3">
        <v>0</v>
      </c>
      <c r="M171" s="3">
        <v>1</v>
      </c>
      <c r="N171" s="3">
        <v>21</v>
      </c>
      <c r="O171" s="3">
        <v>0.06</v>
      </c>
      <c r="P171" s="3">
        <v>0</v>
      </c>
      <c r="Q171" s="3">
        <v>0</v>
      </c>
      <c r="R171" s="3">
        <v>0</v>
      </c>
    </row>
    <row r="172" spans="1:18">
      <c r="A172" s="3" t="s">
        <v>1244</v>
      </c>
      <c r="B172" s="3" t="s">
        <v>1245</v>
      </c>
      <c r="C172" s="3" t="s">
        <v>1245</v>
      </c>
      <c r="D172" s="3" t="s">
        <v>1246</v>
      </c>
      <c r="E172" s="3" t="s">
        <v>867</v>
      </c>
      <c r="F172" s="3">
        <v>24.98</v>
      </c>
      <c r="G172" s="3" t="s">
        <v>3391</v>
      </c>
      <c r="H172" s="3"/>
      <c r="I172" s="3" t="s">
        <v>3392</v>
      </c>
      <c r="J172" s="3">
        <v>17</v>
      </c>
      <c r="K172" s="3">
        <v>17</v>
      </c>
      <c r="L172" s="3">
        <v>0</v>
      </c>
      <c r="M172" s="3">
        <v>0</v>
      </c>
      <c r="N172" s="3">
        <v>17</v>
      </c>
      <c r="O172" s="3">
        <v>0.06</v>
      </c>
      <c r="P172" s="3">
        <v>0</v>
      </c>
      <c r="Q172" s="3">
        <v>0</v>
      </c>
      <c r="R172" s="3">
        <v>0</v>
      </c>
    </row>
    <row r="173" spans="1:18">
      <c r="A173" s="3" t="s">
        <v>47</v>
      </c>
      <c r="B173" s="3" t="s">
        <v>30</v>
      </c>
      <c r="C173" s="3" t="s">
        <v>30</v>
      </c>
      <c r="D173" s="3" t="s">
        <v>31</v>
      </c>
      <c r="E173" s="3" t="s">
        <v>867</v>
      </c>
      <c r="F173" s="3">
        <v>39.98</v>
      </c>
      <c r="G173" s="3" t="s">
        <v>3391</v>
      </c>
      <c r="H173" s="3"/>
      <c r="I173" s="3" t="s">
        <v>3392</v>
      </c>
      <c r="J173" s="3">
        <v>13</v>
      </c>
      <c r="K173" s="3">
        <v>12</v>
      </c>
      <c r="L173" s="3">
        <v>0</v>
      </c>
      <c r="M173" s="3">
        <v>1</v>
      </c>
      <c r="N173" s="3">
        <v>13</v>
      </c>
      <c r="O173" s="3">
        <v>0.06</v>
      </c>
      <c r="P173" s="3">
        <v>0</v>
      </c>
      <c r="Q173" s="3">
        <v>0</v>
      </c>
      <c r="R173" s="3">
        <v>0</v>
      </c>
    </row>
    <row r="174" spans="1:18">
      <c r="A174" s="3" t="s">
        <v>3502</v>
      </c>
      <c r="B174" s="3" t="s">
        <v>2616</v>
      </c>
      <c r="C174" s="3" t="s">
        <v>2616</v>
      </c>
      <c r="D174" s="3" t="s">
        <v>2617</v>
      </c>
      <c r="E174" s="3" t="s">
        <v>867</v>
      </c>
      <c r="F174" s="3">
        <v>23.98</v>
      </c>
      <c r="G174" s="3" t="s">
        <v>3392</v>
      </c>
      <c r="H174" s="3">
        <v>0</v>
      </c>
      <c r="I174" s="3" t="s">
        <v>3391</v>
      </c>
      <c r="J174" s="3">
        <v>23</v>
      </c>
      <c r="K174" s="3">
        <v>23</v>
      </c>
      <c r="L174" s="3">
        <v>0</v>
      </c>
      <c r="M174" s="3">
        <v>0</v>
      </c>
      <c r="N174" s="3">
        <v>23</v>
      </c>
      <c r="O174" s="3">
        <v>0.06</v>
      </c>
      <c r="P174" s="3">
        <v>0</v>
      </c>
      <c r="Q174" s="3">
        <v>0</v>
      </c>
      <c r="R174" s="3">
        <v>0</v>
      </c>
    </row>
    <row r="175" spans="1:18">
      <c r="A175" s="3" t="s">
        <v>3503</v>
      </c>
      <c r="B175" s="3" t="s">
        <v>106</v>
      </c>
      <c r="C175" s="3" t="s">
        <v>106</v>
      </c>
      <c r="D175" s="3" t="s">
        <v>107</v>
      </c>
      <c r="E175" s="3" t="s">
        <v>867</v>
      </c>
      <c r="F175" s="3">
        <v>39.98</v>
      </c>
      <c r="G175" s="3" t="s">
        <v>3391</v>
      </c>
      <c r="H175" s="3"/>
      <c r="I175" s="3" t="s">
        <v>3392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0.06</v>
      </c>
      <c r="P175" s="3">
        <v>0</v>
      </c>
      <c r="Q175" s="3">
        <v>0</v>
      </c>
      <c r="R175" s="3">
        <v>0</v>
      </c>
    </row>
    <row r="176" spans="1:18">
      <c r="A176" s="3" t="s">
        <v>2111</v>
      </c>
      <c r="B176" s="3" t="s">
        <v>2112</v>
      </c>
      <c r="C176" s="3" t="s">
        <v>2112</v>
      </c>
      <c r="D176" s="3" t="s">
        <v>2113</v>
      </c>
      <c r="E176" s="3" t="s">
        <v>867</v>
      </c>
      <c r="F176" s="3">
        <v>24.98</v>
      </c>
      <c r="G176" s="3" t="s">
        <v>3391</v>
      </c>
      <c r="H176" s="3"/>
      <c r="I176" s="3" t="s">
        <v>3392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0.21</v>
      </c>
      <c r="P176" s="3">
        <v>0</v>
      </c>
      <c r="Q176" s="3">
        <v>0</v>
      </c>
      <c r="R176" s="3">
        <v>0</v>
      </c>
    </row>
    <row r="177" spans="1:18">
      <c r="A177" s="3" t="s">
        <v>3504</v>
      </c>
      <c r="B177" s="3" t="s">
        <v>3450</v>
      </c>
      <c r="C177" s="3" t="s">
        <v>3450</v>
      </c>
      <c r="D177" s="3"/>
      <c r="E177" s="3" t="s">
        <v>3293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3505</v>
      </c>
      <c r="B178" s="3" t="s">
        <v>110</v>
      </c>
      <c r="C178" s="3" t="s">
        <v>110</v>
      </c>
      <c r="D178" s="3"/>
      <c r="E178" s="3" t="s">
        <v>3293</v>
      </c>
      <c r="F178" s="3"/>
      <c r="G178" s="3"/>
      <c r="H178" s="3"/>
      <c r="I178" s="3"/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/>
      <c r="P178" s="3">
        <v>0</v>
      </c>
      <c r="Q178" s="3">
        <v>0</v>
      </c>
      <c r="R178" s="3">
        <v>0</v>
      </c>
    </row>
    <row r="179" spans="1:18">
      <c r="A179" s="3" t="s">
        <v>1967</v>
      </c>
      <c r="B179" s="3" t="s">
        <v>1968</v>
      </c>
      <c r="C179" s="3" t="s">
        <v>1968</v>
      </c>
      <c r="D179" s="3" t="s">
        <v>1060</v>
      </c>
      <c r="E179" s="3" t="s">
        <v>867</v>
      </c>
      <c r="F179" s="3">
        <v>39.98</v>
      </c>
      <c r="G179" s="3" t="s">
        <v>3391</v>
      </c>
      <c r="H179" s="3"/>
      <c r="I179" s="3" t="s">
        <v>3392</v>
      </c>
      <c r="J179" s="3">
        <v>10</v>
      </c>
      <c r="K179" s="3">
        <v>10</v>
      </c>
      <c r="L179" s="3">
        <v>0</v>
      </c>
      <c r="M179" s="3">
        <v>0</v>
      </c>
      <c r="N179" s="3">
        <v>10</v>
      </c>
      <c r="O179" s="3">
        <v>0.06</v>
      </c>
      <c r="P179" s="3">
        <v>0</v>
      </c>
      <c r="Q179" s="3">
        <v>0</v>
      </c>
      <c r="R179" s="3">
        <v>0</v>
      </c>
    </row>
    <row r="180" spans="1:18">
      <c r="A180" s="3" t="s">
        <v>1340</v>
      </c>
      <c r="B180" s="3" t="s">
        <v>1341</v>
      </c>
      <c r="C180" s="3" t="s">
        <v>1341</v>
      </c>
      <c r="D180" s="3" t="s">
        <v>1342</v>
      </c>
      <c r="E180" s="3" t="s">
        <v>867</v>
      </c>
      <c r="F180" s="3">
        <v>39.98</v>
      </c>
      <c r="G180" s="3" t="s">
        <v>3391</v>
      </c>
      <c r="H180" s="3"/>
      <c r="I180" s="3" t="s">
        <v>3392</v>
      </c>
      <c r="J180" s="3">
        <v>2</v>
      </c>
      <c r="K180" s="3">
        <v>2</v>
      </c>
      <c r="L180" s="3">
        <v>0</v>
      </c>
      <c r="M180" s="3">
        <v>0</v>
      </c>
      <c r="N180" s="3">
        <v>2</v>
      </c>
      <c r="O180" s="3">
        <v>0.06</v>
      </c>
      <c r="P180" s="3">
        <v>0</v>
      </c>
      <c r="Q180" s="3">
        <v>0</v>
      </c>
      <c r="R180" s="3">
        <v>0</v>
      </c>
    </row>
    <row r="181" spans="1:18">
      <c r="A181" s="3" t="s">
        <v>2884</v>
      </c>
      <c r="B181" s="3" t="s">
        <v>2885</v>
      </c>
      <c r="C181" s="3" t="s">
        <v>2885</v>
      </c>
      <c r="D181" s="3" t="s">
        <v>2209</v>
      </c>
      <c r="E181" s="3" t="s">
        <v>867</v>
      </c>
      <c r="F181" s="3">
        <v>24.98</v>
      </c>
      <c r="G181" s="3" t="s">
        <v>3391</v>
      </c>
      <c r="H181" s="3"/>
      <c r="I181" s="3" t="s">
        <v>3392</v>
      </c>
      <c r="J181" s="3">
        <v>13</v>
      </c>
      <c r="K181" s="3">
        <v>13</v>
      </c>
      <c r="L181" s="3">
        <v>0</v>
      </c>
      <c r="M181" s="3">
        <v>0</v>
      </c>
      <c r="N181" s="3">
        <v>13</v>
      </c>
      <c r="O181" s="3">
        <v>0.06</v>
      </c>
      <c r="P181" s="3">
        <v>0</v>
      </c>
      <c r="Q181" s="3">
        <v>0</v>
      </c>
      <c r="R181" s="3">
        <v>0</v>
      </c>
    </row>
    <row r="182" spans="1:18">
      <c r="A182" s="3" t="s">
        <v>963</v>
      </c>
      <c r="B182" s="3" t="s">
        <v>964</v>
      </c>
      <c r="C182" s="3" t="s">
        <v>964</v>
      </c>
      <c r="D182" s="3" t="s">
        <v>965</v>
      </c>
      <c r="E182" s="3" t="s">
        <v>867</v>
      </c>
      <c r="F182" s="3">
        <v>39.98</v>
      </c>
      <c r="G182" s="3" t="s">
        <v>3391</v>
      </c>
      <c r="H182" s="3"/>
      <c r="I182" s="3" t="s">
        <v>3392</v>
      </c>
      <c r="J182" s="3">
        <v>33</v>
      </c>
      <c r="K182" s="3">
        <v>33</v>
      </c>
      <c r="L182" s="3">
        <v>0</v>
      </c>
      <c r="M182" s="3">
        <v>0</v>
      </c>
      <c r="N182" s="3">
        <v>33</v>
      </c>
      <c r="O182" s="3">
        <v>0.06</v>
      </c>
      <c r="P182" s="3">
        <v>0</v>
      </c>
      <c r="Q182" s="3">
        <v>0</v>
      </c>
      <c r="R182" s="3">
        <v>0</v>
      </c>
    </row>
    <row r="183" spans="1:18">
      <c r="A183" s="3" t="s">
        <v>32</v>
      </c>
      <c r="B183" s="3" t="s">
        <v>33</v>
      </c>
      <c r="C183" s="3" t="s">
        <v>33</v>
      </c>
      <c r="D183" s="3" t="s">
        <v>34</v>
      </c>
      <c r="E183" s="3" t="s">
        <v>867</v>
      </c>
      <c r="F183" s="3">
        <v>24.98</v>
      </c>
      <c r="G183" s="3" t="s">
        <v>3391</v>
      </c>
      <c r="H183" s="3"/>
      <c r="I183" s="3" t="s">
        <v>3392</v>
      </c>
      <c r="J183" s="3">
        <v>21</v>
      </c>
      <c r="K183" s="3">
        <v>20</v>
      </c>
      <c r="L183" s="3">
        <v>0</v>
      </c>
      <c r="M183" s="3">
        <v>1</v>
      </c>
      <c r="N183" s="3">
        <v>21</v>
      </c>
      <c r="O183" s="3">
        <v>0.06</v>
      </c>
      <c r="P183" s="3">
        <v>0</v>
      </c>
      <c r="Q183" s="3">
        <v>0</v>
      </c>
      <c r="R183" s="3">
        <v>0</v>
      </c>
    </row>
    <row r="184" spans="1:18">
      <c r="A184" s="3" t="s">
        <v>3506</v>
      </c>
      <c r="B184" s="3" t="s">
        <v>189</v>
      </c>
      <c r="C184" s="3" t="s">
        <v>189</v>
      </c>
      <c r="D184" s="3"/>
      <c r="E184" s="3" t="s">
        <v>3293</v>
      </c>
      <c r="F184" s="3"/>
      <c r="G184" s="3"/>
      <c r="H184" s="3"/>
      <c r="I184" s="3"/>
      <c r="J184" s="3">
        <v>3</v>
      </c>
      <c r="K184" s="3">
        <v>3</v>
      </c>
      <c r="L184" s="3">
        <v>0</v>
      </c>
      <c r="M184" s="3">
        <v>0</v>
      </c>
      <c r="N184" s="3">
        <v>3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1099</v>
      </c>
      <c r="B185" s="3" t="s">
        <v>1100</v>
      </c>
      <c r="C185" s="3" t="s">
        <v>1100</v>
      </c>
      <c r="D185" s="3" t="s">
        <v>1101</v>
      </c>
      <c r="E185" s="3" t="s">
        <v>867</v>
      </c>
      <c r="F185" s="3">
        <v>49.98</v>
      </c>
      <c r="G185" s="3" t="s">
        <v>3391</v>
      </c>
      <c r="H185" s="3"/>
      <c r="I185" s="3" t="s">
        <v>3392</v>
      </c>
      <c r="J185" s="3">
        <v>3</v>
      </c>
      <c r="K185" s="3">
        <v>3</v>
      </c>
      <c r="L185" s="3">
        <v>0</v>
      </c>
      <c r="M185" s="3">
        <v>0</v>
      </c>
      <c r="N185" s="3">
        <v>3</v>
      </c>
      <c r="O185" s="3">
        <v>0.06</v>
      </c>
      <c r="P185" s="3">
        <v>0</v>
      </c>
      <c r="Q185" s="3">
        <v>0</v>
      </c>
      <c r="R185" s="3">
        <v>0</v>
      </c>
    </row>
    <row r="186" spans="1:18">
      <c r="A186" s="3" t="s">
        <v>2023</v>
      </c>
      <c r="B186" s="3" t="s">
        <v>2024</v>
      </c>
      <c r="C186" s="3" t="s">
        <v>2024</v>
      </c>
      <c r="D186" s="3" t="s">
        <v>2025</v>
      </c>
      <c r="E186" s="3" t="s">
        <v>867</v>
      </c>
      <c r="F186" s="3">
        <v>49.98</v>
      </c>
      <c r="G186" s="3" t="s">
        <v>3391</v>
      </c>
      <c r="H186" s="3"/>
      <c r="I186" s="3" t="s">
        <v>3392</v>
      </c>
      <c r="J186" s="3">
        <v>1</v>
      </c>
      <c r="K186" s="3">
        <v>1</v>
      </c>
      <c r="L186" s="3">
        <v>0</v>
      </c>
      <c r="M186" s="3">
        <v>0</v>
      </c>
      <c r="N186" s="3">
        <v>1</v>
      </c>
      <c r="O186" s="3">
        <v>0.06</v>
      </c>
      <c r="P186" s="3">
        <v>0</v>
      </c>
      <c r="Q186" s="3">
        <v>0</v>
      </c>
      <c r="R186" s="3">
        <v>0</v>
      </c>
    </row>
    <row r="187" spans="1:18">
      <c r="A187" s="3" t="s">
        <v>3507</v>
      </c>
      <c r="B187" s="3" t="s">
        <v>1707</v>
      </c>
      <c r="C187" s="3" t="s">
        <v>1707</v>
      </c>
      <c r="D187" s="3" t="s">
        <v>1708</v>
      </c>
      <c r="E187" s="3" t="s">
        <v>867</v>
      </c>
      <c r="F187" s="3">
        <v>49.98</v>
      </c>
      <c r="G187" s="3" t="s">
        <v>3392</v>
      </c>
      <c r="H187" s="3">
        <v>0</v>
      </c>
      <c r="I187" s="3" t="s">
        <v>3391</v>
      </c>
      <c r="J187" s="3">
        <v>1</v>
      </c>
      <c r="K187" s="3">
        <v>1</v>
      </c>
      <c r="L187" s="3">
        <v>0</v>
      </c>
      <c r="M187" s="3">
        <v>0</v>
      </c>
      <c r="N187" s="3">
        <v>1</v>
      </c>
      <c r="O187" s="3">
        <v>0.06</v>
      </c>
      <c r="P187" s="3">
        <v>0</v>
      </c>
      <c r="Q187" s="3">
        <v>0</v>
      </c>
      <c r="R187" s="3">
        <v>0</v>
      </c>
    </row>
    <row r="188" spans="1:18">
      <c r="A188" s="3" t="s">
        <v>2261</v>
      </c>
      <c r="B188" s="3" t="s">
        <v>166</v>
      </c>
      <c r="C188" s="3" t="s">
        <v>166</v>
      </c>
      <c r="D188" s="3" t="s">
        <v>28</v>
      </c>
      <c r="E188" s="3" t="s">
        <v>867</v>
      </c>
      <c r="F188" s="3">
        <v>26.98</v>
      </c>
      <c r="G188" s="3" t="s">
        <v>3391</v>
      </c>
      <c r="H188" s="3"/>
      <c r="I188" s="3" t="s">
        <v>3392</v>
      </c>
      <c r="J188" s="3">
        <v>5</v>
      </c>
      <c r="K188" s="3">
        <v>5</v>
      </c>
      <c r="L188" s="3">
        <v>0</v>
      </c>
      <c r="M188" s="3">
        <v>0</v>
      </c>
      <c r="N188" s="3">
        <v>5</v>
      </c>
      <c r="O188" s="3">
        <v>0.06</v>
      </c>
      <c r="P188" s="3">
        <v>0</v>
      </c>
      <c r="Q188" s="3">
        <v>0</v>
      </c>
      <c r="R188" s="3">
        <v>0</v>
      </c>
    </row>
    <row r="189" spans="1:18">
      <c r="A189" s="3" t="s">
        <v>3212</v>
      </c>
      <c r="B189" s="3" t="s">
        <v>3213</v>
      </c>
      <c r="C189" s="3" t="s">
        <v>3213</v>
      </c>
      <c r="D189" s="3" t="s">
        <v>3214</v>
      </c>
      <c r="E189" s="3" t="s">
        <v>867</v>
      </c>
      <c r="F189" s="3">
        <v>26.98</v>
      </c>
      <c r="G189" s="3" t="s">
        <v>3391</v>
      </c>
      <c r="H189" s="3"/>
      <c r="I189" s="3" t="s">
        <v>3392</v>
      </c>
      <c r="J189" s="3">
        <v>1</v>
      </c>
      <c r="K189" s="3">
        <v>1</v>
      </c>
      <c r="L189" s="3">
        <v>0</v>
      </c>
      <c r="M189" s="3">
        <v>0</v>
      </c>
      <c r="N189" s="3">
        <v>1</v>
      </c>
      <c r="O189" s="3">
        <v>0.06</v>
      </c>
      <c r="P189" s="3">
        <v>0</v>
      </c>
      <c r="Q189" s="3">
        <v>0</v>
      </c>
      <c r="R189" s="3">
        <v>0</v>
      </c>
    </row>
    <row r="190" spans="1:18">
      <c r="A190" s="3" t="s">
        <v>3508</v>
      </c>
      <c r="B190" s="3" t="s">
        <v>3462</v>
      </c>
      <c r="C190" s="3" t="s">
        <v>3462</v>
      </c>
      <c r="D190" s="3"/>
      <c r="E190" s="3" t="s">
        <v>3293</v>
      </c>
      <c r="F190" s="3"/>
      <c r="G190" s="3"/>
      <c r="H190" s="3"/>
      <c r="I190" s="3"/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/>
      <c r="P190" s="3">
        <v>0</v>
      </c>
      <c r="Q190" s="3">
        <v>0</v>
      </c>
      <c r="R190" s="3">
        <v>0</v>
      </c>
    </row>
    <row r="191" spans="1:18">
      <c r="A191" s="3" t="s">
        <v>3509</v>
      </c>
      <c r="B191" s="3" t="s">
        <v>213</v>
      </c>
      <c r="C191" s="3" t="s">
        <v>213</v>
      </c>
      <c r="D191" s="3" t="s">
        <v>107</v>
      </c>
      <c r="E191" s="3" t="s">
        <v>867</v>
      </c>
      <c r="F191" s="3">
        <v>26.98</v>
      </c>
      <c r="G191" s="3" t="s">
        <v>3391</v>
      </c>
      <c r="H191" s="3"/>
      <c r="I191" s="3" t="s">
        <v>3392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0.06</v>
      </c>
      <c r="P191" s="3">
        <v>0</v>
      </c>
      <c r="Q191" s="3">
        <v>0</v>
      </c>
      <c r="R191" s="3">
        <v>0</v>
      </c>
    </row>
    <row r="192" spans="1:18">
      <c r="A192" s="3" t="s">
        <v>2969</v>
      </c>
      <c r="B192" s="3" t="s">
        <v>2970</v>
      </c>
      <c r="C192" s="3" t="s">
        <v>2970</v>
      </c>
      <c r="D192" s="3" t="s">
        <v>2113</v>
      </c>
      <c r="E192" s="3" t="s">
        <v>867</v>
      </c>
      <c r="F192" s="3">
        <v>26.98</v>
      </c>
      <c r="G192" s="3" t="s">
        <v>3391</v>
      </c>
      <c r="H192" s="3"/>
      <c r="I192" s="3" t="s">
        <v>3392</v>
      </c>
      <c r="J192" s="3">
        <v>10</v>
      </c>
      <c r="K192" s="3">
        <v>10</v>
      </c>
      <c r="L192" s="3">
        <v>0</v>
      </c>
      <c r="M192" s="3">
        <v>0</v>
      </c>
      <c r="N192" s="3">
        <v>10</v>
      </c>
      <c r="O192" s="3">
        <v>0.06</v>
      </c>
      <c r="P192" s="3">
        <v>0</v>
      </c>
      <c r="Q192" s="3">
        <v>0</v>
      </c>
      <c r="R192" s="3">
        <v>0</v>
      </c>
    </row>
    <row r="193" spans="1:18">
      <c r="A193" s="3" t="s">
        <v>2168</v>
      </c>
      <c r="B193" s="3" t="s">
        <v>2169</v>
      </c>
      <c r="C193" s="3" t="s">
        <v>2169</v>
      </c>
      <c r="D193" s="3" t="s">
        <v>2170</v>
      </c>
      <c r="E193" s="3" t="s">
        <v>867</v>
      </c>
      <c r="F193" s="3">
        <v>26.98</v>
      </c>
      <c r="G193" s="3" t="s">
        <v>3391</v>
      </c>
      <c r="H193" s="3"/>
      <c r="I193" s="3" t="s">
        <v>3392</v>
      </c>
      <c r="J193" s="3">
        <v>2</v>
      </c>
      <c r="K193" s="3">
        <v>2</v>
      </c>
      <c r="L193" s="3">
        <v>0</v>
      </c>
      <c r="M193" s="3">
        <v>0</v>
      </c>
      <c r="N193" s="3">
        <v>2</v>
      </c>
      <c r="O193" s="3">
        <v>0.06</v>
      </c>
      <c r="P193" s="3">
        <v>0</v>
      </c>
      <c r="Q193" s="3">
        <v>0</v>
      </c>
      <c r="R193" s="3">
        <v>0</v>
      </c>
    </row>
    <row r="194" spans="1:18">
      <c r="A194" s="3" t="s">
        <v>1141</v>
      </c>
      <c r="B194" s="3" t="s">
        <v>1142</v>
      </c>
      <c r="C194" s="3" t="s">
        <v>1142</v>
      </c>
      <c r="D194" s="3" t="s">
        <v>1143</v>
      </c>
      <c r="E194" s="3" t="s">
        <v>867</v>
      </c>
      <c r="F194" s="3">
        <v>26.98</v>
      </c>
      <c r="G194" s="3" t="s">
        <v>3391</v>
      </c>
      <c r="H194" s="3"/>
      <c r="I194" s="3" t="s">
        <v>3392</v>
      </c>
      <c r="J194" s="3">
        <v>7</v>
      </c>
      <c r="K194" s="3">
        <v>7</v>
      </c>
      <c r="L194" s="3">
        <v>0</v>
      </c>
      <c r="M194" s="3">
        <v>0</v>
      </c>
      <c r="N194" s="3">
        <v>7</v>
      </c>
      <c r="O194" s="3">
        <v>0.06</v>
      </c>
      <c r="P194" s="3">
        <v>0</v>
      </c>
      <c r="Q194" s="3">
        <v>0</v>
      </c>
      <c r="R194" s="3">
        <v>0</v>
      </c>
    </row>
    <row r="195" spans="1:18">
      <c r="A195" s="3" t="s">
        <v>1058</v>
      </c>
      <c r="B195" s="3" t="s">
        <v>1059</v>
      </c>
      <c r="C195" s="3" t="s">
        <v>1059</v>
      </c>
      <c r="D195" s="3" t="s">
        <v>1060</v>
      </c>
      <c r="E195" s="3" t="s">
        <v>867</v>
      </c>
      <c r="F195" s="3">
        <v>26.98</v>
      </c>
      <c r="G195" s="3" t="s">
        <v>3391</v>
      </c>
      <c r="H195" s="3"/>
      <c r="I195" s="3" t="s">
        <v>3392</v>
      </c>
      <c r="J195" s="3">
        <v>5</v>
      </c>
      <c r="K195" s="3">
        <v>5</v>
      </c>
      <c r="L195" s="3">
        <v>0</v>
      </c>
      <c r="M195" s="3">
        <v>0</v>
      </c>
      <c r="N195" s="3">
        <v>5</v>
      </c>
      <c r="O195" s="3">
        <v>0.06</v>
      </c>
      <c r="P195" s="3">
        <v>0</v>
      </c>
      <c r="Q195" s="3">
        <v>0</v>
      </c>
      <c r="R195" s="3">
        <v>0</v>
      </c>
    </row>
    <row r="196" spans="1:18">
      <c r="A196" s="3" t="s">
        <v>1483</v>
      </c>
      <c r="B196" s="3" t="s">
        <v>1484</v>
      </c>
      <c r="C196" s="3" t="s">
        <v>1484</v>
      </c>
      <c r="D196" s="3" t="s">
        <v>1342</v>
      </c>
      <c r="E196" s="3" t="s">
        <v>867</v>
      </c>
      <c r="F196" s="3">
        <v>26.98</v>
      </c>
      <c r="G196" s="3" t="s">
        <v>3391</v>
      </c>
      <c r="H196" s="3"/>
      <c r="I196" s="3" t="s">
        <v>3392</v>
      </c>
      <c r="J196" s="3">
        <v>6</v>
      </c>
      <c r="K196" s="3">
        <v>6</v>
      </c>
      <c r="L196" s="3">
        <v>0</v>
      </c>
      <c r="M196" s="3">
        <v>0</v>
      </c>
      <c r="N196" s="3">
        <v>6</v>
      </c>
      <c r="O196" s="3">
        <v>0.06</v>
      </c>
      <c r="P196" s="3">
        <v>0</v>
      </c>
      <c r="Q196" s="3">
        <v>0</v>
      </c>
      <c r="R196" s="3">
        <v>0</v>
      </c>
    </row>
    <row r="197" spans="1:18">
      <c r="A197" s="3" t="s">
        <v>2145</v>
      </c>
      <c r="B197" s="3" t="s">
        <v>2146</v>
      </c>
      <c r="C197" s="3" t="s">
        <v>2146</v>
      </c>
      <c r="D197" s="3" t="s">
        <v>2147</v>
      </c>
      <c r="E197" s="3" t="s">
        <v>867</v>
      </c>
      <c r="F197" s="3">
        <v>26.98</v>
      </c>
      <c r="G197" s="3" t="s">
        <v>3391</v>
      </c>
      <c r="H197" s="3"/>
      <c r="I197" s="3" t="s">
        <v>3392</v>
      </c>
      <c r="J197" s="3">
        <v>8</v>
      </c>
      <c r="K197" s="3">
        <v>8</v>
      </c>
      <c r="L197" s="3">
        <v>0</v>
      </c>
      <c r="M197" s="3">
        <v>0</v>
      </c>
      <c r="N197" s="3">
        <v>8</v>
      </c>
      <c r="O197" s="3">
        <v>0.06</v>
      </c>
      <c r="P197" s="3">
        <v>0</v>
      </c>
      <c r="Q197" s="3">
        <v>0</v>
      </c>
      <c r="R197" s="3">
        <v>0</v>
      </c>
    </row>
    <row r="198" spans="1:18">
      <c r="A198" s="3" t="s">
        <v>2459</v>
      </c>
      <c r="B198" s="3" t="s">
        <v>2460</v>
      </c>
      <c r="C198" s="3" t="s">
        <v>2460</v>
      </c>
      <c r="D198" s="3" t="s">
        <v>965</v>
      </c>
      <c r="E198" s="3" t="s">
        <v>867</v>
      </c>
      <c r="F198" s="3">
        <v>26.98</v>
      </c>
      <c r="G198" s="3" t="s">
        <v>3391</v>
      </c>
      <c r="H198" s="3"/>
      <c r="I198" s="3" t="s">
        <v>3392</v>
      </c>
      <c r="J198" s="3">
        <v>9</v>
      </c>
      <c r="K198" s="3">
        <v>9</v>
      </c>
      <c r="L198" s="3">
        <v>0</v>
      </c>
      <c r="M198" s="3">
        <v>0</v>
      </c>
      <c r="N198" s="3">
        <v>9</v>
      </c>
      <c r="O198" s="3">
        <v>0.06</v>
      </c>
      <c r="P198" s="3">
        <v>0</v>
      </c>
      <c r="Q198" s="3">
        <v>0</v>
      </c>
      <c r="R198" s="3">
        <v>0</v>
      </c>
    </row>
    <row r="199" spans="1:18">
      <c r="A199" s="3" t="s">
        <v>3510</v>
      </c>
      <c r="B199" s="3" t="s">
        <v>3472</v>
      </c>
      <c r="C199" s="3" t="s">
        <v>3472</v>
      </c>
      <c r="D199" s="3" t="s">
        <v>34</v>
      </c>
      <c r="E199" s="3" t="s">
        <v>867</v>
      </c>
      <c r="F199" s="3">
        <v>26.98</v>
      </c>
      <c r="G199" s="3" t="s">
        <v>3391</v>
      </c>
      <c r="H199" s="3"/>
      <c r="I199" s="3" t="s">
        <v>3392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0.06</v>
      </c>
      <c r="P199" s="3">
        <v>0</v>
      </c>
      <c r="Q199" s="3">
        <v>0</v>
      </c>
      <c r="R199" s="3">
        <v>0</v>
      </c>
    </row>
    <row r="200" spans="1:18">
      <c r="A200" s="3" t="s">
        <v>3511</v>
      </c>
      <c r="B200" s="3" t="s">
        <v>67</v>
      </c>
      <c r="C200" s="3" t="s">
        <v>67</v>
      </c>
      <c r="D200" s="3" t="s">
        <v>68</v>
      </c>
      <c r="E200" s="3" t="s">
        <v>867</v>
      </c>
      <c r="F200" s="3">
        <v>23.98</v>
      </c>
      <c r="G200" s="3" t="s">
        <v>3391</v>
      </c>
      <c r="H200" s="3"/>
      <c r="I200" s="3" t="s">
        <v>3392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0.04</v>
      </c>
      <c r="P200" s="3">
        <v>0</v>
      </c>
      <c r="Q200" s="3">
        <v>0</v>
      </c>
      <c r="R200" s="3">
        <v>0</v>
      </c>
    </row>
    <row r="201" spans="1:18">
      <c r="A201" s="3" t="s">
        <v>3512</v>
      </c>
      <c r="B201" s="3" t="s">
        <v>3513</v>
      </c>
      <c r="C201" s="3" t="s">
        <v>3513</v>
      </c>
      <c r="D201" s="3"/>
      <c r="E201" s="3" t="s">
        <v>3293</v>
      </c>
      <c r="F201" s="3"/>
      <c r="G201" s="3"/>
      <c r="H201" s="3"/>
      <c r="I201" s="3"/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3514</v>
      </c>
      <c r="B202" s="3" t="s">
        <v>169</v>
      </c>
      <c r="C202" s="3" t="s">
        <v>169</v>
      </c>
      <c r="D202" s="3"/>
      <c r="E202" s="3" t="s">
        <v>3293</v>
      </c>
      <c r="F202" s="3"/>
      <c r="G202" s="3"/>
      <c r="H202" s="3"/>
      <c r="I202" s="3"/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3515</v>
      </c>
      <c r="B203" s="3" t="s">
        <v>220</v>
      </c>
      <c r="C203" s="3" t="s">
        <v>220</v>
      </c>
      <c r="D203" s="3"/>
      <c r="E203" s="3" t="s">
        <v>3293</v>
      </c>
      <c r="F203" s="3"/>
      <c r="G203" s="3"/>
      <c r="H203" s="3"/>
      <c r="I203" s="3"/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3516</v>
      </c>
      <c r="B204" s="3" t="s">
        <v>1393</v>
      </c>
      <c r="C204" s="3" t="s">
        <v>1393</v>
      </c>
      <c r="D204" s="3"/>
      <c r="E204" s="3" t="s">
        <v>3293</v>
      </c>
      <c r="F204" s="3"/>
      <c r="G204" s="3"/>
      <c r="H204" s="3"/>
      <c r="I204" s="3"/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/>
      <c r="P204" s="3">
        <v>0</v>
      </c>
      <c r="Q204" s="3">
        <v>0</v>
      </c>
      <c r="R204" s="3">
        <v>0</v>
      </c>
    </row>
    <row r="205" spans="1:18">
      <c r="A205" s="3" t="s">
        <v>3517</v>
      </c>
      <c r="B205" s="3" t="s">
        <v>177</v>
      </c>
      <c r="C205" s="3" t="s">
        <v>177</v>
      </c>
      <c r="D205" s="3"/>
      <c r="E205" s="3" t="s">
        <v>3293</v>
      </c>
      <c r="F205" s="3"/>
      <c r="G205" s="3"/>
      <c r="H205" s="3"/>
      <c r="I205" s="3"/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/>
      <c r="P205" s="3">
        <v>0</v>
      </c>
      <c r="Q205" s="3">
        <v>0</v>
      </c>
      <c r="R205" s="3">
        <v>0</v>
      </c>
    </row>
    <row r="206" spans="1:18">
      <c r="A206" s="3" t="s">
        <v>3518</v>
      </c>
      <c r="B206" s="3" t="s">
        <v>1196</v>
      </c>
      <c r="C206" s="3" t="s">
        <v>1196</v>
      </c>
      <c r="D206" s="3"/>
      <c r="E206" s="3" t="s">
        <v>3293</v>
      </c>
      <c r="F206" s="3"/>
      <c r="G206" s="3"/>
      <c r="H206" s="3"/>
      <c r="I206" s="3"/>
      <c r="J206" s="3">
        <v>1</v>
      </c>
      <c r="K206" s="3">
        <v>1</v>
      </c>
      <c r="L206" s="3">
        <v>0</v>
      </c>
      <c r="M206" s="3">
        <v>0</v>
      </c>
      <c r="N206" s="3">
        <v>1</v>
      </c>
      <c r="O206" s="3"/>
      <c r="P206" s="3">
        <v>0</v>
      </c>
      <c r="Q206" s="3">
        <v>0</v>
      </c>
      <c r="R206" s="3">
        <v>0</v>
      </c>
    </row>
    <row r="207" spans="1:18">
      <c r="A207" s="3" t="s">
        <v>3519</v>
      </c>
      <c r="B207" s="3" t="s">
        <v>1942</v>
      </c>
      <c r="C207" s="3" t="s">
        <v>1942</v>
      </c>
      <c r="D207" s="3"/>
      <c r="E207" s="3" t="s">
        <v>3293</v>
      </c>
      <c r="F207" s="3"/>
      <c r="G207" s="3"/>
      <c r="H207" s="3"/>
      <c r="I207" s="3"/>
      <c r="J207" s="3">
        <v>3</v>
      </c>
      <c r="K207" s="3">
        <v>3</v>
      </c>
      <c r="L207" s="3">
        <v>0</v>
      </c>
      <c r="M207" s="3">
        <v>0</v>
      </c>
      <c r="N207" s="3">
        <v>3</v>
      </c>
      <c r="O207" s="3"/>
      <c r="P207" s="3">
        <v>0</v>
      </c>
      <c r="Q207" s="3">
        <v>0</v>
      </c>
      <c r="R207" s="3">
        <v>0</v>
      </c>
    </row>
    <row r="208" spans="1:18">
      <c r="A208" s="3" t="s">
        <v>3520</v>
      </c>
      <c r="B208" s="3" t="s">
        <v>2316</v>
      </c>
      <c r="C208" s="3" t="s">
        <v>2316</v>
      </c>
      <c r="D208" s="3"/>
      <c r="E208" s="3" t="s">
        <v>3293</v>
      </c>
      <c r="F208" s="3"/>
      <c r="G208" s="3"/>
      <c r="H208" s="3"/>
      <c r="I208" s="3"/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/>
      <c r="P208" s="3">
        <v>0</v>
      </c>
      <c r="Q208" s="3">
        <v>0</v>
      </c>
      <c r="R208" s="3">
        <v>0</v>
      </c>
    </row>
    <row r="209" spans="1:18">
      <c r="A209" s="3" t="s">
        <v>3521</v>
      </c>
      <c r="B209" s="3" t="s">
        <v>2530</v>
      </c>
      <c r="C209" s="3" t="s">
        <v>2530</v>
      </c>
      <c r="D209" s="3"/>
      <c r="E209" s="3" t="s">
        <v>3293</v>
      </c>
      <c r="F209" s="3"/>
      <c r="G209" s="3"/>
      <c r="H209" s="3"/>
      <c r="I209" s="3"/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/>
      <c r="P209" s="3">
        <v>0</v>
      </c>
      <c r="Q209" s="3">
        <v>0</v>
      </c>
      <c r="R209" s="3">
        <v>0</v>
      </c>
    </row>
    <row r="210" spans="1:18">
      <c r="A210" s="3" t="s">
        <v>2260</v>
      </c>
      <c r="B210" s="3" t="s">
        <v>2109</v>
      </c>
      <c r="C210" s="3" t="s">
        <v>2109</v>
      </c>
      <c r="D210" s="3" t="s">
        <v>2110</v>
      </c>
      <c r="E210" s="3" t="s">
        <v>867</v>
      </c>
      <c r="F210" s="3">
        <v>22.99</v>
      </c>
      <c r="G210" s="3" t="s">
        <v>3392</v>
      </c>
      <c r="H210" s="3">
        <v>0</v>
      </c>
      <c r="I210" s="3" t="s">
        <v>3391</v>
      </c>
      <c r="J210" s="3">
        <v>6</v>
      </c>
      <c r="K210" s="3">
        <v>6</v>
      </c>
      <c r="L210" s="3">
        <v>0</v>
      </c>
      <c r="M210" s="3">
        <v>0</v>
      </c>
      <c r="N210" s="3">
        <v>6</v>
      </c>
      <c r="O210" s="3">
        <v>0.09</v>
      </c>
      <c r="P210" s="3">
        <v>0</v>
      </c>
      <c r="Q210" s="3">
        <v>0</v>
      </c>
      <c r="R210" s="3">
        <v>0</v>
      </c>
    </row>
    <row r="211" spans="1:18">
      <c r="A211" s="3" t="s">
        <v>3522</v>
      </c>
      <c r="B211" s="3" t="s">
        <v>209</v>
      </c>
      <c r="C211" s="3" t="s">
        <v>209</v>
      </c>
      <c r="D211" s="3"/>
      <c r="E211" s="3" t="s">
        <v>3293</v>
      </c>
      <c r="F211" s="3"/>
      <c r="G211" s="3"/>
      <c r="H211" s="3"/>
      <c r="I211" s="3"/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/>
      <c r="P211" s="3">
        <v>0</v>
      </c>
      <c r="Q211" s="3">
        <v>0</v>
      </c>
      <c r="R211" s="3">
        <v>0</v>
      </c>
    </row>
    <row r="212" spans="1:18">
      <c r="A212" s="3" t="s">
        <v>3523</v>
      </c>
      <c r="B212" s="3" t="s">
        <v>2091</v>
      </c>
      <c r="C212" s="3" t="s">
        <v>2091</v>
      </c>
      <c r="D212" s="3"/>
      <c r="E212" s="3" t="s">
        <v>3293</v>
      </c>
      <c r="F212" s="3"/>
      <c r="G212" s="3"/>
      <c r="H212" s="3"/>
      <c r="I212" s="3"/>
      <c r="J212" s="3">
        <v>10</v>
      </c>
      <c r="K212" s="3">
        <v>10</v>
      </c>
      <c r="L212" s="3">
        <v>0</v>
      </c>
      <c r="M212" s="3">
        <v>0</v>
      </c>
      <c r="N212" s="3">
        <v>10</v>
      </c>
      <c r="O212" s="3"/>
      <c r="P212" s="3">
        <v>0</v>
      </c>
      <c r="Q212" s="3">
        <v>0</v>
      </c>
      <c r="R212" s="3">
        <v>0</v>
      </c>
    </row>
    <row r="213" spans="1:18">
      <c r="A213" s="3" t="s">
        <v>3524</v>
      </c>
      <c r="B213" s="3" t="s">
        <v>2776</v>
      </c>
      <c r="C213" s="3" t="s">
        <v>2776</v>
      </c>
      <c r="D213" s="3"/>
      <c r="E213" s="3" t="s">
        <v>3293</v>
      </c>
      <c r="F213" s="3"/>
      <c r="G213" s="3"/>
      <c r="H213" s="3"/>
      <c r="I213" s="3"/>
      <c r="J213" s="3">
        <v>6</v>
      </c>
      <c r="K213" s="3">
        <v>6</v>
      </c>
      <c r="L213" s="3">
        <v>0</v>
      </c>
      <c r="M213" s="3">
        <v>0</v>
      </c>
      <c r="N213" s="3">
        <v>6</v>
      </c>
      <c r="O213" s="3"/>
      <c r="P213" s="3">
        <v>0</v>
      </c>
      <c r="Q213" s="3">
        <v>0</v>
      </c>
      <c r="R213" s="3">
        <v>0</v>
      </c>
    </row>
    <row r="214" spans="1:18">
      <c r="A214" s="3" t="s">
        <v>3525</v>
      </c>
      <c r="B214" s="3" t="s">
        <v>3526</v>
      </c>
      <c r="C214" s="3" t="s">
        <v>3526</v>
      </c>
      <c r="D214" s="3"/>
      <c r="E214" s="3" t="s">
        <v>3293</v>
      </c>
      <c r="F214" s="3"/>
      <c r="G214" s="3"/>
      <c r="H214" s="3"/>
      <c r="I214" s="3"/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3527</v>
      </c>
      <c r="B215" s="3" t="s">
        <v>1756</v>
      </c>
      <c r="C215" s="3" t="s">
        <v>1756</v>
      </c>
      <c r="D215" s="3"/>
      <c r="E215" s="3" t="s">
        <v>3293</v>
      </c>
      <c r="F215" s="3"/>
      <c r="G215" s="3"/>
      <c r="H215" s="3"/>
      <c r="I215" s="3"/>
      <c r="J215" s="3">
        <v>1</v>
      </c>
      <c r="K215" s="3">
        <v>1</v>
      </c>
      <c r="L215" s="3">
        <v>0</v>
      </c>
      <c r="M215" s="3">
        <v>0</v>
      </c>
      <c r="N215" s="3">
        <v>1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3528</v>
      </c>
      <c r="B216" s="3" t="s">
        <v>1364</v>
      </c>
      <c r="C216" s="3" t="s">
        <v>1364</v>
      </c>
      <c r="D216" s="3"/>
      <c r="E216" s="3" t="s">
        <v>3293</v>
      </c>
      <c r="F216" s="3"/>
      <c r="G216" s="3"/>
      <c r="H216" s="3"/>
      <c r="I216" s="3"/>
      <c r="J216" s="3">
        <v>2</v>
      </c>
      <c r="K216" s="3">
        <v>2</v>
      </c>
      <c r="L216" s="3">
        <v>0</v>
      </c>
      <c r="M216" s="3">
        <v>0</v>
      </c>
      <c r="N216" s="3">
        <v>2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3529</v>
      </c>
      <c r="B217" s="3" t="s">
        <v>2060</v>
      </c>
      <c r="C217" s="3" t="s">
        <v>2060</v>
      </c>
      <c r="D217" s="3"/>
      <c r="E217" s="3" t="s">
        <v>3293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3530</v>
      </c>
      <c r="B218" s="3" t="s">
        <v>3531</v>
      </c>
      <c r="C218" s="3" t="s">
        <v>2538</v>
      </c>
      <c r="D218" s="3" t="s">
        <v>2539</v>
      </c>
      <c r="E218" s="3" t="s">
        <v>3293</v>
      </c>
      <c r="F218" s="3"/>
      <c r="G218" s="3"/>
      <c r="H218" s="3"/>
      <c r="I218" s="3"/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0.09</v>
      </c>
      <c r="P218" s="3">
        <v>0</v>
      </c>
      <c r="Q218" s="3">
        <v>0</v>
      </c>
      <c r="R218" s="3">
        <v>0</v>
      </c>
    </row>
    <row r="219" spans="1:18">
      <c r="A219" s="3" t="s">
        <v>2986</v>
      </c>
      <c r="B219" s="3" t="s">
        <v>2987</v>
      </c>
      <c r="C219" s="3" t="s">
        <v>2987</v>
      </c>
      <c r="D219" s="3" t="s">
        <v>2988</v>
      </c>
      <c r="E219" s="3" t="s">
        <v>867</v>
      </c>
      <c r="F219" s="3">
        <v>45.98</v>
      </c>
      <c r="G219" s="3" t="s">
        <v>3391</v>
      </c>
      <c r="H219" s="3"/>
      <c r="I219" s="3" t="s">
        <v>3392</v>
      </c>
      <c r="J219" s="3">
        <v>5</v>
      </c>
      <c r="K219" s="3">
        <v>5</v>
      </c>
      <c r="L219" s="3">
        <v>0</v>
      </c>
      <c r="M219" s="3">
        <v>0</v>
      </c>
      <c r="N219" s="3">
        <v>5</v>
      </c>
      <c r="O219" s="3">
        <v>0.17</v>
      </c>
      <c r="P219" s="3">
        <v>0</v>
      </c>
      <c r="Q219" s="3">
        <v>0</v>
      </c>
      <c r="R219" s="3">
        <v>0</v>
      </c>
    </row>
    <row r="220" spans="1:18">
      <c r="A220" s="3" t="s">
        <v>2743</v>
      </c>
      <c r="B220" s="3" t="s">
        <v>2744</v>
      </c>
      <c r="C220" s="3" t="s">
        <v>2744</v>
      </c>
      <c r="D220" s="3" t="s">
        <v>2745</v>
      </c>
      <c r="E220" s="3" t="s">
        <v>867</v>
      </c>
      <c r="F220" s="3">
        <v>45.98</v>
      </c>
      <c r="G220" s="3" t="s">
        <v>3391</v>
      </c>
      <c r="H220" s="3"/>
      <c r="I220" s="3" t="s">
        <v>3392</v>
      </c>
      <c r="J220" s="3">
        <v>6</v>
      </c>
      <c r="K220" s="3">
        <v>6</v>
      </c>
      <c r="L220" s="3">
        <v>0</v>
      </c>
      <c r="M220" s="3">
        <v>0</v>
      </c>
      <c r="N220" s="3">
        <v>6</v>
      </c>
      <c r="O220" s="3">
        <v>0.17</v>
      </c>
      <c r="P220" s="3">
        <v>0</v>
      </c>
      <c r="Q220" s="3">
        <v>0</v>
      </c>
      <c r="R220" s="3">
        <v>0</v>
      </c>
    </row>
    <row r="221" spans="1:18">
      <c r="A221" s="3" t="s">
        <v>2594</v>
      </c>
      <c r="B221" s="3" t="s">
        <v>2595</v>
      </c>
      <c r="C221" s="3" t="s">
        <v>2595</v>
      </c>
      <c r="D221" s="3" t="s">
        <v>2596</v>
      </c>
      <c r="E221" s="3" t="s">
        <v>867</v>
      </c>
      <c r="F221" s="3">
        <v>45.98</v>
      </c>
      <c r="G221" s="3" t="s">
        <v>3391</v>
      </c>
      <c r="H221" s="3"/>
      <c r="I221" s="3" t="s">
        <v>3392</v>
      </c>
      <c r="J221" s="3">
        <v>8</v>
      </c>
      <c r="K221" s="3">
        <v>8</v>
      </c>
      <c r="L221" s="3">
        <v>0</v>
      </c>
      <c r="M221" s="3">
        <v>0</v>
      </c>
      <c r="N221" s="3">
        <v>8</v>
      </c>
      <c r="O221" s="3">
        <v>0.17</v>
      </c>
      <c r="P221" s="3">
        <v>0</v>
      </c>
      <c r="Q221" s="3">
        <v>0</v>
      </c>
      <c r="R221" s="3">
        <v>0</v>
      </c>
    </row>
    <row r="222" spans="1:18">
      <c r="A222" s="3" t="s">
        <v>3532</v>
      </c>
      <c r="B222" s="3" t="s">
        <v>3533</v>
      </c>
      <c r="C222" s="3" t="s">
        <v>3533</v>
      </c>
      <c r="D222" s="3" t="s">
        <v>3534</v>
      </c>
      <c r="E222" s="3" t="s">
        <v>867</v>
      </c>
      <c r="F222" s="3">
        <v>45.98</v>
      </c>
      <c r="G222" s="3" t="s">
        <v>3391</v>
      </c>
      <c r="H222" s="3"/>
      <c r="I222" s="3" t="s">
        <v>3392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0.17</v>
      </c>
      <c r="P222" s="3">
        <v>0</v>
      </c>
      <c r="Q222" s="3">
        <v>0</v>
      </c>
      <c r="R222" s="3">
        <v>0</v>
      </c>
    </row>
    <row r="223" spans="1:18">
      <c r="A223" s="3" t="s">
        <v>2638</v>
      </c>
      <c r="B223" s="3" t="s">
        <v>878</v>
      </c>
      <c r="C223" s="3" t="s">
        <v>878</v>
      </c>
      <c r="D223" s="3" t="s">
        <v>879</v>
      </c>
      <c r="E223" s="3" t="s">
        <v>867</v>
      </c>
      <c r="F223" s="3">
        <v>45.98</v>
      </c>
      <c r="G223" s="3" t="s">
        <v>3391</v>
      </c>
      <c r="H223" s="3"/>
      <c r="I223" s="3" t="s">
        <v>3392</v>
      </c>
      <c r="J223" s="3">
        <v>1</v>
      </c>
      <c r="K223" s="3">
        <v>1</v>
      </c>
      <c r="L223" s="3">
        <v>0</v>
      </c>
      <c r="M223" s="3">
        <v>0</v>
      </c>
      <c r="N223" s="3">
        <v>1</v>
      </c>
      <c r="O223" s="3">
        <v>0.17</v>
      </c>
      <c r="P223" s="3">
        <v>0</v>
      </c>
      <c r="Q223" s="3">
        <v>0</v>
      </c>
      <c r="R223" s="3">
        <v>0</v>
      </c>
    </row>
    <row r="224" spans="1:18">
      <c r="A224" s="3" t="s">
        <v>3535</v>
      </c>
      <c r="B224" s="3" t="s">
        <v>3536</v>
      </c>
      <c r="C224" s="3" t="s">
        <v>3536</v>
      </c>
      <c r="D224" s="3" t="s">
        <v>3537</v>
      </c>
      <c r="E224" s="3" t="s">
        <v>867</v>
      </c>
      <c r="F224" s="3">
        <v>45.98</v>
      </c>
      <c r="G224" s="3" t="s">
        <v>3391</v>
      </c>
      <c r="H224" s="3"/>
      <c r="I224" s="3" t="s">
        <v>3392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0.17</v>
      </c>
      <c r="P224" s="3">
        <v>0</v>
      </c>
      <c r="Q224" s="3">
        <v>0</v>
      </c>
      <c r="R224" s="3">
        <v>0</v>
      </c>
    </row>
    <row r="225" spans="1:18">
      <c r="A225" s="3" t="s">
        <v>3538</v>
      </c>
      <c r="B225" s="3" t="s">
        <v>3539</v>
      </c>
      <c r="C225" s="3" t="s">
        <v>3539</v>
      </c>
      <c r="D225" s="3" t="s">
        <v>3540</v>
      </c>
      <c r="E225" s="3" t="s">
        <v>867</v>
      </c>
      <c r="F225" s="3">
        <v>45.98</v>
      </c>
      <c r="G225" s="3" t="s">
        <v>3391</v>
      </c>
      <c r="H225" s="3"/>
      <c r="I225" s="3" t="s">
        <v>3392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0.17</v>
      </c>
      <c r="P225" s="3">
        <v>0</v>
      </c>
      <c r="Q225" s="3">
        <v>0</v>
      </c>
      <c r="R225" s="3">
        <v>0</v>
      </c>
    </row>
    <row r="226" spans="1:18">
      <c r="A226" s="3" t="s">
        <v>2368</v>
      </c>
      <c r="B226" s="3" t="s">
        <v>78</v>
      </c>
      <c r="C226" s="3" t="s">
        <v>78</v>
      </c>
      <c r="D226" s="3" t="s">
        <v>79</v>
      </c>
      <c r="E226" s="3" t="s">
        <v>867</v>
      </c>
      <c r="F226" s="3">
        <v>45.98</v>
      </c>
      <c r="G226" s="3" t="s">
        <v>3391</v>
      </c>
      <c r="H226" s="3"/>
      <c r="I226" s="3" t="s">
        <v>3392</v>
      </c>
      <c r="J226" s="3">
        <v>2</v>
      </c>
      <c r="K226" s="3">
        <v>2</v>
      </c>
      <c r="L226" s="3">
        <v>0</v>
      </c>
      <c r="M226" s="3">
        <v>0</v>
      </c>
      <c r="N226" s="3">
        <v>2</v>
      </c>
      <c r="O226" s="3">
        <v>0.17</v>
      </c>
      <c r="P226" s="3">
        <v>0</v>
      </c>
      <c r="Q226" s="3">
        <v>0</v>
      </c>
      <c r="R226" s="3">
        <v>0</v>
      </c>
    </row>
    <row r="227" spans="1:18">
      <c r="A227" s="3" t="s">
        <v>2840</v>
      </c>
      <c r="B227" s="3" t="s">
        <v>1216</v>
      </c>
      <c r="C227" s="3" t="s">
        <v>1216</v>
      </c>
      <c r="D227" s="3" t="s">
        <v>1217</v>
      </c>
      <c r="E227" s="3" t="s">
        <v>867</v>
      </c>
      <c r="F227" s="3">
        <v>45.98</v>
      </c>
      <c r="G227" s="3" t="s">
        <v>3391</v>
      </c>
      <c r="H227" s="3"/>
      <c r="I227" s="3" t="s">
        <v>3392</v>
      </c>
      <c r="J227" s="3">
        <v>5</v>
      </c>
      <c r="K227" s="3">
        <v>5</v>
      </c>
      <c r="L227" s="3">
        <v>0</v>
      </c>
      <c r="M227" s="3">
        <v>0</v>
      </c>
      <c r="N227" s="3">
        <v>5</v>
      </c>
      <c r="O227" s="3">
        <v>0.17</v>
      </c>
      <c r="P227" s="3">
        <v>0</v>
      </c>
      <c r="Q227" s="3">
        <v>0</v>
      </c>
      <c r="R227" s="3">
        <v>0</v>
      </c>
    </row>
    <row r="228" spans="1:18">
      <c r="A228" s="3" t="s">
        <v>1953</v>
      </c>
      <c r="B228" s="3" t="s">
        <v>1954</v>
      </c>
      <c r="C228" s="3" t="s">
        <v>1954</v>
      </c>
      <c r="D228" s="3" t="s">
        <v>1955</v>
      </c>
      <c r="E228" s="3" t="s">
        <v>867</v>
      </c>
      <c r="F228" s="3">
        <v>45.98</v>
      </c>
      <c r="G228" s="3" t="s">
        <v>3391</v>
      </c>
      <c r="H228" s="3"/>
      <c r="I228" s="3" t="s">
        <v>3392</v>
      </c>
      <c r="J228" s="3">
        <v>6</v>
      </c>
      <c r="K228" s="3">
        <v>6</v>
      </c>
      <c r="L228" s="3">
        <v>0</v>
      </c>
      <c r="M228" s="3">
        <v>0</v>
      </c>
      <c r="N228" s="3">
        <v>6</v>
      </c>
      <c r="O228" s="3">
        <v>0.17</v>
      </c>
      <c r="P228" s="3">
        <v>0</v>
      </c>
      <c r="Q228" s="3">
        <v>0</v>
      </c>
      <c r="R228" s="3">
        <v>0</v>
      </c>
    </row>
    <row r="229" spans="1:18">
      <c r="A229" s="3" t="s">
        <v>1823</v>
      </c>
      <c r="B229" s="3" t="s">
        <v>1824</v>
      </c>
      <c r="C229" s="3" t="s">
        <v>1824</v>
      </c>
      <c r="D229" s="3" t="s">
        <v>1825</v>
      </c>
      <c r="E229" s="3" t="s">
        <v>867</v>
      </c>
      <c r="F229" s="3">
        <v>45.98</v>
      </c>
      <c r="G229" s="3" t="s">
        <v>3391</v>
      </c>
      <c r="H229" s="3"/>
      <c r="I229" s="3" t="s">
        <v>3392</v>
      </c>
      <c r="J229" s="3">
        <v>5</v>
      </c>
      <c r="K229" s="3">
        <v>5</v>
      </c>
      <c r="L229" s="3">
        <v>0</v>
      </c>
      <c r="M229" s="3">
        <v>0</v>
      </c>
      <c r="N229" s="3">
        <v>5</v>
      </c>
      <c r="O229" s="3">
        <v>0.17</v>
      </c>
      <c r="P229" s="3">
        <v>0</v>
      </c>
      <c r="Q229" s="3">
        <v>0</v>
      </c>
      <c r="R229" s="3">
        <v>0</v>
      </c>
    </row>
    <row r="230" spans="1:18">
      <c r="A230" s="3" t="s">
        <v>1488</v>
      </c>
      <c r="B230" s="3" t="s">
        <v>1489</v>
      </c>
      <c r="C230" s="3" t="s">
        <v>1489</v>
      </c>
      <c r="D230" s="3" t="s">
        <v>1490</v>
      </c>
      <c r="E230" s="3" t="s">
        <v>867</v>
      </c>
      <c r="F230" s="3">
        <v>45.98</v>
      </c>
      <c r="G230" s="3" t="s">
        <v>3391</v>
      </c>
      <c r="H230" s="3"/>
      <c r="I230" s="3" t="s">
        <v>3392</v>
      </c>
      <c r="J230" s="3">
        <v>7</v>
      </c>
      <c r="K230" s="3">
        <v>7</v>
      </c>
      <c r="L230" s="3">
        <v>0</v>
      </c>
      <c r="M230" s="3">
        <v>0</v>
      </c>
      <c r="N230" s="3">
        <v>7</v>
      </c>
      <c r="O230" s="3">
        <v>0.17</v>
      </c>
      <c r="P230" s="3">
        <v>0</v>
      </c>
      <c r="Q230" s="3">
        <v>0</v>
      </c>
      <c r="R230" s="3">
        <v>0</v>
      </c>
    </row>
    <row r="231" spans="1:18">
      <c r="A231" s="3" t="s">
        <v>2730</v>
      </c>
      <c r="B231" s="3" t="s">
        <v>2731</v>
      </c>
      <c r="C231" s="3" t="s">
        <v>2731</v>
      </c>
      <c r="D231" s="3" t="s">
        <v>2732</v>
      </c>
      <c r="E231" s="3" t="s">
        <v>867</v>
      </c>
      <c r="F231" s="3">
        <v>45.98</v>
      </c>
      <c r="G231" s="3" t="s">
        <v>3391</v>
      </c>
      <c r="H231" s="3"/>
      <c r="I231" s="3" t="s">
        <v>3392</v>
      </c>
      <c r="J231" s="3">
        <v>8</v>
      </c>
      <c r="K231" s="3">
        <v>8</v>
      </c>
      <c r="L231" s="3">
        <v>0</v>
      </c>
      <c r="M231" s="3">
        <v>0</v>
      </c>
      <c r="N231" s="3">
        <v>8</v>
      </c>
      <c r="O231" s="3">
        <v>0.17</v>
      </c>
      <c r="P231" s="3">
        <v>0</v>
      </c>
      <c r="Q231" s="3">
        <v>0</v>
      </c>
      <c r="R231" s="3">
        <v>0</v>
      </c>
    </row>
    <row r="232" spans="1:18">
      <c r="A232" s="3" t="s">
        <v>2656</v>
      </c>
      <c r="B232" s="3" t="s">
        <v>2657</v>
      </c>
      <c r="C232" s="3" t="s">
        <v>2657</v>
      </c>
      <c r="D232" s="3" t="s">
        <v>2658</v>
      </c>
      <c r="E232" s="3" t="s">
        <v>867</v>
      </c>
      <c r="F232" s="3">
        <v>45.98</v>
      </c>
      <c r="G232" s="3" t="s">
        <v>3391</v>
      </c>
      <c r="H232" s="3"/>
      <c r="I232" s="3" t="s">
        <v>3392</v>
      </c>
      <c r="J232" s="3">
        <v>8</v>
      </c>
      <c r="K232" s="3">
        <v>8</v>
      </c>
      <c r="L232" s="3">
        <v>0</v>
      </c>
      <c r="M232" s="3">
        <v>0</v>
      </c>
      <c r="N232" s="3">
        <v>8</v>
      </c>
      <c r="O232" s="3">
        <v>0.17</v>
      </c>
      <c r="P232" s="3">
        <v>0</v>
      </c>
      <c r="Q232" s="3">
        <v>0</v>
      </c>
      <c r="R232" s="3">
        <v>0</v>
      </c>
    </row>
    <row r="233" spans="1:18">
      <c r="A233" s="3" t="s">
        <v>1135</v>
      </c>
      <c r="B233" s="3" t="s">
        <v>1136</v>
      </c>
      <c r="C233" s="3" t="s">
        <v>1136</v>
      </c>
      <c r="D233" s="3" t="s">
        <v>1137</v>
      </c>
      <c r="E233" s="3" t="s">
        <v>867</v>
      </c>
      <c r="F233" s="3">
        <v>45.98</v>
      </c>
      <c r="G233" s="3" t="s">
        <v>3391</v>
      </c>
      <c r="H233" s="3"/>
      <c r="I233" s="3" t="s">
        <v>3392</v>
      </c>
      <c r="J233" s="3">
        <v>7</v>
      </c>
      <c r="K233" s="3">
        <v>7</v>
      </c>
      <c r="L233" s="3">
        <v>0</v>
      </c>
      <c r="M233" s="3">
        <v>0</v>
      </c>
      <c r="N233" s="3">
        <v>7</v>
      </c>
      <c r="O233" s="3">
        <v>0.17</v>
      </c>
      <c r="P233" s="3">
        <v>0</v>
      </c>
      <c r="Q233" s="3">
        <v>0</v>
      </c>
      <c r="R233" s="3">
        <v>0</v>
      </c>
    </row>
    <row r="234" spans="1:18">
      <c r="A234" s="3" t="s">
        <v>2513</v>
      </c>
      <c r="B234" s="3" t="s">
        <v>2514</v>
      </c>
      <c r="C234" s="3" t="s">
        <v>2514</v>
      </c>
      <c r="D234" s="3" t="s">
        <v>2515</v>
      </c>
      <c r="E234" s="3" t="s">
        <v>867</v>
      </c>
      <c r="F234" s="3">
        <v>45.98</v>
      </c>
      <c r="G234" s="3" t="s">
        <v>3391</v>
      </c>
      <c r="H234" s="3"/>
      <c r="I234" s="3" t="s">
        <v>3392</v>
      </c>
      <c r="J234" s="3">
        <v>2</v>
      </c>
      <c r="K234" s="3">
        <v>2</v>
      </c>
      <c r="L234" s="3">
        <v>0</v>
      </c>
      <c r="M234" s="3">
        <v>0</v>
      </c>
      <c r="N234" s="3">
        <v>2</v>
      </c>
      <c r="O234" s="3">
        <v>0.17</v>
      </c>
      <c r="P234" s="3">
        <v>0</v>
      </c>
      <c r="Q234" s="3">
        <v>0</v>
      </c>
      <c r="R234" s="3">
        <v>0</v>
      </c>
    </row>
    <row r="235" spans="1:18">
      <c r="A235" s="3" t="s">
        <v>3016</v>
      </c>
      <c r="B235" s="3" t="s">
        <v>3017</v>
      </c>
      <c r="C235" s="3" t="s">
        <v>3017</v>
      </c>
      <c r="D235" s="3" t="s">
        <v>3018</v>
      </c>
      <c r="E235" s="3" t="s">
        <v>867</v>
      </c>
      <c r="F235" s="3">
        <v>45.98</v>
      </c>
      <c r="G235" s="3" t="s">
        <v>3391</v>
      </c>
      <c r="H235" s="3"/>
      <c r="I235" s="3" t="s">
        <v>3392</v>
      </c>
      <c r="J235" s="3">
        <v>7</v>
      </c>
      <c r="K235" s="3">
        <v>7</v>
      </c>
      <c r="L235" s="3">
        <v>0</v>
      </c>
      <c r="M235" s="3">
        <v>0</v>
      </c>
      <c r="N235" s="3">
        <v>7</v>
      </c>
      <c r="O235" s="3">
        <v>0.17</v>
      </c>
      <c r="P235" s="3">
        <v>0</v>
      </c>
      <c r="Q235" s="3">
        <v>0</v>
      </c>
      <c r="R235" s="3">
        <v>0</v>
      </c>
    </row>
    <row r="236" spans="1:18">
      <c r="A236" s="3" t="s">
        <v>1813</v>
      </c>
      <c r="B236" s="3" t="s">
        <v>1814</v>
      </c>
      <c r="C236" s="3" t="s">
        <v>1814</v>
      </c>
      <c r="D236" s="3" t="s">
        <v>1815</v>
      </c>
      <c r="E236" s="3" t="s">
        <v>867</v>
      </c>
      <c r="F236" s="3">
        <v>45.98</v>
      </c>
      <c r="G236" s="3" t="s">
        <v>3391</v>
      </c>
      <c r="H236" s="3"/>
      <c r="I236" s="3" t="s">
        <v>3392</v>
      </c>
      <c r="J236" s="3">
        <v>6</v>
      </c>
      <c r="K236" s="3">
        <v>6</v>
      </c>
      <c r="L236" s="3">
        <v>0</v>
      </c>
      <c r="M236" s="3">
        <v>0</v>
      </c>
      <c r="N236" s="3">
        <v>6</v>
      </c>
      <c r="O236" s="3">
        <v>0.17</v>
      </c>
      <c r="P236" s="3">
        <v>0</v>
      </c>
      <c r="Q236" s="3">
        <v>0</v>
      </c>
      <c r="R236" s="3">
        <v>0</v>
      </c>
    </row>
    <row r="237" spans="1:18">
      <c r="A237" s="3" t="s">
        <v>1917</v>
      </c>
      <c r="B237" s="3" t="s">
        <v>1918</v>
      </c>
      <c r="C237" s="3" t="s">
        <v>1918</v>
      </c>
      <c r="D237" s="3" t="s">
        <v>1919</v>
      </c>
      <c r="E237" s="3" t="s">
        <v>867</v>
      </c>
      <c r="F237" s="3">
        <v>45.98</v>
      </c>
      <c r="G237" s="3" t="s">
        <v>3391</v>
      </c>
      <c r="H237" s="3"/>
      <c r="I237" s="3" t="s">
        <v>3392</v>
      </c>
      <c r="J237" s="3">
        <v>9</v>
      </c>
      <c r="K237" s="3">
        <v>9</v>
      </c>
      <c r="L237" s="3">
        <v>0</v>
      </c>
      <c r="M237" s="3">
        <v>0</v>
      </c>
      <c r="N237" s="3">
        <v>9</v>
      </c>
      <c r="O237" s="3">
        <v>0.17</v>
      </c>
      <c r="P237" s="3">
        <v>0</v>
      </c>
      <c r="Q237" s="3">
        <v>0</v>
      </c>
      <c r="R237" s="3">
        <v>0</v>
      </c>
    </row>
    <row r="238" spans="1:18">
      <c r="A238" s="3" t="s">
        <v>2795</v>
      </c>
      <c r="B238" s="3" t="s">
        <v>2796</v>
      </c>
      <c r="C238" s="3" t="s">
        <v>2796</v>
      </c>
      <c r="D238" s="3" t="s">
        <v>2797</v>
      </c>
      <c r="E238" s="3" t="s">
        <v>867</v>
      </c>
      <c r="F238" s="3">
        <v>45.98</v>
      </c>
      <c r="G238" s="3" t="s">
        <v>3391</v>
      </c>
      <c r="H238" s="3"/>
      <c r="I238" s="3" t="s">
        <v>3392</v>
      </c>
      <c r="J238" s="3">
        <v>4</v>
      </c>
      <c r="K238" s="3">
        <v>4</v>
      </c>
      <c r="L238" s="3">
        <v>0</v>
      </c>
      <c r="M238" s="3">
        <v>0</v>
      </c>
      <c r="N238" s="3">
        <v>4</v>
      </c>
      <c r="O238" s="3">
        <v>0.17</v>
      </c>
      <c r="P238" s="3">
        <v>0</v>
      </c>
      <c r="Q238" s="3">
        <v>0</v>
      </c>
      <c r="R238" s="3">
        <v>0</v>
      </c>
    </row>
    <row r="239" spans="1:18">
      <c r="A239" s="3" t="s">
        <v>1621</v>
      </c>
      <c r="B239" s="3" t="s">
        <v>1622</v>
      </c>
      <c r="C239" s="3" t="s">
        <v>1622</v>
      </c>
      <c r="D239" s="3" t="s">
        <v>1623</v>
      </c>
      <c r="E239" s="3" t="s">
        <v>867</v>
      </c>
      <c r="F239" s="3">
        <v>45.98</v>
      </c>
      <c r="G239" s="3" t="s">
        <v>3391</v>
      </c>
      <c r="H239" s="3"/>
      <c r="I239" s="3" t="s">
        <v>3392</v>
      </c>
      <c r="J239" s="3">
        <v>2</v>
      </c>
      <c r="K239" s="3">
        <v>2</v>
      </c>
      <c r="L239" s="3">
        <v>0</v>
      </c>
      <c r="M239" s="3">
        <v>0</v>
      </c>
      <c r="N239" s="3">
        <v>2</v>
      </c>
      <c r="O239" s="3">
        <v>0.17</v>
      </c>
      <c r="P239" s="3">
        <v>0</v>
      </c>
      <c r="Q239" s="3">
        <v>0</v>
      </c>
      <c r="R239" s="3">
        <v>0</v>
      </c>
    </row>
    <row r="240" spans="1:18">
      <c r="A240" s="3" t="s">
        <v>1857</v>
      </c>
      <c r="B240" s="3" t="s">
        <v>1858</v>
      </c>
      <c r="C240" s="3" t="s">
        <v>1858</v>
      </c>
      <c r="D240" s="3" t="s">
        <v>1859</v>
      </c>
      <c r="E240" s="3" t="s">
        <v>867</v>
      </c>
      <c r="F240" s="3">
        <v>45.98</v>
      </c>
      <c r="G240" s="3" t="s">
        <v>3391</v>
      </c>
      <c r="H240" s="3"/>
      <c r="I240" s="3" t="s">
        <v>3392</v>
      </c>
      <c r="J240" s="3">
        <v>9</v>
      </c>
      <c r="K240" s="3">
        <v>9</v>
      </c>
      <c r="L240" s="3">
        <v>0</v>
      </c>
      <c r="M240" s="3">
        <v>0</v>
      </c>
      <c r="N240" s="3">
        <v>9</v>
      </c>
      <c r="O240" s="3">
        <v>0.17</v>
      </c>
      <c r="P240" s="3">
        <v>0</v>
      </c>
      <c r="Q240" s="3">
        <v>0</v>
      </c>
      <c r="R240" s="3">
        <v>0</v>
      </c>
    </row>
    <row r="241" spans="1:18">
      <c r="A241" s="3" t="s">
        <v>1533</v>
      </c>
      <c r="B241" s="3" t="s">
        <v>1534</v>
      </c>
      <c r="C241" s="3" t="s">
        <v>1534</v>
      </c>
      <c r="D241" s="3" t="s">
        <v>1535</v>
      </c>
      <c r="E241" s="3" t="s">
        <v>867</v>
      </c>
      <c r="F241" s="3">
        <v>45.98</v>
      </c>
      <c r="G241" s="3" t="s">
        <v>3391</v>
      </c>
      <c r="H241" s="3"/>
      <c r="I241" s="3" t="s">
        <v>3392</v>
      </c>
      <c r="J241" s="3">
        <v>9</v>
      </c>
      <c r="K241" s="3">
        <v>9</v>
      </c>
      <c r="L241" s="3">
        <v>0</v>
      </c>
      <c r="M241" s="3">
        <v>0</v>
      </c>
      <c r="N241" s="3">
        <v>9</v>
      </c>
      <c r="O241" s="3">
        <v>0.17</v>
      </c>
      <c r="P241" s="3">
        <v>0</v>
      </c>
      <c r="Q241" s="3">
        <v>0</v>
      </c>
      <c r="R241" s="3">
        <v>0</v>
      </c>
    </row>
    <row r="242" spans="1:18">
      <c r="A242" s="3" t="s">
        <v>69</v>
      </c>
      <c r="B242" s="3" t="s">
        <v>70</v>
      </c>
      <c r="C242" s="3" t="s">
        <v>70</v>
      </c>
      <c r="D242" s="3" t="s">
        <v>71</v>
      </c>
      <c r="E242" s="3" t="s">
        <v>867</v>
      </c>
      <c r="F242" s="3">
        <v>45.98</v>
      </c>
      <c r="G242" s="3" t="s">
        <v>3391</v>
      </c>
      <c r="H242" s="3"/>
      <c r="I242" s="3" t="s">
        <v>3392</v>
      </c>
      <c r="J242" s="3">
        <v>4</v>
      </c>
      <c r="K242" s="3">
        <v>3</v>
      </c>
      <c r="L242" s="3">
        <v>0</v>
      </c>
      <c r="M242" s="3">
        <v>1</v>
      </c>
      <c r="N242" s="3">
        <v>4</v>
      </c>
      <c r="O242" s="3">
        <v>0.17</v>
      </c>
      <c r="P242" s="3">
        <v>0</v>
      </c>
      <c r="Q242" s="3">
        <v>0</v>
      </c>
      <c r="R242" s="3">
        <v>0</v>
      </c>
    </row>
    <row r="243" spans="1:18">
      <c r="A243" s="3" t="s">
        <v>929</v>
      </c>
      <c r="B243" s="3" t="s">
        <v>930</v>
      </c>
      <c r="C243" s="3" t="s">
        <v>930</v>
      </c>
      <c r="D243" s="3" t="s">
        <v>931</v>
      </c>
      <c r="E243" s="3" t="s">
        <v>867</v>
      </c>
      <c r="F243" s="3">
        <v>45.98</v>
      </c>
      <c r="G243" s="3" t="s">
        <v>3391</v>
      </c>
      <c r="H243" s="3"/>
      <c r="I243" s="3" t="s">
        <v>3392</v>
      </c>
      <c r="J243" s="3">
        <v>9</v>
      </c>
      <c r="K243" s="3">
        <v>9</v>
      </c>
      <c r="L243" s="3">
        <v>0</v>
      </c>
      <c r="M243" s="3">
        <v>0</v>
      </c>
      <c r="N243" s="3">
        <v>9</v>
      </c>
      <c r="O243" s="3">
        <v>0.17</v>
      </c>
      <c r="P243" s="3">
        <v>0</v>
      </c>
      <c r="Q243" s="3">
        <v>0</v>
      </c>
      <c r="R243" s="3">
        <v>0</v>
      </c>
    </row>
    <row r="244" spans="1:18">
      <c r="A244" s="3" t="s">
        <v>1575</v>
      </c>
      <c r="B244" s="3" t="s">
        <v>1576</v>
      </c>
      <c r="C244" s="3" t="s">
        <v>1576</v>
      </c>
      <c r="D244" s="3" t="s">
        <v>1577</v>
      </c>
      <c r="E244" s="3" t="s">
        <v>867</v>
      </c>
      <c r="F244" s="3">
        <v>45.98</v>
      </c>
      <c r="G244" s="3" t="s">
        <v>3391</v>
      </c>
      <c r="H244" s="3"/>
      <c r="I244" s="3" t="s">
        <v>3392</v>
      </c>
      <c r="J244" s="3">
        <v>1</v>
      </c>
      <c r="K244" s="3">
        <v>1</v>
      </c>
      <c r="L244" s="3">
        <v>0</v>
      </c>
      <c r="M244" s="3">
        <v>0</v>
      </c>
      <c r="N244" s="3">
        <v>1</v>
      </c>
      <c r="O244" s="3">
        <v>0.17</v>
      </c>
      <c r="P244" s="3">
        <v>0</v>
      </c>
      <c r="Q244" s="3">
        <v>0</v>
      </c>
      <c r="R244" s="3">
        <v>0</v>
      </c>
    </row>
    <row r="245" spans="1:18">
      <c r="A245" s="3" t="s">
        <v>3541</v>
      </c>
      <c r="B245" s="3" t="s">
        <v>86</v>
      </c>
      <c r="C245" s="3" t="s">
        <v>86</v>
      </c>
      <c r="D245" s="3" t="s">
        <v>87</v>
      </c>
      <c r="E245" s="3" t="s">
        <v>867</v>
      </c>
      <c r="F245" s="3">
        <v>45.98</v>
      </c>
      <c r="G245" s="3" t="s">
        <v>3391</v>
      </c>
      <c r="H245" s="3"/>
      <c r="I245" s="3" t="s">
        <v>3392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0.17</v>
      </c>
      <c r="P245" s="3">
        <v>0</v>
      </c>
      <c r="Q245" s="3">
        <v>0</v>
      </c>
      <c r="R245" s="3">
        <v>0</v>
      </c>
    </row>
    <row r="246" spans="1:18">
      <c r="A246" s="3" t="s">
        <v>3542</v>
      </c>
      <c r="B246" s="3" t="s">
        <v>3543</v>
      </c>
      <c r="C246" s="3" t="s">
        <v>3543</v>
      </c>
      <c r="D246" s="3"/>
      <c r="E246" s="3" t="s">
        <v>3293</v>
      </c>
      <c r="F246" s="3"/>
      <c r="G246" s="3"/>
      <c r="H246" s="3"/>
      <c r="I246" s="3"/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3544</v>
      </c>
      <c r="B247" s="3" t="s">
        <v>74</v>
      </c>
      <c r="C247" s="3" t="s">
        <v>74</v>
      </c>
      <c r="D247" s="3" t="s">
        <v>75</v>
      </c>
      <c r="E247" s="3" t="s">
        <v>867</v>
      </c>
      <c r="F247" s="3">
        <v>45.98</v>
      </c>
      <c r="G247" s="3" t="s">
        <v>3391</v>
      </c>
      <c r="H247" s="3"/>
      <c r="I247" s="3" t="s">
        <v>3392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0.17</v>
      </c>
      <c r="P247" s="3">
        <v>0</v>
      </c>
      <c r="Q247" s="3">
        <v>0</v>
      </c>
      <c r="R247" s="3">
        <v>0</v>
      </c>
    </row>
    <row r="248" spans="1:18">
      <c r="A248" s="3" t="s">
        <v>3545</v>
      </c>
      <c r="B248" s="3" t="s">
        <v>2654</v>
      </c>
      <c r="C248" s="3" t="s">
        <v>2654</v>
      </c>
      <c r="D248" s="3" t="s">
        <v>2655</v>
      </c>
      <c r="E248" s="3" t="s">
        <v>867</v>
      </c>
      <c r="F248" s="3">
        <v>45.98</v>
      </c>
      <c r="G248" s="3" t="s">
        <v>3391</v>
      </c>
      <c r="H248" s="3"/>
      <c r="I248" s="3" t="s">
        <v>3392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0.17</v>
      </c>
      <c r="P248" s="3">
        <v>0</v>
      </c>
      <c r="Q248" s="3">
        <v>0</v>
      </c>
      <c r="R248" s="3">
        <v>0</v>
      </c>
    </row>
    <row r="249" spans="1:18">
      <c r="A249" s="3" t="s">
        <v>2924</v>
      </c>
      <c r="B249" s="3" t="s">
        <v>2925</v>
      </c>
      <c r="C249" s="3" t="s">
        <v>2925</v>
      </c>
      <c r="D249" s="3" t="s">
        <v>2926</v>
      </c>
      <c r="E249" s="3" t="s">
        <v>867</v>
      </c>
      <c r="F249" s="3">
        <v>45.98</v>
      </c>
      <c r="G249" s="3" t="s">
        <v>3391</v>
      </c>
      <c r="H249" s="3"/>
      <c r="I249" s="3" t="s">
        <v>3392</v>
      </c>
      <c r="J249" s="3">
        <v>9</v>
      </c>
      <c r="K249" s="3">
        <v>9</v>
      </c>
      <c r="L249" s="3">
        <v>0</v>
      </c>
      <c r="M249" s="3">
        <v>0</v>
      </c>
      <c r="N249" s="3">
        <v>9</v>
      </c>
      <c r="O249" s="3">
        <v>0.17</v>
      </c>
      <c r="P249" s="3">
        <v>0</v>
      </c>
      <c r="Q249" s="3">
        <v>0</v>
      </c>
      <c r="R249" s="3">
        <v>0</v>
      </c>
    </row>
    <row r="250" spans="1:18">
      <c r="A250" s="3" t="s">
        <v>3007</v>
      </c>
      <c r="B250" s="3" t="s">
        <v>3008</v>
      </c>
      <c r="C250" s="3" t="s">
        <v>3008</v>
      </c>
      <c r="D250" s="3" t="s">
        <v>3009</v>
      </c>
      <c r="E250" s="3" t="s">
        <v>867</v>
      </c>
      <c r="F250" s="3">
        <v>45.98</v>
      </c>
      <c r="G250" s="3" t="s">
        <v>3391</v>
      </c>
      <c r="H250" s="3"/>
      <c r="I250" s="3" t="s">
        <v>3392</v>
      </c>
      <c r="J250" s="3">
        <v>8</v>
      </c>
      <c r="K250" s="3">
        <v>8</v>
      </c>
      <c r="L250" s="3">
        <v>0</v>
      </c>
      <c r="M250" s="3">
        <v>0</v>
      </c>
      <c r="N250" s="3">
        <v>8</v>
      </c>
      <c r="O250" s="3">
        <v>0.17</v>
      </c>
      <c r="P250" s="3">
        <v>0</v>
      </c>
      <c r="Q250" s="3">
        <v>0</v>
      </c>
      <c r="R250" s="3">
        <v>0</v>
      </c>
    </row>
    <row r="251" spans="1:18">
      <c r="A251" s="3" t="s">
        <v>1429</v>
      </c>
      <c r="B251" s="3" t="s">
        <v>1430</v>
      </c>
      <c r="C251" s="3" t="s">
        <v>1430</v>
      </c>
      <c r="D251" s="3" t="s">
        <v>1431</v>
      </c>
      <c r="E251" s="3" t="s">
        <v>867</v>
      </c>
      <c r="F251" s="3">
        <v>45.98</v>
      </c>
      <c r="G251" s="3" t="s">
        <v>3391</v>
      </c>
      <c r="H251" s="3"/>
      <c r="I251" s="3" t="s">
        <v>3392</v>
      </c>
      <c r="J251" s="3">
        <v>6</v>
      </c>
      <c r="K251" s="3">
        <v>6</v>
      </c>
      <c r="L251" s="3">
        <v>0</v>
      </c>
      <c r="M251" s="3">
        <v>0</v>
      </c>
      <c r="N251" s="3">
        <v>6</v>
      </c>
      <c r="O251" s="3">
        <v>0.17</v>
      </c>
      <c r="P251" s="3">
        <v>0</v>
      </c>
      <c r="Q251" s="3">
        <v>0</v>
      </c>
      <c r="R251" s="3">
        <v>0</v>
      </c>
    </row>
    <row r="252" spans="1:18">
      <c r="A252" s="3" t="s">
        <v>2777</v>
      </c>
      <c r="B252" s="3" t="s">
        <v>1427</v>
      </c>
      <c r="C252" s="3" t="s">
        <v>1427</v>
      </c>
      <c r="D252" s="3" t="s">
        <v>1428</v>
      </c>
      <c r="E252" s="3" t="s">
        <v>867</v>
      </c>
      <c r="F252" s="3">
        <v>45.98</v>
      </c>
      <c r="G252" s="3" t="s">
        <v>3391</v>
      </c>
      <c r="H252" s="3"/>
      <c r="I252" s="3" t="s">
        <v>3392</v>
      </c>
      <c r="J252" s="3">
        <v>4</v>
      </c>
      <c r="K252" s="3">
        <v>4</v>
      </c>
      <c r="L252" s="3">
        <v>0</v>
      </c>
      <c r="M252" s="3">
        <v>0</v>
      </c>
      <c r="N252" s="3">
        <v>4</v>
      </c>
      <c r="O252" s="3">
        <v>0.17</v>
      </c>
      <c r="P252" s="3">
        <v>0</v>
      </c>
      <c r="Q252" s="3">
        <v>0</v>
      </c>
      <c r="R252" s="3">
        <v>0</v>
      </c>
    </row>
    <row r="253" spans="1:18">
      <c r="A253" s="3" t="s">
        <v>3546</v>
      </c>
      <c r="B253" s="3" t="s">
        <v>3547</v>
      </c>
      <c r="C253" s="3" t="s">
        <v>3547</v>
      </c>
      <c r="D253" s="3" t="s">
        <v>3548</v>
      </c>
      <c r="E253" s="3" t="s">
        <v>867</v>
      </c>
      <c r="F253" s="3">
        <v>45.98</v>
      </c>
      <c r="G253" s="3" t="s">
        <v>3391</v>
      </c>
      <c r="H253" s="3"/>
      <c r="I253" s="3" t="s">
        <v>3392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0.17</v>
      </c>
      <c r="P253" s="3">
        <v>0</v>
      </c>
      <c r="Q253" s="3">
        <v>0</v>
      </c>
      <c r="R253" s="3">
        <v>0</v>
      </c>
    </row>
    <row r="254" spans="1:18">
      <c r="A254" s="3" t="s">
        <v>3549</v>
      </c>
      <c r="B254" s="3" t="s">
        <v>3550</v>
      </c>
      <c r="C254" s="3" t="s">
        <v>2987</v>
      </c>
      <c r="D254" s="3" t="s">
        <v>2988</v>
      </c>
      <c r="E254" s="3" t="s">
        <v>867</v>
      </c>
      <c r="F254" s="3">
        <v>45.98</v>
      </c>
      <c r="G254" s="3" t="s">
        <v>3391</v>
      </c>
      <c r="H254" s="3"/>
      <c r="I254" s="3" t="s">
        <v>3392</v>
      </c>
      <c r="J254" s="3">
        <v>0</v>
      </c>
      <c r="K254" s="3">
        <v>0</v>
      </c>
      <c r="L254" s="3">
        <v>0</v>
      </c>
      <c r="M254" s="3">
        <v>0</v>
      </c>
      <c r="N254" s="3">
        <v>20</v>
      </c>
      <c r="O254" s="3">
        <v>0.17</v>
      </c>
      <c r="P254" s="3">
        <v>0</v>
      </c>
      <c r="Q254" s="3">
        <v>20</v>
      </c>
      <c r="R254" s="3">
        <v>0</v>
      </c>
    </row>
    <row r="255" spans="1:18">
      <c r="A255" s="3" t="s">
        <v>3551</v>
      </c>
      <c r="B255" s="3" t="s">
        <v>3552</v>
      </c>
      <c r="C255" s="3" t="s">
        <v>2744</v>
      </c>
      <c r="D255" s="3" t="s">
        <v>2745</v>
      </c>
      <c r="E255" s="3" t="s">
        <v>867</v>
      </c>
      <c r="F255" s="3">
        <v>45.98</v>
      </c>
      <c r="G255" s="3" t="s">
        <v>3391</v>
      </c>
      <c r="H255" s="3"/>
      <c r="I255" s="3" t="s">
        <v>3392</v>
      </c>
      <c r="J255" s="3">
        <v>0</v>
      </c>
      <c r="K255" s="3">
        <v>0</v>
      </c>
      <c r="L255" s="3">
        <v>0</v>
      </c>
      <c r="M255" s="3">
        <v>0</v>
      </c>
      <c r="N255" s="3">
        <v>10</v>
      </c>
      <c r="O255" s="3">
        <v>0.17</v>
      </c>
      <c r="P255" s="3">
        <v>0</v>
      </c>
      <c r="Q255" s="3">
        <v>10</v>
      </c>
      <c r="R255" s="3">
        <v>0</v>
      </c>
    </row>
    <row r="256" spans="1:18">
      <c r="A256" s="3" t="s">
        <v>3553</v>
      </c>
      <c r="B256" s="3" t="s">
        <v>3554</v>
      </c>
      <c r="C256" s="3" t="s">
        <v>2595</v>
      </c>
      <c r="D256" s="3" t="s">
        <v>2596</v>
      </c>
      <c r="E256" s="3" t="s">
        <v>867</v>
      </c>
      <c r="F256" s="3">
        <v>45.98</v>
      </c>
      <c r="G256" s="3" t="s">
        <v>3391</v>
      </c>
      <c r="H256" s="3"/>
      <c r="I256" s="3" t="s">
        <v>3392</v>
      </c>
      <c r="J256" s="3">
        <v>0</v>
      </c>
      <c r="K256" s="3">
        <v>0</v>
      </c>
      <c r="L256" s="3">
        <v>0</v>
      </c>
      <c r="M256" s="3">
        <v>0</v>
      </c>
      <c r="N256" s="3">
        <v>5</v>
      </c>
      <c r="O256" s="3">
        <v>0.17</v>
      </c>
      <c r="P256" s="3">
        <v>0</v>
      </c>
      <c r="Q256" s="3">
        <v>5</v>
      </c>
      <c r="R256" s="3">
        <v>0</v>
      </c>
    </row>
    <row r="257" spans="1:18">
      <c r="A257" s="3" t="s">
        <v>3555</v>
      </c>
      <c r="B257" s="3" t="s">
        <v>3556</v>
      </c>
      <c r="C257" s="3" t="s">
        <v>3533</v>
      </c>
      <c r="D257" s="3" t="s">
        <v>3534</v>
      </c>
      <c r="E257" s="3" t="s">
        <v>867</v>
      </c>
      <c r="F257" s="3">
        <v>45.98</v>
      </c>
      <c r="G257" s="3" t="s">
        <v>3391</v>
      </c>
      <c r="H257" s="3"/>
      <c r="I257" s="3" t="s">
        <v>3392</v>
      </c>
      <c r="J257" s="3">
        <v>0</v>
      </c>
      <c r="K257" s="3">
        <v>0</v>
      </c>
      <c r="L257" s="3">
        <v>0</v>
      </c>
      <c r="M257" s="3">
        <v>0</v>
      </c>
      <c r="N257" s="3">
        <v>28</v>
      </c>
      <c r="O257" s="3">
        <v>0.17</v>
      </c>
      <c r="P257" s="3">
        <v>0</v>
      </c>
      <c r="Q257" s="3">
        <v>28</v>
      </c>
      <c r="R257" s="3">
        <v>0</v>
      </c>
    </row>
    <row r="258" spans="1:18">
      <c r="A258" s="3" t="s">
        <v>876</v>
      </c>
      <c r="B258" s="3" t="s">
        <v>877</v>
      </c>
      <c r="C258" s="3" t="s">
        <v>878</v>
      </c>
      <c r="D258" s="3" t="s">
        <v>879</v>
      </c>
      <c r="E258" s="3" t="s">
        <v>867</v>
      </c>
      <c r="F258" s="3">
        <v>45.98</v>
      </c>
      <c r="G258" s="3" t="s">
        <v>3391</v>
      </c>
      <c r="H258" s="3"/>
      <c r="I258" s="3" t="s">
        <v>3392</v>
      </c>
      <c r="J258" s="3">
        <v>4</v>
      </c>
      <c r="K258" s="3">
        <v>4</v>
      </c>
      <c r="L258" s="3">
        <v>0</v>
      </c>
      <c r="M258" s="3">
        <v>0</v>
      </c>
      <c r="N258" s="3">
        <v>15</v>
      </c>
      <c r="O258" s="3">
        <v>0.17</v>
      </c>
      <c r="P258" s="3">
        <v>0</v>
      </c>
      <c r="Q258" s="3">
        <v>11</v>
      </c>
      <c r="R258" s="3">
        <v>0</v>
      </c>
    </row>
    <row r="259" spans="1:18">
      <c r="A259" s="3" t="s">
        <v>3557</v>
      </c>
      <c r="B259" s="3" t="s">
        <v>3558</v>
      </c>
      <c r="C259" s="3" t="s">
        <v>3536</v>
      </c>
      <c r="D259" s="3" t="s">
        <v>3537</v>
      </c>
      <c r="E259" s="3" t="s">
        <v>867</v>
      </c>
      <c r="F259" s="3">
        <v>45.98</v>
      </c>
      <c r="G259" s="3" t="s">
        <v>3391</v>
      </c>
      <c r="H259" s="3"/>
      <c r="I259" s="3" t="s">
        <v>3392</v>
      </c>
      <c r="J259" s="3">
        <v>0</v>
      </c>
      <c r="K259" s="3">
        <v>0</v>
      </c>
      <c r="L259" s="3">
        <v>0</v>
      </c>
      <c r="M259" s="3">
        <v>0</v>
      </c>
      <c r="N259" s="3">
        <v>10</v>
      </c>
      <c r="O259" s="3">
        <v>0.17</v>
      </c>
      <c r="P259" s="3">
        <v>0</v>
      </c>
      <c r="Q259" s="3">
        <v>10</v>
      </c>
      <c r="R259" s="3">
        <v>0</v>
      </c>
    </row>
    <row r="260" spans="1:18">
      <c r="A260" s="3" t="s">
        <v>3559</v>
      </c>
      <c r="B260" s="3" t="s">
        <v>3560</v>
      </c>
      <c r="C260" s="3" t="s">
        <v>3539</v>
      </c>
      <c r="D260" s="3" t="s">
        <v>3540</v>
      </c>
      <c r="E260" s="3" t="s">
        <v>867</v>
      </c>
      <c r="F260" s="3">
        <v>45.98</v>
      </c>
      <c r="G260" s="3" t="s">
        <v>3391</v>
      </c>
      <c r="H260" s="3"/>
      <c r="I260" s="3" t="s">
        <v>3392</v>
      </c>
      <c r="J260" s="3">
        <v>0</v>
      </c>
      <c r="K260" s="3">
        <v>0</v>
      </c>
      <c r="L260" s="3">
        <v>0</v>
      </c>
      <c r="M260" s="3">
        <v>0</v>
      </c>
      <c r="N260" s="3">
        <v>12</v>
      </c>
      <c r="O260" s="3">
        <v>0.17</v>
      </c>
      <c r="P260" s="3">
        <v>0</v>
      </c>
      <c r="Q260" s="3">
        <v>12</v>
      </c>
      <c r="R260" s="3">
        <v>0</v>
      </c>
    </row>
    <row r="261" spans="1:18">
      <c r="A261" s="3" t="s">
        <v>76</v>
      </c>
      <c r="B261" s="3" t="s">
        <v>77</v>
      </c>
      <c r="C261" s="3" t="s">
        <v>78</v>
      </c>
      <c r="D261" s="3" t="s">
        <v>79</v>
      </c>
      <c r="E261" s="3" t="s">
        <v>867</v>
      </c>
      <c r="F261" s="3">
        <v>45.98</v>
      </c>
      <c r="G261" s="3" t="s">
        <v>3391</v>
      </c>
      <c r="H261" s="3"/>
      <c r="I261" s="3" t="s">
        <v>3392</v>
      </c>
      <c r="J261" s="3">
        <v>3</v>
      </c>
      <c r="K261" s="3">
        <v>0</v>
      </c>
      <c r="L261" s="3">
        <v>0</v>
      </c>
      <c r="M261" s="3">
        <v>3</v>
      </c>
      <c r="N261" s="3">
        <v>9</v>
      </c>
      <c r="O261" s="3">
        <v>0.17</v>
      </c>
      <c r="P261" s="3">
        <v>0</v>
      </c>
      <c r="Q261" s="3">
        <v>6</v>
      </c>
      <c r="R261" s="3">
        <v>0</v>
      </c>
    </row>
    <row r="262" spans="1:18">
      <c r="A262" s="3" t="s">
        <v>1214</v>
      </c>
      <c r="B262" s="3" t="s">
        <v>1215</v>
      </c>
      <c r="C262" s="3" t="s">
        <v>1216</v>
      </c>
      <c r="D262" s="3" t="s">
        <v>1217</v>
      </c>
      <c r="E262" s="3" t="s">
        <v>867</v>
      </c>
      <c r="F262" s="3">
        <v>45.98</v>
      </c>
      <c r="G262" s="3" t="s">
        <v>3391</v>
      </c>
      <c r="H262" s="3"/>
      <c r="I262" s="3" t="s">
        <v>3392</v>
      </c>
      <c r="J262" s="3">
        <v>4</v>
      </c>
      <c r="K262" s="3">
        <v>4</v>
      </c>
      <c r="L262" s="3">
        <v>0</v>
      </c>
      <c r="M262" s="3">
        <v>0</v>
      </c>
      <c r="N262" s="3">
        <v>9</v>
      </c>
      <c r="O262" s="3">
        <v>0.17</v>
      </c>
      <c r="P262" s="3">
        <v>0</v>
      </c>
      <c r="Q262" s="3">
        <v>5</v>
      </c>
      <c r="R262" s="3">
        <v>0</v>
      </c>
    </row>
    <row r="263" spans="1:18">
      <c r="A263" s="3" t="s">
        <v>2231</v>
      </c>
      <c r="B263" s="3" t="s">
        <v>2232</v>
      </c>
      <c r="C263" s="3" t="s">
        <v>1954</v>
      </c>
      <c r="D263" s="3" t="s">
        <v>1955</v>
      </c>
      <c r="E263" s="3" t="s">
        <v>867</v>
      </c>
      <c r="F263" s="3">
        <v>45.98</v>
      </c>
      <c r="G263" s="3" t="s">
        <v>3391</v>
      </c>
      <c r="H263" s="3"/>
      <c r="I263" s="3" t="s">
        <v>3392</v>
      </c>
      <c r="J263" s="3">
        <v>4</v>
      </c>
      <c r="K263" s="3">
        <v>4</v>
      </c>
      <c r="L263" s="3">
        <v>0</v>
      </c>
      <c r="M263" s="3">
        <v>0</v>
      </c>
      <c r="N263" s="3">
        <v>13</v>
      </c>
      <c r="O263" s="3">
        <v>0.17</v>
      </c>
      <c r="P263" s="3">
        <v>0</v>
      </c>
      <c r="Q263" s="3">
        <v>9</v>
      </c>
      <c r="R263" s="3">
        <v>0</v>
      </c>
    </row>
    <row r="264" spans="1:18">
      <c r="A264" s="3" t="s">
        <v>3561</v>
      </c>
      <c r="B264" s="3" t="s">
        <v>3562</v>
      </c>
      <c r="C264" s="3" t="s">
        <v>1824</v>
      </c>
      <c r="D264" s="3" t="s">
        <v>1825</v>
      </c>
      <c r="E264" s="3" t="s">
        <v>867</v>
      </c>
      <c r="F264" s="3">
        <v>45.98</v>
      </c>
      <c r="G264" s="3" t="s">
        <v>3391</v>
      </c>
      <c r="H264" s="3"/>
      <c r="I264" s="3" t="s">
        <v>3392</v>
      </c>
      <c r="J264" s="3">
        <v>0</v>
      </c>
      <c r="K264" s="3">
        <v>0</v>
      </c>
      <c r="L264" s="3">
        <v>0</v>
      </c>
      <c r="M264" s="3">
        <v>0</v>
      </c>
      <c r="N264" s="3">
        <v>10</v>
      </c>
      <c r="O264" s="3">
        <v>0.17</v>
      </c>
      <c r="P264" s="3">
        <v>0</v>
      </c>
      <c r="Q264" s="3">
        <v>10</v>
      </c>
      <c r="R264" s="3">
        <v>0</v>
      </c>
    </row>
    <row r="265" spans="1:18">
      <c r="A265" s="3" t="s">
        <v>3563</v>
      </c>
      <c r="B265" s="3" t="s">
        <v>3564</v>
      </c>
      <c r="C265" s="3" t="s">
        <v>1489</v>
      </c>
      <c r="D265" s="3" t="s">
        <v>1490</v>
      </c>
      <c r="E265" s="3" t="s">
        <v>867</v>
      </c>
      <c r="F265" s="3">
        <v>45.98</v>
      </c>
      <c r="G265" s="3" t="s">
        <v>3391</v>
      </c>
      <c r="H265" s="3"/>
      <c r="I265" s="3" t="s">
        <v>3392</v>
      </c>
      <c r="J265" s="3">
        <v>0</v>
      </c>
      <c r="K265" s="3">
        <v>0</v>
      </c>
      <c r="L265" s="3">
        <v>0</v>
      </c>
      <c r="M265" s="3">
        <v>0</v>
      </c>
      <c r="N265" s="3">
        <v>10</v>
      </c>
      <c r="O265" s="3">
        <v>0.17</v>
      </c>
      <c r="P265" s="3">
        <v>0</v>
      </c>
      <c r="Q265" s="3">
        <v>10</v>
      </c>
      <c r="R265" s="3">
        <v>0</v>
      </c>
    </row>
    <row r="266" spans="1:18">
      <c r="A266" s="3" t="s">
        <v>3565</v>
      </c>
      <c r="B266" s="3" t="s">
        <v>3566</v>
      </c>
      <c r="C266" s="3" t="s">
        <v>2731</v>
      </c>
      <c r="D266" s="3" t="s">
        <v>2732</v>
      </c>
      <c r="E266" s="3" t="s">
        <v>867</v>
      </c>
      <c r="F266" s="3">
        <v>45.98</v>
      </c>
      <c r="G266" s="3" t="s">
        <v>3391</v>
      </c>
      <c r="H266" s="3"/>
      <c r="I266" s="3" t="s">
        <v>3392</v>
      </c>
      <c r="J266" s="3">
        <v>0</v>
      </c>
      <c r="K266" s="3">
        <v>0</v>
      </c>
      <c r="L266" s="3">
        <v>0</v>
      </c>
      <c r="M266" s="3">
        <v>0</v>
      </c>
      <c r="N266" s="3">
        <v>5</v>
      </c>
      <c r="O266" s="3">
        <v>0.17</v>
      </c>
      <c r="P266" s="3">
        <v>0</v>
      </c>
      <c r="Q266" s="3">
        <v>5</v>
      </c>
      <c r="R266" s="3">
        <v>0</v>
      </c>
    </row>
    <row r="267" spans="1:18">
      <c r="A267" s="3" t="s">
        <v>3567</v>
      </c>
      <c r="B267" s="3" t="s">
        <v>3568</v>
      </c>
      <c r="C267" s="3" t="s">
        <v>2657</v>
      </c>
      <c r="D267" s="3" t="s">
        <v>2658</v>
      </c>
      <c r="E267" s="3" t="s">
        <v>867</v>
      </c>
      <c r="F267" s="3">
        <v>45.98</v>
      </c>
      <c r="G267" s="3" t="s">
        <v>3391</v>
      </c>
      <c r="H267" s="3"/>
      <c r="I267" s="3" t="s">
        <v>3392</v>
      </c>
      <c r="J267" s="3">
        <v>0</v>
      </c>
      <c r="K267" s="3">
        <v>0</v>
      </c>
      <c r="L267" s="3">
        <v>0</v>
      </c>
      <c r="M267" s="3">
        <v>0</v>
      </c>
      <c r="N267" s="3">
        <v>10</v>
      </c>
      <c r="O267" s="3">
        <v>0.17</v>
      </c>
      <c r="P267" s="3">
        <v>0</v>
      </c>
      <c r="Q267" s="3">
        <v>10</v>
      </c>
      <c r="R267" s="3">
        <v>0</v>
      </c>
    </row>
    <row r="268" spans="1:18">
      <c r="A268" s="3" t="s">
        <v>3569</v>
      </c>
      <c r="B268" s="3" t="s">
        <v>3570</v>
      </c>
      <c r="C268" s="3" t="s">
        <v>1136</v>
      </c>
      <c r="D268" s="3" t="s">
        <v>1137</v>
      </c>
      <c r="E268" s="3" t="s">
        <v>867</v>
      </c>
      <c r="F268" s="3">
        <v>45.98</v>
      </c>
      <c r="G268" s="3" t="s">
        <v>3391</v>
      </c>
      <c r="H268" s="3"/>
      <c r="I268" s="3" t="s">
        <v>3392</v>
      </c>
      <c r="J268" s="3">
        <v>0</v>
      </c>
      <c r="K268" s="3">
        <v>0</v>
      </c>
      <c r="L268" s="3">
        <v>0</v>
      </c>
      <c r="M268" s="3">
        <v>0</v>
      </c>
      <c r="N268" s="3">
        <v>10</v>
      </c>
      <c r="O268" s="3">
        <v>0.17</v>
      </c>
      <c r="P268" s="3">
        <v>0</v>
      </c>
      <c r="Q268" s="3">
        <v>10</v>
      </c>
      <c r="R268" s="3">
        <v>0</v>
      </c>
    </row>
    <row r="269" spans="1:18">
      <c r="A269" s="3" t="s">
        <v>3571</v>
      </c>
      <c r="B269" s="3" t="s">
        <v>3572</v>
      </c>
      <c r="C269" s="3" t="s">
        <v>2514</v>
      </c>
      <c r="D269" s="3" t="s">
        <v>2515</v>
      </c>
      <c r="E269" s="3" t="s">
        <v>867</v>
      </c>
      <c r="F269" s="3">
        <v>45.98</v>
      </c>
      <c r="G269" s="3" t="s">
        <v>3391</v>
      </c>
      <c r="H269" s="3"/>
      <c r="I269" s="3" t="s">
        <v>3392</v>
      </c>
      <c r="J269" s="3">
        <v>0</v>
      </c>
      <c r="K269" s="3">
        <v>0</v>
      </c>
      <c r="L269" s="3">
        <v>0</v>
      </c>
      <c r="M269" s="3">
        <v>0</v>
      </c>
      <c r="N269" s="3">
        <v>20</v>
      </c>
      <c r="O269" s="3">
        <v>0.17</v>
      </c>
      <c r="P269" s="3">
        <v>0</v>
      </c>
      <c r="Q269" s="3">
        <v>20</v>
      </c>
      <c r="R269" s="3">
        <v>0</v>
      </c>
    </row>
    <row r="270" spans="1:18">
      <c r="A270" s="3" t="s">
        <v>3573</v>
      </c>
      <c r="B270" s="3" t="s">
        <v>3574</v>
      </c>
      <c r="C270" s="3" t="s">
        <v>3017</v>
      </c>
      <c r="D270" s="3" t="s">
        <v>3018</v>
      </c>
      <c r="E270" s="3" t="s">
        <v>867</v>
      </c>
      <c r="F270" s="3">
        <v>45.98</v>
      </c>
      <c r="G270" s="3" t="s">
        <v>3391</v>
      </c>
      <c r="H270" s="3"/>
      <c r="I270" s="3" t="s">
        <v>3392</v>
      </c>
      <c r="J270" s="3">
        <v>0</v>
      </c>
      <c r="K270" s="3">
        <v>0</v>
      </c>
      <c r="L270" s="3">
        <v>0</v>
      </c>
      <c r="M270" s="3">
        <v>0</v>
      </c>
      <c r="N270" s="3">
        <v>10</v>
      </c>
      <c r="O270" s="3">
        <v>0.17</v>
      </c>
      <c r="P270" s="3">
        <v>0</v>
      </c>
      <c r="Q270" s="3">
        <v>10</v>
      </c>
      <c r="R270" s="3">
        <v>0</v>
      </c>
    </row>
    <row r="271" spans="1:18">
      <c r="A271" s="3" t="s">
        <v>3575</v>
      </c>
      <c r="B271" s="3" t="s">
        <v>3576</v>
      </c>
      <c r="C271" s="3" t="s">
        <v>1814</v>
      </c>
      <c r="D271" s="3" t="s">
        <v>1815</v>
      </c>
      <c r="E271" s="3" t="s">
        <v>867</v>
      </c>
      <c r="F271" s="3">
        <v>45.98</v>
      </c>
      <c r="G271" s="3" t="s">
        <v>3391</v>
      </c>
      <c r="H271" s="3"/>
      <c r="I271" s="3" t="s">
        <v>3392</v>
      </c>
      <c r="J271" s="3">
        <v>0</v>
      </c>
      <c r="K271" s="3">
        <v>0</v>
      </c>
      <c r="L271" s="3">
        <v>0</v>
      </c>
      <c r="M271" s="3">
        <v>0</v>
      </c>
      <c r="N271" s="3">
        <v>2</v>
      </c>
      <c r="O271" s="3">
        <v>0.17</v>
      </c>
      <c r="P271" s="3">
        <v>0</v>
      </c>
      <c r="Q271" s="3">
        <v>2</v>
      </c>
      <c r="R271" s="3">
        <v>0</v>
      </c>
    </row>
    <row r="272" spans="1:18">
      <c r="A272" s="3" t="s">
        <v>3577</v>
      </c>
      <c r="B272" s="3" t="s">
        <v>3578</v>
      </c>
      <c r="C272" s="3" t="s">
        <v>1918</v>
      </c>
      <c r="D272" s="3" t="s">
        <v>1919</v>
      </c>
      <c r="E272" s="3" t="s">
        <v>867</v>
      </c>
      <c r="F272" s="3">
        <v>45.98</v>
      </c>
      <c r="G272" s="3" t="s">
        <v>3391</v>
      </c>
      <c r="H272" s="3"/>
      <c r="I272" s="3" t="s">
        <v>3392</v>
      </c>
      <c r="J272" s="3">
        <v>0</v>
      </c>
      <c r="K272" s="3">
        <v>0</v>
      </c>
      <c r="L272" s="3">
        <v>0</v>
      </c>
      <c r="M272" s="3">
        <v>0</v>
      </c>
      <c r="N272" s="3">
        <v>20</v>
      </c>
      <c r="O272" s="3">
        <v>0.17</v>
      </c>
      <c r="P272" s="3">
        <v>0</v>
      </c>
      <c r="Q272" s="3">
        <v>20</v>
      </c>
      <c r="R272" s="3">
        <v>0</v>
      </c>
    </row>
    <row r="273" spans="1:18">
      <c r="A273" s="3" t="s">
        <v>3579</v>
      </c>
      <c r="B273" s="3" t="s">
        <v>3580</v>
      </c>
      <c r="C273" s="3" t="s">
        <v>2796</v>
      </c>
      <c r="D273" s="3" t="s">
        <v>2797</v>
      </c>
      <c r="E273" s="3" t="s">
        <v>867</v>
      </c>
      <c r="F273" s="3">
        <v>45.98</v>
      </c>
      <c r="G273" s="3" t="s">
        <v>3391</v>
      </c>
      <c r="H273" s="3"/>
      <c r="I273" s="3" t="s">
        <v>3392</v>
      </c>
      <c r="J273" s="3">
        <v>0</v>
      </c>
      <c r="K273" s="3">
        <v>0</v>
      </c>
      <c r="L273" s="3">
        <v>0</v>
      </c>
      <c r="M273" s="3">
        <v>0</v>
      </c>
      <c r="N273" s="3">
        <v>15</v>
      </c>
      <c r="O273" s="3">
        <v>0.17</v>
      </c>
      <c r="P273" s="3">
        <v>0</v>
      </c>
      <c r="Q273" s="3">
        <v>15</v>
      </c>
      <c r="R273" s="3">
        <v>0</v>
      </c>
    </row>
    <row r="274" spans="1:18">
      <c r="A274" s="3" t="s">
        <v>2801</v>
      </c>
      <c r="B274" s="3" t="s">
        <v>2802</v>
      </c>
      <c r="C274" s="3" t="s">
        <v>1622</v>
      </c>
      <c r="D274" s="3" t="s">
        <v>1623</v>
      </c>
      <c r="E274" s="3" t="s">
        <v>867</v>
      </c>
      <c r="F274" s="3">
        <v>45.98</v>
      </c>
      <c r="G274" s="3" t="s">
        <v>3391</v>
      </c>
      <c r="H274" s="3"/>
      <c r="I274" s="3" t="s">
        <v>3392</v>
      </c>
      <c r="J274" s="3">
        <v>4</v>
      </c>
      <c r="K274" s="3">
        <v>4</v>
      </c>
      <c r="L274" s="3">
        <v>0</v>
      </c>
      <c r="M274" s="3">
        <v>0</v>
      </c>
      <c r="N274" s="3">
        <v>15</v>
      </c>
      <c r="O274" s="3">
        <v>0.17</v>
      </c>
      <c r="P274" s="3">
        <v>0</v>
      </c>
      <c r="Q274" s="3">
        <v>11</v>
      </c>
      <c r="R274" s="3">
        <v>0</v>
      </c>
    </row>
    <row r="275" spans="1:18">
      <c r="A275" s="3" t="s">
        <v>3581</v>
      </c>
      <c r="B275" s="3" t="s">
        <v>3582</v>
      </c>
      <c r="C275" s="3" t="s">
        <v>1858</v>
      </c>
      <c r="D275" s="3" t="s">
        <v>1859</v>
      </c>
      <c r="E275" s="3" t="s">
        <v>867</v>
      </c>
      <c r="F275" s="3">
        <v>45.98</v>
      </c>
      <c r="G275" s="3" t="s">
        <v>3391</v>
      </c>
      <c r="H275" s="3"/>
      <c r="I275" s="3" t="s">
        <v>3392</v>
      </c>
      <c r="J275" s="3">
        <v>0</v>
      </c>
      <c r="K275" s="3">
        <v>0</v>
      </c>
      <c r="L275" s="3">
        <v>0</v>
      </c>
      <c r="M275" s="3">
        <v>0</v>
      </c>
      <c r="N275" s="3">
        <v>10</v>
      </c>
      <c r="O275" s="3">
        <v>0.17</v>
      </c>
      <c r="P275" s="3">
        <v>0</v>
      </c>
      <c r="Q275" s="3">
        <v>10</v>
      </c>
      <c r="R275" s="3">
        <v>0</v>
      </c>
    </row>
    <row r="276" spans="1:18">
      <c r="A276" s="3" t="s">
        <v>3583</v>
      </c>
      <c r="B276" s="3" t="s">
        <v>3584</v>
      </c>
      <c r="C276" s="3" t="s">
        <v>1534</v>
      </c>
      <c r="D276" s="3" t="s">
        <v>1535</v>
      </c>
      <c r="E276" s="3" t="s">
        <v>867</v>
      </c>
      <c r="F276" s="3">
        <v>45.98</v>
      </c>
      <c r="G276" s="3" t="s">
        <v>3391</v>
      </c>
      <c r="H276" s="3"/>
      <c r="I276" s="3" t="s">
        <v>3392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0.17</v>
      </c>
      <c r="P276" s="3">
        <v>0</v>
      </c>
      <c r="Q276" s="3">
        <v>0</v>
      </c>
      <c r="R276" s="3">
        <v>0</v>
      </c>
    </row>
    <row r="277" spans="1:18">
      <c r="A277" s="3" t="s">
        <v>1229</v>
      </c>
      <c r="B277" s="3" t="s">
        <v>1230</v>
      </c>
      <c r="C277" s="3" t="s">
        <v>70</v>
      </c>
      <c r="D277" s="3" t="s">
        <v>71</v>
      </c>
      <c r="E277" s="3" t="s">
        <v>867</v>
      </c>
      <c r="F277" s="3">
        <v>45.98</v>
      </c>
      <c r="G277" s="3" t="s">
        <v>3391</v>
      </c>
      <c r="H277" s="3"/>
      <c r="I277" s="3" t="s">
        <v>3392</v>
      </c>
      <c r="J277" s="3">
        <v>1</v>
      </c>
      <c r="K277" s="3">
        <v>1</v>
      </c>
      <c r="L277" s="3">
        <v>0</v>
      </c>
      <c r="M277" s="3">
        <v>0</v>
      </c>
      <c r="N277" s="3">
        <v>10</v>
      </c>
      <c r="O277" s="3">
        <v>0.17</v>
      </c>
      <c r="P277" s="3">
        <v>0</v>
      </c>
      <c r="Q277" s="3">
        <v>9</v>
      </c>
      <c r="R277" s="3">
        <v>0</v>
      </c>
    </row>
    <row r="278" spans="1:18">
      <c r="A278" s="3" t="s">
        <v>3585</v>
      </c>
      <c r="B278" s="3" t="s">
        <v>3586</v>
      </c>
      <c r="C278" s="3" t="s">
        <v>930</v>
      </c>
      <c r="D278" s="3" t="s">
        <v>931</v>
      </c>
      <c r="E278" s="3" t="s">
        <v>867</v>
      </c>
      <c r="F278" s="3">
        <v>45.98</v>
      </c>
      <c r="G278" s="3" t="s">
        <v>3391</v>
      </c>
      <c r="H278" s="3"/>
      <c r="I278" s="3" t="s">
        <v>3392</v>
      </c>
      <c r="J278" s="3">
        <v>0</v>
      </c>
      <c r="K278" s="3">
        <v>0</v>
      </c>
      <c r="L278" s="3">
        <v>0</v>
      </c>
      <c r="M278" s="3">
        <v>0</v>
      </c>
      <c r="N278" s="3">
        <v>10</v>
      </c>
      <c r="O278" s="3">
        <v>0.17</v>
      </c>
      <c r="P278" s="3">
        <v>0</v>
      </c>
      <c r="Q278" s="3">
        <v>10</v>
      </c>
      <c r="R278" s="3">
        <v>0</v>
      </c>
    </row>
    <row r="279" spans="1:18">
      <c r="A279" s="3" t="s">
        <v>2680</v>
      </c>
      <c r="B279" s="3" t="s">
        <v>2681</v>
      </c>
      <c r="C279" s="3" t="s">
        <v>1576</v>
      </c>
      <c r="D279" s="3" t="s">
        <v>1577</v>
      </c>
      <c r="E279" s="3" t="s">
        <v>867</v>
      </c>
      <c r="F279" s="3">
        <v>45.98</v>
      </c>
      <c r="G279" s="3" t="s">
        <v>3391</v>
      </c>
      <c r="H279" s="3"/>
      <c r="I279" s="3" t="s">
        <v>3392</v>
      </c>
      <c r="J279" s="3">
        <v>2</v>
      </c>
      <c r="K279" s="3">
        <v>2</v>
      </c>
      <c r="L279" s="3">
        <v>0</v>
      </c>
      <c r="M279" s="3">
        <v>0</v>
      </c>
      <c r="N279" s="3">
        <v>14</v>
      </c>
      <c r="O279" s="3">
        <v>0.17</v>
      </c>
      <c r="P279" s="3">
        <v>0</v>
      </c>
      <c r="Q279" s="3">
        <v>12</v>
      </c>
      <c r="R279" s="3">
        <v>0</v>
      </c>
    </row>
    <row r="280" spans="1:18">
      <c r="A280" s="3" t="s">
        <v>84</v>
      </c>
      <c r="B280" s="3" t="s">
        <v>85</v>
      </c>
      <c r="C280" s="3" t="s">
        <v>86</v>
      </c>
      <c r="D280" s="3" t="s">
        <v>87</v>
      </c>
      <c r="E280" s="3" t="s">
        <v>867</v>
      </c>
      <c r="F280" s="3">
        <v>45.98</v>
      </c>
      <c r="G280" s="3" t="s">
        <v>3391</v>
      </c>
      <c r="H280" s="3"/>
      <c r="I280" s="3" t="s">
        <v>3392</v>
      </c>
      <c r="J280" s="3">
        <v>20</v>
      </c>
      <c r="K280" s="3">
        <v>12</v>
      </c>
      <c r="L280" s="3">
        <v>0</v>
      </c>
      <c r="M280" s="3">
        <v>8</v>
      </c>
      <c r="N280" s="3">
        <v>20</v>
      </c>
      <c r="O280" s="3">
        <v>0.17</v>
      </c>
      <c r="P280" s="3">
        <v>0</v>
      </c>
      <c r="Q280" s="3">
        <v>0</v>
      </c>
      <c r="R280" s="3">
        <v>0</v>
      </c>
    </row>
    <row r="281" spans="1:18">
      <c r="A281" s="3" t="s">
        <v>80</v>
      </c>
      <c r="B281" s="3" t="s">
        <v>81</v>
      </c>
      <c r="C281" s="3" t="s">
        <v>82</v>
      </c>
      <c r="D281" s="3" t="s">
        <v>83</v>
      </c>
      <c r="E281" s="3" t="s">
        <v>867</v>
      </c>
      <c r="F281" s="3">
        <v>45.98</v>
      </c>
      <c r="G281" s="3" t="s">
        <v>3391</v>
      </c>
      <c r="H281" s="3"/>
      <c r="I281" s="3" t="s">
        <v>3392</v>
      </c>
      <c r="J281" s="3">
        <v>9</v>
      </c>
      <c r="K281" s="3">
        <v>3</v>
      </c>
      <c r="L281" s="3">
        <v>0</v>
      </c>
      <c r="M281" s="3">
        <v>6</v>
      </c>
      <c r="N281" s="3">
        <v>12</v>
      </c>
      <c r="O281" s="3">
        <v>0.17</v>
      </c>
      <c r="P281" s="3">
        <v>0</v>
      </c>
      <c r="Q281" s="3">
        <v>3</v>
      </c>
      <c r="R281" s="3">
        <v>0</v>
      </c>
    </row>
    <row r="282" spans="1:18">
      <c r="A282" s="3" t="s">
        <v>72</v>
      </c>
      <c r="B282" s="3" t="s">
        <v>73</v>
      </c>
      <c r="C282" s="3" t="s">
        <v>74</v>
      </c>
      <c r="D282" s="3" t="s">
        <v>75</v>
      </c>
      <c r="E282" s="3" t="s">
        <v>867</v>
      </c>
      <c r="F282" s="3">
        <v>45.98</v>
      </c>
      <c r="G282" s="3" t="s">
        <v>3391</v>
      </c>
      <c r="H282" s="3"/>
      <c r="I282" s="3" t="s">
        <v>3392</v>
      </c>
      <c r="J282" s="3">
        <v>25</v>
      </c>
      <c r="K282" s="3">
        <v>24</v>
      </c>
      <c r="L282" s="3">
        <v>0</v>
      </c>
      <c r="M282" s="3">
        <v>1</v>
      </c>
      <c r="N282" s="3">
        <v>45</v>
      </c>
      <c r="O282" s="3">
        <v>0.17</v>
      </c>
      <c r="P282" s="3">
        <v>0</v>
      </c>
      <c r="Q282" s="3">
        <v>20</v>
      </c>
      <c r="R282" s="3">
        <v>0</v>
      </c>
    </row>
    <row r="283" spans="1:18">
      <c r="A283" s="3" t="s">
        <v>2652</v>
      </c>
      <c r="B283" s="3" t="s">
        <v>2653</v>
      </c>
      <c r="C283" s="3" t="s">
        <v>2654</v>
      </c>
      <c r="D283" s="3" t="s">
        <v>2655</v>
      </c>
      <c r="E283" s="3" t="s">
        <v>867</v>
      </c>
      <c r="F283" s="3">
        <v>45.98</v>
      </c>
      <c r="G283" s="3" t="s">
        <v>3391</v>
      </c>
      <c r="H283" s="3"/>
      <c r="I283" s="3" t="s">
        <v>3392</v>
      </c>
      <c r="J283" s="3">
        <v>10</v>
      </c>
      <c r="K283" s="3">
        <v>10</v>
      </c>
      <c r="L283" s="3">
        <v>0</v>
      </c>
      <c r="M283" s="3">
        <v>0</v>
      </c>
      <c r="N283" s="3">
        <v>30</v>
      </c>
      <c r="O283" s="3">
        <v>0.17</v>
      </c>
      <c r="P283" s="3">
        <v>0</v>
      </c>
      <c r="Q283" s="3">
        <v>20</v>
      </c>
      <c r="R283" s="3">
        <v>0</v>
      </c>
    </row>
    <row r="284" spans="1:18">
      <c r="A284" s="3" t="s">
        <v>3587</v>
      </c>
      <c r="B284" s="3" t="s">
        <v>3588</v>
      </c>
      <c r="C284" s="3" t="s">
        <v>2925</v>
      </c>
      <c r="D284" s="3" t="s">
        <v>2926</v>
      </c>
      <c r="E284" s="3" t="s">
        <v>867</v>
      </c>
      <c r="F284" s="3">
        <v>45.98</v>
      </c>
      <c r="G284" s="3" t="s">
        <v>3391</v>
      </c>
      <c r="H284" s="3"/>
      <c r="I284" s="3" t="s">
        <v>3392</v>
      </c>
      <c r="J284" s="3">
        <v>0</v>
      </c>
      <c r="K284" s="3">
        <v>0</v>
      </c>
      <c r="L284" s="3">
        <v>0</v>
      </c>
      <c r="M284" s="3">
        <v>0</v>
      </c>
      <c r="N284" s="3">
        <v>10</v>
      </c>
      <c r="O284" s="3">
        <v>0.17</v>
      </c>
      <c r="P284" s="3">
        <v>0</v>
      </c>
      <c r="Q284" s="3">
        <v>10</v>
      </c>
      <c r="R284" s="3">
        <v>0</v>
      </c>
    </row>
    <row r="285" spans="1:18">
      <c r="A285" s="3" t="s">
        <v>3589</v>
      </c>
      <c r="B285" s="3" t="s">
        <v>3590</v>
      </c>
      <c r="C285" s="3" t="s">
        <v>3008</v>
      </c>
      <c r="D285" s="3" t="s">
        <v>3009</v>
      </c>
      <c r="E285" s="3" t="s">
        <v>867</v>
      </c>
      <c r="F285" s="3">
        <v>45.98</v>
      </c>
      <c r="G285" s="3" t="s">
        <v>3391</v>
      </c>
      <c r="H285" s="3"/>
      <c r="I285" s="3" t="s">
        <v>3392</v>
      </c>
      <c r="J285" s="3">
        <v>0</v>
      </c>
      <c r="K285" s="3">
        <v>0</v>
      </c>
      <c r="L285" s="3">
        <v>0</v>
      </c>
      <c r="M285" s="3">
        <v>0</v>
      </c>
      <c r="N285" s="3">
        <v>10</v>
      </c>
      <c r="O285" s="3">
        <v>0.17</v>
      </c>
      <c r="P285" s="3">
        <v>0</v>
      </c>
      <c r="Q285" s="3">
        <v>10</v>
      </c>
      <c r="R285" s="3">
        <v>0</v>
      </c>
    </row>
    <row r="286" spans="1:18">
      <c r="A286" s="3" t="s">
        <v>3591</v>
      </c>
      <c r="B286" s="3" t="s">
        <v>3592</v>
      </c>
      <c r="C286" s="3" t="s">
        <v>1430</v>
      </c>
      <c r="D286" s="3" t="s">
        <v>1431</v>
      </c>
      <c r="E286" s="3" t="s">
        <v>867</v>
      </c>
      <c r="F286" s="3">
        <v>45.98</v>
      </c>
      <c r="G286" s="3" t="s">
        <v>3391</v>
      </c>
      <c r="H286" s="3"/>
      <c r="I286" s="3" t="s">
        <v>3392</v>
      </c>
      <c r="J286" s="3">
        <v>0</v>
      </c>
      <c r="K286" s="3">
        <v>0</v>
      </c>
      <c r="L286" s="3">
        <v>0</v>
      </c>
      <c r="M286" s="3">
        <v>0</v>
      </c>
      <c r="N286" s="3">
        <v>5</v>
      </c>
      <c r="O286" s="3">
        <v>0.17</v>
      </c>
      <c r="P286" s="3">
        <v>0</v>
      </c>
      <c r="Q286" s="3">
        <v>5</v>
      </c>
      <c r="R286" s="3">
        <v>0</v>
      </c>
    </row>
    <row r="287" spans="1:18">
      <c r="A287" s="3" t="s">
        <v>1425</v>
      </c>
      <c r="B287" s="3" t="s">
        <v>1426</v>
      </c>
      <c r="C287" s="3" t="s">
        <v>1427</v>
      </c>
      <c r="D287" s="3" t="s">
        <v>1428</v>
      </c>
      <c r="E287" s="3" t="s">
        <v>867</v>
      </c>
      <c r="F287" s="3">
        <v>45.98</v>
      </c>
      <c r="G287" s="3" t="s">
        <v>3391</v>
      </c>
      <c r="H287" s="3"/>
      <c r="I287" s="3" t="s">
        <v>3392</v>
      </c>
      <c r="J287" s="3">
        <v>7</v>
      </c>
      <c r="K287" s="3">
        <v>7</v>
      </c>
      <c r="L287" s="3">
        <v>0</v>
      </c>
      <c r="M287" s="3">
        <v>0</v>
      </c>
      <c r="N287" s="3">
        <v>10</v>
      </c>
      <c r="O287" s="3">
        <v>0.17</v>
      </c>
      <c r="P287" s="3">
        <v>0</v>
      </c>
      <c r="Q287" s="3">
        <v>3</v>
      </c>
      <c r="R287" s="3">
        <v>0</v>
      </c>
    </row>
    <row r="288" spans="1:18">
      <c r="A288" s="3" t="s">
        <v>3593</v>
      </c>
      <c r="B288" s="3" t="s">
        <v>3594</v>
      </c>
      <c r="C288" s="3" t="s">
        <v>3547</v>
      </c>
      <c r="D288" s="3" t="s">
        <v>3548</v>
      </c>
      <c r="E288" s="3" t="s">
        <v>867</v>
      </c>
      <c r="F288" s="3">
        <v>45.98</v>
      </c>
      <c r="G288" s="3" t="s">
        <v>3391</v>
      </c>
      <c r="H288" s="3"/>
      <c r="I288" s="3" t="s">
        <v>3392</v>
      </c>
      <c r="J288" s="3">
        <v>0</v>
      </c>
      <c r="K288" s="3">
        <v>0</v>
      </c>
      <c r="L288" s="3">
        <v>0</v>
      </c>
      <c r="M288" s="3">
        <v>0</v>
      </c>
      <c r="N288" s="3">
        <v>10</v>
      </c>
      <c r="O288" s="3">
        <v>0.17</v>
      </c>
      <c r="P288" s="3">
        <v>0</v>
      </c>
      <c r="Q288" s="3">
        <v>10</v>
      </c>
      <c r="R288" s="3">
        <v>0</v>
      </c>
    </row>
    <row r="289" spans="1:18">
      <c r="A289" s="3" t="s">
        <v>3595</v>
      </c>
      <c r="B289" s="3" t="s">
        <v>158</v>
      </c>
      <c r="C289" s="3" t="s">
        <v>158</v>
      </c>
      <c r="D289" s="3" t="s">
        <v>159</v>
      </c>
      <c r="E289" s="3" t="s">
        <v>867</v>
      </c>
      <c r="F289" s="3">
        <v>39.98</v>
      </c>
      <c r="G289" s="3" t="s">
        <v>3391</v>
      </c>
      <c r="H289" s="3"/>
      <c r="I289" s="3" t="s">
        <v>3392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0.09</v>
      </c>
      <c r="P289" s="3">
        <v>0</v>
      </c>
      <c r="Q289" s="3">
        <v>0</v>
      </c>
      <c r="R289" s="3">
        <v>0</v>
      </c>
    </row>
    <row r="290" spans="1:18">
      <c r="A290" s="3" t="s">
        <v>3596</v>
      </c>
      <c r="B290" s="3" t="s">
        <v>3597</v>
      </c>
      <c r="C290" s="3" t="s">
        <v>3597</v>
      </c>
      <c r="D290" s="3" t="s">
        <v>3598</v>
      </c>
      <c r="E290" s="3" t="s">
        <v>867</v>
      </c>
      <c r="F290" s="3">
        <v>39.98</v>
      </c>
      <c r="G290" s="3" t="s">
        <v>3391</v>
      </c>
      <c r="H290" s="3"/>
      <c r="I290" s="3" t="s">
        <v>3392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0.09</v>
      </c>
      <c r="P290" s="3">
        <v>0</v>
      </c>
      <c r="Q290" s="3">
        <v>0</v>
      </c>
      <c r="R290" s="3">
        <v>0</v>
      </c>
    </row>
    <row r="291" spans="1:18">
      <c r="A291" s="3" t="s">
        <v>3599</v>
      </c>
      <c r="B291" s="3" t="s">
        <v>1002</v>
      </c>
      <c r="C291" s="3" t="s">
        <v>1002</v>
      </c>
      <c r="D291" s="3" t="s">
        <v>1003</v>
      </c>
      <c r="E291" s="3" t="s">
        <v>867</v>
      </c>
      <c r="F291" s="3">
        <v>39.98</v>
      </c>
      <c r="G291" s="3" t="s">
        <v>3391</v>
      </c>
      <c r="H291" s="3"/>
      <c r="I291" s="3" t="s">
        <v>3392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0.09</v>
      </c>
      <c r="P291" s="3">
        <v>0</v>
      </c>
      <c r="Q291" s="3">
        <v>0</v>
      </c>
      <c r="R291" s="3">
        <v>0</v>
      </c>
    </row>
    <row r="292" spans="1:18">
      <c r="A292" s="3" t="s">
        <v>3600</v>
      </c>
      <c r="B292" s="3" t="s">
        <v>150</v>
      </c>
      <c r="C292" s="3" t="s">
        <v>150</v>
      </c>
      <c r="D292" s="3" t="s">
        <v>151</v>
      </c>
      <c r="E292" s="3" t="s">
        <v>867</v>
      </c>
      <c r="F292" s="3">
        <v>39.98</v>
      </c>
      <c r="G292" s="3" t="s">
        <v>3391</v>
      </c>
      <c r="H292" s="3"/>
      <c r="I292" s="3" t="s">
        <v>3392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0.09</v>
      </c>
      <c r="P292" s="3">
        <v>0</v>
      </c>
      <c r="Q292" s="3">
        <v>0</v>
      </c>
      <c r="R292" s="3">
        <v>0</v>
      </c>
    </row>
    <row r="293" spans="1:18">
      <c r="A293" s="3" t="s">
        <v>3601</v>
      </c>
      <c r="B293" s="3" t="s">
        <v>3513</v>
      </c>
      <c r="C293" s="3" t="s">
        <v>3513</v>
      </c>
      <c r="D293" s="3" t="s">
        <v>3602</v>
      </c>
      <c r="E293" s="3" t="s">
        <v>867</v>
      </c>
      <c r="F293" s="3">
        <v>39.98</v>
      </c>
      <c r="G293" s="3" t="s">
        <v>3391</v>
      </c>
      <c r="H293" s="3"/>
      <c r="I293" s="3" t="s">
        <v>3392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0.09</v>
      </c>
      <c r="P293" s="3">
        <v>0</v>
      </c>
      <c r="Q293" s="3">
        <v>0</v>
      </c>
      <c r="R293" s="3">
        <v>0</v>
      </c>
    </row>
    <row r="294" spans="1:18">
      <c r="A294" s="3" t="s">
        <v>3603</v>
      </c>
      <c r="B294" s="3" t="s">
        <v>169</v>
      </c>
      <c r="C294" s="3" t="s">
        <v>169</v>
      </c>
      <c r="D294" s="3" t="s">
        <v>170</v>
      </c>
      <c r="E294" s="3" t="s">
        <v>867</v>
      </c>
      <c r="F294" s="3">
        <v>39.98</v>
      </c>
      <c r="G294" s="3" t="s">
        <v>3391</v>
      </c>
      <c r="H294" s="3"/>
      <c r="I294" s="3" t="s">
        <v>3392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0.09</v>
      </c>
      <c r="P294" s="3">
        <v>0</v>
      </c>
      <c r="Q294" s="3">
        <v>0</v>
      </c>
      <c r="R294" s="3">
        <v>0</v>
      </c>
    </row>
    <row r="295" spans="1:18">
      <c r="A295" s="3" t="s">
        <v>3604</v>
      </c>
      <c r="B295" s="3" t="s">
        <v>220</v>
      </c>
      <c r="C295" s="3" t="s">
        <v>220</v>
      </c>
      <c r="D295" s="3" t="s">
        <v>221</v>
      </c>
      <c r="E295" s="3" t="s">
        <v>867</v>
      </c>
      <c r="F295" s="3">
        <v>39.98</v>
      </c>
      <c r="G295" s="3" t="s">
        <v>3391</v>
      </c>
      <c r="H295" s="3"/>
      <c r="I295" s="3" t="s">
        <v>3392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0.09</v>
      </c>
      <c r="P295" s="3">
        <v>0</v>
      </c>
      <c r="Q295" s="3">
        <v>0</v>
      </c>
      <c r="R295" s="3">
        <v>0</v>
      </c>
    </row>
    <row r="296" spans="1:18">
      <c r="A296" s="3" t="s">
        <v>3605</v>
      </c>
      <c r="B296" s="3" t="s">
        <v>1393</v>
      </c>
      <c r="C296" s="3" t="s">
        <v>1393</v>
      </c>
      <c r="D296" s="3" t="s">
        <v>1394</v>
      </c>
      <c r="E296" s="3" t="s">
        <v>867</v>
      </c>
      <c r="F296" s="3">
        <v>39.98</v>
      </c>
      <c r="G296" s="3" t="s">
        <v>3391</v>
      </c>
      <c r="H296" s="3"/>
      <c r="I296" s="3" t="s">
        <v>3392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0.09</v>
      </c>
      <c r="P296" s="3">
        <v>0</v>
      </c>
      <c r="Q296" s="3">
        <v>0</v>
      </c>
      <c r="R296" s="3">
        <v>0</v>
      </c>
    </row>
    <row r="297" spans="1:18">
      <c r="A297" s="3" t="s">
        <v>3606</v>
      </c>
      <c r="B297" s="3" t="s">
        <v>177</v>
      </c>
      <c r="C297" s="3" t="s">
        <v>177</v>
      </c>
      <c r="D297" s="3" t="s">
        <v>178</v>
      </c>
      <c r="E297" s="3" t="s">
        <v>867</v>
      </c>
      <c r="F297" s="3">
        <v>39.98</v>
      </c>
      <c r="G297" s="3" t="s">
        <v>3391</v>
      </c>
      <c r="H297" s="3"/>
      <c r="I297" s="3" t="s">
        <v>3392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0.09</v>
      </c>
      <c r="P297" s="3">
        <v>0</v>
      </c>
      <c r="Q297" s="3">
        <v>0</v>
      </c>
      <c r="R297" s="3">
        <v>0</v>
      </c>
    </row>
    <row r="298" spans="1:18">
      <c r="A298" s="3" t="s">
        <v>1195</v>
      </c>
      <c r="B298" s="3" t="s">
        <v>1196</v>
      </c>
      <c r="C298" s="3" t="s">
        <v>1196</v>
      </c>
      <c r="D298" s="3" t="s">
        <v>1197</v>
      </c>
      <c r="E298" s="3" t="s">
        <v>867</v>
      </c>
      <c r="F298" s="3">
        <v>39.98</v>
      </c>
      <c r="G298" s="3" t="s">
        <v>3391</v>
      </c>
      <c r="H298" s="3"/>
      <c r="I298" s="3" t="s">
        <v>3392</v>
      </c>
      <c r="J298" s="3">
        <v>1</v>
      </c>
      <c r="K298" s="3">
        <v>1</v>
      </c>
      <c r="L298" s="3">
        <v>0</v>
      </c>
      <c r="M298" s="3">
        <v>0</v>
      </c>
      <c r="N298" s="3">
        <v>1</v>
      </c>
      <c r="O298" s="3">
        <v>0.09</v>
      </c>
      <c r="P298" s="3">
        <v>0</v>
      </c>
      <c r="Q298" s="3">
        <v>0</v>
      </c>
      <c r="R298" s="3">
        <v>0</v>
      </c>
    </row>
    <row r="299" spans="1:18">
      <c r="A299" s="3" t="s">
        <v>1941</v>
      </c>
      <c r="B299" s="3" t="s">
        <v>1942</v>
      </c>
      <c r="C299" s="3" t="s">
        <v>1942</v>
      </c>
      <c r="D299" s="3" t="s">
        <v>1943</v>
      </c>
      <c r="E299" s="3" t="s">
        <v>867</v>
      </c>
      <c r="F299" s="3">
        <v>39.98</v>
      </c>
      <c r="G299" s="3" t="s">
        <v>3391</v>
      </c>
      <c r="H299" s="3"/>
      <c r="I299" s="3" t="s">
        <v>3392</v>
      </c>
      <c r="J299" s="3">
        <v>3</v>
      </c>
      <c r="K299" s="3">
        <v>3</v>
      </c>
      <c r="L299" s="3">
        <v>0</v>
      </c>
      <c r="M299" s="3">
        <v>0</v>
      </c>
      <c r="N299" s="3">
        <v>3</v>
      </c>
      <c r="O299" s="3">
        <v>0.09</v>
      </c>
      <c r="P299" s="3">
        <v>0</v>
      </c>
      <c r="Q299" s="3">
        <v>0</v>
      </c>
      <c r="R299" s="3">
        <v>0</v>
      </c>
    </row>
    <row r="300" spans="1:18">
      <c r="A300" s="3" t="s">
        <v>3607</v>
      </c>
      <c r="B300" s="3" t="s">
        <v>2316</v>
      </c>
      <c r="C300" s="3" t="s">
        <v>2316</v>
      </c>
      <c r="D300" s="3" t="s">
        <v>2317</v>
      </c>
      <c r="E300" s="3" t="s">
        <v>867</v>
      </c>
      <c r="F300" s="3">
        <v>39.98</v>
      </c>
      <c r="G300" s="3" t="s">
        <v>3391</v>
      </c>
      <c r="H300" s="3"/>
      <c r="I300" s="3" t="s">
        <v>3392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0.09</v>
      </c>
      <c r="P300" s="3">
        <v>0</v>
      </c>
      <c r="Q300" s="3">
        <v>0</v>
      </c>
      <c r="R300" s="3">
        <v>0</v>
      </c>
    </row>
    <row r="301" spans="1:18">
      <c r="A301" s="3" t="s">
        <v>3608</v>
      </c>
      <c r="B301" s="3" t="s">
        <v>3164</v>
      </c>
      <c r="C301" s="3" t="s">
        <v>3164</v>
      </c>
      <c r="D301" s="3" t="s">
        <v>3165</v>
      </c>
      <c r="E301" s="3" t="s">
        <v>867</v>
      </c>
      <c r="F301" s="3">
        <v>39.98</v>
      </c>
      <c r="G301" s="3" t="s">
        <v>3391</v>
      </c>
      <c r="H301" s="3"/>
      <c r="I301" s="3" t="s">
        <v>3392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0.09</v>
      </c>
      <c r="P301" s="3">
        <v>0</v>
      </c>
      <c r="Q301" s="3">
        <v>0</v>
      </c>
      <c r="R301" s="3">
        <v>0</v>
      </c>
    </row>
    <row r="302" spans="1:18">
      <c r="A302" s="3" t="s">
        <v>3609</v>
      </c>
      <c r="B302" s="3" t="s">
        <v>1811</v>
      </c>
      <c r="C302" s="3" t="s">
        <v>1811</v>
      </c>
      <c r="D302" s="3" t="s">
        <v>1812</v>
      </c>
      <c r="E302" s="3" t="s">
        <v>867</v>
      </c>
      <c r="F302" s="3">
        <v>39.98</v>
      </c>
      <c r="G302" s="3" t="s">
        <v>3391</v>
      </c>
      <c r="H302" s="3"/>
      <c r="I302" s="3" t="s">
        <v>3392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0.09</v>
      </c>
      <c r="P302" s="3">
        <v>0</v>
      </c>
      <c r="Q302" s="3">
        <v>0</v>
      </c>
      <c r="R302" s="3">
        <v>0</v>
      </c>
    </row>
    <row r="303" spans="1:18">
      <c r="A303" s="3" t="s">
        <v>3610</v>
      </c>
      <c r="B303" s="3" t="s">
        <v>2530</v>
      </c>
      <c r="C303" s="3" t="s">
        <v>2530</v>
      </c>
      <c r="D303" s="3" t="s">
        <v>2531</v>
      </c>
      <c r="E303" s="3" t="s">
        <v>867</v>
      </c>
      <c r="F303" s="3">
        <v>39.98</v>
      </c>
      <c r="G303" s="3" t="s">
        <v>3391</v>
      </c>
      <c r="H303" s="3"/>
      <c r="I303" s="3" t="s">
        <v>3392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0.09</v>
      </c>
      <c r="P303" s="3">
        <v>0</v>
      </c>
      <c r="Q303" s="3">
        <v>0</v>
      </c>
      <c r="R303" s="3">
        <v>0</v>
      </c>
    </row>
    <row r="304" spans="1:18">
      <c r="A304" s="3" t="s">
        <v>3611</v>
      </c>
      <c r="B304" s="3" t="s">
        <v>2109</v>
      </c>
      <c r="C304" s="3" t="s">
        <v>2109</v>
      </c>
      <c r="D304" s="3" t="s">
        <v>2110</v>
      </c>
      <c r="E304" s="3" t="s">
        <v>867</v>
      </c>
      <c r="F304" s="3">
        <v>39.98</v>
      </c>
      <c r="G304" s="3" t="s">
        <v>3391</v>
      </c>
      <c r="H304" s="3"/>
      <c r="I304" s="3" t="s">
        <v>3392</v>
      </c>
      <c r="J304" s="3">
        <v>6</v>
      </c>
      <c r="K304" s="3">
        <v>6</v>
      </c>
      <c r="L304" s="3">
        <v>0</v>
      </c>
      <c r="M304" s="3">
        <v>0</v>
      </c>
      <c r="N304" s="3">
        <v>6</v>
      </c>
      <c r="O304" s="3">
        <v>0.09</v>
      </c>
      <c r="P304" s="3">
        <v>0</v>
      </c>
      <c r="Q304" s="3">
        <v>0</v>
      </c>
      <c r="R304" s="3">
        <v>0</v>
      </c>
    </row>
    <row r="305" spans="1:18">
      <c r="A305" s="3" t="s">
        <v>2985</v>
      </c>
      <c r="B305" s="3" t="s">
        <v>1517</v>
      </c>
      <c r="C305" s="3" t="s">
        <v>1517</v>
      </c>
      <c r="D305" s="3" t="s">
        <v>1518</v>
      </c>
      <c r="E305" s="3" t="s">
        <v>867</v>
      </c>
      <c r="F305" s="3">
        <v>39.98</v>
      </c>
      <c r="G305" s="3" t="s">
        <v>3391</v>
      </c>
      <c r="H305" s="3"/>
      <c r="I305" s="3" t="s">
        <v>3392</v>
      </c>
      <c r="J305" s="3">
        <v>1</v>
      </c>
      <c r="K305" s="3">
        <v>1</v>
      </c>
      <c r="L305" s="3">
        <v>0</v>
      </c>
      <c r="M305" s="3">
        <v>0</v>
      </c>
      <c r="N305" s="3">
        <v>1</v>
      </c>
      <c r="O305" s="3">
        <v>0.09</v>
      </c>
      <c r="P305" s="3">
        <v>0</v>
      </c>
      <c r="Q305" s="3">
        <v>0</v>
      </c>
      <c r="R305" s="3">
        <v>0</v>
      </c>
    </row>
    <row r="306" spans="1:18">
      <c r="A306" s="3" t="s">
        <v>3612</v>
      </c>
      <c r="B306" s="3" t="s">
        <v>209</v>
      </c>
      <c r="C306" s="3" t="s">
        <v>209</v>
      </c>
      <c r="D306" s="3" t="s">
        <v>210</v>
      </c>
      <c r="E306" s="3" t="s">
        <v>867</v>
      </c>
      <c r="F306" s="3">
        <v>39.98</v>
      </c>
      <c r="G306" s="3" t="s">
        <v>3391</v>
      </c>
      <c r="H306" s="3"/>
      <c r="I306" s="3" t="s">
        <v>3392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0.09</v>
      </c>
      <c r="P306" s="3">
        <v>0</v>
      </c>
      <c r="Q306" s="3">
        <v>0</v>
      </c>
      <c r="R306" s="3">
        <v>0</v>
      </c>
    </row>
    <row r="307" spans="1:18">
      <c r="A307" s="3" t="s">
        <v>2090</v>
      </c>
      <c r="B307" s="3" t="s">
        <v>2091</v>
      </c>
      <c r="C307" s="3" t="s">
        <v>2091</v>
      </c>
      <c r="D307" s="3" t="s">
        <v>2092</v>
      </c>
      <c r="E307" s="3" t="s">
        <v>867</v>
      </c>
      <c r="F307" s="3">
        <v>39.98</v>
      </c>
      <c r="G307" s="3" t="s">
        <v>3391</v>
      </c>
      <c r="H307" s="3"/>
      <c r="I307" s="3" t="s">
        <v>3392</v>
      </c>
      <c r="J307" s="3">
        <v>10</v>
      </c>
      <c r="K307" s="3">
        <v>10</v>
      </c>
      <c r="L307" s="3">
        <v>0</v>
      </c>
      <c r="M307" s="3">
        <v>0</v>
      </c>
      <c r="N307" s="3">
        <v>10</v>
      </c>
      <c r="O307" s="3">
        <v>0.09</v>
      </c>
      <c r="P307" s="3">
        <v>0</v>
      </c>
      <c r="Q307" s="3">
        <v>0</v>
      </c>
      <c r="R307" s="3">
        <v>0</v>
      </c>
    </row>
    <row r="308" spans="1:18">
      <c r="A308" s="3" t="s">
        <v>2775</v>
      </c>
      <c r="B308" s="3" t="s">
        <v>2776</v>
      </c>
      <c r="C308" s="3" t="s">
        <v>2776</v>
      </c>
      <c r="D308" s="3" t="s">
        <v>2539</v>
      </c>
      <c r="E308" s="3" t="s">
        <v>867</v>
      </c>
      <c r="F308" s="3">
        <v>18.98</v>
      </c>
      <c r="G308" s="3" t="s">
        <v>3391</v>
      </c>
      <c r="H308" s="3"/>
      <c r="I308" s="3" t="s">
        <v>3392</v>
      </c>
      <c r="J308" s="3">
        <v>6</v>
      </c>
      <c r="K308" s="3">
        <v>6</v>
      </c>
      <c r="L308" s="3">
        <v>0</v>
      </c>
      <c r="M308" s="3">
        <v>0</v>
      </c>
      <c r="N308" s="3">
        <v>6</v>
      </c>
      <c r="O308" s="3">
        <v>0.09</v>
      </c>
      <c r="P308" s="3">
        <v>0</v>
      </c>
      <c r="Q308" s="3">
        <v>0</v>
      </c>
      <c r="R308" s="3">
        <v>0</v>
      </c>
    </row>
    <row r="309" spans="1:18">
      <c r="A309" s="3" t="s">
        <v>2210</v>
      </c>
      <c r="B309" s="3" t="s">
        <v>1721</v>
      </c>
      <c r="C309" s="3" t="s">
        <v>1721</v>
      </c>
      <c r="D309" s="3" t="s">
        <v>1722</v>
      </c>
      <c r="E309" s="3" t="s">
        <v>867</v>
      </c>
      <c r="F309" s="3">
        <v>39.98</v>
      </c>
      <c r="G309" s="3" t="s">
        <v>3391</v>
      </c>
      <c r="H309" s="3"/>
      <c r="I309" s="3" t="s">
        <v>3392</v>
      </c>
      <c r="J309" s="3">
        <v>1</v>
      </c>
      <c r="K309" s="3">
        <v>1</v>
      </c>
      <c r="L309" s="3">
        <v>0</v>
      </c>
      <c r="M309" s="3">
        <v>0</v>
      </c>
      <c r="N309" s="3">
        <v>1</v>
      </c>
      <c r="O309" s="3">
        <v>0.09</v>
      </c>
      <c r="P309" s="3">
        <v>0</v>
      </c>
      <c r="Q309" s="3">
        <v>0</v>
      </c>
      <c r="R309" s="3">
        <v>0</v>
      </c>
    </row>
    <row r="310" spans="1:18">
      <c r="A310" s="3" t="s">
        <v>3613</v>
      </c>
      <c r="B310" s="3" t="s">
        <v>3614</v>
      </c>
      <c r="C310" s="3" t="s">
        <v>3614</v>
      </c>
      <c r="D310" s="3" t="s">
        <v>3615</v>
      </c>
      <c r="E310" s="3" t="s">
        <v>867</v>
      </c>
      <c r="F310" s="3">
        <v>39.98</v>
      </c>
      <c r="G310" s="3" t="s">
        <v>3391</v>
      </c>
      <c r="H310" s="3"/>
      <c r="I310" s="3" t="s">
        <v>3392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0.09</v>
      </c>
      <c r="P310" s="3">
        <v>0</v>
      </c>
      <c r="Q310" s="3">
        <v>0</v>
      </c>
      <c r="R310" s="3">
        <v>0</v>
      </c>
    </row>
    <row r="311" spans="1:18">
      <c r="A311" s="3" t="s">
        <v>3616</v>
      </c>
      <c r="B311" s="3" t="s">
        <v>3526</v>
      </c>
      <c r="C311" s="3" t="s">
        <v>3526</v>
      </c>
      <c r="D311" s="3" t="s">
        <v>3617</v>
      </c>
      <c r="E311" s="3" t="s">
        <v>867</v>
      </c>
      <c r="F311" s="3">
        <v>39.98</v>
      </c>
      <c r="G311" s="3" t="s">
        <v>3391</v>
      </c>
      <c r="H311" s="3"/>
      <c r="I311" s="3" t="s">
        <v>3392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0.09</v>
      </c>
      <c r="P311" s="3">
        <v>0</v>
      </c>
      <c r="Q311" s="3">
        <v>0</v>
      </c>
      <c r="R311" s="3">
        <v>0</v>
      </c>
    </row>
    <row r="312" spans="1:18">
      <c r="A312" s="3" t="s">
        <v>1755</v>
      </c>
      <c r="B312" s="3" t="s">
        <v>1756</v>
      </c>
      <c r="C312" s="3" t="s">
        <v>1756</v>
      </c>
      <c r="D312" s="3" t="s">
        <v>1757</v>
      </c>
      <c r="E312" s="3" t="s">
        <v>867</v>
      </c>
      <c r="F312" s="3">
        <v>39.98</v>
      </c>
      <c r="G312" s="3" t="s">
        <v>3391</v>
      </c>
      <c r="H312" s="3"/>
      <c r="I312" s="3" t="s">
        <v>3392</v>
      </c>
      <c r="J312" s="3">
        <v>1</v>
      </c>
      <c r="K312" s="3">
        <v>1</v>
      </c>
      <c r="L312" s="3">
        <v>0</v>
      </c>
      <c r="M312" s="3">
        <v>0</v>
      </c>
      <c r="N312" s="3">
        <v>1</v>
      </c>
      <c r="O312" s="3">
        <v>0.09</v>
      </c>
      <c r="P312" s="3">
        <v>0</v>
      </c>
      <c r="Q312" s="3">
        <v>0</v>
      </c>
      <c r="R312" s="3">
        <v>0</v>
      </c>
    </row>
    <row r="313" spans="1:18">
      <c r="A313" s="3" t="s">
        <v>1363</v>
      </c>
      <c r="B313" s="3" t="s">
        <v>1364</v>
      </c>
      <c r="C313" s="3" t="s">
        <v>1364</v>
      </c>
      <c r="D313" s="3" t="s">
        <v>1365</v>
      </c>
      <c r="E313" s="3" t="s">
        <v>867</v>
      </c>
      <c r="F313" s="3">
        <v>39.98</v>
      </c>
      <c r="G313" s="3" t="s">
        <v>3391</v>
      </c>
      <c r="H313" s="3"/>
      <c r="I313" s="3" t="s">
        <v>3392</v>
      </c>
      <c r="J313" s="3">
        <v>2</v>
      </c>
      <c r="K313" s="3">
        <v>2</v>
      </c>
      <c r="L313" s="3">
        <v>0</v>
      </c>
      <c r="M313" s="3">
        <v>0</v>
      </c>
      <c r="N313" s="3">
        <v>2</v>
      </c>
      <c r="O313" s="3">
        <v>0.09</v>
      </c>
      <c r="P313" s="3">
        <v>0</v>
      </c>
      <c r="Q313" s="3">
        <v>0</v>
      </c>
      <c r="R313" s="3">
        <v>0</v>
      </c>
    </row>
    <row r="314" spans="1:18">
      <c r="A314" s="3" t="s">
        <v>1457</v>
      </c>
      <c r="B314" s="3" t="s">
        <v>1458</v>
      </c>
      <c r="C314" s="3" t="s">
        <v>1458</v>
      </c>
      <c r="D314" s="3" t="s">
        <v>1459</v>
      </c>
      <c r="E314" s="3" t="s">
        <v>867</v>
      </c>
      <c r="F314" s="3">
        <v>39.98</v>
      </c>
      <c r="G314" s="3" t="s">
        <v>3391</v>
      </c>
      <c r="H314" s="3"/>
      <c r="I314" s="3" t="s">
        <v>3392</v>
      </c>
      <c r="J314" s="3">
        <v>1</v>
      </c>
      <c r="K314" s="3">
        <v>1</v>
      </c>
      <c r="L314" s="3">
        <v>0</v>
      </c>
      <c r="M314" s="3">
        <v>0</v>
      </c>
      <c r="N314" s="3">
        <v>1</v>
      </c>
      <c r="O314" s="3">
        <v>0.09</v>
      </c>
      <c r="P314" s="3">
        <v>0</v>
      </c>
      <c r="Q314" s="3">
        <v>0</v>
      </c>
      <c r="R314" s="3">
        <v>0</v>
      </c>
    </row>
    <row r="315" spans="1:18">
      <c r="A315" s="3" t="s">
        <v>3618</v>
      </c>
      <c r="B315" s="3" t="s">
        <v>3619</v>
      </c>
      <c r="C315" s="3" t="s">
        <v>3619</v>
      </c>
      <c r="D315" s="3" t="s">
        <v>3620</v>
      </c>
      <c r="E315" s="3" t="s">
        <v>867</v>
      </c>
      <c r="F315" s="3">
        <v>39.98</v>
      </c>
      <c r="G315" s="3" t="s">
        <v>3391</v>
      </c>
      <c r="H315" s="3"/>
      <c r="I315" s="3" t="s">
        <v>3392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0.09</v>
      </c>
      <c r="P315" s="3">
        <v>0</v>
      </c>
      <c r="Q315" s="3">
        <v>0</v>
      </c>
      <c r="R315" s="3">
        <v>0</v>
      </c>
    </row>
    <row r="316" spans="1:18">
      <c r="A316" s="3" t="s">
        <v>3621</v>
      </c>
      <c r="B316" s="3" t="s">
        <v>3622</v>
      </c>
      <c r="C316" s="3" t="s">
        <v>3622</v>
      </c>
      <c r="D316" s="3" t="s">
        <v>3623</v>
      </c>
      <c r="E316" s="3" t="s">
        <v>867</v>
      </c>
      <c r="F316" s="3">
        <v>39.98</v>
      </c>
      <c r="G316" s="3" t="s">
        <v>3391</v>
      </c>
      <c r="H316" s="3"/>
      <c r="I316" s="3" t="s">
        <v>3392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0.09</v>
      </c>
      <c r="P316" s="3">
        <v>0</v>
      </c>
      <c r="Q316" s="3">
        <v>0</v>
      </c>
      <c r="R316" s="3">
        <v>0</v>
      </c>
    </row>
    <row r="317" spans="1:18">
      <c r="A317" s="3" t="s">
        <v>3624</v>
      </c>
      <c r="B317" s="3" t="s">
        <v>2060</v>
      </c>
      <c r="C317" s="3" t="s">
        <v>2060</v>
      </c>
      <c r="D317" s="3" t="s">
        <v>2061</v>
      </c>
      <c r="E317" s="3" t="s">
        <v>867</v>
      </c>
      <c r="F317" s="3">
        <v>39.98</v>
      </c>
      <c r="G317" s="3" t="s">
        <v>3391</v>
      </c>
      <c r="H317" s="3"/>
      <c r="I317" s="3" t="s">
        <v>3392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0.09</v>
      </c>
      <c r="P317" s="3">
        <v>0</v>
      </c>
      <c r="Q317" s="3">
        <v>0</v>
      </c>
      <c r="R317" s="3">
        <v>0</v>
      </c>
    </row>
    <row r="318" spans="1:18">
      <c r="A318" s="3" t="s">
        <v>3625</v>
      </c>
      <c r="B318" s="3" t="s">
        <v>3626</v>
      </c>
      <c r="C318" s="3" t="s">
        <v>3626</v>
      </c>
      <c r="D318" s="3" t="s">
        <v>3627</v>
      </c>
      <c r="E318" s="3" t="s">
        <v>867</v>
      </c>
      <c r="F318" s="3">
        <v>39.98</v>
      </c>
      <c r="G318" s="3" t="s">
        <v>3391</v>
      </c>
      <c r="H318" s="3"/>
      <c r="I318" s="3" t="s">
        <v>3392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0.09</v>
      </c>
      <c r="P318" s="3">
        <v>0</v>
      </c>
      <c r="Q318" s="3">
        <v>0</v>
      </c>
      <c r="R318" s="3">
        <v>0</v>
      </c>
    </row>
    <row r="319" spans="1:18">
      <c r="A319" s="3" t="s">
        <v>3628</v>
      </c>
      <c r="B319" s="3" t="s">
        <v>3629</v>
      </c>
      <c r="C319" s="3" t="s">
        <v>3630</v>
      </c>
      <c r="D319" s="3"/>
      <c r="E319" s="3" t="s">
        <v>3293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3631</v>
      </c>
      <c r="B320" s="3" t="s">
        <v>3632</v>
      </c>
      <c r="C320" s="3" t="s">
        <v>3633</v>
      </c>
      <c r="D320" s="3"/>
      <c r="E320" s="3" t="s">
        <v>3293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3634</v>
      </c>
      <c r="B321" s="3" t="s">
        <v>3635</v>
      </c>
      <c r="C321" s="3" t="s">
        <v>3636</v>
      </c>
      <c r="D321" s="3"/>
      <c r="E321" s="3" t="s">
        <v>3293</v>
      </c>
      <c r="F321" s="3"/>
      <c r="G321" s="3"/>
      <c r="H321" s="3"/>
      <c r="I321" s="3"/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3637</v>
      </c>
      <c r="B322" s="3" t="s">
        <v>3638</v>
      </c>
      <c r="C322" s="3" t="s">
        <v>3639</v>
      </c>
      <c r="D322" s="3"/>
      <c r="E322" s="3" t="s">
        <v>3293</v>
      </c>
      <c r="F322" s="3"/>
      <c r="G322" s="3"/>
      <c r="H322" s="3"/>
      <c r="I322" s="3"/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3640</v>
      </c>
      <c r="B323" s="3" t="s">
        <v>3641</v>
      </c>
      <c r="C323" s="3" t="s">
        <v>3642</v>
      </c>
      <c r="D323" s="3"/>
      <c r="E323" s="3" t="s">
        <v>3293</v>
      </c>
      <c r="F323" s="3"/>
      <c r="G323" s="3"/>
      <c r="H323" s="3"/>
      <c r="I323" s="3"/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/>
      <c r="P323" s="3">
        <v>0</v>
      </c>
      <c r="Q323" s="3">
        <v>0</v>
      </c>
      <c r="R323" s="3">
        <v>0</v>
      </c>
    </row>
    <row r="324" spans="1:18">
      <c r="A324" s="3" t="s">
        <v>3643</v>
      </c>
      <c r="B324" s="3" t="s">
        <v>3644</v>
      </c>
      <c r="C324" s="3" t="s">
        <v>3645</v>
      </c>
      <c r="D324" s="3"/>
      <c r="E324" s="3" t="s">
        <v>3293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3646</v>
      </c>
      <c r="B325" s="3" t="s">
        <v>3647</v>
      </c>
      <c r="C325" s="3" t="s">
        <v>3648</v>
      </c>
      <c r="D325" s="3"/>
      <c r="E325" s="3" t="s">
        <v>3293</v>
      </c>
      <c r="F325" s="3"/>
      <c r="G325" s="3"/>
      <c r="H325" s="3"/>
      <c r="I325" s="3"/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/>
      <c r="P325" s="3">
        <v>0</v>
      </c>
      <c r="Q325" s="3">
        <v>0</v>
      </c>
      <c r="R325" s="3">
        <v>0</v>
      </c>
    </row>
    <row r="326" spans="1:18">
      <c r="A326" s="3" t="s">
        <v>3649</v>
      </c>
      <c r="B326" s="3" t="s">
        <v>3650</v>
      </c>
      <c r="C326" s="3" t="s">
        <v>3651</v>
      </c>
      <c r="D326" s="3"/>
      <c r="E326" s="3" t="s">
        <v>3293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3652</v>
      </c>
      <c r="B327" s="3" t="s">
        <v>3653</v>
      </c>
      <c r="C327" s="3" t="s">
        <v>3654</v>
      </c>
      <c r="D327" s="3"/>
      <c r="E327" s="3" t="s">
        <v>3293</v>
      </c>
      <c r="F327" s="3"/>
      <c r="G327" s="3"/>
      <c r="H327" s="3"/>
      <c r="I327" s="3"/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/>
      <c r="P327" s="3">
        <v>0</v>
      </c>
      <c r="Q327" s="3">
        <v>0</v>
      </c>
      <c r="R327" s="3">
        <v>0</v>
      </c>
    </row>
    <row r="328" spans="1:18">
      <c r="A328" s="3" t="s">
        <v>3655</v>
      </c>
      <c r="B328" s="3" t="s">
        <v>3656</v>
      </c>
      <c r="C328" s="3" t="s">
        <v>3657</v>
      </c>
      <c r="D328" s="3"/>
      <c r="E328" s="3" t="s">
        <v>3293</v>
      </c>
      <c r="F328" s="3"/>
      <c r="G328" s="3"/>
      <c r="H328" s="3"/>
      <c r="I328" s="3"/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/>
      <c r="P328" s="3">
        <v>0</v>
      </c>
      <c r="Q328" s="3">
        <v>0</v>
      </c>
      <c r="R328" s="3">
        <v>0</v>
      </c>
    </row>
    <row r="329" spans="1:18">
      <c r="A329" s="3" t="s">
        <v>3658</v>
      </c>
      <c r="B329" s="3" t="s">
        <v>3659</v>
      </c>
      <c r="C329" s="3" t="s">
        <v>3660</v>
      </c>
      <c r="D329" s="3"/>
      <c r="E329" s="3" t="s">
        <v>3293</v>
      </c>
      <c r="F329" s="3"/>
      <c r="G329" s="3"/>
      <c r="H329" s="3"/>
      <c r="I329" s="3"/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/>
      <c r="P329" s="3">
        <v>0</v>
      </c>
      <c r="Q329" s="3">
        <v>0</v>
      </c>
      <c r="R329" s="3">
        <v>0</v>
      </c>
    </row>
    <row r="330" spans="1:18">
      <c r="A330" s="3" t="s">
        <v>3661</v>
      </c>
      <c r="B330" s="3" t="s">
        <v>3662</v>
      </c>
      <c r="C330" s="3" t="s">
        <v>3663</v>
      </c>
      <c r="D330" s="3"/>
      <c r="E330" s="3" t="s">
        <v>3293</v>
      </c>
      <c r="F330" s="3"/>
      <c r="G330" s="3"/>
      <c r="H330" s="3"/>
      <c r="I330" s="3"/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3664</v>
      </c>
      <c r="B331" s="3" t="s">
        <v>3665</v>
      </c>
      <c r="C331" s="3" t="s">
        <v>3666</v>
      </c>
      <c r="D331" s="3"/>
      <c r="E331" s="3" t="s">
        <v>3293</v>
      </c>
      <c r="F331" s="3"/>
      <c r="G331" s="3"/>
      <c r="H331" s="3"/>
      <c r="I331" s="3"/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/>
      <c r="P331" s="3">
        <v>0</v>
      </c>
      <c r="Q331" s="3">
        <v>0</v>
      </c>
      <c r="R331" s="3">
        <v>0</v>
      </c>
    </row>
    <row r="332" spans="1:18">
      <c r="A332" s="3" t="s">
        <v>3667</v>
      </c>
      <c r="B332" s="3" t="s">
        <v>3668</v>
      </c>
      <c r="C332" s="3" t="s">
        <v>3669</v>
      </c>
      <c r="D332" s="3"/>
      <c r="E332" s="3" t="s">
        <v>3293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3670</v>
      </c>
      <c r="B333" s="3" t="s">
        <v>3671</v>
      </c>
      <c r="C333" s="3" t="s">
        <v>3672</v>
      </c>
      <c r="D333" s="3"/>
      <c r="E333" s="3" t="s">
        <v>3293</v>
      </c>
      <c r="F333" s="3"/>
      <c r="G333" s="3"/>
      <c r="H333" s="3"/>
      <c r="I333" s="3"/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3673</v>
      </c>
      <c r="B334" s="3" t="s">
        <v>3674</v>
      </c>
      <c r="C334" s="3" t="s">
        <v>3675</v>
      </c>
      <c r="D334" s="3"/>
      <c r="E334" s="3" t="s">
        <v>3293</v>
      </c>
      <c r="F334" s="3"/>
      <c r="G334" s="3"/>
      <c r="H334" s="3"/>
      <c r="I334" s="3"/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3676</v>
      </c>
      <c r="B335" s="3" t="s">
        <v>3677</v>
      </c>
      <c r="C335" s="3" t="s">
        <v>3678</v>
      </c>
      <c r="D335" s="3"/>
      <c r="E335" s="3" t="s">
        <v>3293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3679</v>
      </c>
      <c r="B336" s="3" t="s">
        <v>3680</v>
      </c>
      <c r="C336" s="3" t="s">
        <v>3681</v>
      </c>
      <c r="D336" s="3"/>
      <c r="E336" s="3" t="s">
        <v>3293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3682</v>
      </c>
      <c r="B337" s="3" t="s">
        <v>3683</v>
      </c>
      <c r="C337" s="3" t="s">
        <v>3684</v>
      </c>
      <c r="D337" s="3"/>
      <c r="E337" s="3" t="s">
        <v>3293</v>
      </c>
      <c r="F337" s="3"/>
      <c r="G337" s="3"/>
      <c r="H337" s="3"/>
      <c r="I337" s="3"/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3685</v>
      </c>
      <c r="B338" s="3" t="s">
        <v>3686</v>
      </c>
      <c r="C338" s="3" t="s">
        <v>3687</v>
      </c>
      <c r="D338" s="3"/>
      <c r="E338" s="3" t="s">
        <v>3293</v>
      </c>
      <c r="F338" s="3"/>
      <c r="G338" s="3"/>
      <c r="H338" s="3"/>
      <c r="I338" s="3"/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3688</v>
      </c>
      <c r="B339" s="3" t="s">
        <v>3689</v>
      </c>
      <c r="C339" s="3" t="s">
        <v>3690</v>
      </c>
      <c r="D339" s="3"/>
      <c r="E339" s="3" t="s">
        <v>3293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3691</v>
      </c>
      <c r="B340" s="3" t="s">
        <v>3692</v>
      </c>
      <c r="C340" s="3" t="s">
        <v>3693</v>
      </c>
      <c r="D340" s="3"/>
      <c r="E340" s="3" t="s">
        <v>3293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3694</v>
      </c>
      <c r="B341" s="3" t="s">
        <v>3695</v>
      </c>
      <c r="C341" s="3" t="s">
        <v>3696</v>
      </c>
      <c r="D341" s="3"/>
      <c r="E341" s="3" t="s">
        <v>3293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3697</v>
      </c>
      <c r="B342" s="3" t="s">
        <v>3698</v>
      </c>
      <c r="C342" s="3" t="s">
        <v>3699</v>
      </c>
      <c r="D342" s="3"/>
      <c r="E342" s="3" t="s">
        <v>3293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3700</v>
      </c>
      <c r="B343" s="3" t="s">
        <v>3701</v>
      </c>
      <c r="C343" s="3" t="s">
        <v>3702</v>
      </c>
      <c r="D343" s="3"/>
      <c r="E343" s="3" t="s">
        <v>3293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3703</v>
      </c>
      <c r="B344" s="3" t="s">
        <v>3704</v>
      </c>
      <c r="C344" s="3" t="s">
        <v>3705</v>
      </c>
      <c r="D344" s="3"/>
      <c r="E344" s="3" t="s">
        <v>3293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3706</v>
      </c>
      <c r="B345" s="3" t="s">
        <v>3707</v>
      </c>
      <c r="C345" s="3" t="s">
        <v>3708</v>
      </c>
      <c r="D345" s="3"/>
      <c r="E345" s="3" t="s">
        <v>3293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3709</v>
      </c>
      <c r="B346" s="3" t="s">
        <v>3710</v>
      </c>
      <c r="C346" s="3" t="s">
        <v>3711</v>
      </c>
      <c r="D346" s="3"/>
      <c r="E346" s="3" t="s">
        <v>3293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3712</v>
      </c>
      <c r="B347" s="3" t="s">
        <v>3713</v>
      </c>
      <c r="C347" s="3" t="s">
        <v>3714</v>
      </c>
      <c r="D347" s="3"/>
      <c r="E347" s="3" t="s">
        <v>3293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3715</v>
      </c>
      <c r="B348" s="3" t="s">
        <v>3716</v>
      </c>
      <c r="C348" s="3" t="s">
        <v>3717</v>
      </c>
      <c r="D348" s="3"/>
      <c r="E348" s="3" t="s">
        <v>3293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3718</v>
      </c>
      <c r="B349" s="3" t="s">
        <v>3719</v>
      </c>
      <c r="C349" s="3" t="s">
        <v>3720</v>
      </c>
      <c r="D349" s="3"/>
      <c r="E349" s="3" t="s">
        <v>3293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3721</v>
      </c>
      <c r="B350" s="3" t="s">
        <v>3722</v>
      </c>
      <c r="C350" s="3" t="s">
        <v>3723</v>
      </c>
      <c r="D350" s="3"/>
      <c r="E350" s="3" t="s">
        <v>3293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3724</v>
      </c>
      <c r="B351" s="3" t="s">
        <v>3725</v>
      </c>
      <c r="C351" s="3" t="s">
        <v>3726</v>
      </c>
      <c r="D351" s="3"/>
      <c r="E351" s="3" t="s">
        <v>3293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3727</v>
      </c>
      <c r="B352" s="3" t="s">
        <v>3728</v>
      </c>
      <c r="C352" s="3" t="s">
        <v>3729</v>
      </c>
      <c r="D352" s="3"/>
      <c r="E352" s="3" t="s">
        <v>3293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3730</v>
      </c>
      <c r="B353" s="3" t="s">
        <v>3731</v>
      </c>
      <c r="C353" s="3" t="s">
        <v>3732</v>
      </c>
      <c r="D353" s="3"/>
      <c r="E353" s="3" t="s">
        <v>3293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3733</v>
      </c>
      <c r="B354" s="3" t="s">
        <v>3734</v>
      </c>
      <c r="C354" s="3" t="s">
        <v>3735</v>
      </c>
      <c r="D354" s="3"/>
      <c r="E354" s="3" t="s">
        <v>3293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3736</v>
      </c>
      <c r="B355" s="3" t="s">
        <v>3737</v>
      </c>
      <c r="C355" s="3" t="s">
        <v>3738</v>
      </c>
      <c r="D355" s="3"/>
      <c r="E355" s="3" t="s">
        <v>3293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3739</v>
      </c>
      <c r="B356" s="3" t="s">
        <v>3740</v>
      </c>
      <c r="C356" s="3" t="s">
        <v>3741</v>
      </c>
      <c r="D356" s="3"/>
      <c r="E356" s="3" t="s">
        <v>3293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3742</v>
      </c>
      <c r="B357" s="3" t="s">
        <v>3743</v>
      </c>
      <c r="C357" s="3" t="s">
        <v>3744</v>
      </c>
      <c r="D357" s="3"/>
      <c r="E357" s="3" t="s">
        <v>3293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3745</v>
      </c>
      <c r="B358" s="3" t="s">
        <v>3746</v>
      </c>
      <c r="C358" s="3" t="s">
        <v>3747</v>
      </c>
      <c r="D358" s="3"/>
      <c r="E358" s="3" t="s">
        <v>3293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3748</v>
      </c>
      <c r="B359" s="3" t="s">
        <v>3749</v>
      </c>
      <c r="C359" s="3" t="s">
        <v>3750</v>
      </c>
      <c r="D359" s="3"/>
      <c r="E359" s="3" t="s">
        <v>3293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3751</v>
      </c>
      <c r="B360" s="3" t="s">
        <v>3752</v>
      </c>
      <c r="C360" s="3" t="s">
        <v>3753</v>
      </c>
      <c r="D360" s="3"/>
      <c r="E360" s="3" t="s">
        <v>3293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3754</v>
      </c>
      <c r="B361" s="3" t="s">
        <v>3755</v>
      </c>
      <c r="C361" s="3" t="s">
        <v>3756</v>
      </c>
      <c r="D361" s="3"/>
      <c r="E361" s="3" t="s">
        <v>3293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3757</v>
      </c>
      <c r="B362" s="3" t="s">
        <v>3758</v>
      </c>
      <c r="C362" s="3" t="s">
        <v>3759</v>
      </c>
      <c r="D362" s="3"/>
      <c r="E362" s="3" t="s">
        <v>3293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3760</v>
      </c>
      <c r="B363" s="3" t="s">
        <v>3761</v>
      </c>
      <c r="C363" s="3" t="s">
        <v>3762</v>
      </c>
      <c r="D363" s="3"/>
      <c r="E363" s="3" t="s">
        <v>3293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3763</v>
      </c>
      <c r="B364" s="3" t="s">
        <v>3764</v>
      </c>
      <c r="C364" s="3" t="s">
        <v>3765</v>
      </c>
      <c r="D364" s="3"/>
      <c r="E364" s="3" t="s">
        <v>3293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3766</v>
      </c>
      <c r="B365" s="3" t="s">
        <v>3767</v>
      </c>
      <c r="C365" s="3" t="s">
        <v>3768</v>
      </c>
      <c r="D365" s="3"/>
      <c r="E365" s="3" t="s">
        <v>3293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3769</v>
      </c>
      <c r="B366" s="3" t="s">
        <v>3770</v>
      </c>
      <c r="C366" s="3" t="s">
        <v>3771</v>
      </c>
      <c r="D366" s="3"/>
      <c r="E366" s="3" t="s">
        <v>3293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3772</v>
      </c>
      <c r="B367" s="3" t="s">
        <v>3773</v>
      </c>
      <c r="C367" s="3" t="s">
        <v>3774</v>
      </c>
      <c r="D367" s="3"/>
      <c r="E367" s="3" t="s">
        <v>3293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3775</v>
      </c>
      <c r="B368" s="3" t="s">
        <v>3776</v>
      </c>
      <c r="C368" s="3" t="s">
        <v>3777</v>
      </c>
      <c r="D368" s="3"/>
      <c r="E368" s="3" t="s">
        <v>3293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3778</v>
      </c>
      <c r="B369" s="3" t="s">
        <v>3779</v>
      </c>
      <c r="C369" s="3" t="s">
        <v>3780</v>
      </c>
      <c r="D369" s="3"/>
      <c r="E369" s="3" t="s">
        <v>3293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3781</v>
      </c>
      <c r="B370" s="3" t="s">
        <v>3782</v>
      </c>
      <c r="C370" s="3" t="s">
        <v>3783</v>
      </c>
      <c r="D370" s="3"/>
      <c r="E370" s="3" t="s">
        <v>3293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3784</v>
      </c>
      <c r="B371" s="3" t="s">
        <v>3785</v>
      </c>
      <c r="C371" s="3" t="s">
        <v>3786</v>
      </c>
      <c r="D371" s="3"/>
      <c r="E371" s="3" t="s">
        <v>3293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3787</v>
      </c>
      <c r="B372" s="3" t="s">
        <v>3788</v>
      </c>
      <c r="C372" s="3" t="s">
        <v>3789</v>
      </c>
      <c r="D372" s="3"/>
      <c r="E372" s="3" t="s">
        <v>3293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3790</v>
      </c>
      <c r="B373" s="3" t="s">
        <v>3791</v>
      </c>
      <c r="C373" s="3" t="s">
        <v>3792</v>
      </c>
      <c r="D373" s="3"/>
      <c r="E373" s="3" t="s">
        <v>3293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3793</v>
      </c>
      <c r="B374" s="3" t="s">
        <v>3794</v>
      </c>
      <c r="C374" s="3" t="s">
        <v>3795</v>
      </c>
      <c r="D374" s="3"/>
      <c r="E374" s="3" t="s">
        <v>3293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3796</v>
      </c>
      <c r="B375" s="3" t="s">
        <v>3797</v>
      </c>
      <c r="C375" s="3" t="s">
        <v>3798</v>
      </c>
      <c r="D375" s="3"/>
      <c r="E375" s="3" t="s">
        <v>3293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3799</v>
      </c>
      <c r="B376" s="3" t="s">
        <v>3800</v>
      </c>
      <c r="C376" s="3" t="s">
        <v>3801</v>
      </c>
      <c r="D376" s="3"/>
      <c r="E376" s="3" t="s">
        <v>3293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3802</v>
      </c>
      <c r="B377" s="3" t="s">
        <v>3803</v>
      </c>
      <c r="C377" s="3" t="s">
        <v>3804</v>
      </c>
      <c r="D377" s="3"/>
      <c r="E377" s="3" t="s">
        <v>3293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3805</v>
      </c>
      <c r="B378" s="3" t="s">
        <v>3806</v>
      </c>
      <c r="C378" s="3" t="s">
        <v>3807</v>
      </c>
      <c r="D378" s="3"/>
      <c r="E378" s="3" t="s">
        <v>3293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3808</v>
      </c>
      <c r="B379" s="3" t="s">
        <v>3809</v>
      </c>
      <c r="C379" s="3" t="s">
        <v>3810</v>
      </c>
      <c r="D379" s="3"/>
      <c r="E379" s="3" t="s">
        <v>3293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3811</v>
      </c>
      <c r="B380" s="3" t="s">
        <v>3812</v>
      </c>
      <c r="C380" s="3" t="s">
        <v>3813</v>
      </c>
      <c r="D380" s="3"/>
      <c r="E380" s="3" t="s">
        <v>3293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3814</v>
      </c>
      <c r="B381" s="3" t="s">
        <v>3815</v>
      </c>
      <c r="C381" s="3" t="s">
        <v>3816</v>
      </c>
      <c r="D381" s="3"/>
      <c r="E381" s="3" t="s">
        <v>3293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3817</v>
      </c>
      <c r="B382" s="3" t="s">
        <v>3818</v>
      </c>
      <c r="C382" s="3" t="s">
        <v>3819</v>
      </c>
      <c r="D382" s="3"/>
      <c r="E382" s="3" t="s">
        <v>3293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3820</v>
      </c>
      <c r="B383" s="3" t="s">
        <v>3821</v>
      </c>
      <c r="C383" s="3" t="s">
        <v>3822</v>
      </c>
      <c r="D383" s="3"/>
      <c r="E383" s="3" t="s">
        <v>3293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3823</v>
      </c>
      <c r="B384" s="3" t="s">
        <v>3824</v>
      </c>
      <c r="C384" s="3" t="s">
        <v>3825</v>
      </c>
      <c r="D384" s="3"/>
      <c r="E384" s="3" t="s">
        <v>3293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3826</v>
      </c>
      <c r="B385" s="3" t="s">
        <v>3827</v>
      </c>
      <c r="C385" s="3" t="s">
        <v>3828</v>
      </c>
      <c r="D385" s="3"/>
      <c r="E385" s="3" t="s">
        <v>3293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3829</v>
      </c>
      <c r="B386" s="3" t="s">
        <v>3830</v>
      </c>
      <c r="C386" s="3" t="s">
        <v>3831</v>
      </c>
      <c r="D386" s="3"/>
      <c r="E386" s="3" t="s">
        <v>3293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3832</v>
      </c>
      <c r="B387" s="3" t="s">
        <v>3833</v>
      </c>
      <c r="C387" s="3" t="s">
        <v>3834</v>
      </c>
      <c r="D387" s="3"/>
      <c r="E387" s="3" t="s">
        <v>3293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3835</v>
      </c>
      <c r="B388" s="3" t="s">
        <v>3836</v>
      </c>
      <c r="C388" s="3" t="s">
        <v>3837</v>
      </c>
      <c r="D388" s="3"/>
      <c r="E388" s="3" t="s">
        <v>3293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3838</v>
      </c>
      <c r="B389" s="3" t="s">
        <v>3839</v>
      </c>
      <c r="C389" s="3" t="s">
        <v>3840</v>
      </c>
      <c r="D389" s="3"/>
      <c r="E389" s="3" t="s">
        <v>3293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3841</v>
      </c>
      <c r="B390" s="3" t="s">
        <v>3842</v>
      </c>
      <c r="C390" s="3" t="s">
        <v>3843</v>
      </c>
      <c r="D390" s="3"/>
      <c r="E390" s="3" t="s">
        <v>3293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3844</v>
      </c>
      <c r="B391" s="3" t="s">
        <v>3845</v>
      </c>
      <c r="C391" s="3" t="s">
        <v>3846</v>
      </c>
      <c r="D391" s="3"/>
      <c r="E391" s="3" t="s">
        <v>3293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3847</v>
      </c>
      <c r="B392" s="3" t="s">
        <v>3848</v>
      </c>
      <c r="C392" s="3" t="s">
        <v>3849</v>
      </c>
      <c r="D392" s="3"/>
      <c r="E392" s="3" t="s">
        <v>3293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3850</v>
      </c>
      <c r="B393" s="3" t="s">
        <v>3851</v>
      </c>
      <c r="C393" s="3" t="s">
        <v>3852</v>
      </c>
      <c r="D393" s="3"/>
      <c r="E393" s="3" t="s">
        <v>3293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3853</v>
      </c>
      <c r="B394" s="3" t="s">
        <v>3854</v>
      </c>
      <c r="C394" s="3" t="s">
        <v>3855</v>
      </c>
      <c r="D394" s="3"/>
      <c r="E394" s="3" t="s">
        <v>3293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3856</v>
      </c>
      <c r="B395" s="3" t="s">
        <v>3857</v>
      </c>
      <c r="C395" s="3" t="s">
        <v>3858</v>
      </c>
      <c r="D395" s="3"/>
      <c r="E395" s="3" t="s">
        <v>3293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3859</v>
      </c>
      <c r="B396" s="3" t="s">
        <v>3860</v>
      </c>
      <c r="C396" s="3" t="s">
        <v>3861</v>
      </c>
      <c r="D396" s="3"/>
      <c r="E396" s="3" t="s">
        <v>3293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3862</v>
      </c>
      <c r="B397" s="3" t="s">
        <v>3863</v>
      </c>
      <c r="C397" s="3" t="s">
        <v>3864</v>
      </c>
      <c r="D397" s="3"/>
      <c r="E397" s="3" t="s">
        <v>3293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3865</v>
      </c>
      <c r="B398" s="3" t="s">
        <v>3866</v>
      </c>
      <c r="C398" s="3" t="s">
        <v>3867</v>
      </c>
      <c r="D398" s="3"/>
      <c r="E398" s="3" t="s">
        <v>3293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3868</v>
      </c>
      <c r="B399" s="3" t="s">
        <v>3869</v>
      </c>
      <c r="C399" s="3" t="s">
        <v>3870</v>
      </c>
      <c r="D399" s="3"/>
      <c r="E399" s="3" t="s">
        <v>3293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3871</v>
      </c>
      <c r="B400" s="3" t="s">
        <v>3872</v>
      </c>
      <c r="C400" s="3" t="s">
        <v>3873</v>
      </c>
      <c r="D400" s="3"/>
      <c r="E400" s="3" t="s">
        <v>3293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3874</v>
      </c>
      <c r="B401" s="3" t="s">
        <v>3875</v>
      </c>
      <c r="C401" s="3" t="s">
        <v>3876</v>
      </c>
      <c r="D401" s="3"/>
      <c r="E401" s="3" t="s">
        <v>3293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3877</v>
      </c>
      <c r="B402" s="3" t="s">
        <v>3878</v>
      </c>
      <c r="C402" s="3" t="s">
        <v>3879</v>
      </c>
      <c r="D402" s="3"/>
      <c r="E402" s="3" t="s">
        <v>3293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3880</v>
      </c>
      <c r="B403" s="3" t="s">
        <v>3881</v>
      </c>
      <c r="C403" s="3" t="s">
        <v>3882</v>
      </c>
      <c r="D403" s="3"/>
      <c r="E403" s="3" t="s">
        <v>3293</v>
      </c>
      <c r="F403" s="3"/>
      <c r="G403" s="3"/>
      <c r="H403" s="3"/>
      <c r="I403" s="3"/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/>
      <c r="P403" s="3">
        <v>0</v>
      </c>
      <c r="Q403" s="3">
        <v>0</v>
      </c>
      <c r="R403" s="3">
        <v>0</v>
      </c>
    </row>
    <row r="404" spans="1:18">
      <c r="A404" s="3" t="s">
        <v>3883</v>
      </c>
      <c r="B404" s="3" t="s">
        <v>3884</v>
      </c>
      <c r="C404" s="3" t="s">
        <v>3885</v>
      </c>
      <c r="D404" s="3"/>
      <c r="E404" s="3" t="s">
        <v>3293</v>
      </c>
      <c r="F404" s="3"/>
      <c r="G404" s="3"/>
      <c r="H404" s="3"/>
      <c r="I404" s="3"/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/>
      <c r="P404" s="3">
        <v>0</v>
      </c>
      <c r="Q404" s="3">
        <v>0</v>
      </c>
      <c r="R404" s="3">
        <v>0</v>
      </c>
    </row>
    <row r="405" spans="1:18">
      <c r="A405" s="3" t="s">
        <v>3886</v>
      </c>
      <c r="B405" s="3" t="s">
        <v>3887</v>
      </c>
      <c r="C405" s="3" t="s">
        <v>3888</v>
      </c>
      <c r="D405" s="3"/>
      <c r="E405" s="3" t="s">
        <v>3293</v>
      </c>
      <c r="F405" s="3"/>
      <c r="G405" s="3"/>
      <c r="H405" s="3"/>
      <c r="I405" s="3"/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/>
      <c r="P405" s="3">
        <v>0</v>
      </c>
      <c r="Q405" s="3">
        <v>0</v>
      </c>
      <c r="R405" s="3">
        <v>0</v>
      </c>
    </row>
    <row r="406" spans="1:18">
      <c r="A406" s="3" t="s">
        <v>3889</v>
      </c>
      <c r="B406" s="3" t="s">
        <v>3890</v>
      </c>
      <c r="C406" s="3" t="s">
        <v>3891</v>
      </c>
      <c r="D406" s="3"/>
      <c r="E406" s="3" t="s">
        <v>3293</v>
      </c>
      <c r="F406" s="3"/>
      <c r="G406" s="3"/>
      <c r="H406" s="3"/>
      <c r="I406" s="3"/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/>
      <c r="P406" s="3">
        <v>0</v>
      </c>
      <c r="Q406" s="3">
        <v>0</v>
      </c>
      <c r="R406" s="3">
        <v>0</v>
      </c>
    </row>
    <row r="407" spans="1:18">
      <c r="A407" s="3" t="s">
        <v>3892</v>
      </c>
      <c r="B407" s="3" t="s">
        <v>3893</v>
      </c>
      <c r="C407" s="3" t="s">
        <v>3894</v>
      </c>
      <c r="D407" s="3"/>
      <c r="E407" s="3" t="s">
        <v>3293</v>
      </c>
      <c r="F407" s="3"/>
      <c r="G407" s="3"/>
      <c r="H407" s="3"/>
      <c r="I407" s="3"/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/>
      <c r="P407" s="3">
        <v>0</v>
      </c>
      <c r="Q407" s="3">
        <v>0</v>
      </c>
      <c r="R407" s="3">
        <v>0</v>
      </c>
    </row>
    <row r="408" spans="1:18">
      <c r="A408" s="3" t="s">
        <v>3895</v>
      </c>
      <c r="B408" s="3" t="s">
        <v>3896</v>
      </c>
      <c r="C408" s="3" t="s">
        <v>3897</v>
      </c>
      <c r="D408" s="3"/>
      <c r="E408" s="3" t="s">
        <v>3293</v>
      </c>
      <c r="F408" s="3"/>
      <c r="G408" s="3"/>
      <c r="H408" s="3"/>
      <c r="I408" s="3"/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/>
      <c r="P408" s="3">
        <v>0</v>
      </c>
      <c r="Q408" s="3">
        <v>0</v>
      </c>
      <c r="R408" s="3">
        <v>0</v>
      </c>
    </row>
    <row r="409" spans="1:18">
      <c r="A409" s="3" t="s">
        <v>3898</v>
      </c>
      <c r="B409" s="3" t="s">
        <v>3899</v>
      </c>
      <c r="C409" s="3" t="s">
        <v>3900</v>
      </c>
      <c r="D409" s="3"/>
      <c r="E409" s="3" t="s">
        <v>3293</v>
      </c>
      <c r="F409" s="3"/>
      <c r="G409" s="3"/>
      <c r="H409" s="3"/>
      <c r="I409" s="3"/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/>
      <c r="P409" s="3">
        <v>0</v>
      </c>
      <c r="Q409" s="3">
        <v>0</v>
      </c>
      <c r="R409" s="3">
        <v>0</v>
      </c>
    </row>
    <row r="410" spans="1:18">
      <c r="A410" s="3" t="s">
        <v>3901</v>
      </c>
      <c r="B410" s="3" t="s">
        <v>3902</v>
      </c>
      <c r="C410" s="3" t="s">
        <v>3903</v>
      </c>
      <c r="D410" s="3"/>
      <c r="E410" s="3" t="s">
        <v>3293</v>
      </c>
      <c r="F410" s="3"/>
      <c r="G410" s="3"/>
      <c r="H410" s="3"/>
      <c r="I410" s="3"/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/>
      <c r="P410" s="3">
        <v>0</v>
      </c>
      <c r="Q410" s="3">
        <v>0</v>
      </c>
      <c r="R410" s="3">
        <v>0</v>
      </c>
    </row>
    <row r="411" spans="1:18">
      <c r="A411" s="3" t="s">
        <v>3904</v>
      </c>
      <c r="B411" s="3" t="s">
        <v>3905</v>
      </c>
      <c r="C411" s="3" t="s">
        <v>3906</v>
      </c>
      <c r="D411" s="3"/>
      <c r="E411" s="3" t="s">
        <v>3293</v>
      </c>
      <c r="F411" s="3"/>
      <c r="G411" s="3"/>
      <c r="H411" s="3"/>
      <c r="I411" s="3"/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/>
      <c r="P411" s="3">
        <v>0</v>
      </c>
      <c r="Q411" s="3">
        <v>0</v>
      </c>
      <c r="R411" s="3">
        <v>0</v>
      </c>
    </row>
    <row r="412" spans="1:18">
      <c r="A412" s="3" t="s">
        <v>3907</v>
      </c>
      <c r="B412" s="3" t="s">
        <v>3908</v>
      </c>
      <c r="C412" s="3" t="s">
        <v>3909</v>
      </c>
      <c r="D412" s="3"/>
      <c r="E412" s="3" t="s">
        <v>3293</v>
      </c>
      <c r="F412" s="3"/>
      <c r="G412" s="3"/>
      <c r="H412" s="3"/>
      <c r="I412" s="3"/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/>
      <c r="P412" s="3">
        <v>0</v>
      </c>
      <c r="Q412" s="3">
        <v>0</v>
      </c>
      <c r="R412" s="3">
        <v>0</v>
      </c>
    </row>
    <row r="413" spans="1:18">
      <c r="A413" s="3" t="s">
        <v>3910</v>
      </c>
      <c r="B413" s="3" t="s">
        <v>3911</v>
      </c>
      <c r="C413" s="3" t="s">
        <v>3912</v>
      </c>
      <c r="D413" s="3"/>
      <c r="E413" s="3" t="s">
        <v>3293</v>
      </c>
      <c r="F413" s="3"/>
      <c r="G413" s="3"/>
      <c r="H413" s="3"/>
      <c r="I413" s="3"/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/>
      <c r="P413" s="3">
        <v>0</v>
      </c>
      <c r="Q413" s="3">
        <v>0</v>
      </c>
      <c r="R413" s="3">
        <v>0</v>
      </c>
    </row>
    <row r="414" spans="1:18">
      <c r="A414" s="3" t="s">
        <v>3913</v>
      </c>
      <c r="B414" s="3" t="s">
        <v>3914</v>
      </c>
      <c r="C414" s="3" t="s">
        <v>3915</v>
      </c>
      <c r="D414" s="3"/>
      <c r="E414" s="3" t="s">
        <v>3293</v>
      </c>
      <c r="F414" s="3"/>
      <c r="G414" s="3"/>
      <c r="H414" s="3"/>
      <c r="I414" s="3"/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/>
      <c r="P414" s="3">
        <v>0</v>
      </c>
      <c r="Q414" s="3">
        <v>0</v>
      </c>
      <c r="R414" s="3">
        <v>0</v>
      </c>
    </row>
    <row r="415" spans="1:18">
      <c r="A415" s="3" t="s">
        <v>3916</v>
      </c>
      <c r="B415" s="3" t="s">
        <v>3917</v>
      </c>
      <c r="C415" s="3" t="s">
        <v>3918</v>
      </c>
      <c r="D415" s="3"/>
      <c r="E415" s="3" t="s">
        <v>3293</v>
      </c>
      <c r="F415" s="3"/>
      <c r="G415" s="3"/>
      <c r="H415" s="3"/>
      <c r="I415" s="3"/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/>
      <c r="P415" s="3">
        <v>0</v>
      </c>
      <c r="Q415" s="3">
        <v>0</v>
      </c>
      <c r="R415" s="3">
        <v>0</v>
      </c>
    </row>
    <row r="416" spans="1:18">
      <c r="A416" s="3" t="s">
        <v>100</v>
      </c>
      <c r="B416" s="3" t="s">
        <v>101</v>
      </c>
      <c r="C416" s="3" t="s">
        <v>102</v>
      </c>
      <c r="D416" s="3" t="s">
        <v>103</v>
      </c>
      <c r="E416" s="3" t="s">
        <v>867</v>
      </c>
      <c r="F416" s="3">
        <v>22.98</v>
      </c>
      <c r="G416" s="3" t="s">
        <v>3391</v>
      </c>
      <c r="H416" s="3"/>
      <c r="I416" s="3" t="s">
        <v>3392</v>
      </c>
      <c r="J416" s="3">
        <v>10</v>
      </c>
      <c r="K416" s="3">
        <v>5</v>
      </c>
      <c r="L416" s="3">
        <v>0</v>
      </c>
      <c r="M416" s="3">
        <v>5</v>
      </c>
      <c r="N416" s="3">
        <v>20</v>
      </c>
      <c r="O416" s="3">
        <v>0.14</v>
      </c>
      <c r="P416" s="3">
        <v>0</v>
      </c>
      <c r="Q416" s="3">
        <v>10</v>
      </c>
      <c r="R416" s="3">
        <v>0</v>
      </c>
    </row>
    <row r="417" spans="1:18">
      <c r="A417" s="3" t="s">
        <v>3919</v>
      </c>
      <c r="B417" s="3" t="s">
        <v>3920</v>
      </c>
      <c r="C417" s="3" t="s">
        <v>445</v>
      </c>
      <c r="D417" s="3" t="s">
        <v>446</v>
      </c>
      <c r="E417" s="3" t="s">
        <v>867</v>
      </c>
      <c r="F417" s="3">
        <v>22.98</v>
      </c>
      <c r="G417" s="3" t="s">
        <v>3391</v>
      </c>
      <c r="H417" s="3"/>
      <c r="I417" s="3" t="s">
        <v>3392</v>
      </c>
      <c r="J417" s="3">
        <v>0</v>
      </c>
      <c r="K417" s="3">
        <v>0</v>
      </c>
      <c r="L417" s="3">
        <v>0</v>
      </c>
      <c r="M417" s="3">
        <v>0</v>
      </c>
      <c r="N417" s="3">
        <v>10</v>
      </c>
      <c r="O417" s="3">
        <v>0.14</v>
      </c>
      <c r="P417" s="3">
        <v>0</v>
      </c>
      <c r="Q417" s="3">
        <v>10</v>
      </c>
      <c r="R417" s="3">
        <v>0</v>
      </c>
    </row>
    <row r="418" spans="1:18">
      <c r="A418" s="3" t="s">
        <v>3921</v>
      </c>
      <c r="B418" s="3" t="s">
        <v>3922</v>
      </c>
      <c r="C418" s="3" t="s">
        <v>1153</v>
      </c>
      <c r="D418" s="3" t="s">
        <v>1154</v>
      </c>
      <c r="E418" s="3" t="s">
        <v>867</v>
      </c>
      <c r="F418" s="3">
        <v>22.98</v>
      </c>
      <c r="G418" s="3" t="s">
        <v>3391</v>
      </c>
      <c r="H418" s="3"/>
      <c r="I418" s="3" t="s">
        <v>3392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0.14</v>
      </c>
      <c r="P418" s="3">
        <v>0</v>
      </c>
      <c r="Q418" s="3">
        <v>0</v>
      </c>
      <c r="R418" s="3">
        <v>0</v>
      </c>
    </row>
    <row r="419" spans="1:18">
      <c r="A419" s="3" t="s">
        <v>3923</v>
      </c>
      <c r="B419" s="3" t="s">
        <v>3924</v>
      </c>
      <c r="C419" s="3" t="s">
        <v>3925</v>
      </c>
      <c r="D419" s="3" t="s">
        <v>3926</v>
      </c>
      <c r="E419" s="3" t="s">
        <v>867</v>
      </c>
      <c r="F419" s="3">
        <v>22.98</v>
      </c>
      <c r="G419" s="3" t="s">
        <v>3391</v>
      </c>
      <c r="H419" s="3"/>
      <c r="I419" s="3" t="s">
        <v>3392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0.14</v>
      </c>
      <c r="P419" s="3">
        <v>0</v>
      </c>
      <c r="Q419" s="3">
        <v>0</v>
      </c>
      <c r="R419" s="3">
        <v>0</v>
      </c>
    </row>
    <row r="420" spans="1:18">
      <c r="A420" s="3" t="s">
        <v>88</v>
      </c>
      <c r="B420" s="3" t="s">
        <v>89</v>
      </c>
      <c r="C420" s="3" t="s">
        <v>90</v>
      </c>
      <c r="D420" s="3" t="s">
        <v>91</v>
      </c>
      <c r="E420" s="3" t="s">
        <v>867</v>
      </c>
      <c r="F420" s="3">
        <v>22.98</v>
      </c>
      <c r="G420" s="3" t="s">
        <v>3391</v>
      </c>
      <c r="H420" s="3"/>
      <c r="I420" s="3" t="s">
        <v>3392</v>
      </c>
      <c r="J420" s="3">
        <v>9</v>
      </c>
      <c r="K420" s="3">
        <v>3</v>
      </c>
      <c r="L420" s="3">
        <v>0</v>
      </c>
      <c r="M420" s="3">
        <v>6</v>
      </c>
      <c r="N420" s="3">
        <v>19</v>
      </c>
      <c r="O420" s="3">
        <v>0.14</v>
      </c>
      <c r="P420" s="3">
        <v>0</v>
      </c>
      <c r="Q420" s="3">
        <v>10</v>
      </c>
      <c r="R420" s="3">
        <v>0</v>
      </c>
    </row>
    <row r="421" spans="1:18">
      <c r="A421" s="3" t="s">
        <v>116</v>
      </c>
      <c r="B421" s="3" t="s">
        <v>117</v>
      </c>
      <c r="C421" s="3" t="s">
        <v>118</v>
      </c>
      <c r="D421" s="3" t="s">
        <v>119</v>
      </c>
      <c r="E421" s="3" t="s">
        <v>867</v>
      </c>
      <c r="F421" s="3">
        <v>22.98</v>
      </c>
      <c r="G421" s="3" t="s">
        <v>3391</v>
      </c>
      <c r="H421" s="3"/>
      <c r="I421" s="3" t="s">
        <v>3392</v>
      </c>
      <c r="J421" s="3">
        <v>9</v>
      </c>
      <c r="K421" s="3">
        <v>4</v>
      </c>
      <c r="L421" s="3">
        <v>0</v>
      </c>
      <c r="M421" s="3">
        <v>5</v>
      </c>
      <c r="N421" s="3">
        <v>19</v>
      </c>
      <c r="O421" s="3">
        <v>0.14</v>
      </c>
      <c r="P421" s="3">
        <v>0</v>
      </c>
      <c r="Q421" s="3">
        <v>10</v>
      </c>
      <c r="R421" s="3">
        <v>0</v>
      </c>
    </row>
    <row r="422" spans="1:18">
      <c r="A422" s="3" t="s">
        <v>3927</v>
      </c>
      <c r="B422" s="3" t="s">
        <v>3928</v>
      </c>
      <c r="C422" s="3" t="s">
        <v>3066</v>
      </c>
      <c r="D422" s="3" t="s">
        <v>3067</v>
      </c>
      <c r="E422" s="3" t="s">
        <v>867</v>
      </c>
      <c r="F422" s="3">
        <v>22.98</v>
      </c>
      <c r="G422" s="3" t="s">
        <v>3391</v>
      </c>
      <c r="H422" s="3"/>
      <c r="I422" s="3" t="s">
        <v>3392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0.14</v>
      </c>
      <c r="P422" s="3">
        <v>0</v>
      </c>
      <c r="Q422" s="3">
        <v>0</v>
      </c>
      <c r="R422" s="3">
        <v>0</v>
      </c>
    </row>
    <row r="423" spans="1:18">
      <c r="A423" s="3" t="s">
        <v>3233</v>
      </c>
      <c r="B423" s="3" t="s">
        <v>3234</v>
      </c>
      <c r="C423" s="3" t="s">
        <v>2323</v>
      </c>
      <c r="D423" s="3" t="s">
        <v>2324</v>
      </c>
      <c r="E423" s="3" t="s">
        <v>867</v>
      </c>
      <c r="F423" s="3">
        <v>22.98</v>
      </c>
      <c r="G423" s="3" t="s">
        <v>3391</v>
      </c>
      <c r="H423" s="3"/>
      <c r="I423" s="3" t="s">
        <v>3392</v>
      </c>
      <c r="J423" s="3">
        <v>4</v>
      </c>
      <c r="K423" s="3">
        <v>4</v>
      </c>
      <c r="L423" s="3">
        <v>0</v>
      </c>
      <c r="M423" s="3">
        <v>0</v>
      </c>
      <c r="N423" s="3">
        <v>4</v>
      </c>
      <c r="O423" s="3">
        <v>0.14</v>
      </c>
      <c r="P423" s="3">
        <v>0</v>
      </c>
      <c r="Q423" s="3">
        <v>0</v>
      </c>
      <c r="R423" s="3">
        <v>0</v>
      </c>
    </row>
    <row r="424" spans="1:18">
      <c r="A424" s="3" t="s">
        <v>96</v>
      </c>
      <c r="B424" s="3" t="s">
        <v>97</v>
      </c>
      <c r="C424" s="3" t="s">
        <v>98</v>
      </c>
      <c r="D424" s="3" t="s">
        <v>99</v>
      </c>
      <c r="E424" s="3" t="s">
        <v>867</v>
      </c>
      <c r="F424" s="3">
        <v>22.98</v>
      </c>
      <c r="G424" s="3" t="s">
        <v>3391</v>
      </c>
      <c r="H424" s="3"/>
      <c r="I424" s="3" t="s">
        <v>3392</v>
      </c>
      <c r="J424" s="3">
        <v>11</v>
      </c>
      <c r="K424" s="3">
        <v>3</v>
      </c>
      <c r="L424" s="3">
        <v>0</v>
      </c>
      <c r="M424" s="3">
        <v>8</v>
      </c>
      <c r="N424" s="3">
        <v>14</v>
      </c>
      <c r="O424" s="3">
        <v>0.14</v>
      </c>
      <c r="P424" s="3">
        <v>0</v>
      </c>
      <c r="Q424" s="3">
        <v>3</v>
      </c>
      <c r="R424" s="3">
        <v>0</v>
      </c>
    </row>
    <row r="425" spans="1:18">
      <c r="A425" s="3" t="s">
        <v>3929</v>
      </c>
      <c r="B425" s="3" t="s">
        <v>3930</v>
      </c>
      <c r="C425" s="3" t="s">
        <v>2997</v>
      </c>
      <c r="D425" s="3" t="s">
        <v>2998</v>
      </c>
      <c r="E425" s="3" t="s">
        <v>867</v>
      </c>
      <c r="F425" s="3">
        <v>22.98</v>
      </c>
      <c r="G425" s="3" t="s">
        <v>3391</v>
      </c>
      <c r="H425" s="3"/>
      <c r="I425" s="3" t="s">
        <v>3392</v>
      </c>
      <c r="J425" s="3">
        <v>0</v>
      </c>
      <c r="K425" s="3">
        <v>0</v>
      </c>
      <c r="L425" s="3">
        <v>0</v>
      </c>
      <c r="M425" s="3">
        <v>0</v>
      </c>
      <c r="N425" s="3">
        <v>10</v>
      </c>
      <c r="O425" s="3">
        <v>0.14</v>
      </c>
      <c r="P425" s="3">
        <v>0</v>
      </c>
      <c r="Q425" s="3">
        <v>10</v>
      </c>
      <c r="R425" s="3">
        <v>0</v>
      </c>
    </row>
    <row r="426" spans="1:18">
      <c r="A426" s="3" t="s">
        <v>3931</v>
      </c>
      <c r="B426" s="3" t="s">
        <v>3932</v>
      </c>
      <c r="C426" s="3" t="s">
        <v>3933</v>
      </c>
      <c r="D426" s="3" t="s">
        <v>3934</v>
      </c>
      <c r="E426" s="3" t="s">
        <v>867</v>
      </c>
      <c r="F426" s="3">
        <v>22.98</v>
      </c>
      <c r="G426" s="3" t="s">
        <v>3391</v>
      </c>
      <c r="H426" s="3"/>
      <c r="I426" s="3" t="s">
        <v>3392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0.14</v>
      </c>
      <c r="P426" s="3">
        <v>0</v>
      </c>
      <c r="Q426" s="3">
        <v>0</v>
      </c>
      <c r="R426" s="3">
        <v>0</v>
      </c>
    </row>
    <row r="427" spans="1:18">
      <c r="A427" s="3" t="s">
        <v>3935</v>
      </c>
      <c r="B427" s="3" t="s">
        <v>3936</v>
      </c>
      <c r="C427" s="3" t="s">
        <v>1417</v>
      </c>
      <c r="D427" s="3" t="s">
        <v>1418</v>
      </c>
      <c r="E427" s="3" t="s">
        <v>867</v>
      </c>
      <c r="F427" s="3">
        <v>22.98</v>
      </c>
      <c r="G427" s="3" t="s">
        <v>3391</v>
      </c>
      <c r="H427" s="3"/>
      <c r="I427" s="3" t="s">
        <v>3392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0.14</v>
      </c>
      <c r="P427" s="3">
        <v>0</v>
      </c>
      <c r="Q427" s="3">
        <v>0</v>
      </c>
      <c r="R427" s="3">
        <v>0</v>
      </c>
    </row>
    <row r="428" spans="1:18">
      <c r="A428" s="3" t="s">
        <v>3937</v>
      </c>
      <c r="B428" s="3" t="s">
        <v>3938</v>
      </c>
      <c r="C428" s="3" t="s">
        <v>1739</v>
      </c>
      <c r="D428" s="3" t="s">
        <v>1740</v>
      </c>
      <c r="E428" s="3" t="s">
        <v>867</v>
      </c>
      <c r="F428" s="3">
        <v>22.98</v>
      </c>
      <c r="G428" s="3" t="s">
        <v>3391</v>
      </c>
      <c r="H428" s="3"/>
      <c r="I428" s="3" t="s">
        <v>3392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0.14</v>
      </c>
      <c r="P428" s="3">
        <v>0</v>
      </c>
      <c r="Q428" s="3">
        <v>0</v>
      </c>
      <c r="R428" s="3">
        <v>0</v>
      </c>
    </row>
    <row r="429" spans="1:18">
      <c r="A429" s="3" t="s">
        <v>3939</v>
      </c>
      <c r="B429" s="3" t="s">
        <v>3940</v>
      </c>
      <c r="C429" s="3" t="s">
        <v>2916</v>
      </c>
      <c r="D429" s="3" t="s">
        <v>2917</v>
      </c>
      <c r="E429" s="3" t="s">
        <v>867</v>
      </c>
      <c r="F429" s="3">
        <v>22.98</v>
      </c>
      <c r="G429" s="3" t="s">
        <v>3391</v>
      </c>
      <c r="H429" s="3"/>
      <c r="I429" s="3" t="s">
        <v>3392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0.14</v>
      </c>
      <c r="P429" s="3">
        <v>0</v>
      </c>
      <c r="Q429" s="3">
        <v>0</v>
      </c>
      <c r="R429" s="3">
        <v>0</v>
      </c>
    </row>
    <row r="430" spans="1:18">
      <c r="A430" s="3" t="s">
        <v>3941</v>
      </c>
      <c r="B430" s="3" t="s">
        <v>3942</v>
      </c>
      <c r="C430" s="3" t="s">
        <v>3943</v>
      </c>
      <c r="D430" s="3" t="s">
        <v>3944</v>
      </c>
      <c r="E430" s="3" t="s">
        <v>867</v>
      </c>
      <c r="F430" s="3">
        <v>22.98</v>
      </c>
      <c r="G430" s="3" t="s">
        <v>3391</v>
      </c>
      <c r="H430" s="3"/>
      <c r="I430" s="3" t="s">
        <v>3392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0.14</v>
      </c>
      <c r="P430" s="3">
        <v>0</v>
      </c>
      <c r="Q430" s="3">
        <v>0</v>
      </c>
      <c r="R430" s="3">
        <v>0</v>
      </c>
    </row>
    <row r="431" spans="1:18">
      <c r="A431" s="3" t="s">
        <v>1106</v>
      </c>
      <c r="B431" s="3" t="s">
        <v>1107</v>
      </c>
      <c r="C431" s="3" t="s">
        <v>1108</v>
      </c>
      <c r="D431" s="3" t="s">
        <v>1109</v>
      </c>
      <c r="E431" s="3" t="s">
        <v>867</v>
      </c>
      <c r="F431" s="3">
        <v>22.98</v>
      </c>
      <c r="G431" s="3" t="s">
        <v>3391</v>
      </c>
      <c r="H431" s="3"/>
      <c r="I431" s="3" t="s">
        <v>3392</v>
      </c>
      <c r="J431" s="3">
        <v>2</v>
      </c>
      <c r="K431" s="3">
        <v>2</v>
      </c>
      <c r="L431" s="3">
        <v>0</v>
      </c>
      <c r="M431" s="3">
        <v>0</v>
      </c>
      <c r="N431" s="3">
        <v>12</v>
      </c>
      <c r="O431" s="3">
        <v>0.14</v>
      </c>
      <c r="P431" s="3">
        <v>0</v>
      </c>
      <c r="Q431" s="3">
        <v>10</v>
      </c>
      <c r="R431" s="3">
        <v>0</v>
      </c>
    </row>
    <row r="432" spans="1:18">
      <c r="A432" s="3" t="s">
        <v>3945</v>
      </c>
      <c r="B432" s="3" t="s">
        <v>3946</v>
      </c>
      <c r="C432" s="3" t="s">
        <v>3182</v>
      </c>
      <c r="D432" s="3" t="s">
        <v>3183</v>
      </c>
      <c r="E432" s="3" t="s">
        <v>867</v>
      </c>
      <c r="F432" s="3">
        <v>22.98</v>
      </c>
      <c r="G432" s="3" t="s">
        <v>3391</v>
      </c>
      <c r="H432" s="3"/>
      <c r="I432" s="3" t="s">
        <v>3392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0.14</v>
      </c>
      <c r="P432" s="3">
        <v>0</v>
      </c>
      <c r="Q432" s="3">
        <v>0</v>
      </c>
      <c r="R432" s="3">
        <v>0</v>
      </c>
    </row>
    <row r="433" spans="1:18">
      <c r="A433" s="3" t="s">
        <v>3947</v>
      </c>
      <c r="B433" s="3" t="s">
        <v>3948</v>
      </c>
      <c r="C433" s="3" t="s">
        <v>2786</v>
      </c>
      <c r="D433" s="3" t="s">
        <v>2787</v>
      </c>
      <c r="E433" s="3" t="s">
        <v>867</v>
      </c>
      <c r="F433" s="3">
        <v>22.98</v>
      </c>
      <c r="G433" s="3" t="s">
        <v>3391</v>
      </c>
      <c r="H433" s="3"/>
      <c r="I433" s="3" t="s">
        <v>3392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0.14</v>
      </c>
      <c r="P433" s="3">
        <v>0</v>
      </c>
      <c r="Q433" s="3">
        <v>0</v>
      </c>
      <c r="R433" s="3">
        <v>0</v>
      </c>
    </row>
    <row r="434" spans="1:18">
      <c r="A434" s="3" t="s">
        <v>92</v>
      </c>
      <c r="B434" s="3" t="s">
        <v>93</v>
      </c>
      <c r="C434" s="3" t="s">
        <v>94</v>
      </c>
      <c r="D434" s="3" t="s">
        <v>95</v>
      </c>
      <c r="E434" s="3" t="s">
        <v>867</v>
      </c>
      <c r="F434" s="3">
        <v>22.98</v>
      </c>
      <c r="G434" s="3" t="s">
        <v>3391</v>
      </c>
      <c r="H434" s="3"/>
      <c r="I434" s="3" t="s">
        <v>3392</v>
      </c>
      <c r="J434" s="3">
        <v>9</v>
      </c>
      <c r="K434" s="3">
        <v>3</v>
      </c>
      <c r="L434" s="3">
        <v>0</v>
      </c>
      <c r="M434" s="3">
        <v>6</v>
      </c>
      <c r="N434" s="3">
        <v>19</v>
      </c>
      <c r="O434" s="3">
        <v>0.14</v>
      </c>
      <c r="P434" s="3">
        <v>0</v>
      </c>
      <c r="Q434" s="3">
        <v>10</v>
      </c>
      <c r="R434" s="3">
        <v>0</v>
      </c>
    </row>
    <row r="435" spans="1:18">
      <c r="A435" s="3" t="s">
        <v>3949</v>
      </c>
      <c r="B435" s="3" t="s">
        <v>3950</v>
      </c>
      <c r="C435" s="3" t="s">
        <v>2751</v>
      </c>
      <c r="D435" s="3" t="s">
        <v>2752</v>
      </c>
      <c r="E435" s="3" t="s">
        <v>867</v>
      </c>
      <c r="F435" s="3">
        <v>22.98</v>
      </c>
      <c r="G435" s="3" t="s">
        <v>3391</v>
      </c>
      <c r="H435" s="3"/>
      <c r="I435" s="3" t="s">
        <v>3392</v>
      </c>
      <c r="J435" s="3">
        <v>0</v>
      </c>
      <c r="K435" s="3">
        <v>0</v>
      </c>
      <c r="L435" s="3">
        <v>0</v>
      </c>
      <c r="M435" s="3">
        <v>0</v>
      </c>
      <c r="N435" s="3">
        <v>10</v>
      </c>
      <c r="O435" s="3">
        <v>0.14</v>
      </c>
      <c r="P435" s="3">
        <v>0</v>
      </c>
      <c r="Q435" s="3">
        <v>10</v>
      </c>
      <c r="R435" s="3">
        <v>0</v>
      </c>
    </row>
    <row r="436" spans="1:18">
      <c r="A436" s="3" t="s">
        <v>3951</v>
      </c>
      <c r="B436" s="3" t="s">
        <v>3952</v>
      </c>
      <c r="C436" s="3" t="s">
        <v>946</v>
      </c>
      <c r="D436" s="3" t="s">
        <v>947</v>
      </c>
      <c r="E436" s="3" t="s">
        <v>867</v>
      </c>
      <c r="F436" s="3">
        <v>22.98</v>
      </c>
      <c r="G436" s="3" t="s">
        <v>3391</v>
      </c>
      <c r="H436" s="3"/>
      <c r="I436" s="3" t="s">
        <v>3392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0.14</v>
      </c>
      <c r="P436" s="3">
        <v>0</v>
      </c>
      <c r="Q436" s="3">
        <v>0</v>
      </c>
      <c r="R436" s="3">
        <v>0</v>
      </c>
    </row>
    <row r="437" spans="1:18">
      <c r="A437" s="3" t="s">
        <v>3953</v>
      </c>
      <c r="B437" s="3" t="s">
        <v>3954</v>
      </c>
      <c r="C437" s="3" t="s">
        <v>1449</v>
      </c>
      <c r="D437" s="3" t="s">
        <v>1450</v>
      </c>
      <c r="E437" s="3" t="s">
        <v>867</v>
      </c>
      <c r="F437" s="3">
        <v>22.98</v>
      </c>
      <c r="G437" s="3" t="s">
        <v>3391</v>
      </c>
      <c r="H437" s="3"/>
      <c r="I437" s="3" t="s">
        <v>3392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0.14</v>
      </c>
      <c r="P437" s="3">
        <v>0</v>
      </c>
      <c r="Q437" s="3">
        <v>0</v>
      </c>
      <c r="R437" s="3">
        <v>0</v>
      </c>
    </row>
    <row r="438" spans="1:18">
      <c r="A438" s="3" t="s">
        <v>3955</v>
      </c>
      <c r="B438" s="3" t="s">
        <v>3956</v>
      </c>
      <c r="C438" s="3" t="s">
        <v>949</v>
      </c>
      <c r="D438" s="3" t="s">
        <v>950</v>
      </c>
      <c r="E438" s="3" t="s">
        <v>867</v>
      </c>
      <c r="F438" s="3">
        <v>22.98</v>
      </c>
      <c r="G438" s="3" t="s">
        <v>3391</v>
      </c>
      <c r="H438" s="3"/>
      <c r="I438" s="3" t="s">
        <v>3392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0.06</v>
      </c>
      <c r="P438" s="3">
        <v>0</v>
      </c>
      <c r="Q438" s="3">
        <v>0</v>
      </c>
      <c r="R438" s="3">
        <v>0</v>
      </c>
    </row>
    <row r="439" spans="1:18">
      <c r="A439" s="3" t="s">
        <v>3957</v>
      </c>
      <c r="B439" s="3" t="s">
        <v>3958</v>
      </c>
      <c r="C439" s="3" t="s">
        <v>3231</v>
      </c>
      <c r="D439" s="3" t="s">
        <v>3232</v>
      </c>
      <c r="E439" s="3" t="s">
        <v>867</v>
      </c>
      <c r="F439" s="3">
        <v>22.98</v>
      </c>
      <c r="G439" s="3" t="s">
        <v>3391</v>
      </c>
      <c r="H439" s="3"/>
      <c r="I439" s="3" t="s">
        <v>3392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0.14</v>
      </c>
      <c r="P439" s="3">
        <v>0</v>
      </c>
      <c r="Q439" s="3">
        <v>0</v>
      </c>
      <c r="R439" s="3">
        <v>0</v>
      </c>
    </row>
    <row r="440" spans="1:18">
      <c r="A440" s="3" t="s">
        <v>3959</v>
      </c>
      <c r="B440" s="3" t="s">
        <v>3960</v>
      </c>
      <c r="C440" s="3" t="s">
        <v>483</v>
      </c>
      <c r="D440" s="3" t="s">
        <v>484</v>
      </c>
      <c r="E440" s="3" t="s">
        <v>867</v>
      </c>
      <c r="F440" s="3">
        <v>22.98</v>
      </c>
      <c r="G440" s="3" t="s">
        <v>3391</v>
      </c>
      <c r="H440" s="3"/>
      <c r="I440" s="3" t="s">
        <v>3392</v>
      </c>
      <c r="J440" s="3">
        <v>0</v>
      </c>
      <c r="K440" s="3">
        <v>0</v>
      </c>
      <c r="L440" s="3">
        <v>0</v>
      </c>
      <c r="M440" s="3">
        <v>0</v>
      </c>
      <c r="N440" s="3">
        <v>1</v>
      </c>
      <c r="O440" s="3">
        <v>0.14</v>
      </c>
      <c r="P440" s="3">
        <v>0</v>
      </c>
      <c r="Q440" s="3">
        <v>1</v>
      </c>
      <c r="R440" s="3">
        <v>0</v>
      </c>
    </row>
    <row r="441" spans="1:18">
      <c r="A441" s="3" t="s">
        <v>3961</v>
      </c>
      <c r="B441" s="3" t="s">
        <v>3962</v>
      </c>
      <c r="C441" s="3" t="s">
        <v>1055</v>
      </c>
      <c r="D441" s="3" t="s">
        <v>1056</v>
      </c>
      <c r="E441" s="3" t="s">
        <v>867</v>
      </c>
      <c r="F441" s="3">
        <v>22.98</v>
      </c>
      <c r="G441" s="3" t="s">
        <v>3391</v>
      </c>
      <c r="H441" s="3"/>
      <c r="I441" s="3" t="s">
        <v>3392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0.14</v>
      </c>
      <c r="P441" s="3">
        <v>0</v>
      </c>
      <c r="Q441" s="3">
        <v>0</v>
      </c>
      <c r="R441" s="3">
        <v>0</v>
      </c>
    </row>
    <row r="442" spans="1:18">
      <c r="A442" s="3" t="s">
        <v>3963</v>
      </c>
      <c r="B442" s="3" t="s">
        <v>3964</v>
      </c>
      <c r="C442" s="3" t="s">
        <v>3092</v>
      </c>
      <c r="D442" s="3" t="s">
        <v>3093</v>
      </c>
      <c r="E442" s="3" t="s">
        <v>867</v>
      </c>
      <c r="F442" s="3">
        <v>22.98</v>
      </c>
      <c r="G442" s="3" t="s">
        <v>3391</v>
      </c>
      <c r="H442" s="3"/>
      <c r="I442" s="3" t="s">
        <v>3392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0.14</v>
      </c>
      <c r="P442" s="3">
        <v>0</v>
      </c>
      <c r="Q442" s="3">
        <v>0</v>
      </c>
      <c r="R442" s="3">
        <v>0</v>
      </c>
    </row>
    <row r="443" spans="1:18">
      <c r="A443" s="3" t="s">
        <v>3965</v>
      </c>
      <c r="B443" s="3" t="s">
        <v>3966</v>
      </c>
      <c r="C443" s="3" t="s">
        <v>3247</v>
      </c>
      <c r="D443" s="3" t="s">
        <v>3248</v>
      </c>
      <c r="E443" s="3" t="s">
        <v>867</v>
      </c>
      <c r="F443" s="3">
        <v>22.98</v>
      </c>
      <c r="G443" s="3" t="s">
        <v>3391</v>
      </c>
      <c r="H443" s="3"/>
      <c r="I443" s="3" t="s">
        <v>3392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0.14</v>
      </c>
      <c r="P443" s="3">
        <v>0</v>
      </c>
      <c r="Q443" s="3">
        <v>0</v>
      </c>
      <c r="R443" s="3">
        <v>0</v>
      </c>
    </row>
    <row r="444" spans="1:18">
      <c r="A444" s="3" t="s">
        <v>3967</v>
      </c>
      <c r="B444" s="3" t="s">
        <v>3968</v>
      </c>
      <c r="C444" s="3" t="s">
        <v>2457</v>
      </c>
      <c r="D444" s="3" t="s">
        <v>2458</v>
      </c>
      <c r="E444" s="3" t="s">
        <v>867</v>
      </c>
      <c r="F444" s="3">
        <v>22.98</v>
      </c>
      <c r="G444" s="3" t="s">
        <v>3391</v>
      </c>
      <c r="H444" s="3"/>
      <c r="I444" s="3" t="s">
        <v>3392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0.14</v>
      </c>
      <c r="P444" s="3">
        <v>0</v>
      </c>
      <c r="Q444" s="3">
        <v>0</v>
      </c>
      <c r="R444" s="3">
        <v>0</v>
      </c>
    </row>
    <row r="445" spans="1:18">
      <c r="A445" s="3" t="s">
        <v>3969</v>
      </c>
      <c r="B445" s="3" t="s">
        <v>3970</v>
      </c>
      <c r="C445" s="3" t="s">
        <v>2359</v>
      </c>
      <c r="D445" s="3" t="s">
        <v>2360</v>
      </c>
      <c r="E445" s="3" t="s">
        <v>867</v>
      </c>
      <c r="F445" s="3">
        <v>22.98</v>
      </c>
      <c r="G445" s="3" t="s">
        <v>3391</v>
      </c>
      <c r="H445" s="3"/>
      <c r="I445" s="3" t="s">
        <v>3392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0.14</v>
      </c>
      <c r="P445" s="3">
        <v>0</v>
      </c>
      <c r="Q445" s="3">
        <v>0</v>
      </c>
      <c r="R445" s="3">
        <v>0</v>
      </c>
    </row>
    <row r="446" spans="1:18">
      <c r="A446" s="3" t="s">
        <v>3971</v>
      </c>
      <c r="B446" s="3" t="s">
        <v>3972</v>
      </c>
      <c r="C446" s="3" t="s">
        <v>434</v>
      </c>
      <c r="D446" s="3" t="s">
        <v>435</v>
      </c>
      <c r="E446" s="3" t="s">
        <v>867</v>
      </c>
      <c r="F446" s="3">
        <v>22.98</v>
      </c>
      <c r="G446" s="3" t="s">
        <v>3391</v>
      </c>
      <c r="H446" s="3"/>
      <c r="I446" s="3" t="s">
        <v>3392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0.14</v>
      </c>
      <c r="P446" s="3">
        <v>0</v>
      </c>
      <c r="Q446" s="3">
        <v>0</v>
      </c>
      <c r="R446" s="3">
        <v>0</v>
      </c>
    </row>
    <row r="447" spans="1:18">
      <c r="A447" s="3" t="s">
        <v>3973</v>
      </c>
      <c r="B447" s="3" t="s">
        <v>3974</v>
      </c>
      <c r="C447" s="3" t="s">
        <v>1830</v>
      </c>
      <c r="D447" s="3" t="s">
        <v>1831</v>
      </c>
      <c r="E447" s="3" t="s">
        <v>867</v>
      </c>
      <c r="F447" s="3">
        <v>22.98</v>
      </c>
      <c r="G447" s="3" t="s">
        <v>3391</v>
      </c>
      <c r="H447" s="3"/>
      <c r="I447" s="3" t="s">
        <v>3392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0.14</v>
      </c>
      <c r="P447" s="3">
        <v>0</v>
      </c>
      <c r="Q447" s="3">
        <v>0</v>
      </c>
      <c r="R447" s="3">
        <v>0</v>
      </c>
    </row>
    <row r="448" spans="1:18">
      <c r="A448" s="3" t="s">
        <v>3975</v>
      </c>
      <c r="B448" s="3" t="s">
        <v>3976</v>
      </c>
      <c r="C448" s="3" t="s">
        <v>1768</v>
      </c>
      <c r="D448" s="3" t="s">
        <v>1769</v>
      </c>
      <c r="E448" s="3" t="s">
        <v>867</v>
      </c>
      <c r="F448" s="3">
        <v>22.98</v>
      </c>
      <c r="G448" s="3" t="s">
        <v>3391</v>
      </c>
      <c r="H448" s="3"/>
      <c r="I448" s="3" t="s">
        <v>3392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0.14</v>
      </c>
      <c r="P448" s="3">
        <v>0</v>
      </c>
      <c r="Q448" s="3">
        <v>0</v>
      </c>
      <c r="R448" s="3">
        <v>0</v>
      </c>
    </row>
    <row r="449" spans="1:18">
      <c r="A449" s="3" t="s">
        <v>3977</v>
      </c>
      <c r="B449" s="3" t="s">
        <v>3978</v>
      </c>
      <c r="C449" s="3" t="s">
        <v>3979</v>
      </c>
      <c r="D449" s="3" t="s">
        <v>3980</v>
      </c>
      <c r="E449" s="3" t="s">
        <v>867</v>
      </c>
      <c r="F449" s="3">
        <v>22.98</v>
      </c>
      <c r="G449" s="3" t="s">
        <v>3391</v>
      </c>
      <c r="H449" s="3"/>
      <c r="I449" s="3" t="s">
        <v>3392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0.14</v>
      </c>
      <c r="P449" s="3">
        <v>0</v>
      </c>
      <c r="Q449" s="3">
        <v>0</v>
      </c>
      <c r="R449" s="3">
        <v>0</v>
      </c>
    </row>
    <row r="450" spans="1:18">
      <c r="A450" s="3" t="s">
        <v>3981</v>
      </c>
      <c r="B450" s="3" t="s">
        <v>3982</v>
      </c>
      <c r="C450" s="3" t="s">
        <v>1358</v>
      </c>
      <c r="D450" s="3" t="s">
        <v>1359</v>
      </c>
      <c r="E450" s="3" t="s">
        <v>867</v>
      </c>
      <c r="F450" s="3">
        <v>22.98</v>
      </c>
      <c r="G450" s="3" t="s">
        <v>3391</v>
      </c>
      <c r="H450" s="3"/>
      <c r="I450" s="3" t="s">
        <v>3392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0.14</v>
      </c>
      <c r="P450" s="3">
        <v>0</v>
      </c>
      <c r="Q450" s="3">
        <v>0</v>
      </c>
      <c r="R450" s="3">
        <v>0</v>
      </c>
    </row>
    <row r="451" spans="1:18">
      <c r="A451" s="3" t="s">
        <v>3983</v>
      </c>
      <c r="B451" s="3" t="s">
        <v>3984</v>
      </c>
      <c r="C451" s="3" t="s">
        <v>3985</v>
      </c>
      <c r="D451" s="3" t="s">
        <v>190</v>
      </c>
      <c r="E451" s="3" t="s">
        <v>867</v>
      </c>
      <c r="F451" s="3">
        <v>39.98</v>
      </c>
      <c r="G451" s="3" t="s">
        <v>3391</v>
      </c>
      <c r="H451" s="3"/>
      <c r="I451" s="3" t="s">
        <v>3392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</row>
    <row r="452" spans="1:18">
      <c r="A452" s="3" t="s">
        <v>3986</v>
      </c>
      <c r="B452" s="3" t="s">
        <v>3987</v>
      </c>
      <c r="C452" s="3" t="s">
        <v>3988</v>
      </c>
      <c r="D452" s="3" t="s">
        <v>1101</v>
      </c>
      <c r="E452" s="3" t="s">
        <v>867</v>
      </c>
      <c r="F452" s="3">
        <v>39.98</v>
      </c>
      <c r="G452" s="3" t="s">
        <v>3391</v>
      </c>
      <c r="H452" s="3"/>
      <c r="I452" s="3" t="s">
        <v>3392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</row>
    <row r="453" spans="1:18">
      <c r="A453" s="3" t="s">
        <v>3989</v>
      </c>
      <c r="B453" s="3" t="s">
        <v>3990</v>
      </c>
      <c r="C453" s="3" t="s">
        <v>3991</v>
      </c>
      <c r="D453" s="3" t="s">
        <v>1715</v>
      </c>
      <c r="E453" s="3" t="s">
        <v>867</v>
      </c>
      <c r="F453" s="3">
        <v>39.98</v>
      </c>
      <c r="G453" s="3" t="s">
        <v>3391</v>
      </c>
      <c r="H453" s="3"/>
      <c r="I453" s="3" t="s">
        <v>3392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</row>
    <row r="454" spans="1:18">
      <c r="A454" s="3" t="s">
        <v>3992</v>
      </c>
      <c r="B454" s="3" t="s">
        <v>3993</v>
      </c>
      <c r="C454" s="3" t="s">
        <v>2250</v>
      </c>
      <c r="D454" s="3" t="s">
        <v>2251</v>
      </c>
      <c r="E454" s="3" t="s">
        <v>867</v>
      </c>
      <c r="F454" s="3">
        <v>39.98</v>
      </c>
      <c r="G454" s="3" t="s">
        <v>3391</v>
      </c>
      <c r="H454" s="3"/>
      <c r="I454" s="3" t="s">
        <v>3392</v>
      </c>
      <c r="J454" s="3">
        <v>0</v>
      </c>
      <c r="K454" s="3">
        <v>0</v>
      </c>
      <c r="L454" s="3">
        <v>0</v>
      </c>
      <c r="M454" s="3">
        <v>0</v>
      </c>
      <c r="N454" s="3">
        <v>3</v>
      </c>
      <c r="O454" s="3">
        <v>0.06</v>
      </c>
      <c r="P454" s="3">
        <v>0</v>
      </c>
      <c r="Q454" s="3">
        <v>3</v>
      </c>
      <c r="R454" s="3">
        <v>0</v>
      </c>
    </row>
    <row r="455" spans="1:18">
      <c r="A455" s="3" t="s">
        <v>3994</v>
      </c>
      <c r="B455" s="3" t="s">
        <v>3995</v>
      </c>
      <c r="C455" s="3" t="s">
        <v>2467</v>
      </c>
      <c r="D455" s="3" t="s">
        <v>1708</v>
      </c>
      <c r="E455" s="3" t="s">
        <v>867</v>
      </c>
      <c r="F455" s="3">
        <v>39.98</v>
      </c>
      <c r="G455" s="3" t="s">
        <v>3391</v>
      </c>
      <c r="H455" s="3"/>
      <c r="I455" s="3" t="s">
        <v>3392</v>
      </c>
      <c r="J455" s="3">
        <v>0</v>
      </c>
      <c r="K455" s="3">
        <v>0</v>
      </c>
      <c r="L455" s="3">
        <v>0</v>
      </c>
      <c r="M455" s="3">
        <v>0</v>
      </c>
      <c r="N455" s="3">
        <v>3</v>
      </c>
      <c r="O455" s="3">
        <v>0.06</v>
      </c>
      <c r="P455" s="3">
        <v>0</v>
      </c>
      <c r="Q455" s="3">
        <v>3</v>
      </c>
      <c r="R455" s="3">
        <v>0</v>
      </c>
    </row>
    <row r="456" spans="1:18">
      <c r="A456" s="3" t="s">
        <v>2356</v>
      </c>
      <c r="B456" s="3" t="s">
        <v>2357</v>
      </c>
      <c r="C456" s="3" t="s">
        <v>27</v>
      </c>
      <c r="D456" s="3" t="s">
        <v>28</v>
      </c>
      <c r="E456" s="3" t="s">
        <v>867</v>
      </c>
      <c r="F456" s="3">
        <v>24.98</v>
      </c>
      <c r="G456" s="3" t="s">
        <v>3391</v>
      </c>
      <c r="H456" s="3"/>
      <c r="I456" s="3" t="s">
        <v>3392</v>
      </c>
      <c r="J456" s="3">
        <v>21</v>
      </c>
      <c r="K456" s="3">
        <v>21</v>
      </c>
      <c r="L456" s="3">
        <v>0</v>
      </c>
      <c r="M456" s="3">
        <v>0</v>
      </c>
      <c r="N456" s="3">
        <v>21</v>
      </c>
      <c r="O456" s="3">
        <v>0.06</v>
      </c>
      <c r="P456" s="3">
        <v>0</v>
      </c>
      <c r="Q456" s="3">
        <v>0</v>
      </c>
      <c r="R456" s="3">
        <v>0</v>
      </c>
    </row>
    <row r="457" spans="1:18">
      <c r="A457" s="3" t="s">
        <v>2073</v>
      </c>
      <c r="B457" s="3" t="s">
        <v>2074</v>
      </c>
      <c r="C457" s="3" t="s">
        <v>1245</v>
      </c>
      <c r="D457" s="3" t="s">
        <v>1246</v>
      </c>
      <c r="E457" s="3" t="s">
        <v>867</v>
      </c>
      <c r="F457" s="3">
        <v>24.98</v>
      </c>
      <c r="G457" s="3" t="s">
        <v>3391</v>
      </c>
      <c r="H457" s="3"/>
      <c r="I457" s="3" t="s">
        <v>3392</v>
      </c>
      <c r="J457" s="3">
        <v>16</v>
      </c>
      <c r="K457" s="3">
        <v>16</v>
      </c>
      <c r="L457" s="3">
        <v>0</v>
      </c>
      <c r="M457" s="3">
        <v>0</v>
      </c>
      <c r="N457" s="3">
        <v>16</v>
      </c>
      <c r="O457" s="3">
        <v>0.06</v>
      </c>
      <c r="P457" s="3">
        <v>0</v>
      </c>
      <c r="Q457" s="3">
        <v>0</v>
      </c>
      <c r="R457" s="3">
        <v>0</v>
      </c>
    </row>
    <row r="458" spans="1:18">
      <c r="A458" s="3" t="s">
        <v>2585</v>
      </c>
      <c r="B458" s="3" t="s">
        <v>2586</v>
      </c>
      <c r="C458" s="3" t="s">
        <v>1900</v>
      </c>
      <c r="D458" s="3" t="s">
        <v>1901</v>
      </c>
      <c r="E458" s="3" t="s">
        <v>867</v>
      </c>
      <c r="F458" s="3">
        <v>24.98</v>
      </c>
      <c r="G458" s="3" t="s">
        <v>3391</v>
      </c>
      <c r="H458" s="3"/>
      <c r="I458" s="3" t="s">
        <v>3392</v>
      </c>
      <c r="J458" s="3">
        <v>10</v>
      </c>
      <c r="K458" s="3">
        <v>10</v>
      </c>
      <c r="L458" s="3">
        <v>0</v>
      </c>
      <c r="M458" s="3">
        <v>0</v>
      </c>
      <c r="N458" s="3">
        <v>10</v>
      </c>
      <c r="O458" s="3">
        <v>0.12</v>
      </c>
      <c r="P458" s="3">
        <v>0</v>
      </c>
      <c r="Q458" s="3">
        <v>0</v>
      </c>
      <c r="R458" s="3">
        <v>0</v>
      </c>
    </row>
    <row r="459" spans="1:18">
      <c r="A459" s="3" t="s">
        <v>1640</v>
      </c>
      <c r="B459" s="3" t="s">
        <v>1641</v>
      </c>
      <c r="C459" s="3" t="s">
        <v>30</v>
      </c>
      <c r="D459" s="3" t="s">
        <v>31</v>
      </c>
      <c r="E459" s="3" t="s">
        <v>867</v>
      </c>
      <c r="F459" s="3">
        <v>24.98</v>
      </c>
      <c r="G459" s="3" t="s">
        <v>3391</v>
      </c>
      <c r="H459" s="3"/>
      <c r="I459" s="3" t="s">
        <v>3392</v>
      </c>
      <c r="J459" s="3">
        <v>20</v>
      </c>
      <c r="K459" s="3">
        <v>20</v>
      </c>
      <c r="L459" s="3">
        <v>0</v>
      </c>
      <c r="M459" s="3">
        <v>0</v>
      </c>
      <c r="N459" s="3">
        <v>20</v>
      </c>
      <c r="O459" s="3">
        <v>0.06</v>
      </c>
      <c r="P459" s="3">
        <v>0</v>
      </c>
      <c r="Q459" s="3">
        <v>0</v>
      </c>
      <c r="R459" s="3">
        <v>0</v>
      </c>
    </row>
    <row r="460" spans="1:18">
      <c r="A460" s="3" t="s">
        <v>2405</v>
      </c>
      <c r="B460" s="3" t="s">
        <v>2406</v>
      </c>
      <c r="C460" s="3" t="s">
        <v>2407</v>
      </c>
      <c r="D460" s="3" t="s">
        <v>2408</v>
      </c>
      <c r="E460" s="3" t="s">
        <v>867</v>
      </c>
      <c r="F460" s="3">
        <v>23.98</v>
      </c>
      <c r="G460" s="3" t="s">
        <v>3391</v>
      </c>
      <c r="H460" s="3"/>
      <c r="I460" s="3" t="s">
        <v>3392</v>
      </c>
      <c r="J460" s="3">
        <v>18</v>
      </c>
      <c r="K460" s="3">
        <v>18</v>
      </c>
      <c r="L460" s="3">
        <v>0</v>
      </c>
      <c r="M460" s="3">
        <v>0</v>
      </c>
      <c r="N460" s="3">
        <v>18</v>
      </c>
      <c r="O460" s="3">
        <v>0.1</v>
      </c>
      <c r="P460" s="3">
        <v>0</v>
      </c>
      <c r="Q460" s="3">
        <v>0</v>
      </c>
      <c r="R460" s="3">
        <v>0</v>
      </c>
    </row>
    <row r="461" spans="1:18">
      <c r="A461" s="3" t="s">
        <v>3996</v>
      </c>
      <c r="B461" s="3" t="s">
        <v>3997</v>
      </c>
      <c r="C461" s="3" t="s">
        <v>1968</v>
      </c>
      <c r="D461" s="3"/>
      <c r="E461" s="3" t="s">
        <v>3293</v>
      </c>
      <c r="F461" s="3"/>
      <c r="G461" s="3"/>
      <c r="H461" s="3"/>
      <c r="I461" s="3"/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/>
      <c r="P461" s="3">
        <v>0</v>
      </c>
      <c r="Q461" s="3">
        <v>0</v>
      </c>
      <c r="R461" s="3">
        <v>0</v>
      </c>
    </row>
    <row r="462" spans="1:18">
      <c r="A462" s="3" t="s">
        <v>104</v>
      </c>
      <c r="B462" s="3" t="s">
        <v>105</v>
      </c>
      <c r="C462" s="3" t="s">
        <v>106</v>
      </c>
      <c r="D462" s="3" t="s">
        <v>107</v>
      </c>
      <c r="E462" s="3" t="s">
        <v>867</v>
      </c>
      <c r="F462" s="3">
        <v>24.98</v>
      </c>
      <c r="G462" s="3" t="s">
        <v>3391</v>
      </c>
      <c r="H462" s="3"/>
      <c r="I462" s="3" t="s">
        <v>3392</v>
      </c>
      <c r="J462" s="3">
        <v>9</v>
      </c>
      <c r="K462" s="3">
        <v>1</v>
      </c>
      <c r="L462" s="3">
        <v>0</v>
      </c>
      <c r="M462" s="3">
        <v>8</v>
      </c>
      <c r="N462" s="3">
        <v>17</v>
      </c>
      <c r="O462" s="3">
        <v>0.06</v>
      </c>
      <c r="P462" s="3">
        <v>0</v>
      </c>
      <c r="Q462" s="3">
        <v>8</v>
      </c>
      <c r="R462" s="3">
        <v>0</v>
      </c>
    </row>
    <row r="463" spans="1:18">
      <c r="A463" s="3" t="s">
        <v>2268</v>
      </c>
      <c r="B463" s="3" t="s">
        <v>2269</v>
      </c>
      <c r="C463" s="3" t="s">
        <v>2112</v>
      </c>
      <c r="D463" s="3" t="s">
        <v>2113</v>
      </c>
      <c r="E463" s="3" t="s">
        <v>867</v>
      </c>
      <c r="F463" s="3">
        <v>24.98</v>
      </c>
      <c r="G463" s="3" t="s">
        <v>3391</v>
      </c>
      <c r="H463" s="3"/>
      <c r="I463" s="3" t="s">
        <v>3392</v>
      </c>
      <c r="J463" s="3">
        <v>31</v>
      </c>
      <c r="K463" s="3">
        <v>31</v>
      </c>
      <c r="L463" s="3">
        <v>0</v>
      </c>
      <c r="M463" s="3">
        <v>0</v>
      </c>
      <c r="N463" s="3">
        <v>31</v>
      </c>
      <c r="O463" s="3">
        <v>0.21</v>
      </c>
      <c r="P463" s="3">
        <v>0</v>
      </c>
      <c r="Q463" s="3">
        <v>0</v>
      </c>
      <c r="R463" s="3">
        <v>0</v>
      </c>
    </row>
    <row r="464" spans="1:18">
      <c r="A464" s="3" t="s">
        <v>112</v>
      </c>
      <c r="B464" s="3" t="s">
        <v>113</v>
      </c>
      <c r="C464" s="3" t="s">
        <v>114</v>
      </c>
      <c r="D464" s="3" t="s">
        <v>115</v>
      </c>
      <c r="E464" s="3" t="s">
        <v>867</v>
      </c>
      <c r="F464" s="3">
        <v>24.98</v>
      </c>
      <c r="G464" s="3" t="s">
        <v>3391</v>
      </c>
      <c r="H464" s="3"/>
      <c r="I464" s="3" t="s">
        <v>3392</v>
      </c>
      <c r="J464" s="3">
        <v>7</v>
      </c>
      <c r="K464" s="3">
        <v>2</v>
      </c>
      <c r="L464" s="3">
        <v>0</v>
      </c>
      <c r="M464" s="3">
        <v>5</v>
      </c>
      <c r="N464" s="3">
        <v>7</v>
      </c>
      <c r="O464" s="3">
        <v>0.1</v>
      </c>
      <c r="P464" s="3">
        <v>0</v>
      </c>
      <c r="Q464" s="3">
        <v>0</v>
      </c>
      <c r="R464" s="3">
        <v>0</v>
      </c>
    </row>
    <row r="465" spans="1:18">
      <c r="A465" s="3" t="s">
        <v>108</v>
      </c>
      <c r="B465" s="3" t="s">
        <v>109</v>
      </c>
      <c r="C465" s="3" t="s">
        <v>110</v>
      </c>
      <c r="D465" s="3" t="s">
        <v>111</v>
      </c>
      <c r="E465" s="3" t="s">
        <v>867</v>
      </c>
      <c r="F465" s="3">
        <v>24.98</v>
      </c>
      <c r="G465" s="3" t="s">
        <v>3391</v>
      </c>
      <c r="H465" s="3"/>
      <c r="I465" s="3" t="s">
        <v>3392</v>
      </c>
      <c r="J465" s="3">
        <v>22</v>
      </c>
      <c r="K465" s="3">
        <v>20</v>
      </c>
      <c r="L465" s="3">
        <v>0</v>
      </c>
      <c r="M465" s="3">
        <v>2</v>
      </c>
      <c r="N465" s="3">
        <v>22</v>
      </c>
      <c r="O465" s="3">
        <v>0.06</v>
      </c>
      <c r="P465" s="3">
        <v>0</v>
      </c>
      <c r="Q465" s="3">
        <v>0</v>
      </c>
      <c r="R465" s="3">
        <v>0</v>
      </c>
    </row>
    <row r="466" spans="1:18">
      <c r="A466" s="3" t="s">
        <v>3998</v>
      </c>
      <c r="B466" s="3" t="s">
        <v>3999</v>
      </c>
      <c r="C466" s="3" t="s">
        <v>1968</v>
      </c>
      <c r="D466" s="3" t="s">
        <v>1060</v>
      </c>
      <c r="E466" s="3" t="s">
        <v>867</v>
      </c>
      <c r="F466" s="3">
        <v>24.98</v>
      </c>
      <c r="G466" s="3" t="s">
        <v>3391</v>
      </c>
      <c r="H466" s="3"/>
      <c r="I466" s="3" t="s">
        <v>3392</v>
      </c>
      <c r="J466" s="3">
        <v>0</v>
      </c>
      <c r="K466" s="3">
        <v>0</v>
      </c>
      <c r="L466" s="3">
        <v>0</v>
      </c>
      <c r="M466" s="3">
        <v>0</v>
      </c>
      <c r="N466" s="3">
        <v>11</v>
      </c>
      <c r="O466" s="3">
        <v>0.06</v>
      </c>
      <c r="P466" s="3">
        <v>0</v>
      </c>
      <c r="Q466" s="3">
        <v>11</v>
      </c>
      <c r="R466" s="3">
        <v>0</v>
      </c>
    </row>
    <row r="467" spans="1:18">
      <c r="A467" s="3" t="s">
        <v>4000</v>
      </c>
      <c r="B467" s="3" t="s">
        <v>4001</v>
      </c>
      <c r="C467" s="3" t="s">
        <v>1341</v>
      </c>
      <c r="D467" s="3" t="s">
        <v>1342</v>
      </c>
      <c r="E467" s="3" t="s">
        <v>867</v>
      </c>
      <c r="F467" s="3">
        <v>39.98</v>
      </c>
      <c r="G467" s="3" t="s">
        <v>3391</v>
      </c>
      <c r="H467" s="3"/>
      <c r="I467" s="3" t="s">
        <v>3392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0.06</v>
      </c>
      <c r="P467" s="3">
        <v>0</v>
      </c>
      <c r="Q467" s="3">
        <v>0</v>
      </c>
      <c r="R467" s="3">
        <v>0</v>
      </c>
    </row>
    <row r="468" spans="1:18">
      <c r="A468" s="3" t="s">
        <v>4002</v>
      </c>
      <c r="B468" s="3" t="s">
        <v>4003</v>
      </c>
      <c r="C468" s="3" t="s">
        <v>2885</v>
      </c>
      <c r="D468" s="3" t="s">
        <v>2209</v>
      </c>
      <c r="E468" s="3" t="s">
        <v>867</v>
      </c>
      <c r="F468" s="3">
        <v>39.98</v>
      </c>
      <c r="G468" s="3" t="s">
        <v>3391</v>
      </c>
      <c r="H468" s="3"/>
      <c r="I468" s="3" t="s">
        <v>3392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0.06</v>
      </c>
      <c r="P468" s="3">
        <v>0</v>
      </c>
      <c r="Q468" s="3">
        <v>0</v>
      </c>
      <c r="R468" s="3">
        <v>0</v>
      </c>
    </row>
    <row r="469" spans="1:18">
      <c r="A469" s="3" t="s">
        <v>4004</v>
      </c>
      <c r="B469" s="3" t="s">
        <v>4005</v>
      </c>
      <c r="C469" s="3" t="s">
        <v>4006</v>
      </c>
      <c r="D469" s="3" t="s">
        <v>182</v>
      </c>
      <c r="E469" s="3" t="s">
        <v>867</v>
      </c>
      <c r="F469" s="3">
        <v>39.98</v>
      </c>
      <c r="G469" s="3" t="s">
        <v>3391</v>
      </c>
      <c r="H469" s="3"/>
      <c r="I469" s="3" t="s">
        <v>3392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</row>
    <row r="470" spans="1:18">
      <c r="A470" s="3" t="s">
        <v>4007</v>
      </c>
      <c r="B470" s="3" t="s">
        <v>4008</v>
      </c>
      <c r="C470" s="3" t="s">
        <v>4009</v>
      </c>
      <c r="D470" s="3" t="s">
        <v>965</v>
      </c>
      <c r="E470" s="3" t="s">
        <v>867</v>
      </c>
      <c r="F470" s="3">
        <v>39.98</v>
      </c>
      <c r="G470" s="3" t="s">
        <v>3391</v>
      </c>
      <c r="H470" s="3"/>
      <c r="I470" s="3" t="s">
        <v>3392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</row>
    <row r="471" spans="1:18">
      <c r="A471" s="3" t="s">
        <v>4010</v>
      </c>
      <c r="B471" s="3" t="s">
        <v>4011</v>
      </c>
      <c r="C471" s="3" t="s">
        <v>33</v>
      </c>
      <c r="D471" s="3" t="s">
        <v>34</v>
      </c>
      <c r="E471" s="3" t="s">
        <v>867</v>
      </c>
      <c r="F471" s="3">
        <v>39.98</v>
      </c>
      <c r="G471" s="3" t="s">
        <v>3391</v>
      </c>
      <c r="H471" s="3"/>
      <c r="I471" s="3" t="s">
        <v>3392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0.06</v>
      </c>
      <c r="P471" s="3">
        <v>0</v>
      </c>
      <c r="Q471" s="3">
        <v>0</v>
      </c>
      <c r="R471" s="3">
        <v>0</v>
      </c>
    </row>
    <row r="472" spans="1:18">
      <c r="A472" s="3" t="s">
        <v>4012</v>
      </c>
      <c r="B472" s="3" t="s">
        <v>4013</v>
      </c>
      <c r="C472" s="3" t="s">
        <v>504</v>
      </c>
      <c r="D472" s="3" t="s">
        <v>505</v>
      </c>
      <c r="E472" s="3" t="s">
        <v>867</v>
      </c>
      <c r="F472" s="3">
        <v>39.98</v>
      </c>
      <c r="G472" s="3" t="s">
        <v>3391</v>
      </c>
      <c r="H472" s="3"/>
      <c r="I472" s="3" t="s">
        <v>3392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0.21</v>
      </c>
      <c r="P472" s="3">
        <v>0</v>
      </c>
      <c r="Q472" s="3">
        <v>0</v>
      </c>
      <c r="R472" s="3">
        <v>0</v>
      </c>
    </row>
    <row r="473" spans="1:18">
      <c r="A473" s="3" t="s">
        <v>4014</v>
      </c>
      <c r="B473" s="3" t="s">
        <v>4015</v>
      </c>
      <c r="C473" s="3" t="s">
        <v>513</v>
      </c>
      <c r="D473" s="3" t="s">
        <v>514</v>
      </c>
      <c r="E473" s="3" t="s">
        <v>867</v>
      </c>
      <c r="F473" s="3">
        <v>39.98</v>
      </c>
      <c r="G473" s="3" t="s">
        <v>3391</v>
      </c>
      <c r="H473" s="3"/>
      <c r="I473" s="3" t="s">
        <v>3392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0.1</v>
      </c>
      <c r="P473" s="3">
        <v>0</v>
      </c>
      <c r="Q473" s="3">
        <v>0</v>
      </c>
      <c r="R473" s="3">
        <v>0</v>
      </c>
    </row>
    <row r="474" spans="1:18">
      <c r="A474" s="3" t="s">
        <v>4016</v>
      </c>
      <c r="B474" s="3" t="s">
        <v>4017</v>
      </c>
      <c r="C474" s="3" t="s">
        <v>1299</v>
      </c>
      <c r="D474" s="3" t="s">
        <v>1300</v>
      </c>
      <c r="E474" s="3" t="s">
        <v>867</v>
      </c>
      <c r="F474" s="3">
        <v>39.98</v>
      </c>
      <c r="G474" s="3" t="s">
        <v>3391</v>
      </c>
      <c r="H474" s="3"/>
      <c r="I474" s="3" t="s">
        <v>3392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0.21</v>
      </c>
      <c r="P474" s="3">
        <v>0</v>
      </c>
      <c r="Q474" s="3">
        <v>0</v>
      </c>
      <c r="R474" s="3">
        <v>0</v>
      </c>
    </row>
    <row r="475" spans="1:18">
      <c r="A475" s="3" t="s">
        <v>4018</v>
      </c>
      <c r="B475" s="3" t="s">
        <v>4019</v>
      </c>
      <c r="C475" s="3" t="s">
        <v>1227</v>
      </c>
      <c r="D475" s="3" t="s">
        <v>1228</v>
      </c>
      <c r="E475" s="3" t="s">
        <v>867</v>
      </c>
      <c r="F475" s="3">
        <v>39.98</v>
      </c>
      <c r="G475" s="3" t="s">
        <v>3391</v>
      </c>
      <c r="H475" s="3"/>
      <c r="I475" s="3" t="s">
        <v>3392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0.21</v>
      </c>
      <c r="P475" s="3">
        <v>0</v>
      </c>
      <c r="Q475" s="3">
        <v>0</v>
      </c>
      <c r="R475" s="3">
        <v>0</v>
      </c>
    </row>
    <row r="476" spans="1:18">
      <c r="A476" s="3" t="s">
        <v>4020</v>
      </c>
      <c r="B476" s="3" t="s">
        <v>4021</v>
      </c>
      <c r="C476" s="3" t="s">
        <v>1433</v>
      </c>
      <c r="D476" s="3" t="s">
        <v>1434</v>
      </c>
      <c r="E476" s="3" t="s">
        <v>867</v>
      </c>
      <c r="F476" s="3">
        <v>39.98</v>
      </c>
      <c r="G476" s="3" t="s">
        <v>3391</v>
      </c>
      <c r="H476" s="3"/>
      <c r="I476" s="3" t="s">
        <v>3392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0.14</v>
      </c>
      <c r="P476" s="3">
        <v>0</v>
      </c>
      <c r="Q476" s="3">
        <v>0</v>
      </c>
      <c r="R476" s="3">
        <v>0</v>
      </c>
    </row>
    <row r="477" spans="1:18">
      <c r="A477" s="3" t="s">
        <v>4022</v>
      </c>
      <c r="B477" s="3" t="s">
        <v>4023</v>
      </c>
      <c r="C477" s="3" t="s">
        <v>489</v>
      </c>
      <c r="D477" s="3" t="s">
        <v>490</v>
      </c>
      <c r="E477" s="3" t="s">
        <v>867</v>
      </c>
      <c r="F477" s="3">
        <v>39.98</v>
      </c>
      <c r="G477" s="3" t="s">
        <v>3391</v>
      </c>
      <c r="H477" s="3"/>
      <c r="I477" s="3" t="s">
        <v>3392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0.21</v>
      </c>
      <c r="P477" s="3">
        <v>0</v>
      </c>
      <c r="Q477" s="3">
        <v>0</v>
      </c>
      <c r="R477" s="3">
        <v>0</v>
      </c>
    </row>
    <row r="478" spans="1:18">
      <c r="A478" s="3" t="s">
        <v>4024</v>
      </c>
      <c r="B478" s="3" t="s">
        <v>4025</v>
      </c>
      <c r="C478" s="3" t="s">
        <v>1025</v>
      </c>
      <c r="D478" s="3" t="s">
        <v>1026</v>
      </c>
      <c r="E478" s="3" t="s">
        <v>867</v>
      </c>
      <c r="F478" s="3">
        <v>39.98</v>
      </c>
      <c r="G478" s="3" t="s">
        <v>3391</v>
      </c>
      <c r="H478" s="3"/>
      <c r="I478" s="3" t="s">
        <v>3392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0.21</v>
      </c>
      <c r="P478" s="3">
        <v>0</v>
      </c>
      <c r="Q478" s="3">
        <v>0</v>
      </c>
      <c r="R478" s="3">
        <v>0</v>
      </c>
    </row>
    <row r="479" spans="1:18">
      <c r="A479" s="3" t="s">
        <v>4026</v>
      </c>
      <c r="B479" s="3" t="s">
        <v>4027</v>
      </c>
      <c r="C479" s="3" t="s">
        <v>518</v>
      </c>
      <c r="D479" s="3" t="s">
        <v>519</v>
      </c>
      <c r="E479" s="3" t="s">
        <v>867</v>
      </c>
      <c r="F479" s="3">
        <v>39.98</v>
      </c>
      <c r="G479" s="3" t="s">
        <v>3391</v>
      </c>
      <c r="H479" s="3"/>
      <c r="I479" s="3" t="s">
        <v>3392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0.14</v>
      </c>
      <c r="P479" s="3">
        <v>0</v>
      </c>
      <c r="Q479" s="3">
        <v>0</v>
      </c>
      <c r="R479" s="3">
        <v>0</v>
      </c>
    </row>
    <row r="480" spans="1:18">
      <c r="A480" s="3" t="s">
        <v>4028</v>
      </c>
      <c r="B480" s="3" t="s">
        <v>4029</v>
      </c>
      <c r="C480" s="3" t="s">
        <v>2390</v>
      </c>
      <c r="D480" s="3" t="s">
        <v>2391</v>
      </c>
      <c r="E480" s="3" t="s">
        <v>867</v>
      </c>
      <c r="F480" s="3">
        <v>39.98</v>
      </c>
      <c r="G480" s="3" t="s">
        <v>3391</v>
      </c>
      <c r="H480" s="3"/>
      <c r="I480" s="3" t="s">
        <v>3392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0.21</v>
      </c>
      <c r="P480" s="3">
        <v>0</v>
      </c>
      <c r="Q480" s="3">
        <v>0</v>
      </c>
      <c r="R480" s="3">
        <v>0</v>
      </c>
    </row>
    <row r="481" spans="1:18">
      <c r="A481" s="3" t="s">
        <v>4030</v>
      </c>
      <c r="B481" s="3" t="s">
        <v>4031</v>
      </c>
      <c r="C481" s="3" t="s">
        <v>486</v>
      </c>
      <c r="D481" s="3" t="s">
        <v>487</v>
      </c>
      <c r="E481" s="3" t="s">
        <v>867</v>
      </c>
      <c r="F481" s="3">
        <v>39.98</v>
      </c>
      <c r="G481" s="3" t="s">
        <v>3391</v>
      </c>
      <c r="H481" s="3"/>
      <c r="I481" s="3" t="s">
        <v>3392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0.21</v>
      </c>
      <c r="P481" s="3">
        <v>0</v>
      </c>
      <c r="Q481" s="3">
        <v>0</v>
      </c>
      <c r="R481" s="3">
        <v>0</v>
      </c>
    </row>
    <row r="482" spans="1:18">
      <c r="A482" s="3" t="s">
        <v>4032</v>
      </c>
      <c r="B482" s="3" t="s">
        <v>4033</v>
      </c>
      <c r="C482" s="3" t="s">
        <v>1559</v>
      </c>
      <c r="D482" s="3" t="s">
        <v>1560</v>
      </c>
      <c r="E482" s="3" t="s">
        <v>867</v>
      </c>
      <c r="F482" s="3">
        <v>39.98</v>
      </c>
      <c r="G482" s="3" t="s">
        <v>3391</v>
      </c>
      <c r="H482" s="3"/>
      <c r="I482" s="3" t="s">
        <v>3392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0.21</v>
      </c>
      <c r="P482" s="3">
        <v>0</v>
      </c>
      <c r="Q482" s="3">
        <v>0</v>
      </c>
      <c r="R482" s="3">
        <v>0</v>
      </c>
    </row>
    <row r="483" spans="1:18">
      <c r="A483" s="3" t="s">
        <v>4034</v>
      </c>
      <c r="B483" s="3" t="s">
        <v>4035</v>
      </c>
      <c r="C483" s="3" t="s">
        <v>2903</v>
      </c>
      <c r="D483" s="3" t="s">
        <v>2904</v>
      </c>
      <c r="E483" s="3" t="s">
        <v>867</v>
      </c>
      <c r="F483" s="3">
        <v>39.98</v>
      </c>
      <c r="G483" s="3" t="s">
        <v>3391</v>
      </c>
      <c r="H483" s="3"/>
      <c r="I483" s="3" t="s">
        <v>3392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0.14</v>
      </c>
      <c r="P483" s="3">
        <v>0</v>
      </c>
      <c r="Q483" s="3">
        <v>0</v>
      </c>
      <c r="R483" s="3">
        <v>0</v>
      </c>
    </row>
    <row r="484" spans="1:18">
      <c r="A484" s="3" t="s">
        <v>4036</v>
      </c>
      <c r="B484" s="3" t="s">
        <v>4037</v>
      </c>
      <c r="C484" s="3" t="s">
        <v>967</v>
      </c>
      <c r="D484" s="3" t="s">
        <v>968</v>
      </c>
      <c r="E484" s="3" t="s">
        <v>867</v>
      </c>
      <c r="F484" s="3">
        <v>39.98</v>
      </c>
      <c r="G484" s="3" t="s">
        <v>3391</v>
      </c>
      <c r="H484" s="3"/>
      <c r="I484" s="3" t="s">
        <v>3392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0.21</v>
      </c>
      <c r="P484" s="3">
        <v>0</v>
      </c>
      <c r="Q484" s="3">
        <v>0</v>
      </c>
      <c r="R484" s="3">
        <v>0</v>
      </c>
    </row>
    <row r="485" spans="1:18">
      <c r="A485" s="3" t="s">
        <v>4038</v>
      </c>
      <c r="B485" s="3" t="s">
        <v>4039</v>
      </c>
      <c r="C485" s="3" t="s">
        <v>2340</v>
      </c>
      <c r="D485" s="3" t="s">
        <v>2341</v>
      </c>
      <c r="E485" s="3" t="s">
        <v>867</v>
      </c>
      <c r="F485" s="3">
        <v>39.98</v>
      </c>
      <c r="G485" s="3" t="s">
        <v>3391</v>
      </c>
      <c r="H485" s="3"/>
      <c r="I485" s="3" t="s">
        <v>3392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0.14</v>
      </c>
      <c r="P485" s="3">
        <v>0</v>
      </c>
      <c r="Q485" s="3">
        <v>0</v>
      </c>
      <c r="R485" s="3">
        <v>0</v>
      </c>
    </row>
    <row r="486" spans="1:18">
      <c r="A486" s="3" t="s">
        <v>4040</v>
      </c>
      <c r="B486" s="3" t="s">
        <v>4041</v>
      </c>
      <c r="C486" s="3" t="s">
        <v>2692</v>
      </c>
      <c r="D486" s="3" t="s">
        <v>2693</v>
      </c>
      <c r="E486" s="3" t="s">
        <v>867</v>
      </c>
      <c r="F486" s="3">
        <v>39.98</v>
      </c>
      <c r="G486" s="3" t="s">
        <v>3391</v>
      </c>
      <c r="H486" s="3"/>
      <c r="I486" s="3" t="s">
        <v>3392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0.14</v>
      </c>
      <c r="P486" s="3">
        <v>0</v>
      </c>
      <c r="Q486" s="3">
        <v>0</v>
      </c>
      <c r="R486" s="3">
        <v>0</v>
      </c>
    </row>
    <row r="487" spans="1:18">
      <c r="A487" s="3" t="s">
        <v>4042</v>
      </c>
      <c r="B487" s="3" t="s">
        <v>4043</v>
      </c>
      <c r="C487" s="3" t="s">
        <v>2163</v>
      </c>
      <c r="D487" s="3" t="s">
        <v>2164</v>
      </c>
      <c r="E487" s="3" t="s">
        <v>867</v>
      </c>
      <c r="F487" s="3">
        <v>39.98</v>
      </c>
      <c r="G487" s="3" t="s">
        <v>3391</v>
      </c>
      <c r="H487" s="3"/>
      <c r="I487" s="3" t="s">
        <v>3392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0.14</v>
      </c>
      <c r="P487" s="3">
        <v>0</v>
      </c>
      <c r="Q487" s="3">
        <v>0</v>
      </c>
      <c r="R487" s="3">
        <v>0</v>
      </c>
    </row>
    <row r="488" spans="1:18">
      <c r="A488" s="3" t="s">
        <v>4044</v>
      </c>
      <c r="B488" s="3" t="s">
        <v>4045</v>
      </c>
      <c r="C488" s="3" t="s">
        <v>1749</v>
      </c>
      <c r="D488" s="3" t="s">
        <v>1750</v>
      </c>
      <c r="E488" s="3" t="s">
        <v>867</v>
      </c>
      <c r="F488" s="3">
        <v>39.98</v>
      </c>
      <c r="G488" s="3" t="s">
        <v>3391</v>
      </c>
      <c r="H488" s="3"/>
      <c r="I488" s="3" t="s">
        <v>3392</v>
      </c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>
        <v>0.21</v>
      </c>
      <c r="P488" s="3">
        <v>0</v>
      </c>
      <c r="Q488" s="3">
        <v>0</v>
      </c>
      <c r="R488" s="3">
        <v>0</v>
      </c>
    </row>
    <row r="489" spans="1:18">
      <c r="A489" s="3" t="s">
        <v>4046</v>
      </c>
      <c r="B489" s="3" t="s">
        <v>4047</v>
      </c>
      <c r="C489" s="3" t="s">
        <v>1510</v>
      </c>
      <c r="D489" s="3" t="s">
        <v>1511</v>
      </c>
      <c r="E489" s="3" t="s">
        <v>867</v>
      </c>
      <c r="F489" s="3">
        <v>39.98</v>
      </c>
      <c r="G489" s="3" t="s">
        <v>3391</v>
      </c>
      <c r="H489" s="3"/>
      <c r="I489" s="3" t="s">
        <v>3392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0.21</v>
      </c>
      <c r="P489" s="3">
        <v>0</v>
      </c>
      <c r="Q489" s="3">
        <v>0</v>
      </c>
      <c r="R489" s="3">
        <v>0</v>
      </c>
    </row>
    <row r="490" spans="1:18">
      <c r="A490" s="3" t="s">
        <v>4048</v>
      </c>
      <c r="B490" s="3" t="s">
        <v>4049</v>
      </c>
      <c r="C490" s="3" t="s">
        <v>4050</v>
      </c>
      <c r="D490" s="3" t="s">
        <v>4051</v>
      </c>
      <c r="E490" s="3" t="s">
        <v>867</v>
      </c>
      <c r="F490" s="3">
        <v>39.98</v>
      </c>
      <c r="G490" s="3" t="s">
        <v>3391</v>
      </c>
      <c r="H490" s="3"/>
      <c r="I490" s="3" t="s">
        <v>3392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0.14</v>
      </c>
      <c r="P490" s="3">
        <v>0</v>
      </c>
      <c r="Q490" s="3">
        <v>0</v>
      </c>
      <c r="R490" s="3">
        <v>0</v>
      </c>
    </row>
    <row r="491" spans="1:18">
      <c r="A491" s="3" t="s">
        <v>4052</v>
      </c>
      <c r="B491" s="3" t="s">
        <v>4053</v>
      </c>
      <c r="C491" s="3" t="s">
        <v>3145</v>
      </c>
      <c r="D491" s="3" t="s">
        <v>3146</v>
      </c>
      <c r="E491" s="3" t="s">
        <v>867</v>
      </c>
      <c r="F491" s="3">
        <v>39.98</v>
      </c>
      <c r="G491" s="3" t="s">
        <v>3391</v>
      </c>
      <c r="H491" s="3"/>
      <c r="I491" s="3" t="s">
        <v>3392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0.21</v>
      </c>
      <c r="P491" s="3">
        <v>0</v>
      </c>
      <c r="Q491" s="3">
        <v>0</v>
      </c>
      <c r="R491" s="3">
        <v>0</v>
      </c>
    </row>
    <row r="492" spans="1:18">
      <c r="A492" s="3" t="s">
        <v>4054</v>
      </c>
      <c r="B492" s="3" t="s">
        <v>4055</v>
      </c>
      <c r="C492" s="3" t="s">
        <v>4056</v>
      </c>
      <c r="D492" s="3" t="s">
        <v>4057</v>
      </c>
      <c r="E492" s="3" t="s">
        <v>867</v>
      </c>
      <c r="F492" s="3">
        <v>39.98</v>
      </c>
      <c r="G492" s="3" t="s">
        <v>3391</v>
      </c>
      <c r="H492" s="3"/>
      <c r="I492" s="3" t="s">
        <v>3392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0.14</v>
      </c>
      <c r="P492" s="3">
        <v>0</v>
      </c>
      <c r="Q492" s="3">
        <v>0</v>
      </c>
      <c r="R492" s="3">
        <v>0</v>
      </c>
    </row>
    <row r="493" spans="1:18">
      <c r="A493" s="3" t="s">
        <v>4058</v>
      </c>
      <c r="B493" s="3" t="s">
        <v>4059</v>
      </c>
      <c r="C493" s="3" t="s">
        <v>2115</v>
      </c>
      <c r="D493" s="3" t="s">
        <v>2116</v>
      </c>
      <c r="E493" s="3" t="s">
        <v>867</v>
      </c>
      <c r="F493" s="3">
        <v>39.98</v>
      </c>
      <c r="G493" s="3" t="s">
        <v>3391</v>
      </c>
      <c r="H493" s="3"/>
      <c r="I493" s="3" t="s">
        <v>3392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0.21</v>
      </c>
      <c r="P493" s="3">
        <v>0</v>
      </c>
      <c r="Q493" s="3">
        <v>0</v>
      </c>
      <c r="R493" s="3">
        <v>0</v>
      </c>
    </row>
    <row r="494" spans="1:18">
      <c r="A494" s="3" t="s">
        <v>4060</v>
      </c>
      <c r="B494" s="3" t="s">
        <v>4061</v>
      </c>
      <c r="C494" s="3" t="s">
        <v>1682</v>
      </c>
      <c r="D494" s="3" t="s">
        <v>1683</v>
      </c>
      <c r="E494" s="3" t="s">
        <v>867</v>
      </c>
      <c r="F494" s="3">
        <v>39.98</v>
      </c>
      <c r="G494" s="3" t="s">
        <v>3391</v>
      </c>
      <c r="H494" s="3"/>
      <c r="I494" s="3" t="s">
        <v>3392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0.21</v>
      </c>
      <c r="P494" s="3">
        <v>0</v>
      </c>
      <c r="Q494" s="3">
        <v>0</v>
      </c>
      <c r="R494" s="3">
        <v>0</v>
      </c>
    </row>
    <row r="495" spans="1:18">
      <c r="A495" s="3" t="s">
        <v>4062</v>
      </c>
      <c r="B495" s="3" t="s">
        <v>4063</v>
      </c>
      <c r="C495" s="3" t="s">
        <v>2172</v>
      </c>
      <c r="D495" s="3" t="s">
        <v>2173</v>
      </c>
      <c r="E495" s="3" t="s">
        <v>867</v>
      </c>
      <c r="F495" s="3">
        <v>39.98</v>
      </c>
      <c r="G495" s="3" t="s">
        <v>3391</v>
      </c>
      <c r="H495" s="3"/>
      <c r="I495" s="3" t="s">
        <v>3392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0.21</v>
      </c>
      <c r="P495" s="3">
        <v>0</v>
      </c>
      <c r="Q495" s="3">
        <v>0</v>
      </c>
      <c r="R495" s="3">
        <v>0</v>
      </c>
    </row>
    <row r="496" spans="1:18">
      <c r="A496" s="3" t="s">
        <v>4064</v>
      </c>
      <c r="B496" s="3" t="s">
        <v>4065</v>
      </c>
      <c r="C496" s="3" t="s">
        <v>1351</v>
      </c>
      <c r="D496" s="3" t="s">
        <v>1352</v>
      </c>
      <c r="E496" s="3" t="s">
        <v>867</v>
      </c>
      <c r="F496" s="3">
        <v>39.98</v>
      </c>
      <c r="G496" s="3" t="s">
        <v>3391</v>
      </c>
      <c r="H496" s="3"/>
      <c r="I496" s="3" t="s">
        <v>3392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0.14</v>
      </c>
      <c r="P496" s="3">
        <v>0</v>
      </c>
      <c r="Q496" s="3">
        <v>0</v>
      </c>
      <c r="R496" s="3">
        <v>0</v>
      </c>
    </row>
    <row r="497" spans="1:18">
      <c r="A497" s="3" t="s">
        <v>4066</v>
      </c>
      <c r="B497" s="3" t="s">
        <v>4067</v>
      </c>
      <c r="C497" s="3" t="s">
        <v>2410</v>
      </c>
      <c r="D497" s="3" t="s">
        <v>2411</v>
      </c>
      <c r="E497" s="3" t="s">
        <v>867</v>
      </c>
      <c r="F497" s="3">
        <v>39.98</v>
      </c>
      <c r="G497" s="3" t="s">
        <v>3391</v>
      </c>
      <c r="H497" s="3"/>
      <c r="I497" s="3" t="s">
        <v>3392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0.14</v>
      </c>
      <c r="P497" s="3">
        <v>0</v>
      </c>
      <c r="Q497" s="3">
        <v>0</v>
      </c>
      <c r="R497" s="3">
        <v>0</v>
      </c>
    </row>
    <row r="498" spans="1:18">
      <c r="A498" s="3" t="s">
        <v>4068</v>
      </c>
      <c r="B498" s="3" t="s">
        <v>4069</v>
      </c>
      <c r="C498" s="3" t="s">
        <v>521</v>
      </c>
      <c r="D498" s="3" t="s">
        <v>522</v>
      </c>
      <c r="E498" s="3" t="s">
        <v>867</v>
      </c>
      <c r="F498" s="3">
        <v>39.98</v>
      </c>
      <c r="G498" s="3" t="s">
        <v>3391</v>
      </c>
      <c r="H498" s="3"/>
      <c r="I498" s="3" t="s">
        <v>3392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0.21</v>
      </c>
      <c r="P498" s="3">
        <v>0</v>
      </c>
      <c r="Q498" s="3">
        <v>0</v>
      </c>
      <c r="R498" s="3">
        <v>0</v>
      </c>
    </row>
    <row r="499" spans="1:18">
      <c r="A499" s="3" t="s">
        <v>4070</v>
      </c>
      <c r="B499" s="3" t="s">
        <v>4071</v>
      </c>
      <c r="C499" s="3" t="s">
        <v>2764</v>
      </c>
      <c r="D499" s="3" t="s">
        <v>2765</v>
      </c>
      <c r="E499" s="3" t="s">
        <v>867</v>
      </c>
      <c r="F499" s="3">
        <v>39.98</v>
      </c>
      <c r="G499" s="3" t="s">
        <v>3391</v>
      </c>
      <c r="H499" s="3"/>
      <c r="I499" s="3" t="s">
        <v>3392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0.21</v>
      </c>
      <c r="P499" s="3">
        <v>0</v>
      </c>
      <c r="Q499" s="3">
        <v>0</v>
      </c>
      <c r="R499" s="3">
        <v>0</v>
      </c>
    </row>
    <row r="500" spans="1:18">
      <c r="A500" s="3" t="s">
        <v>4072</v>
      </c>
      <c r="B500" s="3" t="s">
        <v>4073</v>
      </c>
      <c r="C500" s="3" t="s">
        <v>4074</v>
      </c>
      <c r="D500" s="3" t="s">
        <v>4075</v>
      </c>
      <c r="E500" s="3" t="s">
        <v>867</v>
      </c>
      <c r="F500" s="3">
        <v>39.98</v>
      </c>
      <c r="G500" s="3" t="s">
        <v>3391</v>
      </c>
      <c r="H500" s="3"/>
      <c r="I500" s="3" t="s">
        <v>3392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0.14</v>
      </c>
      <c r="P500" s="3">
        <v>0</v>
      </c>
      <c r="Q500" s="3">
        <v>0</v>
      </c>
      <c r="R500" s="3">
        <v>0</v>
      </c>
    </row>
    <row r="501" spans="1:18">
      <c r="A501" s="3" t="s">
        <v>4076</v>
      </c>
      <c r="B501" s="3" t="s">
        <v>4077</v>
      </c>
      <c r="C501" s="3" t="s">
        <v>1883</v>
      </c>
      <c r="D501" s="3" t="s">
        <v>1884</v>
      </c>
      <c r="E501" s="3" t="s">
        <v>867</v>
      </c>
      <c r="F501" s="3">
        <v>39.98</v>
      </c>
      <c r="G501" s="3" t="s">
        <v>3391</v>
      </c>
      <c r="H501" s="3"/>
      <c r="I501" s="3" t="s">
        <v>3392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0.14</v>
      </c>
      <c r="P501" s="3">
        <v>0</v>
      </c>
      <c r="Q501" s="3">
        <v>0</v>
      </c>
      <c r="R501" s="3">
        <v>0</v>
      </c>
    </row>
    <row r="502" spans="1:18">
      <c r="A502" s="3" t="s">
        <v>4078</v>
      </c>
      <c r="B502" s="3" t="s">
        <v>4079</v>
      </c>
      <c r="C502" s="3" t="s">
        <v>4080</v>
      </c>
      <c r="D502" s="3" t="s">
        <v>4081</v>
      </c>
      <c r="E502" s="3" t="s">
        <v>867</v>
      </c>
      <c r="F502" s="3">
        <v>39.98</v>
      </c>
      <c r="G502" s="3" t="s">
        <v>3391</v>
      </c>
      <c r="H502" s="3"/>
      <c r="I502" s="3" t="s">
        <v>3392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0.14</v>
      </c>
      <c r="P502" s="3">
        <v>0</v>
      </c>
      <c r="Q502" s="3">
        <v>0</v>
      </c>
      <c r="R502" s="3">
        <v>0</v>
      </c>
    </row>
    <row r="503" spans="1:18">
      <c r="A503" s="3" t="s">
        <v>4082</v>
      </c>
      <c r="B503" s="3" t="s">
        <v>4083</v>
      </c>
      <c r="C503" s="3" t="s">
        <v>2181</v>
      </c>
      <c r="D503" s="3" t="s">
        <v>2182</v>
      </c>
      <c r="E503" s="3" t="s">
        <v>867</v>
      </c>
      <c r="F503" s="3">
        <v>39.98</v>
      </c>
      <c r="G503" s="3" t="s">
        <v>3391</v>
      </c>
      <c r="H503" s="3"/>
      <c r="I503" s="3" t="s">
        <v>3392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0.21</v>
      </c>
      <c r="P503" s="3">
        <v>0</v>
      </c>
      <c r="Q503" s="3">
        <v>0</v>
      </c>
      <c r="R503" s="3">
        <v>0</v>
      </c>
    </row>
    <row r="504" spans="1:18">
      <c r="A504" s="3" t="s">
        <v>4084</v>
      </c>
      <c r="B504" s="3" t="s">
        <v>4085</v>
      </c>
      <c r="C504" s="3" t="s">
        <v>2686</v>
      </c>
      <c r="D504" s="3" t="s">
        <v>2687</v>
      </c>
      <c r="E504" s="3" t="s">
        <v>867</v>
      </c>
      <c r="F504" s="3">
        <v>39.98</v>
      </c>
      <c r="G504" s="3" t="s">
        <v>3391</v>
      </c>
      <c r="H504" s="3"/>
      <c r="I504" s="3" t="s">
        <v>3392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0.21</v>
      </c>
      <c r="P504" s="3">
        <v>0</v>
      </c>
      <c r="Q504" s="3">
        <v>0</v>
      </c>
      <c r="R504" s="3">
        <v>0</v>
      </c>
    </row>
    <row r="505" spans="1:18">
      <c r="A505" s="3" t="s">
        <v>4086</v>
      </c>
      <c r="B505" s="3" t="s">
        <v>4087</v>
      </c>
      <c r="C505" s="3" t="s">
        <v>3177</v>
      </c>
      <c r="D505" s="3" t="s">
        <v>3178</v>
      </c>
      <c r="E505" s="3" t="s">
        <v>867</v>
      </c>
      <c r="F505" s="3">
        <v>39.98</v>
      </c>
      <c r="G505" s="3" t="s">
        <v>3391</v>
      </c>
      <c r="H505" s="3"/>
      <c r="I505" s="3" t="s">
        <v>3392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0.14</v>
      </c>
      <c r="P505" s="3">
        <v>0</v>
      </c>
      <c r="Q505" s="3">
        <v>0</v>
      </c>
      <c r="R505" s="3">
        <v>0</v>
      </c>
    </row>
    <row r="506" spans="1:18">
      <c r="A506" s="3" t="s">
        <v>4088</v>
      </c>
      <c r="B506" s="3" t="s">
        <v>4089</v>
      </c>
      <c r="C506" s="3" t="s">
        <v>495</v>
      </c>
      <c r="D506" s="3" t="s">
        <v>496</v>
      </c>
      <c r="E506" s="3" t="s">
        <v>867</v>
      </c>
      <c r="F506" s="3">
        <v>39.98</v>
      </c>
      <c r="G506" s="3" t="s">
        <v>3391</v>
      </c>
      <c r="H506" s="3"/>
      <c r="I506" s="3" t="s">
        <v>3392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0.21</v>
      </c>
      <c r="P506" s="3">
        <v>0</v>
      </c>
      <c r="Q506" s="3">
        <v>0</v>
      </c>
      <c r="R506" s="3">
        <v>0</v>
      </c>
    </row>
    <row r="507" spans="1:18">
      <c r="A507" s="3" t="s">
        <v>4090</v>
      </c>
      <c r="B507" s="3" t="s">
        <v>4091</v>
      </c>
      <c r="C507" s="3" t="s">
        <v>1753</v>
      </c>
      <c r="D507" s="3" t="s">
        <v>1754</v>
      </c>
      <c r="E507" s="3" t="s">
        <v>867</v>
      </c>
      <c r="F507" s="3">
        <v>22.99</v>
      </c>
      <c r="G507" s="3" t="s">
        <v>3391</v>
      </c>
      <c r="H507" s="3"/>
      <c r="I507" s="3" t="s">
        <v>3392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0.15</v>
      </c>
      <c r="P507" s="3">
        <v>0</v>
      </c>
      <c r="Q507" s="3">
        <v>0</v>
      </c>
      <c r="R507" s="3">
        <v>0</v>
      </c>
    </row>
    <row r="508" spans="1:18">
      <c r="A508" s="3" t="s">
        <v>4092</v>
      </c>
      <c r="B508" s="3" t="s">
        <v>4093</v>
      </c>
      <c r="C508" s="3" t="s">
        <v>1781</v>
      </c>
      <c r="D508" s="3" t="s">
        <v>4094</v>
      </c>
      <c r="E508" s="3" t="s">
        <v>867</v>
      </c>
      <c r="F508" s="3">
        <v>22.99</v>
      </c>
      <c r="G508" s="3" t="s">
        <v>3391</v>
      </c>
      <c r="H508" s="3"/>
      <c r="I508" s="3" t="s">
        <v>3392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0.15</v>
      </c>
      <c r="P508" s="3">
        <v>0</v>
      </c>
      <c r="Q508" s="3">
        <v>0</v>
      </c>
      <c r="R508" s="3">
        <v>0</v>
      </c>
    </row>
    <row r="509" spans="1:18">
      <c r="A509" s="3" t="s">
        <v>4095</v>
      </c>
      <c r="B509" s="3" t="s">
        <v>4096</v>
      </c>
      <c r="C509" s="3" t="s">
        <v>1464</v>
      </c>
      <c r="D509" s="3" t="s">
        <v>1465</v>
      </c>
      <c r="E509" s="3" t="s">
        <v>867</v>
      </c>
      <c r="F509" s="3">
        <v>22.99</v>
      </c>
      <c r="G509" s="3" t="s">
        <v>3391</v>
      </c>
      <c r="H509" s="3"/>
      <c r="I509" s="3" t="s">
        <v>3392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0.15</v>
      </c>
      <c r="P509" s="3">
        <v>0</v>
      </c>
      <c r="Q509" s="3">
        <v>0</v>
      </c>
      <c r="R509" s="3">
        <v>0</v>
      </c>
    </row>
    <row r="510" spans="1:18">
      <c r="A510" s="3" t="s">
        <v>4097</v>
      </c>
      <c r="B510" s="3" t="s">
        <v>4098</v>
      </c>
      <c r="C510" s="3" t="s">
        <v>501</v>
      </c>
      <c r="D510" s="3" t="s">
        <v>502</v>
      </c>
      <c r="E510" s="3" t="s">
        <v>867</v>
      </c>
      <c r="F510" s="3">
        <v>22.99</v>
      </c>
      <c r="G510" s="3" t="s">
        <v>3391</v>
      </c>
      <c r="H510" s="3"/>
      <c r="I510" s="3" t="s">
        <v>3392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0.15</v>
      </c>
      <c r="P510" s="3">
        <v>0</v>
      </c>
      <c r="Q510" s="3">
        <v>0</v>
      </c>
      <c r="R510" s="3">
        <v>0</v>
      </c>
    </row>
    <row r="511" spans="1:18">
      <c r="A511" s="3" t="s">
        <v>4099</v>
      </c>
      <c r="B511" s="3" t="s">
        <v>4100</v>
      </c>
      <c r="C511" s="3" t="s">
        <v>3264</v>
      </c>
      <c r="D511" s="3" t="s">
        <v>3265</v>
      </c>
      <c r="E511" s="3" t="s">
        <v>867</v>
      </c>
      <c r="F511" s="3">
        <v>22.99</v>
      </c>
      <c r="G511" s="3" t="s">
        <v>3391</v>
      </c>
      <c r="H511" s="3"/>
      <c r="I511" s="3" t="s">
        <v>3392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0.15</v>
      </c>
      <c r="P511" s="3">
        <v>0</v>
      </c>
      <c r="Q511" s="3">
        <v>0</v>
      </c>
      <c r="R511" s="3">
        <v>0</v>
      </c>
    </row>
    <row r="512" spans="1:18">
      <c r="A512" s="3" t="s">
        <v>4101</v>
      </c>
      <c r="B512" s="3" t="s">
        <v>4102</v>
      </c>
      <c r="C512" s="3" t="s">
        <v>2823</v>
      </c>
      <c r="D512" s="3" t="s">
        <v>2824</v>
      </c>
      <c r="E512" s="3" t="s">
        <v>867</v>
      </c>
      <c r="F512" s="3">
        <v>22.99</v>
      </c>
      <c r="G512" s="3" t="s">
        <v>3391</v>
      </c>
      <c r="H512" s="3"/>
      <c r="I512" s="3" t="s">
        <v>3392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0.15</v>
      </c>
      <c r="P512" s="3">
        <v>0</v>
      </c>
      <c r="Q512" s="3">
        <v>0</v>
      </c>
      <c r="R512" s="3">
        <v>0</v>
      </c>
    </row>
    <row r="513" spans="1:18">
      <c r="A513" s="3" t="s">
        <v>4103</v>
      </c>
      <c r="B513" s="3" t="s">
        <v>4104</v>
      </c>
      <c r="C513" s="3" t="s">
        <v>2139</v>
      </c>
      <c r="D513" s="3" t="s">
        <v>2140</v>
      </c>
      <c r="E513" s="3" t="s">
        <v>867</v>
      </c>
      <c r="F513" s="3">
        <v>22.99</v>
      </c>
      <c r="G513" s="3" t="s">
        <v>3391</v>
      </c>
      <c r="H513" s="3"/>
      <c r="I513" s="3" t="s">
        <v>3392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0.15</v>
      </c>
      <c r="P513" s="3">
        <v>0</v>
      </c>
      <c r="Q513" s="3">
        <v>0</v>
      </c>
      <c r="R513" s="3">
        <v>0</v>
      </c>
    </row>
    <row r="514" spans="1:18">
      <c r="A514" s="3" t="s">
        <v>4105</v>
      </c>
      <c r="B514" s="3" t="s">
        <v>4106</v>
      </c>
      <c r="C514" s="3" t="s">
        <v>2896</v>
      </c>
      <c r="D514" s="3" t="s">
        <v>2897</v>
      </c>
      <c r="E514" s="3" t="s">
        <v>867</v>
      </c>
      <c r="F514" s="3">
        <v>22.99</v>
      </c>
      <c r="G514" s="3" t="s">
        <v>3391</v>
      </c>
      <c r="H514" s="3"/>
      <c r="I514" s="3" t="s">
        <v>3392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0.15</v>
      </c>
      <c r="P514" s="3">
        <v>0</v>
      </c>
      <c r="Q514" s="3">
        <v>0</v>
      </c>
      <c r="R514" s="3">
        <v>0</v>
      </c>
    </row>
    <row r="515" spans="1:18">
      <c r="A515" s="3" t="s">
        <v>4107</v>
      </c>
      <c r="B515" s="3" t="s">
        <v>4108</v>
      </c>
      <c r="C515" s="3" t="s">
        <v>2490</v>
      </c>
      <c r="D515" s="3" t="s">
        <v>2491</v>
      </c>
      <c r="E515" s="3" t="s">
        <v>867</v>
      </c>
      <c r="F515" s="3">
        <v>22.99</v>
      </c>
      <c r="G515" s="3" t="s">
        <v>3391</v>
      </c>
      <c r="H515" s="3"/>
      <c r="I515" s="3" t="s">
        <v>3392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0.15</v>
      </c>
      <c r="P515" s="3">
        <v>0</v>
      </c>
      <c r="Q515" s="3">
        <v>0</v>
      </c>
      <c r="R515" s="3">
        <v>0</v>
      </c>
    </row>
    <row r="516" spans="1:18">
      <c r="A516" s="3" t="s">
        <v>4109</v>
      </c>
      <c r="B516" s="3" t="s">
        <v>4110</v>
      </c>
      <c r="C516" s="3" t="s">
        <v>3078</v>
      </c>
      <c r="D516" s="3" t="s">
        <v>3079</v>
      </c>
      <c r="E516" s="3" t="s">
        <v>867</v>
      </c>
      <c r="F516" s="3">
        <v>22.99</v>
      </c>
      <c r="G516" s="3" t="s">
        <v>3391</v>
      </c>
      <c r="H516" s="3"/>
      <c r="I516" s="3" t="s">
        <v>3392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0.15</v>
      </c>
      <c r="P516" s="3">
        <v>0</v>
      </c>
      <c r="Q516" s="3">
        <v>0</v>
      </c>
      <c r="R516" s="3">
        <v>0</v>
      </c>
    </row>
    <row r="517" spans="1:18">
      <c r="A517" s="3" t="s">
        <v>4111</v>
      </c>
      <c r="B517" s="3" t="s">
        <v>4112</v>
      </c>
      <c r="C517" s="3" t="s">
        <v>1407</v>
      </c>
      <c r="D517" s="3" t="s">
        <v>1408</v>
      </c>
      <c r="E517" s="3" t="s">
        <v>867</v>
      </c>
      <c r="F517" s="3">
        <v>22.99</v>
      </c>
      <c r="G517" s="3" t="s">
        <v>3391</v>
      </c>
      <c r="H517" s="3"/>
      <c r="I517" s="3" t="s">
        <v>3392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0.15</v>
      </c>
      <c r="P517" s="3">
        <v>0</v>
      </c>
      <c r="Q517" s="3">
        <v>0</v>
      </c>
      <c r="R517" s="3">
        <v>0</v>
      </c>
    </row>
    <row r="518" spans="1:18">
      <c r="A518" s="3" t="s">
        <v>4113</v>
      </c>
      <c r="B518" s="3" t="s">
        <v>4114</v>
      </c>
      <c r="C518" s="3" t="s">
        <v>498</v>
      </c>
      <c r="D518" s="3" t="s">
        <v>499</v>
      </c>
      <c r="E518" s="3" t="s">
        <v>867</v>
      </c>
      <c r="F518" s="3">
        <v>22.99</v>
      </c>
      <c r="G518" s="3" t="s">
        <v>3391</v>
      </c>
      <c r="H518" s="3"/>
      <c r="I518" s="3" t="s">
        <v>3392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0.15</v>
      </c>
      <c r="P518" s="3">
        <v>0</v>
      </c>
      <c r="Q518" s="3">
        <v>0</v>
      </c>
      <c r="R518" s="3">
        <v>0</v>
      </c>
    </row>
    <row r="519" spans="1:18">
      <c r="A519" s="3" t="s">
        <v>4115</v>
      </c>
      <c r="B519" s="3" t="s">
        <v>4116</v>
      </c>
      <c r="C519" s="3" t="s">
        <v>3267</v>
      </c>
      <c r="D519" s="3" t="s">
        <v>3268</v>
      </c>
      <c r="E519" s="3" t="s">
        <v>867</v>
      </c>
      <c r="F519" s="3">
        <v>22.99</v>
      </c>
      <c r="G519" s="3" t="s">
        <v>3391</v>
      </c>
      <c r="H519" s="3"/>
      <c r="I519" s="3" t="s">
        <v>3392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0.15</v>
      </c>
      <c r="P519" s="3">
        <v>0</v>
      </c>
      <c r="Q519" s="3">
        <v>0</v>
      </c>
      <c r="R519" s="3">
        <v>0</v>
      </c>
    </row>
    <row r="520" spans="1:18">
      <c r="A520" s="3" t="s">
        <v>4117</v>
      </c>
      <c r="B520" s="3" t="s">
        <v>4118</v>
      </c>
      <c r="C520" s="3" t="s">
        <v>510</v>
      </c>
      <c r="D520" s="3" t="s">
        <v>511</v>
      </c>
      <c r="E520" s="3" t="s">
        <v>867</v>
      </c>
      <c r="F520" s="3">
        <v>22.99</v>
      </c>
      <c r="G520" s="3" t="s">
        <v>3391</v>
      </c>
      <c r="H520" s="3"/>
      <c r="I520" s="3" t="s">
        <v>3392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0.15</v>
      </c>
      <c r="P520" s="3">
        <v>0</v>
      </c>
      <c r="Q520" s="3">
        <v>0</v>
      </c>
      <c r="R520" s="3">
        <v>0</v>
      </c>
    </row>
    <row r="521" spans="1:18">
      <c r="A521" s="3" t="s">
        <v>4119</v>
      </c>
      <c r="B521" s="3" t="s">
        <v>4120</v>
      </c>
      <c r="C521" s="3" t="s">
        <v>1334</v>
      </c>
      <c r="D521" s="3" t="s">
        <v>1335</v>
      </c>
      <c r="E521" s="3" t="s">
        <v>867</v>
      </c>
      <c r="F521" s="3">
        <v>22.99</v>
      </c>
      <c r="G521" s="3" t="s">
        <v>3391</v>
      </c>
      <c r="H521" s="3"/>
      <c r="I521" s="3" t="s">
        <v>3392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0.15</v>
      </c>
      <c r="P521" s="3">
        <v>0</v>
      </c>
      <c r="Q521" s="3">
        <v>0</v>
      </c>
      <c r="R521" s="3">
        <v>0</v>
      </c>
    </row>
    <row r="522" spans="1:18">
      <c r="A522" s="3" t="s">
        <v>4121</v>
      </c>
      <c r="B522" s="3" t="s">
        <v>4122</v>
      </c>
      <c r="C522" s="3" t="s">
        <v>4123</v>
      </c>
      <c r="D522" s="3" t="s">
        <v>4124</v>
      </c>
      <c r="E522" s="3" t="s">
        <v>867</v>
      </c>
      <c r="F522" s="3">
        <v>22.99</v>
      </c>
      <c r="G522" s="3" t="s">
        <v>3391</v>
      </c>
      <c r="H522" s="3"/>
      <c r="I522" s="3" t="s">
        <v>3392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0.15</v>
      </c>
      <c r="P522" s="3">
        <v>0</v>
      </c>
      <c r="Q522" s="3">
        <v>0</v>
      </c>
      <c r="R522" s="3">
        <v>0</v>
      </c>
    </row>
    <row r="523" spans="1:18">
      <c r="A523" s="3" t="s">
        <v>4125</v>
      </c>
      <c r="B523" s="3" t="s">
        <v>4126</v>
      </c>
      <c r="C523" s="3" t="s">
        <v>492</v>
      </c>
      <c r="D523" s="3" t="s">
        <v>493</v>
      </c>
      <c r="E523" s="3" t="s">
        <v>867</v>
      </c>
      <c r="F523" s="3">
        <v>22.99</v>
      </c>
      <c r="G523" s="3" t="s">
        <v>3391</v>
      </c>
      <c r="H523" s="3"/>
      <c r="I523" s="3" t="s">
        <v>3392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0.15</v>
      </c>
      <c r="P523" s="3">
        <v>0</v>
      </c>
      <c r="Q523" s="3">
        <v>0</v>
      </c>
      <c r="R523" s="3">
        <v>0</v>
      </c>
    </row>
    <row r="524" spans="1:18">
      <c r="A524" s="3" t="s">
        <v>4127</v>
      </c>
      <c r="B524" s="3" t="s">
        <v>4128</v>
      </c>
      <c r="C524" s="3" t="s">
        <v>507</v>
      </c>
      <c r="D524" s="3" t="s">
        <v>508</v>
      </c>
      <c r="E524" s="3" t="s">
        <v>867</v>
      </c>
      <c r="F524" s="3">
        <v>22.99</v>
      </c>
      <c r="G524" s="3" t="s">
        <v>3391</v>
      </c>
      <c r="H524" s="3"/>
      <c r="I524" s="3" t="s">
        <v>3392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0.15</v>
      </c>
      <c r="P524" s="3">
        <v>0</v>
      </c>
      <c r="Q524" s="3">
        <v>0</v>
      </c>
      <c r="R524" s="3">
        <v>0</v>
      </c>
    </row>
    <row r="525" spans="1:18">
      <c r="A525" s="3" t="s">
        <v>4129</v>
      </c>
      <c r="B525" s="3" t="s">
        <v>4130</v>
      </c>
      <c r="C525" s="3" t="s">
        <v>1836</v>
      </c>
      <c r="D525" s="3" t="s">
        <v>1837</v>
      </c>
      <c r="E525" s="3" t="s">
        <v>867</v>
      </c>
      <c r="F525" s="3">
        <v>22.99</v>
      </c>
      <c r="G525" s="3" t="s">
        <v>3391</v>
      </c>
      <c r="H525" s="3"/>
      <c r="I525" s="3" t="s">
        <v>3392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0.15</v>
      </c>
      <c r="P525" s="3">
        <v>0</v>
      </c>
      <c r="Q525" s="3">
        <v>0</v>
      </c>
      <c r="R525" s="3">
        <v>0</v>
      </c>
    </row>
    <row r="526" spans="1:18">
      <c r="A526" s="3" t="s">
        <v>4131</v>
      </c>
      <c r="B526" s="3" t="s">
        <v>4132</v>
      </c>
      <c r="C526" s="3" t="s">
        <v>4133</v>
      </c>
      <c r="D526" s="3" t="s">
        <v>4134</v>
      </c>
      <c r="E526" s="3" t="s">
        <v>867</v>
      </c>
      <c r="F526" s="3">
        <v>22.99</v>
      </c>
      <c r="G526" s="3" t="s">
        <v>3391</v>
      </c>
      <c r="H526" s="3"/>
      <c r="I526" s="3" t="s">
        <v>3392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0.15</v>
      </c>
      <c r="P526" s="3">
        <v>0</v>
      </c>
      <c r="Q526" s="3">
        <v>0</v>
      </c>
      <c r="R526" s="3">
        <v>0</v>
      </c>
    </row>
    <row r="527" spans="1:18">
      <c r="A527" s="3" t="s">
        <v>4135</v>
      </c>
      <c r="B527" s="3" t="s">
        <v>4136</v>
      </c>
      <c r="C527" s="3" t="s">
        <v>4137</v>
      </c>
      <c r="D527" s="3" t="s">
        <v>4138</v>
      </c>
      <c r="E527" s="3" t="s">
        <v>867</v>
      </c>
      <c r="F527" s="3">
        <v>22.99</v>
      </c>
      <c r="G527" s="3" t="s">
        <v>3391</v>
      </c>
      <c r="H527" s="3"/>
      <c r="I527" s="3" t="s">
        <v>3392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0.15</v>
      </c>
      <c r="P527" s="3">
        <v>0</v>
      </c>
      <c r="Q527" s="3">
        <v>0</v>
      </c>
      <c r="R527" s="3">
        <v>0</v>
      </c>
    </row>
    <row r="528" spans="1:18">
      <c r="A528" s="3" t="s">
        <v>124</v>
      </c>
      <c r="B528" s="3" t="s">
        <v>125</v>
      </c>
      <c r="C528" s="3" t="s">
        <v>126</v>
      </c>
      <c r="D528" s="3" t="s">
        <v>127</v>
      </c>
      <c r="E528" s="3" t="s">
        <v>867</v>
      </c>
      <c r="F528" s="3">
        <v>22.99</v>
      </c>
      <c r="G528" s="3" t="s">
        <v>3391</v>
      </c>
      <c r="H528" s="3"/>
      <c r="I528" s="3" t="s">
        <v>3392</v>
      </c>
      <c r="J528" s="3">
        <v>4</v>
      </c>
      <c r="K528" s="3">
        <v>0</v>
      </c>
      <c r="L528" s="3">
        <v>0</v>
      </c>
      <c r="M528" s="3">
        <v>4</v>
      </c>
      <c r="N528" s="3">
        <v>8</v>
      </c>
      <c r="O528" s="3">
        <v>0.15</v>
      </c>
      <c r="P528" s="3">
        <v>0</v>
      </c>
      <c r="Q528" s="3">
        <v>4</v>
      </c>
      <c r="R528" s="3">
        <v>0</v>
      </c>
    </row>
    <row r="529" spans="1:18">
      <c r="A529" s="3" t="s">
        <v>4139</v>
      </c>
      <c r="B529" s="3" t="s">
        <v>4140</v>
      </c>
      <c r="C529" s="3" t="s">
        <v>1119</v>
      </c>
      <c r="D529" s="3" t="s">
        <v>127</v>
      </c>
      <c r="E529" s="3" t="s">
        <v>867</v>
      </c>
      <c r="F529" s="3">
        <v>22.99</v>
      </c>
      <c r="G529" s="3" t="s">
        <v>3391</v>
      </c>
      <c r="H529" s="3"/>
      <c r="I529" s="3" t="s">
        <v>3392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0.15</v>
      </c>
      <c r="P529" s="3">
        <v>0</v>
      </c>
      <c r="Q529" s="3">
        <v>0</v>
      </c>
      <c r="R529" s="3">
        <v>0</v>
      </c>
    </row>
    <row r="530" spans="1:18">
      <c r="A530" s="3" t="s">
        <v>4141</v>
      </c>
      <c r="B530" s="3" t="s">
        <v>4142</v>
      </c>
      <c r="C530" s="3" t="s">
        <v>1265</v>
      </c>
      <c r="D530" s="3" t="s">
        <v>1266</v>
      </c>
      <c r="E530" s="3" t="s">
        <v>867</v>
      </c>
      <c r="F530" s="3">
        <v>22.99</v>
      </c>
      <c r="G530" s="3" t="s">
        <v>3391</v>
      </c>
      <c r="H530" s="3"/>
      <c r="I530" s="3" t="s">
        <v>3392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0.15</v>
      </c>
      <c r="P530" s="3">
        <v>0</v>
      </c>
      <c r="Q530" s="3">
        <v>0</v>
      </c>
      <c r="R530" s="3">
        <v>0</v>
      </c>
    </row>
    <row r="531" spans="1:18">
      <c r="A531" s="3" t="s">
        <v>4143</v>
      </c>
      <c r="B531" s="3" t="s">
        <v>4144</v>
      </c>
      <c r="C531" s="3" t="s">
        <v>1614</v>
      </c>
      <c r="D531" s="3" t="s">
        <v>1615</v>
      </c>
      <c r="E531" s="3" t="s">
        <v>867</v>
      </c>
      <c r="F531" s="3">
        <v>22.99</v>
      </c>
      <c r="G531" s="3" t="s">
        <v>3391</v>
      </c>
      <c r="H531" s="3"/>
      <c r="I531" s="3" t="s">
        <v>3392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0.19</v>
      </c>
      <c r="P531" s="3">
        <v>0</v>
      </c>
      <c r="Q531" s="3">
        <v>0</v>
      </c>
      <c r="R531" s="3">
        <v>0</v>
      </c>
    </row>
    <row r="532" spans="1:18">
      <c r="A532" s="3" t="s">
        <v>4145</v>
      </c>
      <c r="B532" s="3" t="s">
        <v>4146</v>
      </c>
      <c r="C532" s="3" t="s">
        <v>2647</v>
      </c>
      <c r="D532" s="3" t="s">
        <v>2648</v>
      </c>
      <c r="E532" s="3" t="s">
        <v>867</v>
      </c>
      <c r="F532" s="3">
        <v>22.99</v>
      </c>
      <c r="G532" s="3" t="s">
        <v>3391</v>
      </c>
      <c r="H532" s="3"/>
      <c r="I532" s="3" t="s">
        <v>3392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0.15</v>
      </c>
      <c r="P532" s="3">
        <v>0</v>
      </c>
      <c r="Q532" s="3">
        <v>0</v>
      </c>
      <c r="R532" s="3">
        <v>0</v>
      </c>
    </row>
    <row r="533" spans="1:18">
      <c r="A533" s="3" t="s">
        <v>4147</v>
      </c>
      <c r="B533" s="3" t="s">
        <v>4148</v>
      </c>
      <c r="C533" s="3" t="s">
        <v>1845</v>
      </c>
      <c r="D533" s="3" t="s">
        <v>1846</v>
      </c>
      <c r="E533" s="3" t="s">
        <v>867</v>
      </c>
      <c r="F533" s="3">
        <v>22.99</v>
      </c>
      <c r="G533" s="3" t="s">
        <v>3391</v>
      </c>
      <c r="H533" s="3"/>
      <c r="I533" s="3" t="s">
        <v>3392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0.16</v>
      </c>
      <c r="P533" s="3">
        <v>0</v>
      </c>
      <c r="Q533" s="3">
        <v>0</v>
      </c>
      <c r="R533" s="3">
        <v>0</v>
      </c>
    </row>
    <row r="534" spans="1:18">
      <c r="A534" s="3" t="s">
        <v>4149</v>
      </c>
      <c r="B534" s="3" t="s">
        <v>4150</v>
      </c>
      <c r="C534" s="3" t="s">
        <v>927</v>
      </c>
      <c r="D534" s="3" t="s">
        <v>928</v>
      </c>
      <c r="E534" s="3" t="s">
        <v>867</v>
      </c>
      <c r="F534" s="3">
        <v>22.99</v>
      </c>
      <c r="G534" s="3" t="s">
        <v>3391</v>
      </c>
      <c r="H534" s="3"/>
      <c r="I534" s="3" t="s">
        <v>3392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0.16</v>
      </c>
      <c r="P534" s="3">
        <v>0</v>
      </c>
      <c r="Q534" s="3">
        <v>0</v>
      </c>
      <c r="R534" s="3">
        <v>0</v>
      </c>
    </row>
    <row r="535" spans="1:18">
      <c r="A535" s="3" t="s">
        <v>4151</v>
      </c>
      <c r="B535" s="3" t="s">
        <v>4152</v>
      </c>
      <c r="C535" s="3" t="s">
        <v>4153</v>
      </c>
      <c r="D535" s="3" t="s">
        <v>4154</v>
      </c>
      <c r="E535" s="3" t="s">
        <v>867</v>
      </c>
      <c r="F535" s="3">
        <v>22.99</v>
      </c>
      <c r="G535" s="3" t="s">
        <v>3391</v>
      </c>
      <c r="H535" s="3"/>
      <c r="I535" s="3" t="s">
        <v>3392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0.15</v>
      </c>
      <c r="P535" s="3">
        <v>0</v>
      </c>
      <c r="Q535" s="3">
        <v>0</v>
      </c>
      <c r="R535" s="3">
        <v>0</v>
      </c>
    </row>
    <row r="536" spans="1:18">
      <c r="A536" s="3" t="s">
        <v>4155</v>
      </c>
      <c r="B536" s="3" t="s">
        <v>4156</v>
      </c>
      <c r="C536" s="3" t="s">
        <v>881</v>
      </c>
      <c r="D536" s="3" t="s">
        <v>882</v>
      </c>
      <c r="E536" s="3" t="s">
        <v>867</v>
      </c>
      <c r="F536" s="3">
        <v>22.99</v>
      </c>
      <c r="G536" s="3" t="s">
        <v>3391</v>
      </c>
      <c r="H536" s="3"/>
      <c r="I536" s="3" t="s">
        <v>3392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0.15</v>
      </c>
      <c r="P536" s="3">
        <v>0</v>
      </c>
      <c r="Q536" s="3">
        <v>0</v>
      </c>
      <c r="R536" s="3">
        <v>0</v>
      </c>
    </row>
    <row r="537" spans="1:18">
      <c r="A537" s="3" t="s">
        <v>4157</v>
      </c>
      <c r="B537" s="3" t="s">
        <v>4158</v>
      </c>
      <c r="C537" s="3" t="s">
        <v>1094</v>
      </c>
      <c r="D537" s="3" t="s">
        <v>1095</v>
      </c>
      <c r="E537" s="3" t="s">
        <v>867</v>
      </c>
      <c r="F537" s="3">
        <v>22.99</v>
      </c>
      <c r="G537" s="3" t="s">
        <v>3391</v>
      </c>
      <c r="H537" s="3"/>
      <c r="I537" s="3" t="s">
        <v>3392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0.15</v>
      </c>
      <c r="P537" s="3">
        <v>0</v>
      </c>
      <c r="Q537" s="3">
        <v>0</v>
      </c>
      <c r="R537" s="3">
        <v>0</v>
      </c>
    </row>
    <row r="538" spans="1:18">
      <c r="A538" s="3" t="s">
        <v>4159</v>
      </c>
      <c r="B538" s="3" t="s">
        <v>4160</v>
      </c>
      <c r="C538" s="3" t="s">
        <v>1038</v>
      </c>
      <c r="D538" s="3" t="s">
        <v>1039</v>
      </c>
      <c r="E538" s="3" t="s">
        <v>867</v>
      </c>
      <c r="F538" s="3">
        <v>22.99</v>
      </c>
      <c r="G538" s="3" t="s">
        <v>3391</v>
      </c>
      <c r="H538" s="3"/>
      <c r="I538" s="3" t="s">
        <v>3392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0.16</v>
      </c>
      <c r="P538" s="3">
        <v>0</v>
      </c>
      <c r="Q538" s="3">
        <v>0</v>
      </c>
      <c r="R538" s="3">
        <v>0</v>
      </c>
    </row>
    <row r="539" spans="1:18">
      <c r="A539" s="3" t="s">
        <v>4161</v>
      </c>
      <c r="B539" s="3" t="s">
        <v>4162</v>
      </c>
      <c r="C539" s="3" t="s">
        <v>2769</v>
      </c>
      <c r="D539" s="3" t="s">
        <v>2770</v>
      </c>
      <c r="E539" s="3" t="s">
        <v>867</v>
      </c>
      <c r="F539" s="3">
        <v>22.99</v>
      </c>
      <c r="G539" s="3" t="s">
        <v>3391</v>
      </c>
      <c r="H539" s="3"/>
      <c r="I539" s="3" t="s">
        <v>3392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0.16</v>
      </c>
      <c r="P539" s="3">
        <v>0</v>
      </c>
      <c r="Q539" s="3">
        <v>0</v>
      </c>
      <c r="R539" s="3">
        <v>0</v>
      </c>
    </row>
    <row r="540" spans="1:18">
      <c r="A540" s="3" t="s">
        <v>1976</v>
      </c>
      <c r="B540" s="3" t="s">
        <v>1977</v>
      </c>
      <c r="C540" s="3" t="s">
        <v>1978</v>
      </c>
      <c r="D540" s="3" t="s">
        <v>1979</v>
      </c>
      <c r="E540" s="3" t="s">
        <v>867</v>
      </c>
      <c r="F540" s="3">
        <v>22.99</v>
      </c>
      <c r="G540" s="3" t="s">
        <v>3391</v>
      </c>
      <c r="H540" s="3"/>
      <c r="I540" s="3" t="s">
        <v>3392</v>
      </c>
      <c r="J540" s="3">
        <v>1</v>
      </c>
      <c r="K540" s="3">
        <v>1</v>
      </c>
      <c r="L540" s="3">
        <v>0</v>
      </c>
      <c r="M540" s="3">
        <v>0</v>
      </c>
      <c r="N540" s="3">
        <v>1</v>
      </c>
      <c r="O540" s="3">
        <v>0.15</v>
      </c>
      <c r="P540" s="3">
        <v>0</v>
      </c>
      <c r="Q540" s="3">
        <v>0</v>
      </c>
      <c r="R540" s="3">
        <v>0</v>
      </c>
    </row>
    <row r="541" spans="1:18">
      <c r="A541" s="3" t="s">
        <v>4163</v>
      </c>
      <c r="B541" s="3" t="s">
        <v>4164</v>
      </c>
      <c r="C541" s="3" t="s">
        <v>2187</v>
      </c>
      <c r="D541" s="3" t="s">
        <v>2188</v>
      </c>
      <c r="E541" s="3" t="s">
        <v>867</v>
      </c>
      <c r="F541" s="3">
        <v>22.99</v>
      </c>
      <c r="G541" s="3" t="s">
        <v>3391</v>
      </c>
      <c r="H541" s="3"/>
      <c r="I541" s="3" t="s">
        <v>3392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0.16</v>
      </c>
      <c r="P541" s="3">
        <v>0</v>
      </c>
      <c r="Q541" s="3">
        <v>0</v>
      </c>
      <c r="R541" s="3">
        <v>0</v>
      </c>
    </row>
    <row r="542" spans="1:18">
      <c r="A542" s="3" t="s">
        <v>4165</v>
      </c>
      <c r="B542" s="3" t="s">
        <v>4166</v>
      </c>
      <c r="C542" s="3" t="s">
        <v>516</v>
      </c>
      <c r="D542" s="3" t="s">
        <v>131</v>
      </c>
      <c r="E542" s="3" t="s">
        <v>867</v>
      </c>
      <c r="F542" s="3">
        <v>23.98</v>
      </c>
      <c r="G542" s="3" t="s">
        <v>3391</v>
      </c>
      <c r="H542" s="3"/>
      <c r="I542" s="3" t="s">
        <v>3392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0.2</v>
      </c>
      <c r="P542" s="3">
        <v>0</v>
      </c>
      <c r="Q542" s="3">
        <v>0</v>
      </c>
      <c r="R542" s="3">
        <v>0</v>
      </c>
    </row>
    <row r="543" spans="1:18">
      <c r="A543" s="3" t="s">
        <v>4167</v>
      </c>
      <c r="B543" s="3" t="s">
        <v>4168</v>
      </c>
      <c r="C543" s="3" t="s">
        <v>2003</v>
      </c>
      <c r="D543" s="3" t="s">
        <v>131</v>
      </c>
      <c r="E543" s="3" t="s">
        <v>867</v>
      </c>
      <c r="F543" s="3">
        <v>23.98</v>
      </c>
      <c r="G543" s="3" t="s">
        <v>3391</v>
      </c>
      <c r="H543" s="3"/>
      <c r="I543" s="3" t="s">
        <v>3392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0.2</v>
      </c>
      <c r="P543" s="3">
        <v>0</v>
      </c>
      <c r="Q543" s="3">
        <v>0</v>
      </c>
      <c r="R543" s="3">
        <v>0</v>
      </c>
    </row>
    <row r="544" spans="1:18">
      <c r="A544" s="3" t="s">
        <v>4169</v>
      </c>
      <c r="B544" s="3" t="s">
        <v>4170</v>
      </c>
      <c r="C544" s="3" t="s">
        <v>1259</v>
      </c>
      <c r="D544" s="3" t="s">
        <v>1260</v>
      </c>
      <c r="E544" s="3" t="s">
        <v>867</v>
      </c>
      <c r="F544" s="3">
        <v>23.98</v>
      </c>
      <c r="G544" s="3" t="s">
        <v>3391</v>
      </c>
      <c r="H544" s="3"/>
      <c r="I544" s="3" t="s">
        <v>3392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0.2</v>
      </c>
      <c r="P544" s="3">
        <v>0</v>
      </c>
      <c r="Q544" s="3">
        <v>0</v>
      </c>
      <c r="R544" s="3">
        <v>0</v>
      </c>
    </row>
    <row r="545" spans="1:18">
      <c r="A545" s="3" t="s">
        <v>4171</v>
      </c>
      <c r="B545" s="3" t="s">
        <v>4172</v>
      </c>
      <c r="C545" s="3" t="s">
        <v>3033</v>
      </c>
      <c r="D545" s="3" t="s">
        <v>131</v>
      </c>
      <c r="E545" s="3" t="s">
        <v>867</v>
      </c>
      <c r="F545" s="3">
        <v>23.98</v>
      </c>
      <c r="G545" s="3" t="s">
        <v>3391</v>
      </c>
      <c r="H545" s="3"/>
      <c r="I545" s="3" t="s">
        <v>3392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0.2</v>
      </c>
      <c r="P545" s="3">
        <v>0</v>
      </c>
      <c r="Q545" s="3">
        <v>0</v>
      </c>
      <c r="R545" s="3">
        <v>0</v>
      </c>
    </row>
    <row r="546" spans="1:18">
      <c r="A546" s="3" t="s">
        <v>4173</v>
      </c>
      <c r="B546" s="3" t="s">
        <v>4174</v>
      </c>
      <c r="C546" s="3" t="s">
        <v>2462</v>
      </c>
      <c r="D546" s="3" t="s">
        <v>131</v>
      </c>
      <c r="E546" s="3" t="s">
        <v>867</v>
      </c>
      <c r="F546" s="3">
        <v>23.98</v>
      </c>
      <c r="G546" s="3" t="s">
        <v>3391</v>
      </c>
      <c r="H546" s="3"/>
      <c r="I546" s="3" t="s">
        <v>3392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0.2</v>
      </c>
      <c r="P546" s="3">
        <v>0</v>
      </c>
      <c r="Q546" s="3">
        <v>0</v>
      </c>
      <c r="R546" s="3">
        <v>0</v>
      </c>
    </row>
    <row r="547" spans="1:18">
      <c r="A547" s="3" t="s">
        <v>4175</v>
      </c>
      <c r="B547" s="3" t="s">
        <v>4176</v>
      </c>
      <c r="C547" s="3" t="s">
        <v>1634</v>
      </c>
      <c r="D547" s="3" t="s">
        <v>131</v>
      </c>
      <c r="E547" s="3" t="s">
        <v>867</v>
      </c>
      <c r="F547" s="3">
        <v>23.98</v>
      </c>
      <c r="G547" s="3" t="s">
        <v>3391</v>
      </c>
      <c r="H547" s="3"/>
      <c r="I547" s="3" t="s">
        <v>3392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0.2</v>
      </c>
      <c r="P547" s="3">
        <v>0</v>
      </c>
      <c r="Q547" s="3">
        <v>0</v>
      </c>
      <c r="R547" s="3">
        <v>0</v>
      </c>
    </row>
    <row r="548" spans="1:18">
      <c r="A548" s="3" t="s">
        <v>4177</v>
      </c>
      <c r="B548" s="3" t="s">
        <v>4178</v>
      </c>
      <c r="C548" s="3" t="s">
        <v>2418</v>
      </c>
      <c r="D548" s="3" t="s">
        <v>131</v>
      </c>
      <c r="E548" s="3" t="s">
        <v>867</v>
      </c>
      <c r="F548" s="3">
        <v>23.98</v>
      </c>
      <c r="G548" s="3" t="s">
        <v>3391</v>
      </c>
      <c r="H548" s="3"/>
      <c r="I548" s="3" t="s">
        <v>3392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0.2</v>
      </c>
      <c r="P548" s="3">
        <v>0</v>
      </c>
      <c r="Q548" s="3">
        <v>0</v>
      </c>
      <c r="R548" s="3">
        <v>0</v>
      </c>
    </row>
    <row r="549" spans="1:18">
      <c r="A549" s="3" t="s">
        <v>145</v>
      </c>
      <c r="B549" s="3" t="s">
        <v>146</v>
      </c>
      <c r="C549" s="3" t="s">
        <v>147</v>
      </c>
      <c r="D549" s="3" t="s">
        <v>131</v>
      </c>
      <c r="E549" s="3" t="s">
        <v>867</v>
      </c>
      <c r="F549" s="3">
        <v>23.98</v>
      </c>
      <c r="G549" s="3" t="s">
        <v>3391</v>
      </c>
      <c r="H549" s="3"/>
      <c r="I549" s="3" t="s">
        <v>3392</v>
      </c>
      <c r="J549" s="3">
        <v>1</v>
      </c>
      <c r="K549" s="3">
        <v>0</v>
      </c>
      <c r="L549" s="3">
        <v>0</v>
      </c>
      <c r="M549" s="3">
        <v>1</v>
      </c>
      <c r="N549" s="3">
        <v>1</v>
      </c>
      <c r="O549" s="3">
        <v>0.2</v>
      </c>
      <c r="P549" s="3">
        <v>0</v>
      </c>
      <c r="Q549" s="3">
        <v>0</v>
      </c>
      <c r="R549" s="3">
        <v>0</v>
      </c>
    </row>
    <row r="550" spans="1:18">
      <c r="A550" s="3" t="s">
        <v>4179</v>
      </c>
      <c r="B550" s="3" t="s">
        <v>4180</v>
      </c>
      <c r="C550" s="3" t="s">
        <v>2018</v>
      </c>
      <c r="D550" s="3" t="s">
        <v>131</v>
      </c>
      <c r="E550" s="3" t="s">
        <v>867</v>
      </c>
      <c r="F550" s="3">
        <v>23.98</v>
      </c>
      <c r="G550" s="3" t="s">
        <v>3391</v>
      </c>
      <c r="H550" s="3"/>
      <c r="I550" s="3" t="s">
        <v>3392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0.2</v>
      </c>
      <c r="P550" s="3">
        <v>0</v>
      </c>
      <c r="Q550" s="3">
        <v>0</v>
      </c>
      <c r="R550" s="3">
        <v>0</v>
      </c>
    </row>
    <row r="551" spans="1:18">
      <c r="A551" s="3" t="s">
        <v>4181</v>
      </c>
      <c r="B551" s="3" t="s">
        <v>4182</v>
      </c>
      <c r="C551" s="3" t="s">
        <v>1597</v>
      </c>
      <c r="D551" s="3" t="s">
        <v>131</v>
      </c>
      <c r="E551" s="3" t="s">
        <v>867</v>
      </c>
      <c r="F551" s="3">
        <v>23.98</v>
      </c>
      <c r="G551" s="3" t="s">
        <v>3391</v>
      </c>
      <c r="H551" s="3"/>
      <c r="I551" s="3" t="s">
        <v>3392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0.2</v>
      </c>
      <c r="P551" s="3">
        <v>0</v>
      </c>
      <c r="Q551" s="3">
        <v>0</v>
      </c>
      <c r="R551" s="3">
        <v>0</v>
      </c>
    </row>
    <row r="552" spans="1:18">
      <c r="A552" s="3" t="s">
        <v>1949</v>
      </c>
      <c r="B552" s="3" t="s">
        <v>1950</v>
      </c>
      <c r="C552" s="3" t="s">
        <v>1951</v>
      </c>
      <c r="D552" s="3" t="s">
        <v>1952</v>
      </c>
      <c r="E552" s="3" t="s">
        <v>867</v>
      </c>
      <c r="F552" s="3">
        <v>23.98</v>
      </c>
      <c r="G552" s="3" t="s">
        <v>3391</v>
      </c>
      <c r="H552" s="3"/>
      <c r="I552" s="3" t="s">
        <v>3392</v>
      </c>
      <c r="J552" s="3">
        <v>3</v>
      </c>
      <c r="K552" s="3">
        <v>3</v>
      </c>
      <c r="L552" s="3">
        <v>0</v>
      </c>
      <c r="M552" s="3">
        <v>0</v>
      </c>
      <c r="N552" s="3">
        <v>20</v>
      </c>
      <c r="O552" s="3">
        <v>0.2</v>
      </c>
      <c r="P552" s="3">
        <v>0</v>
      </c>
      <c r="Q552" s="3">
        <v>17</v>
      </c>
      <c r="R552" s="3">
        <v>0</v>
      </c>
    </row>
    <row r="553" spans="1:18">
      <c r="A553" s="3" t="s">
        <v>1847</v>
      </c>
      <c r="B553" s="3" t="s">
        <v>1848</v>
      </c>
      <c r="C553" s="3" t="s">
        <v>1849</v>
      </c>
      <c r="D553" s="3" t="s">
        <v>1850</v>
      </c>
      <c r="E553" s="3" t="s">
        <v>867</v>
      </c>
      <c r="F553" s="3">
        <v>23.98</v>
      </c>
      <c r="G553" s="3" t="s">
        <v>3391</v>
      </c>
      <c r="H553" s="3"/>
      <c r="I553" s="3" t="s">
        <v>3392</v>
      </c>
      <c r="J553" s="3">
        <v>3</v>
      </c>
      <c r="K553" s="3">
        <v>3</v>
      </c>
      <c r="L553" s="3">
        <v>0</v>
      </c>
      <c r="M553" s="3">
        <v>0</v>
      </c>
      <c r="N553" s="3">
        <v>20</v>
      </c>
      <c r="O553" s="3">
        <v>0.2</v>
      </c>
      <c r="P553" s="3">
        <v>0</v>
      </c>
      <c r="Q553" s="3">
        <v>17</v>
      </c>
      <c r="R553" s="3">
        <v>0</v>
      </c>
    </row>
    <row r="554" spans="1:18">
      <c r="A554" s="3" t="s">
        <v>1254</v>
      </c>
      <c r="B554" s="3" t="s">
        <v>1255</v>
      </c>
      <c r="C554" s="3" t="s">
        <v>1256</v>
      </c>
      <c r="D554" s="3" t="s">
        <v>1257</v>
      </c>
      <c r="E554" s="3" t="s">
        <v>867</v>
      </c>
      <c r="F554" s="3">
        <v>23.98</v>
      </c>
      <c r="G554" s="3" t="s">
        <v>3391</v>
      </c>
      <c r="H554" s="3"/>
      <c r="I554" s="3" t="s">
        <v>3392</v>
      </c>
      <c r="J554" s="3">
        <v>1</v>
      </c>
      <c r="K554" s="3">
        <v>1</v>
      </c>
      <c r="L554" s="3">
        <v>0</v>
      </c>
      <c r="M554" s="3">
        <v>0</v>
      </c>
      <c r="N554" s="3">
        <v>1</v>
      </c>
      <c r="O554" s="3">
        <v>0.2</v>
      </c>
      <c r="P554" s="3">
        <v>0</v>
      </c>
      <c r="Q554" s="3">
        <v>0</v>
      </c>
      <c r="R554" s="3">
        <v>0</v>
      </c>
    </row>
    <row r="555" spans="1:18">
      <c r="A555" s="3" t="s">
        <v>4183</v>
      </c>
      <c r="B555" s="3" t="s">
        <v>4184</v>
      </c>
      <c r="C555" s="3" t="s">
        <v>2683</v>
      </c>
      <c r="D555" s="3" t="s">
        <v>2684</v>
      </c>
      <c r="E555" s="3" t="s">
        <v>867</v>
      </c>
      <c r="F555" s="3">
        <v>23.98</v>
      </c>
      <c r="G555" s="3" t="s">
        <v>3391</v>
      </c>
      <c r="H555" s="3"/>
      <c r="I555" s="3" t="s">
        <v>3392</v>
      </c>
      <c r="J555" s="3">
        <v>0</v>
      </c>
      <c r="K555" s="3">
        <v>0</v>
      </c>
      <c r="L555" s="3">
        <v>0</v>
      </c>
      <c r="M555" s="3">
        <v>0</v>
      </c>
      <c r="N555" s="3">
        <v>20</v>
      </c>
      <c r="O555" s="3">
        <v>0.2</v>
      </c>
      <c r="P555" s="3">
        <v>0</v>
      </c>
      <c r="Q555" s="3">
        <v>20</v>
      </c>
      <c r="R555" s="3">
        <v>0</v>
      </c>
    </row>
    <row r="556" spans="1:18">
      <c r="A556" s="3" t="s">
        <v>132</v>
      </c>
      <c r="B556" s="3" t="s">
        <v>133</v>
      </c>
      <c r="C556" s="3" t="s">
        <v>134</v>
      </c>
      <c r="D556" s="3" t="s">
        <v>135</v>
      </c>
      <c r="E556" s="3" t="s">
        <v>867</v>
      </c>
      <c r="F556" s="3">
        <v>23.98</v>
      </c>
      <c r="G556" s="3" t="s">
        <v>3391</v>
      </c>
      <c r="H556" s="3"/>
      <c r="I556" s="3" t="s">
        <v>3392</v>
      </c>
      <c r="J556" s="3">
        <v>5</v>
      </c>
      <c r="K556" s="3">
        <v>2</v>
      </c>
      <c r="L556" s="3">
        <v>0</v>
      </c>
      <c r="M556" s="3">
        <v>3</v>
      </c>
      <c r="N556" s="3">
        <v>23</v>
      </c>
      <c r="O556" s="3">
        <v>0.2</v>
      </c>
      <c r="P556" s="3">
        <v>0</v>
      </c>
      <c r="Q556" s="3">
        <v>18</v>
      </c>
      <c r="R556" s="3">
        <v>0</v>
      </c>
    </row>
    <row r="557" spans="1:18">
      <c r="A557" s="3" t="s">
        <v>4185</v>
      </c>
      <c r="B557" s="3" t="s">
        <v>4186</v>
      </c>
      <c r="C557" s="3" t="s">
        <v>4187</v>
      </c>
      <c r="D557" s="3" t="s">
        <v>131</v>
      </c>
      <c r="E557" s="3" t="s">
        <v>867</v>
      </c>
      <c r="F557" s="3">
        <v>23.98</v>
      </c>
      <c r="G557" s="3" t="s">
        <v>3391</v>
      </c>
      <c r="H557" s="3"/>
      <c r="I557" s="3" t="s">
        <v>3392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0.22</v>
      </c>
      <c r="P557" s="3">
        <v>0</v>
      </c>
      <c r="Q557" s="3">
        <v>0</v>
      </c>
      <c r="R557" s="3">
        <v>0</v>
      </c>
    </row>
    <row r="558" spans="1:18">
      <c r="A558" s="3" t="s">
        <v>4188</v>
      </c>
      <c r="B558" s="3" t="s">
        <v>4189</v>
      </c>
      <c r="C558" s="3" t="s">
        <v>4190</v>
      </c>
      <c r="D558" s="3" t="s">
        <v>131</v>
      </c>
      <c r="E558" s="3" t="s">
        <v>867</v>
      </c>
      <c r="F558" s="3">
        <v>23.98</v>
      </c>
      <c r="G558" s="3" t="s">
        <v>3391</v>
      </c>
      <c r="H558" s="3"/>
      <c r="I558" s="3" t="s">
        <v>3392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0.25</v>
      </c>
      <c r="P558" s="3">
        <v>0</v>
      </c>
      <c r="Q558" s="3">
        <v>0</v>
      </c>
      <c r="R558" s="3">
        <v>0</v>
      </c>
    </row>
    <row r="559" spans="1:18">
      <c r="A559" s="3" t="s">
        <v>3188</v>
      </c>
      <c r="B559" s="3" t="s">
        <v>3189</v>
      </c>
      <c r="C559" s="3" t="s">
        <v>3190</v>
      </c>
      <c r="D559" s="3" t="s">
        <v>131</v>
      </c>
      <c r="E559" s="3" t="s">
        <v>867</v>
      </c>
      <c r="F559" s="3">
        <v>23.98</v>
      </c>
      <c r="G559" s="3" t="s">
        <v>3391</v>
      </c>
      <c r="H559" s="3"/>
      <c r="I559" s="3" t="s">
        <v>3392</v>
      </c>
      <c r="J559" s="3">
        <v>1</v>
      </c>
      <c r="K559" s="3">
        <v>1</v>
      </c>
      <c r="L559" s="3">
        <v>0</v>
      </c>
      <c r="M559" s="3">
        <v>0</v>
      </c>
      <c r="N559" s="3">
        <v>1</v>
      </c>
      <c r="O559" s="3">
        <v>0.2</v>
      </c>
      <c r="P559" s="3">
        <v>0</v>
      </c>
      <c r="Q559" s="3">
        <v>0</v>
      </c>
      <c r="R559" s="3">
        <v>0</v>
      </c>
    </row>
    <row r="560" spans="1:18">
      <c r="A560" s="3" t="s">
        <v>4191</v>
      </c>
      <c r="B560" s="3" t="s">
        <v>4192</v>
      </c>
      <c r="C560" s="3" t="s">
        <v>4193</v>
      </c>
      <c r="D560" s="3" t="s">
        <v>131</v>
      </c>
      <c r="E560" s="3" t="s">
        <v>867</v>
      </c>
      <c r="F560" s="3">
        <v>23.98</v>
      </c>
      <c r="G560" s="3" t="s">
        <v>3391</v>
      </c>
      <c r="H560" s="3"/>
      <c r="I560" s="3" t="s">
        <v>3392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0.2</v>
      </c>
      <c r="P560" s="3">
        <v>0</v>
      </c>
      <c r="Q560" s="3">
        <v>0</v>
      </c>
      <c r="R560" s="3">
        <v>0</v>
      </c>
    </row>
    <row r="561" spans="1:18">
      <c r="A561" s="3" t="s">
        <v>4194</v>
      </c>
      <c r="B561" s="3" t="s">
        <v>4195</v>
      </c>
      <c r="C561" s="3" t="s">
        <v>4196</v>
      </c>
      <c r="D561" s="3" t="s">
        <v>131</v>
      </c>
      <c r="E561" s="3" t="s">
        <v>867</v>
      </c>
      <c r="F561" s="3">
        <v>23.98</v>
      </c>
      <c r="G561" s="3" t="s">
        <v>3391</v>
      </c>
      <c r="H561" s="3"/>
      <c r="I561" s="3" t="s">
        <v>3392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0.2</v>
      </c>
      <c r="P561" s="3">
        <v>0</v>
      </c>
      <c r="Q561" s="3">
        <v>0</v>
      </c>
      <c r="R561" s="3">
        <v>0</v>
      </c>
    </row>
    <row r="562" spans="1:18">
      <c r="A562" s="3" t="s">
        <v>4197</v>
      </c>
      <c r="B562" s="3" t="s">
        <v>4198</v>
      </c>
      <c r="C562" s="3" t="s">
        <v>533</v>
      </c>
      <c r="D562" s="3" t="s">
        <v>131</v>
      </c>
      <c r="E562" s="3" t="s">
        <v>867</v>
      </c>
      <c r="F562" s="3">
        <v>23.98</v>
      </c>
      <c r="G562" s="3" t="s">
        <v>3391</v>
      </c>
      <c r="H562" s="3"/>
      <c r="I562" s="3" t="s">
        <v>3392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0.2</v>
      </c>
      <c r="P562" s="3">
        <v>0</v>
      </c>
      <c r="Q562" s="3">
        <v>0</v>
      </c>
      <c r="R562" s="3">
        <v>0</v>
      </c>
    </row>
    <row r="563" spans="1:18">
      <c r="A563" s="3" t="s">
        <v>136</v>
      </c>
      <c r="B563" s="3" t="s">
        <v>137</v>
      </c>
      <c r="C563" s="3" t="s">
        <v>138</v>
      </c>
      <c r="D563" s="3" t="s">
        <v>131</v>
      </c>
      <c r="E563" s="3" t="s">
        <v>867</v>
      </c>
      <c r="F563" s="3">
        <v>23.98</v>
      </c>
      <c r="G563" s="3" t="s">
        <v>3391</v>
      </c>
      <c r="H563" s="3"/>
      <c r="I563" s="3" t="s">
        <v>3392</v>
      </c>
      <c r="J563" s="3">
        <v>5</v>
      </c>
      <c r="K563" s="3">
        <v>0</v>
      </c>
      <c r="L563" s="3">
        <v>0</v>
      </c>
      <c r="M563" s="3">
        <v>5</v>
      </c>
      <c r="N563" s="3">
        <v>35</v>
      </c>
      <c r="O563" s="3">
        <v>0.2</v>
      </c>
      <c r="P563" s="3">
        <v>0</v>
      </c>
      <c r="Q563" s="3">
        <v>30</v>
      </c>
      <c r="R563" s="3">
        <v>0</v>
      </c>
    </row>
    <row r="564" spans="1:18">
      <c r="A564" s="3" t="s">
        <v>4199</v>
      </c>
      <c r="B564" s="3" t="s">
        <v>4200</v>
      </c>
      <c r="C564" s="3" t="s">
        <v>4201</v>
      </c>
      <c r="D564" s="3" t="s">
        <v>4202</v>
      </c>
      <c r="E564" s="3" t="s">
        <v>867</v>
      </c>
      <c r="F564" s="3">
        <v>23.98</v>
      </c>
      <c r="G564" s="3" t="s">
        <v>3391</v>
      </c>
      <c r="H564" s="3"/>
      <c r="I564" s="3" t="s">
        <v>3392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0.2</v>
      </c>
      <c r="P564" s="3">
        <v>0</v>
      </c>
      <c r="Q564" s="3">
        <v>0</v>
      </c>
      <c r="R564" s="3">
        <v>0</v>
      </c>
    </row>
    <row r="565" spans="1:18">
      <c r="A565" s="3" t="s">
        <v>1122</v>
      </c>
      <c r="B565" s="3" t="s">
        <v>1123</v>
      </c>
      <c r="C565" s="3" t="s">
        <v>1124</v>
      </c>
      <c r="D565" s="3" t="s">
        <v>131</v>
      </c>
      <c r="E565" s="3" t="s">
        <v>867</v>
      </c>
      <c r="F565" s="3">
        <v>23.98</v>
      </c>
      <c r="G565" s="3" t="s">
        <v>3391</v>
      </c>
      <c r="H565" s="3"/>
      <c r="I565" s="3" t="s">
        <v>3392</v>
      </c>
      <c r="J565" s="3">
        <v>18</v>
      </c>
      <c r="K565" s="3">
        <v>18</v>
      </c>
      <c r="L565" s="3">
        <v>0</v>
      </c>
      <c r="M565" s="3">
        <v>0</v>
      </c>
      <c r="N565" s="3">
        <v>18</v>
      </c>
      <c r="O565" s="3">
        <v>0.2</v>
      </c>
      <c r="P565" s="3">
        <v>0</v>
      </c>
      <c r="Q565" s="3">
        <v>0</v>
      </c>
      <c r="R565" s="3">
        <v>0</v>
      </c>
    </row>
    <row r="566" spans="1:18">
      <c r="A566" s="3" t="s">
        <v>4203</v>
      </c>
      <c r="B566" s="3" t="s">
        <v>4204</v>
      </c>
      <c r="C566" s="3" t="s">
        <v>1852</v>
      </c>
      <c r="D566" s="3" t="s">
        <v>131</v>
      </c>
      <c r="E566" s="3" t="s">
        <v>867</v>
      </c>
      <c r="F566" s="3">
        <v>23.98</v>
      </c>
      <c r="G566" s="3" t="s">
        <v>3391</v>
      </c>
      <c r="H566" s="3"/>
      <c r="I566" s="3" t="s">
        <v>3392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0.2</v>
      </c>
      <c r="P566" s="3">
        <v>0</v>
      </c>
      <c r="Q566" s="3">
        <v>0</v>
      </c>
      <c r="R566" s="3">
        <v>0</v>
      </c>
    </row>
    <row r="567" spans="1:18">
      <c r="A567" s="3" t="s">
        <v>4205</v>
      </c>
      <c r="B567" s="3" t="s">
        <v>4206</v>
      </c>
      <c r="C567" s="3" t="s">
        <v>2774</v>
      </c>
      <c r="D567" s="3" t="s">
        <v>131</v>
      </c>
      <c r="E567" s="3" t="s">
        <v>867</v>
      </c>
      <c r="F567" s="3">
        <v>23.98</v>
      </c>
      <c r="G567" s="3" t="s">
        <v>3391</v>
      </c>
      <c r="H567" s="3"/>
      <c r="I567" s="3" t="s">
        <v>3392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0.15</v>
      </c>
      <c r="P567" s="3">
        <v>0</v>
      </c>
      <c r="Q567" s="3">
        <v>0</v>
      </c>
      <c r="R567" s="3">
        <v>0</v>
      </c>
    </row>
    <row r="568" spans="1:18">
      <c r="A568" s="3" t="s">
        <v>4207</v>
      </c>
      <c r="B568" s="3" t="s">
        <v>4208</v>
      </c>
      <c r="C568" s="3" t="s">
        <v>3138</v>
      </c>
      <c r="D568" s="3" t="s">
        <v>131</v>
      </c>
      <c r="E568" s="3" t="s">
        <v>867</v>
      </c>
      <c r="F568" s="3">
        <v>23.98</v>
      </c>
      <c r="G568" s="3" t="s">
        <v>3391</v>
      </c>
      <c r="H568" s="3"/>
      <c r="I568" s="3" t="s">
        <v>3392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0.16</v>
      </c>
      <c r="P568" s="3">
        <v>0</v>
      </c>
      <c r="Q568" s="3">
        <v>0</v>
      </c>
      <c r="R568" s="3">
        <v>0</v>
      </c>
    </row>
    <row r="569" spans="1:18">
      <c r="A569" s="3" t="s">
        <v>142</v>
      </c>
      <c r="B569" s="3" t="s">
        <v>143</v>
      </c>
      <c r="C569" s="3" t="s">
        <v>144</v>
      </c>
      <c r="D569" s="3" t="s">
        <v>131</v>
      </c>
      <c r="E569" s="3" t="s">
        <v>867</v>
      </c>
      <c r="F569" s="3">
        <v>23.98</v>
      </c>
      <c r="G569" s="3" t="s">
        <v>3391</v>
      </c>
      <c r="H569" s="3"/>
      <c r="I569" s="3" t="s">
        <v>3392</v>
      </c>
      <c r="J569" s="3">
        <v>1</v>
      </c>
      <c r="K569" s="3">
        <v>0</v>
      </c>
      <c r="L569" s="3">
        <v>0</v>
      </c>
      <c r="M569" s="3">
        <v>1</v>
      </c>
      <c r="N569" s="3">
        <v>2</v>
      </c>
      <c r="O569" s="3">
        <v>0.2</v>
      </c>
      <c r="P569" s="3">
        <v>0</v>
      </c>
      <c r="Q569" s="3">
        <v>1</v>
      </c>
      <c r="R569" s="3">
        <v>0</v>
      </c>
    </row>
    <row r="570" spans="1:18">
      <c r="A570" s="3" t="s">
        <v>139</v>
      </c>
      <c r="B570" s="3" t="s">
        <v>140</v>
      </c>
      <c r="C570" s="3" t="s">
        <v>141</v>
      </c>
      <c r="D570" s="3" t="s">
        <v>131</v>
      </c>
      <c r="E570" s="3" t="s">
        <v>867</v>
      </c>
      <c r="F570" s="3">
        <v>23.98</v>
      </c>
      <c r="G570" s="3" t="s">
        <v>3391</v>
      </c>
      <c r="H570" s="3"/>
      <c r="I570" s="3" t="s">
        <v>3392</v>
      </c>
      <c r="J570" s="3">
        <v>11</v>
      </c>
      <c r="K570" s="3">
        <v>3</v>
      </c>
      <c r="L570" s="3">
        <v>0</v>
      </c>
      <c r="M570" s="3">
        <v>8</v>
      </c>
      <c r="N570" s="3">
        <v>27</v>
      </c>
      <c r="O570" s="3">
        <v>0.2</v>
      </c>
      <c r="P570" s="3">
        <v>0</v>
      </c>
      <c r="Q570" s="3">
        <v>16</v>
      </c>
      <c r="R570" s="3">
        <v>0</v>
      </c>
    </row>
    <row r="571" spans="1:18">
      <c r="A571" s="3" t="s">
        <v>128</v>
      </c>
      <c r="B571" s="3" t="s">
        <v>129</v>
      </c>
      <c r="C571" s="3" t="s">
        <v>130</v>
      </c>
      <c r="D571" s="3" t="s">
        <v>131</v>
      </c>
      <c r="E571" s="3" t="s">
        <v>867</v>
      </c>
      <c r="F571" s="3">
        <v>23.98</v>
      </c>
      <c r="G571" s="3" t="s">
        <v>3391</v>
      </c>
      <c r="H571" s="3"/>
      <c r="I571" s="3" t="s">
        <v>3392</v>
      </c>
      <c r="J571" s="3">
        <v>4</v>
      </c>
      <c r="K571" s="3">
        <v>0</v>
      </c>
      <c r="L571" s="3">
        <v>0</v>
      </c>
      <c r="M571" s="3">
        <v>4</v>
      </c>
      <c r="N571" s="3">
        <v>23</v>
      </c>
      <c r="O571" s="3">
        <v>0.2</v>
      </c>
      <c r="P571" s="3">
        <v>0</v>
      </c>
      <c r="Q571" s="3">
        <v>19</v>
      </c>
      <c r="R571" s="3">
        <v>0</v>
      </c>
    </row>
    <row r="572" spans="1:18">
      <c r="A572" s="3" t="s">
        <v>2746</v>
      </c>
      <c r="B572" s="3" t="s">
        <v>2747</v>
      </c>
      <c r="C572" s="3" t="s">
        <v>2748</v>
      </c>
      <c r="D572" s="3" t="s">
        <v>2749</v>
      </c>
      <c r="E572" s="3" t="s">
        <v>867</v>
      </c>
      <c r="F572" s="3">
        <v>23.99</v>
      </c>
      <c r="G572" s="3" t="s">
        <v>3391</v>
      </c>
      <c r="H572" s="3"/>
      <c r="I572" s="3" t="s">
        <v>3392</v>
      </c>
      <c r="J572" s="3">
        <v>19</v>
      </c>
      <c r="K572" s="3">
        <v>19</v>
      </c>
      <c r="L572" s="3">
        <v>0</v>
      </c>
      <c r="M572" s="3">
        <v>0</v>
      </c>
      <c r="N572" s="3">
        <v>19</v>
      </c>
      <c r="O572" s="3">
        <v>0.07</v>
      </c>
      <c r="P572" s="3">
        <v>0</v>
      </c>
      <c r="Q572" s="3">
        <v>0</v>
      </c>
      <c r="R572" s="3">
        <v>0</v>
      </c>
    </row>
    <row r="573" spans="1:18">
      <c r="A573" s="3" t="s">
        <v>2126</v>
      </c>
      <c r="B573" s="3" t="s">
        <v>2127</v>
      </c>
      <c r="C573" s="3" t="s">
        <v>535</v>
      </c>
      <c r="D573" s="3" t="s">
        <v>536</v>
      </c>
      <c r="E573" s="3" t="s">
        <v>867</v>
      </c>
      <c r="F573" s="3">
        <v>23.99</v>
      </c>
      <c r="G573" s="3" t="s">
        <v>3391</v>
      </c>
      <c r="H573" s="3"/>
      <c r="I573" s="3" t="s">
        <v>3392</v>
      </c>
      <c r="J573" s="3">
        <v>17</v>
      </c>
      <c r="K573" s="3">
        <v>17</v>
      </c>
      <c r="L573" s="3">
        <v>0</v>
      </c>
      <c r="M573" s="3">
        <v>0</v>
      </c>
      <c r="N573" s="3">
        <v>17</v>
      </c>
      <c r="O573" s="3">
        <v>0.15</v>
      </c>
      <c r="P573" s="3">
        <v>0</v>
      </c>
      <c r="Q573" s="3">
        <v>0</v>
      </c>
      <c r="R573" s="3">
        <v>0</v>
      </c>
    </row>
    <row r="574" spans="1:18">
      <c r="A574" s="3" t="s">
        <v>4209</v>
      </c>
      <c r="B574" s="3" t="s">
        <v>4210</v>
      </c>
      <c r="C574" s="3" t="s">
        <v>2387</v>
      </c>
      <c r="D574" s="3" t="s">
        <v>2388</v>
      </c>
      <c r="E574" s="3" t="s">
        <v>867</v>
      </c>
      <c r="F574" s="3">
        <v>23.99</v>
      </c>
      <c r="G574" s="3" t="s">
        <v>3391</v>
      </c>
      <c r="H574" s="3"/>
      <c r="I574" s="3" t="s">
        <v>3392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0.15</v>
      </c>
      <c r="P574" s="3">
        <v>0</v>
      </c>
      <c r="Q574" s="3">
        <v>0</v>
      </c>
      <c r="R574" s="3">
        <v>0</v>
      </c>
    </row>
    <row r="575" spans="1:18">
      <c r="A575" s="3" t="s">
        <v>4211</v>
      </c>
      <c r="B575" s="3" t="s">
        <v>4212</v>
      </c>
      <c r="C575" s="3" t="s">
        <v>4213</v>
      </c>
      <c r="D575" s="3" t="s">
        <v>4214</v>
      </c>
      <c r="E575" s="3" t="s">
        <v>867</v>
      </c>
      <c r="F575" s="3">
        <v>23.99</v>
      </c>
      <c r="G575" s="3" t="s">
        <v>3391</v>
      </c>
      <c r="H575" s="3"/>
      <c r="I575" s="3" t="s">
        <v>3392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0.15</v>
      </c>
      <c r="P575" s="3">
        <v>0</v>
      </c>
      <c r="Q575" s="3">
        <v>0</v>
      </c>
      <c r="R575" s="3">
        <v>0</v>
      </c>
    </row>
    <row r="576" spans="1:18">
      <c r="A576" s="3" t="s">
        <v>120</v>
      </c>
      <c r="B576" s="3" t="s">
        <v>121</v>
      </c>
      <c r="C576" s="3" t="s">
        <v>122</v>
      </c>
      <c r="D576" s="3" t="s">
        <v>123</v>
      </c>
      <c r="E576" s="3" t="s">
        <v>867</v>
      </c>
      <c r="F576" s="3">
        <v>23.99</v>
      </c>
      <c r="G576" s="3" t="s">
        <v>3391</v>
      </c>
      <c r="H576" s="3"/>
      <c r="I576" s="3" t="s">
        <v>3392</v>
      </c>
      <c r="J576" s="3">
        <v>19</v>
      </c>
      <c r="K576" s="3">
        <v>18</v>
      </c>
      <c r="L576" s="3">
        <v>0</v>
      </c>
      <c r="M576" s="3">
        <v>1</v>
      </c>
      <c r="N576" s="3">
        <v>19</v>
      </c>
      <c r="O576" s="3">
        <v>0.15</v>
      </c>
      <c r="P576" s="3">
        <v>0</v>
      </c>
      <c r="Q576" s="3">
        <v>0</v>
      </c>
      <c r="R576" s="3">
        <v>0</v>
      </c>
    </row>
    <row r="577" spans="1:18">
      <c r="A577" s="3" t="s">
        <v>4215</v>
      </c>
      <c r="B577" s="3" t="s">
        <v>4216</v>
      </c>
      <c r="C577" s="3" t="s">
        <v>4217</v>
      </c>
      <c r="D577" s="3" t="s">
        <v>4218</v>
      </c>
      <c r="E577" s="3" t="s">
        <v>867</v>
      </c>
      <c r="F577" s="3">
        <v>23.99</v>
      </c>
      <c r="G577" s="3" t="s">
        <v>3391</v>
      </c>
      <c r="H577" s="3"/>
      <c r="I577" s="3" t="s">
        <v>3392</v>
      </c>
      <c r="J577" s="3">
        <v>1</v>
      </c>
      <c r="K577" s="3">
        <v>0</v>
      </c>
      <c r="L577" s="3">
        <v>1</v>
      </c>
      <c r="M577" s="3">
        <v>0</v>
      </c>
      <c r="N577" s="3">
        <v>13</v>
      </c>
      <c r="O577" s="3">
        <v>0.12</v>
      </c>
      <c r="P577" s="3">
        <v>0</v>
      </c>
      <c r="Q577" s="3">
        <v>12</v>
      </c>
      <c r="R577" s="3">
        <v>0</v>
      </c>
    </row>
    <row r="578" spans="1:18">
      <c r="A578" s="3" t="s">
        <v>4219</v>
      </c>
      <c r="B578" s="3" t="s">
        <v>4220</v>
      </c>
      <c r="C578" s="3" t="s">
        <v>4221</v>
      </c>
      <c r="D578" s="3"/>
      <c r="E578" s="3" t="s">
        <v>3293</v>
      </c>
      <c r="F578" s="3"/>
      <c r="G578" s="3"/>
      <c r="H578" s="3"/>
      <c r="I578" s="3"/>
      <c r="J578" s="3">
        <v>0</v>
      </c>
      <c r="K578" s="3">
        <v>0</v>
      </c>
      <c r="L578" s="3">
        <v>0</v>
      </c>
      <c r="M578" s="3">
        <v>0</v>
      </c>
      <c r="N578" s="3">
        <v>15</v>
      </c>
      <c r="O578" s="3"/>
      <c r="P578" s="3">
        <v>0</v>
      </c>
      <c r="Q578" s="3">
        <v>15</v>
      </c>
      <c r="R578" s="3">
        <v>0</v>
      </c>
    </row>
    <row r="579" spans="1:18">
      <c r="A579" s="3" t="s">
        <v>899</v>
      </c>
      <c r="B579" s="3" t="s">
        <v>900</v>
      </c>
      <c r="C579" s="3" t="s">
        <v>901</v>
      </c>
      <c r="D579" s="3" t="s">
        <v>902</v>
      </c>
      <c r="E579" s="3" t="s">
        <v>867</v>
      </c>
      <c r="F579" s="3">
        <v>23.99</v>
      </c>
      <c r="G579" s="3" t="s">
        <v>3391</v>
      </c>
      <c r="H579" s="3"/>
      <c r="I579" s="3" t="s">
        <v>3392</v>
      </c>
      <c r="J579" s="3">
        <v>20</v>
      </c>
      <c r="K579" s="3">
        <v>20</v>
      </c>
      <c r="L579" s="3">
        <v>0</v>
      </c>
      <c r="M579" s="3">
        <v>0</v>
      </c>
      <c r="N579" s="3">
        <v>20</v>
      </c>
      <c r="O579" s="3">
        <v>0.15</v>
      </c>
      <c r="P579" s="3">
        <v>0</v>
      </c>
      <c r="Q579" s="3">
        <v>0</v>
      </c>
      <c r="R579" s="3">
        <v>0</v>
      </c>
    </row>
    <row r="580" spans="1:18">
      <c r="A580" s="3" t="s">
        <v>2376</v>
      </c>
      <c r="B580" s="3" t="s">
        <v>2377</v>
      </c>
      <c r="C580" s="3" t="s">
        <v>2378</v>
      </c>
      <c r="D580" s="3" t="s">
        <v>2379</v>
      </c>
      <c r="E580" s="3" t="s">
        <v>867</v>
      </c>
      <c r="F580" s="3">
        <v>23.99</v>
      </c>
      <c r="G580" s="3" t="s">
        <v>3391</v>
      </c>
      <c r="H580" s="3"/>
      <c r="I580" s="3" t="s">
        <v>3392</v>
      </c>
      <c r="J580" s="3">
        <v>23</v>
      </c>
      <c r="K580" s="3">
        <v>23</v>
      </c>
      <c r="L580" s="3">
        <v>0</v>
      </c>
      <c r="M580" s="3">
        <v>0</v>
      </c>
      <c r="N580" s="3">
        <v>23</v>
      </c>
      <c r="O580" s="3">
        <v>0.15</v>
      </c>
      <c r="P580" s="3">
        <v>0</v>
      </c>
      <c r="Q580" s="3">
        <v>0</v>
      </c>
      <c r="R580" s="3">
        <v>0</v>
      </c>
    </row>
    <row r="581" spans="1:18">
      <c r="A581" s="3" t="s">
        <v>884</v>
      </c>
      <c r="B581" s="3" t="s">
        <v>885</v>
      </c>
      <c r="C581" s="3" t="s">
        <v>886</v>
      </c>
      <c r="D581" s="3" t="s">
        <v>887</v>
      </c>
      <c r="E581" s="3" t="s">
        <v>867</v>
      </c>
      <c r="F581" s="3">
        <v>23.99</v>
      </c>
      <c r="G581" s="3" t="s">
        <v>3391</v>
      </c>
      <c r="H581" s="3"/>
      <c r="I581" s="3" t="s">
        <v>3392</v>
      </c>
      <c r="J581" s="3">
        <v>18</v>
      </c>
      <c r="K581" s="3">
        <v>18</v>
      </c>
      <c r="L581" s="3">
        <v>0</v>
      </c>
      <c r="M581" s="3">
        <v>0</v>
      </c>
      <c r="N581" s="3">
        <v>18</v>
      </c>
      <c r="O581" s="3">
        <v>0.15</v>
      </c>
      <c r="P581" s="3">
        <v>0</v>
      </c>
      <c r="Q581" s="3">
        <v>0</v>
      </c>
      <c r="R581" s="3">
        <v>0</v>
      </c>
    </row>
    <row r="582" spans="1:18">
      <c r="A582" s="3" t="s">
        <v>2609</v>
      </c>
      <c r="B582" s="3" t="s">
        <v>2610</v>
      </c>
      <c r="C582" s="3" t="s">
        <v>991</v>
      </c>
      <c r="D582" s="3" t="s">
        <v>992</v>
      </c>
      <c r="E582" s="3" t="s">
        <v>867</v>
      </c>
      <c r="F582" s="3">
        <v>23.99</v>
      </c>
      <c r="G582" s="3" t="s">
        <v>3391</v>
      </c>
      <c r="H582" s="3"/>
      <c r="I582" s="3" t="s">
        <v>3392</v>
      </c>
      <c r="J582" s="3">
        <v>10</v>
      </c>
      <c r="K582" s="3">
        <v>9</v>
      </c>
      <c r="L582" s="3">
        <v>1</v>
      </c>
      <c r="M582" s="3">
        <v>0</v>
      </c>
      <c r="N582" s="3">
        <v>10</v>
      </c>
      <c r="O582" s="3">
        <v>0.15</v>
      </c>
      <c r="P582" s="3">
        <v>0</v>
      </c>
      <c r="Q582" s="3">
        <v>0</v>
      </c>
      <c r="R582" s="3">
        <v>0</v>
      </c>
    </row>
    <row r="583" spans="1:18">
      <c r="A583" s="3" t="s">
        <v>4222</v>
      </c>
      <c r="B583" s="3" t="s">
        <v>4223</v>
      </c>
      <c r="C583" s="3" t="s">
        <v>524</v>
      </c>
      <c r="D583" s="3" t="s">
        <v>525</v>
      </c>
      <c r="E583" s="3" t="s">
        <v>867</v>
      </c>
      <c r="F583" s="3">
        <v>23.99</v>
      </c>
      <c r="G583" s="3" t="s">
        <v>3391</v>
      </c>
      <c r="H583" s="3"/>
      <c r="I583" s="3" t="s">
        <v>3392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0.15</v>
      </c>
      <c r="P583" s="3">
        <v>0</v>
      </c>
      <c r="Q583" s="3">
        <v>0</v>
      </c>
      <c r="R583" s="3">
        <v>0</v>
      </c>
    </row>
    <row r="584" spans="1:18">
      <c r="A584" s="3" t="s">
        <v>4224</v>
      </c>
      <c r="B584" s="3" t="s">
        <v>4225</v>
      </c>
      <c r="C584" s="3" t="s">
        <v>893</v>
      </c>
      <c r="D584" s="3" t="s">
        <v>894</v>
      </c>
      <c r="E584" s="3" t="s">
        <v>867</v>
      </c>
      <c r="F584" s="3">
        <v>23.99</v>
      </c>
      <c r="G584" s="3" t="s">
        <v>3391</v>
      </c>
      <c r="H584" s="3"/>
      <c r="I584" s="3" t="s">
        <v>3392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0.15</v>
      </c>
      <c r="P584" s="3">
        <v>0</v>
      </c>
      <c r="Q584" s="3">
        <v>0</v>
      </c>
      <c r="R584" s="3">
        <v>0</v>
      </c>
    </row>
    <row r="585" spans="1:18">
      <c r="A585" s="3" t="s">
        <v>4226</v>
      </c>
      <c r="B585" s="3" t="s">
        <v>4227</v>
      </c>
      <c r="C585" s="3" t="s">
        <v>2487</v>
      </c>
      <c r="D585" s="3" t="s">
        <v>2488</v>
      </c>
      <c r="E585" s="3" t="s">
        <v>867</v>
      </c>
      <c r="F585" s="3">
        <v>23.99</v>
      </c>
      <c r="G585" s="3" t="s">
        <v>3391</v>
      </c>
      <c r="H585" s="3"/>
      <c r="I585" s="3" t="s">
        <v>3392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0.15</v>
      </c>
      <c r="P585" s="3">
        <v>0</v>
      </c>
      <c r="Q585" s="3">
        <v>0</v>
      </c>
      <c r="R585" s="3">
        <v>0</v>
      </c>
    </row>
    <row r="586" spans="1:18">
      <c r="A586" s="3" t="s">
        <v>3100</v>
      </c>
      <c r="B586" s="3" t="s">
        <v>3101</v>
      </c>
      <c r="C586" s="3" t="s">
        <v>3102</v>
      </c>
      <c r="D586" s="3" t="s">
        <v>2310</v>
      </c>
      <c r="E586" s="3" t="s">
        <v>867</v>
      </c>
      <c r="F586" s="3">
        <v>23.99</v>
      </c>
      <c r="G586" s="3" t="s">
        <v>3391</v>
      </c>
      <c r="H586" s="3"/>
      <c r="I586" s="3" t="s">
        <v>3392</v>
      </c>
      <c r="J586" s="3">
        <v>9</v>
      </c>
      <c r="K586" s="3">
        <v>9</v>
      </c>
      <c r="L586" s="3">
        <v>0</v>
      </c>
      <c r="M586" s="3">
        <v>0</v>
      </c>
      <c r="N586" s="3">
        <v>9</v>
      </c>
      <c r="O586" s="3">
        <v>0.15</v>
      </c>
      <c r="P586" s="3">
        <v>0</v>
      </c>
      <c r="Q586" s="3">
        <v>0</v>
      </c>
      <c r="R586" s="3">
        <v>0</v>
      </c>
    </row>
    <row r="587" spans="1:18">
      <c r="A587" s="3" t="s">
        <v>1631</v>
      </c>
      <c r="B587" s="3" t="s">
        <v>1632</v>
      </c>
      <c r="C587" s="3" t="s">
        <v>1562</v>
      </c>
      <c r="D587" s="3" t="s">
        <v>1563</v>
      </c>
      <c r="E587" s="3" t="s">
        <v>867</v>
      </c>
      <c r="F587" s="3">
        <v>23.99</v>
      </c>
      <c r="G587" s="3" t="s">
        <v>3391</v>
      </c>
      <c r="H587" s="3"/>
      <c r="I587" s="3" t="s">
        <v>3392</v>
      </c>
      <c r="J587" s="3">
        <v>24</v>
      </c>
      <c r="K587" s="3">
        <v>24</v>
      </c>
      <c r="L587" s="3">
        <v>0</v>
      </c>
      <c r="M587" s="3">
        <v>0</v>
      </c>
      <c r="N587" s="3">
        <v>24</v>
      </c>
      <c r="O587" s="3">
        <v>0.12</v>
      </c>
      <c r="P587" s="3">
        <v>0</v>
      </c>
      <c r="Q587" s="3">
        <v>0</v>
      </c>
      <c r="R587" s="3">
        <v>0</v>
      </c>
    </row>
    <row r="588" spans="1:18">
      <c r="A588" s="3" t="s">
        <v>2771</v>
      </c>
      <c r="B588" s="3" t="s">
        <v>2772</v>
      </c>
      <c r="C588" s="3" t="s">
        <v>1581</v>
      </c>
      <c r="D588" s="3" t="s">
        <v>1582</v>
      </c>
      <c r="E588" s="3" t="s">
        <v>867</v>
      </c>
      <c r="F588" s="3">
        <v>23.99</v>
      </c>
      <c r="G588" s="3" t="s">
        <v>3391</v>
      </c>
      <c r="H588" s="3"/>
      <c r="I588" s="3" t="s">
        <v>3392</v>
      </c>
      <c r="J588" s="3">
        <v>21</v>
      </c>
      <c r="K588" s="3">
        <v>21</v>
      </c>
      <c r="L588" s="3">
        <v>0</v>
      </c>
      <c r="M588" s="3">
        <v>0</v>
      </c>
      <c r="N588" s="3">
        <v>21</v>
      </c>
      <c r="O588" s="3">
        <v>0.15</v>
      </c>
      <c r="P588" s="3">
        <v>0</v>
      </c>
      <c r="Q588" s="3">
        <v>0</v>
      </c>
      <c r="R588" s="3">
        <v>0</v>
      </c>
    </row>
    <row r="589" spans="1:18">
      <c r="A589" s="3" t="s">
        <v>4228</v>
      </c>
      <c r="B589" s="3" t="s">
        <v>4229</v>
      </c>
      <c r="C589" s="3" t="s">
        <v>1180</v>
      </c>
      <c r="D589" s="3" t="s">
        <v>1181</v>
      </c>
      <c r="E589" s="3" t="s">
        <v>867</v>
      </c>
      <c r="F589" s="3">
        <v>23.99</v>
      </c>
      <c r="G589" s="3" t="s">
        <v>3391</v>
      </c>
      <c r="H589" s="3"/>
      <c r="I589" s="3" t="s">
        <v>3392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0.15</v>
      </c>
      <c r="P589" s="3">
        <v>0</v>
      </c>
      <c r="Q589" s="3">
        <v>0</v>
      </c>
      <c r="R589" s="3">
        <v>0</v>
      </c>
    </row>
    <row r="590" spans="1:18">
      <c r="A590" s="3" t="s">
        <v>3235</v>
      </c>
      <c r="B590" s="3" t="s">
        <v>3236</v>
      </c>
      <c r="C590" s="3" t="s">
        <v>2184</v>
      </c>
      <c r="D590" s="3" t="s">
        <v>2185</v>
      </c>
      <c r="E590" s="3" t="s">
        <v>867</v>
      </c>
      <c r="F590" s="3">
        <v>23.99</v>
      </c>
      <c r="G590" s="3" t="s">
        <v>3391</v>
      </c>
      <c r="H590" s="3"/>
      <c r="I590" s="3" t="s">
        <v>3392</v>
      </c>
      <c r="J590" s="3">
        <v>6</v>
      </c>
      <c r="K590" s="3">
        <v>6</v>
      </c>
      <c r="L590" s="3">
        <v>0</v>
      </c>
      <c r="M590" s="3">
        <v>0</v>
      </c>
      <c r="N590" s="3">
        <v>6</v>
      </c>
      <c r="O590" s="3">
        <v>0.15</v>
      </c>
      <c r="P590" s="3">
        <v>0</v>
      </c>
      <c r="Q590" s="3">
        <v>0</v>
      </c>
      <c r="R590" s="3">
        <v>0</v>
      </c>
    </row>
    <row r="591" spans="1:18">
      <c r="A591" s="3" t="s">
        <v>1776</v>
      </c>
      <c r="B591" s="3" t="s">
        <v>1777</v>
      </c>
      <c r="C591" s="3" t="s">
        <v>1778</v>
      </c>
      <c r="D591" s="3" t="s">
        <v>1779</v>
      </c>
      <c r="E591" s="3" t="s">
        <v>867</v>
      </c>
      <c r="F591" s="3">
        <v>23.99</v>
      </c>
      <c r="G591" s="3" t="s">
        <v>3391</v>
      </c>
      <c r="H591" s="3"/>
      <c r="I591" s="3" t="s">
        <v>3392</v>
      </c>
      <c r="J591" s="3">
        <v>15</v>
      </c>
      <c r="K591" s="3">
        <v>15</v>
      </c>
      <c r="L591" s="3">
        <v>0</v>
      </c>
      <c r="M591" s="3">
        <v>0</v>
      </c>
      <c r="N591" s="3">
        <v>18</v>
      </c>
      <c r="O591" s="3">
        <v>0.15</v>
      </c>
      <c r="P591" s="3">
        <v>0</v>
      </c>
      <c r="Q591" s="3">
        <v>3</v>
      </c>
      <c r="R591" s="3">
        <v>0</v>
      </c>
    </row>
    <row r="592" spans="1:18">
      <c r="A592" s="3" t="s">
        <v>1168</v>
      </c>
      <c r="B592" s="3" t="s">
        <v>1169</v>
      </c>
      <c r="C592" s="3" t="s">
        <v>1170</v>
      </c>
      <c r="D592" s="3" t="s">
        <v>1171</v>
      </c>
      <c r="E592" s="3" t="s">
        <v>867</v>
      </c>
      <c r="F592" s="3">
        <v>23.99</v>
      </c>
      <c r="G592" s="3" t="s">
        <v>3391</v>
      </c>
      <c r="H592" s="3"/>
      <c r="I592" s="3" t="s">
        <v>3392</v>
      </c>
      <c r="J592" s="3">
        <v>13</v>
      </c>
      <c r="K592" s="3">
        <v>13</v>
      </c>
      <c r="L592" s="3">
        <v>0</v>
      </c>
      <c r="M592" s="3">
        <v>0</v>
      </c>
      <c r="N592" s="3">
        <v>13</v>
      </c>
      <c r="O592" s="3">
        <v>0.15</v>
      </c>
      <c r="P592" s="3">
        <v>0</v>
      </c>
      <c r="Q592" s="3">
        <v>0</v>
      </c>
      <c r="R592" s="3">
        <v>0</v>
      </c>
    </row>
    <row r="593" spans="1:18">
      <c r="A593" s="3" t="s">
        <v>4230</v>
      </c>
      <c r="B593" s="3" t="s">
        <v>4231</v>
      </c>
      <c r="C593" s="3" t="s">
        <v>3273</v>
      </c>
      <c r="D593" s="3" t="s">
        <v>3274</v>
      </c>
      <c r="E593" s="3" t="s">
        <v>867</v>
      </c>
      <c r="F593" s="3">
        <v>23.99</v>
      </c>
      <c r="G593" s="3" t="s">
        <v>3391</v>
      </c>
      <c r="H593" s="3"/>
      <c r="I593" s="3" t="s">
        <v>3392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0.15</v>
      </c>
      <c r="P593" s="3">
        <v>0</v>
      </c>
      <c r="Q593" s="3">
        <v>0</v>
      </c>
      <c r="R593" s="3">
        <v>0</v>
      </c>
    </row>
    <row r="594" spans="1:18">
      <c r="A594" s="3" t="s">
        <v>4232</v>
      </c>
      <c r="B594" s="3" t="s">
        <v>4233</v>
      </c>
      <c r="C594" s="3" t="s">
        <v>976</v>
      </c>
      <c r="D594" s="3" t="s">
        <v>977</v>
      </c>
      <c r="E594" s="3" t="s">
        <v>867</v>
      </c>
      <c r="F594" s="3">
        <v>23.99</v>
      </c>
      <c r="G594" s="3" t="s">
        <v>3391</v>
      </c>
      <c r="H594" s="3"/>
      <c r="I594" s="3" t="s">
        <v>3392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0.15</v>
      </c>
      <c r="P594" s="3">
        <v>0</v>
      </c>
      <c r="Q594" s="3">
        <v>0</v>
      </c>
      <c r="R594" s="3">
        <v>0</v>
      </c>
    </row>
    <row r="595" spans="1:18">
      <c r="A595" s="3" t="s">
        <v>4234</v>
      </c>
      <c r="B595" s="3" t="s">
        <v>4235</v>
      </c>
      <c r="C595" s="3" t="s">
        <v>4236</v>
      </c>
      <c r="D595" s="3" t="s">
        <v>4237</v>
      </c>
      <c r="E595" s="3" t="s">
        <v>867</v>
      </c>
      <c r="F595" s="3">
        <v>23.99</v>
      </c>
      <c r="G595" s="3" t="s">
        <v>3391</v>
      </c>
      <c r="H595" s="3"/>
      <c r="I595" s="3" t="s">
        <v>3392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0.15</v>
      </c>
      <c r="P595" s="3">
        <v>0</v>
      </c>
      <c r="Q595" s="3">
        <v>0</v>
      </c>
      <c r="R595" s="3">
        <v>0</v>
      </c>
    </row>
    <row r="596" spans="1:18">
      <c r="A596" s="3" t="s">
        <v>3068</v>
      </c>
      <c r="B596" s="3" t="s">
        <v>3069</v>
      </c>
      <c r="C596" s="3" t="s">
        <v>1807</v>
      </c>
      <c r="D596" s="3" t="s">
        <v>1808</v>
      </c>
      <c r="E596" s="3" t="s">
        <v>867</v>
      </c>
      <c r="F596" s="3">
        <v>23.99</v>
      </c>
      <c r="G596" s="3" t="s">
        <v>3391</v>
      </c>
      <c r="H596" s="3"/>
      <c r="I596" s="3" t="s">
        <v>3392</v>
      </c>
      <c r="J596" s="3">
        <v>9</v>
      </c>
      <c r="K596" s="3">
        <v>9</v>
      </c>
      <c r="L596" s="3">
        <v>0</v>
      </c>
      <c r="M596" s="3">
        <v>0</v>
      </c>
      <c r="N596" s="3">
        <v>9</v>
      </c>
      <c r="O596" s="3">
        <v>0.15</v>
      </c>
      <c r="P596" s="3">
        <v>0</v>
      </c>
      <c r="Q596" s="3">
        <v>0</v>
      </c>
      <c r="R596" s="3">
        <v>0</v>
      </c>
    </row>
    <row r="597" spans="1:18">
      <c r="A597" s="3" t="s">
        <v>152</v>
      </c>
      <c r="B597" s="3" t="s">
        <v>153</v>
      </c>
      <c r="C597" s="3" t="s">
        <v>154</v>
      </c>
      <c r="D597" s="3" t="s">
        <v>155</v>
      </c>
      <c r="E597" s="3" t="s">
        <v>867</v>
      </c>
      <c r="F597" s="3">
        <v>23.99</v>
      </c>
      <c r="G597" s="3" t="s">
        <v>3391</v>
      </c>
      <c r="H597" s="3"/>
      <c r="I597" s="3" t="s">
        <v>3392</v>
      </c>
      <c r="J597" s="3">
        <v>8</v>
      </c>
      <c r="K597" s="3">
        <v>6</v>
      </c>
      <c r="L597" s="3">
        <v>0</v>
      </c>
      <c r="M597" s="3">
        <v>2</v>
      </c>
      <c r="N597" s="3">
        <v>8</v>
      </c>
      <c r="O597" s="3">
        <v>0.15</v>
      </c>
      <c r="P597" s="3">
        <v>0</v>
      </c>
      <c r="Q597" s="3">
        <v>0</v>
      </c>
      <c r="R597" s="3">
        <v>0</v>
      </c>
    </row>
    <row r="598" spans="1:18">
      <c r="A598" s="3" t="s">
        <v>1004</v>
      </c>
      <c r="B598" s="3" t="s">
        <v>1005</v>
      </c>
      <c r="C598" s="3" t="s">
        <v>1006</v>
      </c>
      <c r="D598" s="3" t="s">
        <v>1007</v>
      </c>
      <c r="E598" s="3" t="s">
        <v>867</v>
      </c>
      <c r="F598" s="3">
        <v>23.99</v>
      </c>
      <c r="G598" s="3" t="s">
        <v>3391</v>
      </c>
      <c r="H598" s="3"/>
      <c r="I598" s="3" t="s">
        <v>3392</v>
      </c>
      <c r="J598" s="3">
        <v>3</v>
      </c>
      <c r="K598" s="3">
        <v>3</v>
      </c>
      <c r="L598" s="3">
        <v>0</v>
      </c>
      <c r="M598" s="3">
        <v>0</v>
      </c>
      <c r="N598" s="3">
        <v>3</v>
      </c>
      <c r="O598" s="3">
        <v>0.15</v>
      </c>
      <c r="P598" s="3">
        <v>0</v>
      </c>
      <c r="Q598" s="3">
        <v>0</v>
      </c>
      <c r="R598" s="3">
        <v>0</v>
      </c>
    </row>
    <row r="599" spans="1:18">
      <c r="A599" s="3" t="s">
        <v>1646</v>
      </c>
      <c r="B599" s="3" t="s">
        <v>1647</v>
      </c>
      <c r="C599" s="3" t="s">
        <v>1006</v>
      </c>
      <c r="D599" s="3" t="s">
        <v>1007</v>
      </c>
      <c r="E599" s="3" t="s">
        <v>867</v>
      </c>
      <c r="F599" s="3">
        <v>23.99</v>
      </c>
      <c r="G599" s="3" t="s">
        <v>3392</v>
      </c>
      <c r="H599" s="3">
        <v>0</v>
      </c>
      <c r="I599" s="3" t="s">
        <v>3391</v>
      </c>
      <c r="J599" s="3">
        <v>15</v>
      </c>
      <c r="K599" s="3">
        <v>15</v>
      </c>
      <c r="L599" s="3">
        <v>0</v>
      </c>
      <c r="M599" s="3">
        <v>0</v>
      </c>
      <c r="N599" s="3">
        <v>15</v>
      </c>
      <c r="O599" s="3">
        <v>0.15</v>
      </c>
      <c r="P599" s="3">
        <v>0</v>
      </c>
      <c r="Q599" s="3">
        <v>0</v>
      </c>
      <c r="R599" s="3">
        <v>0</v>
      </c>
    </row>
    <row r="600" spans="1:18">
      <c r="A600" s="3" t="s">
        <v>4238</v>
      </c>
      <c r="B600" s="3" t="s">
        <v>4239</v>
      </c>
      <c r="C600" s="3" t="s">
        <v>4240</v>
      </c>
      <c r="D600" s="3" t="s">
        <v>4241</v>
      </c>
      <c r="E600" s="3" t="s">
        <v>867</v>
      </c>
      <c r="F600" s="3">
        <v>23.99</v>
      </c>
      <c r="G600" s="3" t="s">
        <v>3391</v>
      </c>
      <c r="H600" s="3"/>
      <c r="I600" s="3" t="s">
        <v>3392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0.14</v>
      </c>
      <c r="P600" s="3">
        <v>0</v>
      </c>
      <c r="Q600" s="3">
        <v>0</v>
      </c>
      <c r="R600" s="3">
        <v>0</v>
      </c>
    </row>
    <row r="601" spans="1:18">
      <c r="A601" s="3" t="s">
        <v>4242</v>
      </c>
      <c r="B601" s="3" t="s">
        <v>4243</v>
      </c>
      <c r="C601" s="3" t="s">
        <v>530</v>
      </c>
      <c r="D601" s="3" t="s">
        <v>531</v>
      </c>
      <c r="E601" s="3" t="s">
        <v>867</v>
      </c>
      <c r="F601" s="3">
        <v>23.99</v>
      </c>
      <c r="G601" s="3" t="s">
        <v>3391</v>
      </c>
      <c r="H601" s="3"/>
      <c r="I601" s="3" t="s">
        <v>3392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0.14</v>
      </c>
      <c r="P601" s="3">
        <v>0</v>
      </c>
      <c r="Q601" s="3">
        <v>0</v>
      </c>
      <c r="R601" s="3">
        <v>0</v>
      </c>
    </row>
    <row r="602" spans="1:18">
      <c r="A602" s="3" t="s">
        <v>3147</v>
      </c>
      <c r="B602" s="3" t="s">
        <v>3148</v>
      </c>
      <c r="C602" s="3" t="s">
        <v>541</v>
      </c>
      <c r="D602" s="3" t="s">
        <v>542</v>
      </c>
      <c r="E602" s="3" t="s">
        <v>867</v>
      </c>
      <c r="F602" s="3">
        <v>23.99</v>
      </c>
      <c r="G602" s="3" t="s">
        <v>3391</v>
      </c>
      <c r="H602" s="3"/>
      <c r="I602" s="3" t="s">
        <v>3392</v>
      </c>
      <c r="J602" s="3">
        <v>24</v>
      </c>
      <c r="K602" s="3">
        <v>24</v>
      </c>
      <c r="L602" s="3">
        <v>0</v>
      </c>
      <c r="M602" s="3">
        <v>0</v>
      </c>
      <c r="N602" s="3">
        <v>24</v>
      </c>
      <c r="O602" s="3">
        <v>0.15</v>
      </c>
      <c r="P602" s="3">
        <v>0</v>
      </c>
      <c r="Q602" s="3">
        <v>0</v>
      </c>
      <c r="R602" s="3">
        <v>0</v>
      </c>
    </row>
    <row r="603" spans="1:18">
      <c r="A603" s="3" t="s">
        <v>1222</v>
      </c>
      <c r="B603" s="3" t="s">
        <v>1223</v>
      </c>
      <c r="C603" s="3" t="s">
        <v>1224</v>
      </c>
      <c r="D603" s="3" t="s">
        <v>1225</v>
      </c>
      <c r="E603" s="3" t="s">
        <v>867</v>
      </c>
      <c r="F603" s="3">
        <v>23.99</v>
      </c>
      <c r="G603" s="3" t="s">
        <v>3391</v>
      </c>
      <c r="H603" s="3"/>
      <c r="I603" s="3" t="s">
        <v>3392</v>
      </c>
      <c r="J603" s="3">
        <v>21</v>
      </c>
      <c r="K603" s="3">
        <v>21</v>
      </c>
      <c r="L603" s="3">
        <v>0</v>
      </c>
      <c r="M603" s="3">
        <v>0</v>
      </c>
      <c r="N603" s="3">
        <v>21</v>
      </c>
      <c r="O603" s="3">
        <v>0.15</v>
      </c>
      <c r="P603" s="3">
        <v>0</v>
      </c>
      <c r="Q603" s="3">
        <v>0</v>
      </c>
      <c r="R603" s="3">
        <v>0</v>
      </c>
    </row>
    <row r="604" spans="1:18">
      <c r="A604" s="3" t="s">
        <v>2189</v>
      </c>
      <c r="B604" s="3" t="s">
        <v>2190</v>
      </c>
      <c r="C604" s="3" t="s">
        <v>2191</v>
      </c>
      <c r="D604" s="3" t="s">
        <v>2192</v>
      </c>
      <c r="E604" s="3" t="s">
        <v>867</v>
      </c>
      <c r="F604" s="3">
        <v>23.99</v>
      </c>
      <c r="G604" s="3" t="s">
        <v>3391</v>
      </c>
      <c r="H604" s="3"/>
      <c r="I604" s="3" t="s">
        <v>3392</v>
      </c>
      <c r="J604" s="3">
        <v>7</v>
      </c>
      <c r="K604" s="3">
        <v>7</v>
      </c>
      <c r="L604" s="3">
        <v>0</v>
      </c>
      <c r="M604" s="3">
        <v>0</v>
      </c>
      <c r="N604" s="3">
        <v>7</v>
      </c>
      <c r="O604" s="3">
        <v>0.15</v>
      </c>
      <c r="P604" s="3">
        <v>0</v>
      </c>
      <c r="Q604" s="3">
        <v>0</v>
      </c>
      <c r="R604" s="3">
        <v>0</v>
      </c>
    </row>
    <row r="605" spans="1:18">
      <c r="A605" s="3" t="s">
        <v>2258</v>
      </c>
      <c r="B605" s="3" t="s">
        <v>2259</v>
      </c>
      <c r="C605" s="3" t="s">
        <v>1042</v>
      </c>
      <c r="D605" s="3" t="s">
        <v>1043</v>
      </c>
      <c r="E605" s="3" t="s">
        <v>867</v>
      </c>
      <c r="F605" s="3">
        <v>23.99</v>
      </c>
      <c r="G605" s="3" t="s">
        <v>3391</v>
      </c>
      <c r="H605" s="3"/>
      <c r="I605" s="3" t="s">
        <v>3392</v>
      </c>
      <c r="J605" s="3">
        <v>2</v>
      </c>
      <c r="K605" s="3">
        <v>2</v>
      </c>
      <c r="L605" s="3">
        <v>0</v>
      </c>
      <c r="M605" s="3">
        <v>0</v>
      </c>
      <c r="N605" s="3">
        <v>2</v>
      </c>
      <c r="O605" s="3">
        <v>0.15</v>
      </c>
      <c r="P605" s="3">
        <v>0</v>
      </c>
      <c r="Q605" s="3">
        <v>0</v>
      </c>
      <c r="R605" s="3">
        <v>0</v>
      </c>
    </row>
    <row r="606" spans="1:18">
      <c r="A606" s="3" t="s">
        <v>2572</v>
      </c>
      <c r="B606" s="3" t="s">
        <v>2573</v>
      </c>
      <c r="C606" s="3" t="s">
        <v>2574</v>
      </c>
      <c r="D606" s="3" t="s">
        <v>2575</v>
      </c>
      <c r="E606" s="3" t="s">
        <v>867</v>
      </c>
      <c r="F606" s="3">
        <v>23.99</v>
      </c>
      <c r="G606" s="3" t="s">
        <v>3391</v>
      </c>
      <c r="H606" s="3"/>
      <c r="I606" s="3" t="s">
        <v>3392</v>
      </c>
      <c r="J606" s="3">
        <v>12</v>
      </c>
      <c r="K606" s="3">
        <v>12</v>
      </c>
      <c r="L606" s="3">
        <v>0</v>
      </c>
      <c r="M606" s="3">
        <v>0</v>
      </c>
      <c r="N606" s="3">
        <v>18</v>
      </c>
      <c r="O606" s="3">
        <v>0.15</v>
      </c>
      <c r="P606" s="3">
        <v>0</v>
      </c>
      <c r="Q606" s="3">
        <v>6</v>
      </c>
      <c r="R606" s="3">
        <v>0</v>
      </c>
    </row>
    <row r="607" spans="1:18">
      <c r="A607" s="3" t="s">
        <v>4244</v>
      </c>
      <c r="B607" s="3" t="s">
        <v>4245</v>
      </c>
      <c r="C607" s="3" t="s">
        <v>2288</v>
      </c>
      <c r="D607" s="3" t="s">
        <v>2289</v>
      </c>
      <c r="E607" s="3" t="s">
        <v>867</v>
      </c>
      <c r="F607" s="3">
        <v>23.99</v>
      </c>
      <c r="G607" s="3" t="s">
        <v>3391</v>
      </c>
      <c r="H607" s="3"/>
      <c r="I607" s="3" t="s">
        <v>3392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0.15</v>
      </c>
      <c r="P607" s="3">
        <v>0</v>
      </c>
      <c r="Q607" s="3">
        <v>0</v>
      </c>
      <c r="R607" s="3">
        <v>0</v>
      </c>
    </row>
    <row r="608" spans="1:18">
      <c r="A608" s="3" t="s">
        <v>4246</v>
      </c>
      <c r="B608" s="3" t="s">
        <v>4247</v>
      </c>
      <c r="C608" s="3" t="s">
        <v>1389</v>
      </c>
      <c r="D608" s="3" t="s">
        <v>1390</v>
      </c>
      <c r="E608" s="3" t="s">
        <v>867</v>
      </c>
      <c r="F608" s="3">
        <v>23.99</v>
      </c>
      <c r="G608" s="3" t="s">
        <v>3391</v>
      </c>
      <c r="H608" s="3"/>
      <c r="I608" s="3" t="s">
        <v>3392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0.15</v>
      </c>
      <c r="P608" s="3">
        <v>0</v>
      </c>
      <c r="Q608" s="3">
        <v>0</v>
      </c>
      <c r="R608" s="3">
        <v>0</v>
      </c>
    </row>
    <row r="609" spans="1:18">
      <c r="A609" s="3" t="s">
        <v>4248</v>
      </c>
      <c r="B609" s="3" t="s">
        <v>4249</v>
      </c>
      <c r="C609" s="3" t="s">
        <v>2343</v>
      </c>
      <c r="D609" s="3" t="s">
        <v>2344</v>
      </c>
      <c r="E609" s="3" t="s">
        <v>867</v>
      </c>
      <c r="F609" s="3">
        <v>23.99</v>
      </c>
      <c r="G609" s="3" t="s">
        <v>3391</v>
      </c>
      <c r="H609" s="3"/>
      <c r="I609" s="3" t="s">
        <v>3392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0.15</v>
      </c>
      <c r="P609" s="3">
        <v>0</v>
      </c>
      <c r="Q609" s="3">
        <v>0</v>
      </c>
      <c r="R609" s="3">
        <v>0</v>
      </c>
    </row>
    <row r="610" spans="1:18">
      <c r="A610" s="3" t="s">
        <v>4250</v>
      </c>
      <c r="B610" s="3" t="s">
        <v>4251</v>
      </c>
      <c r="C610" s="3" t="s">
        <v>4252</v>
      </c>
      <c r="D610" s="3" t="s">
        <v>1373</v>
      </c>
      <c r="E610" s="3" t="s">
        <v>867</v>
      </c>
      <c r="F610" s="3">
        <v>23.99</v>
      </c>
      <c r="G610" s="3" t="s">
        <v>3391</v>
      </c>
      <c r="H610" s="3"/>
      <c r="I610" s="3" t="s">
        <v>3392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0.15</v>
      </c>
      <c r="P610" s="3">
        <v>0</v>
      </c>
      <c r="Q610" s="3">
        <v>0</v>
      </c>
      <c r="R610" s="3">
        <v>0</v>
      </c>
    </row>
    <row r="611" spans="1:18">
      <c r="A611" s="3" t="s">
        <v>4253</v>
      </c>
      <c r="B611" s="3" t="s">
        <v>4254</v>
      </c>
      <c r="C611" s="3" t="s">
        <v>2102</v>
      </c>
      <c r="D611" s="3" t="s">
        <v>2103</v>
      </c>
      <c r="E611" s="3" t="s">
        <v>867</v>
      </c>
      <c r="F611" s="3">
        <v>23.99</v>
      </c>
      <c r="G611" s="3" t="s">
        <v>3391</v>
      </c>
      <c r="H611" s="3"/>
      <c r="I611" s="3" t="s">
        <v>3392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0.15</v>
      </c>
      <c r="P611" s="3">
        <v>0</v>
      </c>
      <c r="Q611" s="3">
        <v>0</v>
      </c>
      <c r="R611" s="3">
        <v>0</v>
      </c>
    </row>
    <row r="612" spans="1:18">
      <c r="A612" s="3" t="s">
        <v>2435</v>
      </c>
      <c r="B612" s="3" t="s">
        <v>2436</v>
      </c>
      <c r="C612" s="3" t="s">
        <v>2437</v>
      </c>
      <c r="D612" s="3" t="s">
        <v>2438</v>
      </c>
      <c r="E612" s="3" t="s">
        <v>867</v>
      </c>
      <c r="F612" s="3">
        <v>23.99</v>
      </c>
      <c r="G612" s="3" t="s">
        <v>3391</v>
      </c>
      <c r="H612" s="3"/>
      <c r="I612" s="3" t="s">
        <v>3392</v>
      </c>
      <c r="J612" s="3">
        <v>1</v>
      </c>
      <c r="K612" s="3">
        <v>1</v>
      </c>
      <c r="L612" s="3">
        <v>0</v>
      </c>
      <c r="M612" s="3">
        <v>0</v>
      </c>
      <c r="N612" s="3">
        <v>1</v>
      </c>
      <c r="O612" s="3">
        <v>0.15</v>
      </c>
      <c r="P612" s="3">
        <v>0</v>
      </c>
      <c r="Q612" s="3">
        <v>0</v>
      </c>
      <c r="R612" s="3">
        <v>0</v>
      </c>
    </row>
    <row r="613" spans="1:18">
      <c r="A613" s="3" t="s">
        <v>4255</v>
      </c>
      <c r="B613" s="3" t="s">
        <v>4256</v>
      </c>
      <c r="C613" s="3" t="s">
        <v>527</v>
      </c>
      <c r="D613" s="3" t="s">
        <v>528</v>
      </c>
      <c r="E613" s="3" t="s">
        <v>867</v>
      </c>
      <c r="F613" s="3">
        <v>23.99</v>
      </c>
      <c r="G613" s="3" t="s">
        <v>3391</v>
      </c>
      <c r="H613" s="3"/>
      <c r="I613" s="3" t="s">
        <v>3392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0.15</v>
      </c>
      <c r="P613" s="3">
        <v>0</v>
      </c>
      <c r="Q613" s="3">
        <v>0</v>
      </c>
      <c r="R613" s="3">
        <v>0</v>
      </c>
    </row>
    <row r="614" spans="1:18">
      <c r="A614" s="3" t="s">
        <v>4257</v>
      </c>
      <c r="B614" s="3" t="s">
        <v>4258</v>
      </c>
      <c r="C614" s="3" t="s">
        <v>3203</v>
      </c>
      <c r="D614" s="3" t="s">
        <v>3204</v>
      </c>
      <c r="E614" s="3" t="s">
        <v>867</v>
      </c>
      <c r="F614" s="3">
        <v>23.99</v>
      </c>
      <c r="G614" s="3" t="s">
        <v>3391</v>
      </c>
      <c r="H614" s="3"/>
      <c r="I614" s="3" t="s">
        <v>3392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0.15</v>
      </c>
      <c r="P614" s="3">
        <v>0</v>
      </c>
      <c r="Q614" s="3">
        <v>0</v>
      </c>
      <c r="R614" s="3">
        <v>0</v>
      </c>
    </row>
    <row r="615" spans="1:18">
      <c r="A615" s="3" t="s">
        <v>2452</v>
      </c>
      <c r="B615" s="3" t="s">
        <v>2453</v>
      </c>
      <c r="C615" s="3" t="s">
        <v>2454</v>
      </c>
      <c r="D615" s="3" t="s">
        <v>2455</v>
      </c>
      <c r="E615" s="3" t="s">
        <v>867</v>
      </c>
      <c r="F615" s="3">
        <v>23.99</v>
      </c>
      <c r="G615" s="3" t="s">
        <v>3391</v>
      </c>
      <c r="H615" s="3"/>
      <c r="I615" s="3" t="s">
        <v>3392</v>
      </c>
      <c r="J615" s="3">
        <v>9</v>
      </c>
      <c r="K615" s="3">
        <v>9</v>
      </c>
      <c r="L615" s="3">
        <v>0</v>
      </c>
      <c r="M615" s="3">
        <v>0</v>
      </c>
      <c r="N615" s="3">
        <v>10</v>
      </c>
      <c r="O615" s="3">
        <v>0.15</v>
      </c>
      <c r="P615" s="3">
        <v>0</v>
      </c>
      <c r="Q615" s="3">
        <v>1</v>
      </c>
      <c r="R615" s="3">
        <v>0</v>
      </c>
    </row>
    <row r="616" spans="1:18">
      <c r="A616" s="3" t="s">
        <v>4259</v>
      </c>
      <c r="B616" s="3" t="s">
        <v>4260</v>
      </c>
      <c r="C616" s="3" t="s">
        <v>2678</v>
      </c>
      <c r="D616" s="3" t="s">
        <v>2679</v>
      </c>
      <c r="E616" s="3" t="s">
        <v>867</v>
      </c>
      <c r="F616" s="3">
        <v>23.99</v>
      </c>
      <c r="G616" s="3" t="s">
        <v>3391</v>
      </c>
      <c r="H616" s="3"/>
      <c r="I616" s="3" t="s">
        <v>3392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0.15</v>
      </c>
      <c r="P616" s="3">
        <v>0</v>
      </c>
      <c r="Q616" s="3">
        <v>0</v>
      </c>
      <c r="R616" s="3">
        <v>0</v>
      </c>
    </row>
    <row r="617" spans="1:18">
      <c r="A617" s="3" t="s">
        <v>187</v>
      </c>
      <c r="B617" s="3" t="s">
        <v>188</v>
      </c>
      <c r="C617" s="3" t="s">
        <v>189</v>
      </c>
      <c r="D617" s="3" t="s">
        <v>190</v>
      </c>
      <c r="E617" s="3" t="s">
        <v>867</v>
      </c>
      <c r="F617" s="3">
        <v>49.98</v>
      </c>
      <c r="G617" s="3" t="s">
        <v>3391</v>
      </c>
      <c r="H617" s="3"/>
      <c r="I617" s="3" t="s">
        <v>3392</v>
      </c>
      <c r="J617" s="3">
        <v>5</v>
      </c>
      <c r="K617" s="3">
        <v>3</v>
      </c>
      <c r="L617" s="3">
        <v>0</v>
      </c>
      <c r="M617" s="3">
        <v>2</v>
      </c>
      <c r="N617" s="3">
        <v>11</v>
      </c>
      <c r="O617" s="3">
        <v>0.06</v>
      </c>
      <c r="P617" s="3">
        <v>0</v>
      </c>
      <c r="Q617" s="3">
        <v>6</v>
      </c>
      <c r="R617" s="3">
        <v>0</v>
      </c>
    </row>
    <row r="618" spans="1:18">
      <c r="A618" s="3" t="s">
        <v>4261</v>
      </c>
      <c r="B618" s="3" t="s">
        <v>4262</v>
      </c>
      <c r="C618" s="3" t="s">
        <v>1100</v>
      </c>
      <c r="D618" s="3" t="s">
        <v>1101</v>
      </c>
      <c r="E618" s="3" t="s">
        <v>867</v>
      </c>
      <c r="F618" s="3">
        <v>49.98</v>
      </c>
      <c r="G618" s="3" t="s">
        <v>3391</v>
      </c>
      <c r="H618" s="3"/>
      <c r="I618" s="3" t="s">
        <v>3392</v>
      </c>
      <c r="J618" s="3">
        <v>0</v>
      </c>
      <c r="K618" s="3">
        <v>0</v>
      </c>
      <c r="L618" s="3">
        <v>0</v>
      </c>
      <c r="M618" s="3">
        <v>0</v>
      </c>
      <c r="N618" s="3">
        <v>10</v>
      </c>
      <c r="O618" s="3">
        <v>0.06</v>
      </c>
      <c r="P618" s="3">
        <v>0</v>
      </c>
      <c r="Q618" s="3">
        <v>10</v>
      </c>
      <c r="R618" s="3">
        <v>0</v>
      </c>
    </row>
    <row r="619" spans="1:18">
      <c r="A619" s="3" t="s">
        <v>1712</v>
      </c>
      <c r="B619" s="3" t="s">
        <v>1713</v>
      </c>
      <c r="C619" s="3" t="s">
        <v>1714</v>
      </c>
      <c r="D619" s="3" t="s">
        <v>1715</v>
      </c>
      <c r="E619" s="3" t="s">
        <v>867</v>
      </c>
      <c r="F619" s="3">
        <v>49.98</v>
      </c>
      <c r="G619" s="3" t="s">
        <v>3391</v>
      </c>
      <c r="H619" s="3"/>
      <c r="I619" s="3" t="s">
        <v>3392</v>
      </c>
      <c r="J619" s="3">
        <v>3</v>
      </c>
      <c r="K619" s="3">
        <v>3</v>
      </c>
      <c r="L619" s="3">
        <v>0</v>
      </c>
      <c r="M619" s="3">
        <v>0</v>
      </c>
      <c r="N619" s="3">
        <v>3</v>
      </c>
      <c r="O619" s="3">
        <v>0.06</v>
      </c>
      <c r="P619" s="3">
        <v>0</v>
      </c>
      <c r="Q619" s="3">
        <v>0</v>
      </c>
      <c r="R619" s="3">
        <v>0</v>
      </c>
    </row>
    <row r="620" spans="1:18">
      <c r="A620" s="3" t="s">
        <v>4263</v>
      </c>
      <c r="B620" s="3" t="s">
        <v>4264</v>
      </c>
      <c r="C620" s="3" t="s">
        <v>2024</v>
      </c>
      <c r="D620" s="3" t="s">
        <v>2025</v>
      </c>
      <c r="E620" s="3" t="s">
        <v>867</v>
      </c>
      <c r="F620" s="3">
        <v>49.98</v>
      </c>
      <c r="G620" s="3" t="s">
        <v>3391</v>
      </c>
      <c r="H620" s="3"/>
      <c r="I620" s="3" t="s">
        <v>3392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0.06</v>
      </c>
      <c r="P620" s="3">
        <v>0</v>
      </c>
      <c r="Q620" s="3">
        <v>0</v>
      </c>
      <c r="R620" s="3">
        <v>0</v>
      </c>
    </row>
    <row r="621" spans="1:18">
      <c r="A621" s="3" t="s">
        <v>4265</v>
      </c>
      <c r="B621" s="3" t="s">
        <v>4266</v>
      </c>
      <c r="C621" s="3" t="s">
        <v>1707</v>
      </c>
      <c r="D621" s="3" t="s">
        <v>1708</v>
      </c>
      <c r="E621" s="3" t="s">
        <v>867</v>
      </c>
      <c r="F621" s="3">
        <v>49.98</v>
      </c>
      <c r="G621" s="3" t="s">
        <v>3391</v>
      </c>
      <c r="H621" s="3"/>
      <c r="I621" s="3" t="s">
        <v>3392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0.06</v>
      </c>
      <c r="P621" s="3">
        <v>0</v>
      </c>
      <c r="Q621" s="3">
        <v>0</v>
      </c>
      <c r="R621" s="3">
        <v>0</v>
      </c>
    </row>
    <row r="622" spans="1:18">
      <c r="A622" s="3" t="s">
        <v>164</v>
      </c>
      <c r="B622" s="3" t="s">
        <v>165</v>
      </c>
      <c r="C622" s="3" t="s">
        <v>166</v>
      </c>
      <c r="D622" s="3" t="s">
        <v>28</v>
      </c>
      <c r="E622" s="3" t="s">
        <v>867</v>
      </c>
      <c r="F622" s="3">
        <v>49.98</v>
      </c>
      <c r="G622" s="3" t="s">
        <v>3391</v>
      </c>
      <c r="H622" s="3"/>
      <c r="I622" s="3" t="s">
        <v>3392</v>
      </c>
      <c r="J622" s="3">
        <v>16</v>
      </c>
      <c r="K622" s="3">
        <v>6</v>
      </c>
      <c r="L622" s="3">
        <v>0</v>
      </c>
      <c r="M622" s="3">
        <v>10</v>
      </c>
      <c r="N622" s="3">
        <v>29</v>
      </c>
      <c r="O622" s="3">
        <v>0.06</v>
      </c>
      <c r="P622" s="3">
        <v>0</v>
      </c>
      <c r="Q622" s="3">
        <v>13</v>
      </c>
      <c r="R622" s="3">
        <v>0</v>
      </c>
    </row>
    <row r="623" spans="1:18">
      <c r="A623" s="3" t="s">
        <v>4267</v>
      </c>
      <c r="B623" s="3" t="s">
        <v>4268</v>
      </c>
      <c r="C623" s="3" t="s">
        <v>3213</v>
      </c>
      <c r="D623" s="3" t="s">
        <v>3214</v>
      </c>
      <c r="E623" s="3" t="s">
        <v>867</v>
      </c>
      <c r="F623" s="3">
        <v>49.98</v>
      </c>
      <c r="G623" s="3" t="s">
        <v>3391</v>
      </c>
      <c r="H623" s="3"/>
      <c r="I623" s="3" t="s">
        <v>3392</v>
      </c>
      <c r="J623" s="3">
        <v>0</v>
      </c>
      <c r="K623" s="3">
        <v>0</v>
      </c>
      <c r="L623" s="3">
        <v>0</v>
      </c>
      <c r="M623" s="3">
        <v>0</v>
      </c>
      <c r="N623" s="3">
        <v>10</v>
      </c>
      <c r="O623" s="3">
        <v>0.06</v>
      </c>
      <c r="P623" s="3">
        <v>0</v>
      </c>
      <c r="Q623" s="3">
        <v>10</v>
      </c>
      <c r="R623" s="3">
        <v>0</v>
      </c>
    </row>
    <row r="624" spans="1:18">
      <c r="A624" s="3" t="s">
        <v>4269</v>
      </c>
      <c r="B624" s="3" t="s">
        <v>4270</v>
      </c>
      <c r="C624" s="3" t="s">
        <v>4271</v>
      </c>
      <c r="D624" s="3" t="s">
        <v>4272</v>
      </c>
      <c r="E624" s="3" t="s">
        <v>867</v>
      </c>
      <c r="F624" s="3">
        <v>49.98</v>
      </c>
      <c r="G624" s="3" t="s">
        <v>3391</v>
      </c>
      <c r="H624" s="3"/>
      <c r="I624" s="3" t="s">
        <v>3392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</row>
    <row r="625" spans="1:18">
      <c r="A625" s="3" t="s">
        <v>4273</v>
      </c>
      <c r="B625" s="3" t="s">
        <v>4274</v>
      </c>
      <c r="C625" s="3" t="s">
        <v>3462</v>
      </c>
      <c r="D625" s="3" t="s">
        <v>31</v>
      </c>
      <c r="E625" s="3" t="s">
        <v>867</v>
      </c>
      <c r="F625" s="3">
        <v>49.98</v>
      </c>
      <c r="G625" s="3" t="s">
        <v>3391</v>
      </c>
      <c r="H625" s="3"/>
      <c r="I625" s="3" t="s">
        <v>3392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0.06</v>
      </c>
      <c r="P625" s="3">
        <v>0</v>
      </c>
      <c r="Q625" s="3">
        <v>0</v>
      </c>
      <c r="R625" s="3">
        <v>0</v>
      </c>
    </row>
    <row r="626" spans="1:18">
      <c r="A626" s="3" t="s">
        <v>4275</v>
      </c>
      <c r="B626" s="3" t="s">
        <v>4276</v>
      </c>
      <c r="C626" s="3" t="s">
        <v>4277</v>
      </c>
      <c r="D626" s="3" t="s">
        <v>2617</v>
      </c>
      <c r="E626" s="3" t="s">
        <v>867</v>
      </c>
      <c r="F626" s="3">
        <v>49.98</v>
      </c>
      <c r="G626" s="3" t="s">
        <v>3391</v>
      </c>
      <c r="H626" s="3"/>
      <c r="I626" s="3" t="s">
        <v>3392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0.06</v>
      </c>
      <c r="P626" s="3">
        <v>0</v>
      </c>
      <c r="Q626" s="3">
        <v>0</v>
      </c>
      <c r="R626" s="3">
        <v>0</v>
      </c>
    </row>
    <row r="627" spans="1:18">
      <c r="A627" s="3" t="s">
        <v>211</v>
      </c>
      <c r="B627" s="3" t="s">
        <v>212</v>
      </c>
      <c r="C627" s="3" t="s">
        <v>213</v>
      </c>
      <c r="D627" s="3" t="s">
        <v>107</v>
      </c>
      <c r="E627" s="3" t="s">
        <v>867</v>
      </c>
      <c r="F627" s="3">
        <v>26.98</v>
      </c>
      <c r="G627" s="3" t="s">
        <v>3391</v>
      </c>
      <c r="H627" s="3"/>
      <c r="I627" s="3" t="s">
        <v>3392</v>
      </c>
      <c r="J627" s="3">
        <v>5</v>
      </c>
      <c r="K627" s="3">
        <v>0</v>
      </c>
      <c r="L627" s="3">
        <v>0</v>
      </c>
      <c r="M627" s="3">
        <v>5</v>
      </c>
      <c r="N627" s="3">
        <v>20</v>
      </c>
      <c r="O627" s="3">
        <v>0.06</v>
      </c>
      <c r="P627" s="3">
        <v>0</v>
      </c>
      <c r="Q627" s="3">
        <v>15</v>
      </c>
      <c r="R627" s="3">
        <v>0</v>
      </c>
    </row>
    <row r="628" spans="1:18">
      <c r="A628" s="3" t="s">
        <v>4278</v>
      </c>
      <c r="B628" s="3" t="s">
        <v>4279</v>
      </c>
      <c r="C628" s="3" t="s">
        <v>2970</v>
      </c>
      <c r="D628" s="3" t="s">
        <v>2113</v>
      </c>
      <c r="E628" s="3" t="s">
        <v>867</v>
      </c>
      <c r="F628" s="3">
        <v>26.98</v>
      </c>
      <c r="G628" s="3" t="s">
        <v>3391</v>
      </c>
      <c r="H628" s="3"/>
      <c r="I628" s="3" t="s">
        <v>3392</v>
      </c>
      <c r="J628" s="3">
        <v>0</v>
      </c>
      <c r="K628" s="3">
        <v>0</v>
      </c>
      <c r="L628" s="3">
        <v>0</v>
      </c>
      <c r="M628" s="3">
        <v>0</v>
      </c>
      <c r="N628" s="3">
        <v>5</v>
      </c>
      <c r="O628" s="3">
        <v>0.06</v>
      </c>
      <c r="P628" s="3">
        <v>0</v>
      </c>
      <c r="Q628" s="3">
        <v>5</v>
      </c>
      <c r="R628" s="3">
        <v>0</v>
      </c>
    </row>
    <row r="629" spans="1:18">
      <c r="A629" s="3" t="s">
        <v>2583</v>
      </c>
      <c r="B629" s="3" t="s">
        <v>2584</v>
      </c>
      <c r="C629" s="3" t="s">
        <v>2169</v>
      </c>
      <c r="D629" s="3" t="s">
        <v>2170</v>
      </c>
      <c r="E629" s="3" t="s">
        <v>867</v>
      </c>
      <c r="F629" s="3">
        <v>26.98</v>
      </c>
      <c r="G629" s="3" t="s">
        <v>3391</v>
      </c>
      <c r="H629" s="3"/>
      <c r="I629" s="3" t="s">
        <v>3392</v>
      </c>
      <c r="J629" s="3">
        <v>11</v>
      </c>
      <c r="K629" s="3">
        <v>11</v>
      </c>
      <c r="L629" s="3">
        <v>0</v>
      </c>
      <c r="M629" s="3">
        <v>0</v>
      </c>
      <c r="N629" s="3">
        <v>11</v>
      </c>
      <c r="O629" s="3">
        <v>0.06</v>
      </c>
      <c r="P629" s="3">
        <v>0</v>
      </c>
      <c r="Q629" s="3">
        <v>0</v>
      </c>
      <c r="R629" s="3">
        <v>0</v>
      </c>
    </row>
    <row r="630" spans="1:18">
      <c r="A630" s="3" t="s">
        <v>4280</v>
      </c>
      <c r="B630" s="3" t="s">
        <v>4281</v>
      </c>
      <c r="C630" s="3" t="s">
        <v>1142</v>
      </c>
      <c r="D630" s="3" t="s">
        <v>1143</v>
      </c>
      <c r="E630" s="3" t="s">
        <v>867</v>
      </c>
      <c r="F630" s="3">
        <v>26.98</v>
      </c>
      <c r="G630" s="3" t="s">
        <v>3391</v>
      </c>
      <c r="H630" s="3"/>
      <c r="I630" s="3" t="s">
        <v>3392</v>
      </c>
      <c r="J630" s="3">
        <v>0</v>
      </c>
      <c r="K630" s="3">
        <v>0</v>
      </c>
      <c r="L630" s="3">
        <v>0</v>
      </c>
      <c r="M630" s="3">
        <v>0</v>
      </c>
      <c r="N630" s="3">
        <v>10</v>
      </c>
      <c r="O630" s="3">
        <v>0.06</v>
      </c>
      <c r="P630" s="3">
        <v>0</v>
      </c>
      <c r="Q630" s="3">
        <v>10</v>
      </c>
      <c r="R630" s="3">
        <v>0</v>
      </c>
    </row>
    <row r="631" spans="1:18">
      <c r="A631" s="3" t="s">
        <v>2601</v>
      </c>
      <c r="B631" s="3" t="s">
        <v>2602</v>
      </c>
      <c r="C631" s="3" t="s">
        <v>1059</v>
      </c>
      <c r="D631" s="3" t="s">
        <v>1060</v>
      </c>
      <c r="E631" s="3" t="s">
        <v>867</v>
      </c>
      <c r="F631" s="3">
        <v>26.98</v>
      </c>
      <c r="G631" s="3" t="s">
        <v>3391</v>
      </c>
      <c r="H631" s="3"/>
      <c r="I631" s="3" t="s">
        <v>3392</v>
      </c>
      <c r="J631" s="3">
        <v>6</v>
      </c>
      <c r="K631" s="3">
        <v>6</v>
      </c>
      <c r="L631" s="3">
        <v>0</v>
      </c>
      <c r="M631" s="3">
        <v>0</v>
      </c>
      <c r="N631" s="3">
        <v>11</v>
      </c>
      <c r="O631" s="3">
        <v>0.06</v>
      </c>
      <c r="P631" s="3">
        <v>0</v>
      </c>
      <c r="Q631" s="3">
        <v>5</v>
      </c>
      <c r="R631" s="3">
        <v>0</v>
      </c>
    </row>
    <row r="632" spans="1:18">
      <c r="A632" s="3" t="s">
        <v>4282</v>
      </c>
      <c r="B632" s="3" t="s">
        <v>4283</v>
      </c>
      <c r="C632" s="3" t="s">
        <v>1484</v>
      </c>
      <c r="D632" s="3" t="s">
        <v>1342</v>
      </c>
      <c r="E632" s="3" t="s">
        <v>867</v>
      </c>
      <c r="F632" s="3">
        <v>49.98</v>
      </c>
      <c r="G632" s="3" t="s">
        <v>3391</v>
      </c>
      <c r="H632" s="3"/>
      <c r="I632" s="3" t="s">
        <v>3392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0.06</v>
      </c>
      <c r="P632" s="3">
        <v>0</v>
      </c>
      <c r="Q632" s="3">
        <v>0</v>
      </c>
      <c r="R632" s="3">
        <v>0</v>
      </c>
    </row>
    <row r="633" spans="1:18">
      <c r="A633" s="3" t="s">
        <v>4284</v>
      </c>
      <c r="B633" s="3" t="s">
        <v>4285</v>
      </c>
      <c r="C633" s="3" t="s">
        <v>2146</v>
      </c>
      <c r="D633" s="3" t="s">
        <v>2147</v>
      </c>
      <c r="E633" s="3" t="s">
        <v>867</v>
      </c>
      <c r="F633" s="3">
        <v>49.98</v>
      </c>
      <c r="G633" s="3" t="s">
        <v>3391</v>
      </c>
      <c r="H633" s="3"/>
      <c r="I633" s="3" t="s">
        <v>3392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0.06</v>
      </c>
      <c r="P633" s="3">
        <v>0</v>
      </c>
      <c r="Q633" s="3">
        <v>0</v>
      </c>
      <c r="R633" s="3">
        <v>0</v>
      </c>
    </row>
    <row r="634" spans="1:18">
      <c r="A634" s="3" t="s">
        <v>179</v>
      </c>
      <c r="B634" s="3" t="s">
        <v>180</v>
      </c>
      <c r="C634" s="3" t="s">
        <v>181</v>
      </c>
      <c r="D634" s="3" t="s">
        <v>182</v>
      </c>
      <c r="E634" s="3" t="s">
        <v>867</v>
      </c>
      <c r="F634" s="3">
        <v>49.98</v>
      </c>
      <c r="G634" s="3" t="s">
        <v>3391</v>
      </c>
      <c r="H634" s="3"/>
      <c r="I634" s="3" t="s">
        <v>3392</v>
      </c>
      <c r="J634" s="3">
        <v>6</v>
      </c>
      <c r="K634" s="3">
        <v>3</v>
      </c>
      <c r="L634" s="3">
        <v>0</v>
      </c>
      <c r="M634" s="3">
        <v>3</v>
      </c>
      <c r="N634" s="3">
        <v>9</v>
      </c>
      <c r="O634" s="3">
        <v>0.06</v>
      </c>
      <c r="P634" s="3">
        <v>0</v>
      </c>
      <c r="Q634" s="3">
        <v>3</v>
      </c>
      <c r="R634" s="3">
        <v>0</v>
      </c>
    </row>
    <row r="635" spans="1:18">
      <c r="A635" s="3" t="s">
        <v>4286</v>
      </c>
      <c r="B635" s="3" t="s">
        <v>4287</v>
      </c>
      <c r="C635" s="3" t="s">
        <v>2460</v>
      </c>
      <c r="D635" s="3" t="s">
        <v>965</v>
      </c>
      <c r="E635" s="3" t="s">
        <v>867</v>
      </c>
      <c r="F635" s="3">
        <v>49.98</v>
      </c>
      <c r="G635" s="3" t="s">
        <v>3391</v>
      </c>
      <c r="H635" s="3"/>
      <c r="I635" s="3" t="s">
        <v>3392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0.06</v>
      </c>
      <c r="P635" s="3">
        <v>0</v>
      </c>
      <c r="Q635" s="3">
        <v>0</v>
      </c>
      <c r="R635" s="3">
        <v>0</v>
      </c>
    </row>
    <row r="636" spans="1:18">
      <c r="A636" s="3" t="s">
        <v>4288</v>
      </c>
      <c r="B636" s="3" t="s">
        <v>4289</v>
      </c>
      <c r="C636" s="3" t="s">
        <v>3472</v>
      </c>
      <c r="D636" s="3" t="s">
        <v>34</v>
      </c>
      <c r="E636" s="3" t="s">
        <v>867</v>
      </c>
      <c r="F636" s="3">
        <v>49.98</v>
      </c>
      <c r="G636" s="3" t="s">
        <v>3391</v>
      </c>
      <c r="H636" s="3"/>
      <c r="I636" s="3" t="s">
        <v>3392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0.06</v>
      </c>
      <c r="P636" s="3">
        <v>0</v>
      </c>
      <c r="Q636" s="3">
        <v>0</v>
      </c>
      <c r="R636" s="3">
        <v>0</v>
      </c>
    </row>
    <row r="637" spans="1:18">
      <c r="A637" s="3" t="s">
        <v>195</v>
      </c>
      <c r="B637" s="3" t="s">
        <v>196</v>
      </c>
      <c r="C637" s="3" t="s">
        <v>197</v>
      </c>
      <c r="D637" s="3" t="s">
        <v>198</v>
      </c>
      <c r="E637" s="3" t="s">
        <v>867</v>
      </c>
      <c r="F637" s="3">
        <v>23.98</v>
      </c>
      <c r="G637" s="3" t="s">
        <v>3391</v>
      </c>
      <c r="H637" s="3"/>
      <c r="I637" s="3" t="s">
        <v>3392</v>
      </c>
      <c r="J637" s="3">
        <v>36</v>
      </c>
      <c r="K637" s="3">
        <v>32</v>
      </c>
      <c r="L637" s="3">
        <v>0</v>
      </c>
      <c r="M637" s="3">
        <v>4</v>
      </c>
      <c r="N637" s="3">
        <v>36</v>
      </c>
      <c r="O637" s="3">
        <v>0.05</v>
      </c>
      <c r="P637" s="3">
        <v>0</v>
      </c>
      <c r="Q637" s="3">
        <v>0</v>
      </c>
      <c r="R637" s="3">
        <v>0</v>
      </c>
    </row>
    <row r="638" spans="1:18">
      <c r="A638" s="3" t="s">
        <v>2422</v>
      </c>
      <c r="B638" s="3" t="s">
        <v>2423</v>
      </c>
      <c r="C638" s="3" t="s">
        <v>2424</v>
      </c>
      <c r="D638" s="3" t="s">
        <v>2425</v>
      </c>
      <c r="E638" s="3" t="s">
        <v>867</v>
      </c>
      <c r="F638" s="3">
        <v>35.99</v>
      </c>
      <c r="G638" s="3" t="s">
        <v>3391</v>
      </c>
      <c r="H638" s="3"/>
      <c r="I638" s="3" t="s">
        <v>3392</v>
      </c>
      <c r="J638" s="3">
        <v>26</v>
      </c>
      <c r="K638" s="3">
        <v>26</v>
      </c>
      <c r="L638" s="3">
        <v>0</v>
      </c>
      <c r="M638" s="3">
        <v>0</v>
      </c>
      <c r="N638" s="3">
        <v>26</v>
      </c>
      <c r="O638" s="3">
        <v>0.05</v>
      </c>
      <c r="P638" s="3">
        <v>0</v>
      </c>
      <c r="Q638" s="3">
        <v>0</v>
      </c>
      <c r="R638" s="3">
        <v>0</v>
      </c>
    </row>
    <row r="639" spans="1:18">
      <c r="A639" s="3" t="s">
        <v>4290</v>
      </c>
      <c r="B639" s="3" t="s">
        <v>4291</v>
      </c>
      <c r="C639" s="3" t="s">
        <v>4292</v>
      </c>
      <c r="D639" s="3" t="s">
        <v>4293</v>
      </c>
      <c r="E639" s="3" t="s">
        <v>867</v>
      </c>
      <c r="F639" s="3">
        <v>23.98</v>
      </c>
      <c r="G639" s="3" t="s">
        <v>3391</v>
      </c>
      <c r="H639" s="3"/>
      <c r="I639" s="3" t="s">
        <v>3392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0.02</v>
      </c>
      <c r="P639" s="3">
        <v>0</v>
      </c>
      <c r="Q639" s="3">
        <v>0</v>
      </c>
      <c r="R639" s="3">
        <v>0</v>
      </c>
    </row>
    <row r="640" spans="1:18">
      <c r="A640" s="3" t="s">
        <v>156</v>
      </c>
      <c r="B640" s="3" t="s">
        <v>157</v>
      </c>
      <c r="C640" s="3" t="s">
        <v>158</v>
      </c>
      <c r="D640" s="3" t="s">
        <v>159</v>
      </c>
      <c r="E640" s="3" t="s">
        <v>867</v>
      </c>
      <c r="F640" s="3">
        <v>39.98</v>
      </c>
      <c r="G640" s="3" t="s">
        <v>3391</v>
      </c>
      <c r="H640" s="3"/>
      <c r="I640" s="3" t="s">
        <v>3392</v>
      </c>
      <c r="J640" s="3">
        <v>13</v>
      </c>
      <c r="K640" s="3">
        <v>12</v>
      </c>
      <c r="L640" s="3">
        <v>0</v>
      </c>
      <c r="M640" s="3">
        <v>1</v>
      </c>
      <c r="N640" s="3">
        <v>13</v>
      </c>
      <c r="O640" s="3">
        <v>0.09</v>
      </c>
      <c r="P640" s="3">
        <v>0</v>
      </c>
      <c r="Q640" s="3">
        <v>0</v>
      </c>
      <c r="R640" s="3">
        <v>0</v>
      </c>
    </row>
    <row r="641" spans="1:18">
      <c r="A641" s="3" t="s">
        <v>4294</v>
      </c>
      <c r="B641" s="3" t="s">
        <v>4295</v>
      </c>
      <c r="C641" s="3" t="s">
        <v>3597</v>
      </c>
      <c r="D641" s="3" t="s">
        <v>3598</v>
      </c>
      <c r="E641" s="3" t="s">
        <v>867</v>
      </c>
      <c r="F641" s="3">
        <v>39.98</v>
      </c>
      <c r="G641" s="3" t="s">
        <v>3391</v>
      </c>
      <c r="H641" s="3"/>
      <c r="I641" s="3" t="s">
        <v>3392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0.09</v>
      </c>
      <c r="P641" s="3">
        <v>0</v>
      </c>
      <c r="Q641" s="3">
        <v>0</v>
      </c>
      <c r="R641" s="3">
        <v>0</v>
      </c>
    </row>
    <row r="642" spans="1:18">
      <c r="A642" s="3" t="s">
        <v>1000</v>
      </c>
      <c r="B642" s="3" t="s">
        <v>1001</v>
      </c>
      <c r="C642" s="3" t="s">
        <v>1002</v>
      </c>
      <c r="D642" s="3" t="s">
        <v>1003</v>
      </c>
      <c r="E642" s="3" t="s">
        <v>867</v>
      </c>
      <c r="F642" s="3">
        <v>39.98</v>
      </c>
      <c r="G642" s="3" t="s">
        <v>3391</v>
      </c>
      <c r="H642" s="3"/>
      <c r="I642" s="3" t="s">
        <v>3392</v>
      </c>
      <c r="J642" s="3">
        <v>7</v>
      </c>
      <c r="K642" s="3">
        <v>7</v>
      </c>
      <c r="L642" s="3">
        <v>0</v>
      </c>
      <c r="M642" s="3">
        <v>0</v>
      </c>
      <c r="N642" s="3">
        <v>7</v>
      </c>
      <c r="O642" s="3">
        <v>0.09</v>
      </c>
      <c r="P642" s="3">
        <v>0</v>
      </c>
      <c r="Q642" s="3">
        <v>0</v>
      </c>
      <c r="R642" s="3">
        <v>0</v>
      </c>
    </row>
    <row r="643" spans="1:18">
      <c r="A643" s="3" t="s">
        <v>148</v>
      </c>
      <c r="B643" s="3" t="s">
        <v>149</v>
      </c>
      <c r="C643" s="3" t="s">
        <v>150</v>
      </c>
      <c r="D643" s="3" t="s">
        <v>151</v>
      </c>
      <c r="E643" s="3" t="s">
        <v>867</v>
      </c>
      <c r="F643" s="3">
        <v>39.98</v>
      </c>
      <c r="G643" s="3" t="s">
        <v>3391</v>
      </c>
      <c r="H643" s="3"/>
      <c r="I643" s="3" t="s">
        <v>3392</v>
      </c>
      <c r="J643" s="3">
        <v>17</v>
      </c>
      <c r="K643" s="3">
        <v>16</v>
      </c>
      <c r="L643" s="3">
        <v>0</v>
      </c>
      <c r="M643" s="3">
        <v>1</v>
      </c>
      <c r="N643" s="3">
        <v>17</v>
      </c>
      <c r="O643" s="3">
        <v>0.09</v>
      </c>
      <c r="P643" s="3">
        <v>0</v>
      </c>
      <c r="Q643" s="3">
        <v>0</v>
      </c>
      <c r="R643" s="3">
        <v>0</v>
      </c>
    </row>
    <row r="644" spans="1:18">
      <c r="A644" s="3" t="s">
        <v>4296</v>
      </c>
      <c r="B644" s="3" t="s">
        <v>4297</v>
      </c>
      <c r="C644" s="3" t="s">
        <v>3513</v>
      </c>
      <c r="D644" s="3" t="s">
        <v>3602</v>
      </c>
      <c r="E644" s="3" t="s">
        <v>867</v>
      </c>
      <c r="F644" s="3">
        <v>39.98</v>
      </c>
      <c r="G644" s="3" t="s">
        <v>3391</v>
      </c>
      <c r="H644" s="3"/>
      <c r="I644" s="3" t="s">
        <v>3392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0.09</v>
      </c>
      <c r="P644" s="3">
        <v>0</v>
      </c>
      <c r="Q644" s="3">
        <v>0</v>
      </c>
      <c r="R644" s="3">
        <v>0</v>
      </c>
    </row>
    <row r="645" spans="1:18">
      <c r="A645" s="3" t="s">
        <v>167</v>
      </c>
      <c r="B645" s="3" t="s">
        <v>168</v>
      </c>
      <c r="C645" s="3" t="s">
        <v>169</v>
      </c>
      <c r="D645" s="3" t="s">
        <v>170</v>
      </c>
      <c r="E645" s="3" t="s">
        <v>867</v>
      </c>
      <c r="F645" s="3">
        <v>39.98</v>
      </c>
      <c r="G645" s="3" t="s">
        <v>3391</v>
      </c>
      <c r="H645" s="3"/>
      <c r="I645" s="3" t="s">
        <v>3392</v>
      </c>
      <c r="J645" s="3">
        <v>29</v>
      </c>
      <c r="K645" s="3">
        <v>28</v>
      </c>
      <c r="L645" s="3">
        <v>0</v>
      </c>
      <c r="M645" s="3">
        <v>1</v>
      </c>
      <c r="N645" s="3">
        <v>29</v>
      </c>
      <c r="O645" s="3">
        <v>0.09</v>
      </c>
      <c r="P645" s="3">
        <v>0</v>
      </c>
      <c r="Q645" s="3">
        <v>0</v>
      </c>
      <c r="R645" s="3">
        <v>0</v>
      </c>
    </row>
    <row r="646" spans="1:18">
      <c r="A646" s="3" t="s">
        <v>218</v>
      </c>
      <c r="B646" s="3" t="s">
        <v>219</v>
      </c>
      <c r="C646" s="3" t="s">
        <v>220</v>
      </c>
      <c r="D646" s="3" t="s">
        <v>221</v>
      </c>
      <c r="E646" s="3" t="s">
        <v>867</v>
      </c>
      <c r="F646" s="3">
        <v>39.98</v>
      </c>
      <c r="G646" s="3" t="s">
        <v>3391</v>
      </c>
      <c r="H646" s="3"/>
      <c r="I646" s="3" t="s">
        <v>3392</v>
      </c>
      <c r="J646" s="3">
        <v>13</v>
      </c>
      <c r="K646" s="3">
        <v>12</v>
      </c>
      <c r="L646" s="3">
        <v>0</v>
      </c>
      <c r="M646" s="3">
        <v>1</v>
      </c>
      <c r="N646" s="3">
        <v>13</v>
      </c>
      <c r="O646" s="3">
        <v>0.09</v>
      </c>
      <c r="P646" s="3">
        <v>0</v>
      </c>
      <c r="Q646" s="3">
        <v>0</v>
      </c>
      <c r="R646" s="3">
        <v>0</v>
      </c>
    </row>
    <row r="647" spans="1:18">
      <c r="A647" s="3" t="s">
        <v>1391</v>
      </c>
      <c r="B647" s="3" t="s">
        <v>1392</v>
      </c>
      <c r="C647" s="3" t="s">
        <v>1393</v>
      </c>
      <c r="D647" s="3" t="s">
        <v>1394</v>
      </c>
      <c r="E647" s="3" t="s">
        <v>867</v>
      </c>
      <c r="F647" s="3">
        <v>39.98</v>
      </c>
      <c r="G647" s="3" t="s">
        <v>3391</v>
      </c>
      <c r="H647" s="3"/>
      <c r="I647" s="3" t="s">
        <v>3392</v>
      </c>
      <c r="J647" s="3">
        <v>6</v>
      </c>
      <c r="K647" s="3">
        <v>6</v>
      </c>
      <c r="L647" s="3">
        <v>0</v>
      </c>
      <c r="M647" s="3">
        <v>0</v>
      </c>
      <c r="N647" s="3">
        <v>6</v>
      </c>
      <c r="O647" s="3">
        <v>0.09</v>
      </c>
      <c r="P647" s="3">
        <v>0</v>
      </c>
      <c r="Q647" s="3">
        <v>0</v>
      </c>
      <c r="R647" s="3">
        <v>0</v>
      </c>
    </row>
    <row r="648" spans="1:18">
      <c r="A648" s="3" t="s">
        <v>175</v>
      </c>
      <c r="B648" s="3" t="s">
        <v>176</v>
      </c>
      <c r="C648" s="3" t="s">
        <v>177</v>
      </c>
      <c r="D648" s="3" t="s">
        <v>178</v>
      </c>
      <c r="E648" s="3" t="s">
        <v>867</v>
      </c>
      <c r="F648" s="3">
        <v>39.98</v>
      </c>
      <c r="G648" s="3" t="s">
        <v>3391</v>
      </c>
      <c r="H648" s="3"/>
      <c r="I648" s="3" t="s">
        <v>3392</v>
      </c>
      <c r="J648" s="3">
        <v>19</v>
      </c>
      <c r="K648" s="3">
        <v>18</v>
      </c>
      <c r="L648" s="3">
        <v>0</v>
      </c>
      <c r="M648" s="3">
        <v>1</v>
      </c>
      <c r="N648" s="3">
        <v>19</v>
      </c>
      <c r="O648" s="3">
        <v>0.09</v>
      </c>
      <c r="P648" s="3">
        <v>0</v>
      </c>
      <c r="Q648" s="3">
        <v>0</v>
      </c>
      <c r="R648" s="3">
        <v>0</v>
      </c>
    </row>
    <row r="649" spans="1:18">
      <c r="A649" s="3" t="s">
        <v>1765</v>
      </c>
      <c r="B649" s="3" t="s">
        <v>1766</v>
      </c>
      <c r="C649" s="3" t="s">
        <v>1196</v>
      </c>
      <c r="D649" s="3" t="s">
        <v>1197</v>
      </c>
      <c r="E649" s="3" t="s">
        <v>867</v>
      </c>
      <c r="F649" s="3">
        <v>39.98</v>
      </c>
      <c r="G649" s="3" t="s">
        <v>3391</v>
      </c>
      <c r="H649" s="3"/>
      <c r="I649" s="3" t="s">
        <v>3392</v>
      </c>
      <c r="J649" s="3">
        <v>20</v>
      </c>
      <c r="K649" s="3">
        <v>20</v>
      </c>
      <c r="L649" s="3">
        <v>0</v>
      </c>
      <c r="M649" s="3">
        <v>0</v>
      </c>
      <c r="N649" s="3">
        <v>20</v>
      </c>
      <c r="O649" s="3">
        <v>0.09</v>
      </c>
      <c r="P649" s="3">
        <v>0</v>
      </c>
      <c r="Q649" s="3">
        <v>0</v>
      </c>
      <c r="R649" s="3">
        <v>0</v>
      </c>
    </row>
    <row r="650" spans="1:18">
      <c r="A650" s="3" t="s">
        <v>1965</v>
      </c>
      <c r="B650" s="3" t="s">
        <v>1966</v>
      </c>
      <c r="C650" s="3" t="s">
        <v>1942</v>
      </c>
      <c r="D650" s="3" t="s">
        <v>1943</v>
      </c>
      <c r="E650" s="3" t="s">
        <v>867</v>
      </c>
      <c r="F650" s="3">
        <v>39.98</v>
      </c>
      <c r="G650" s="3" t="s">
        <v>3391</v>
      </c>
      <c r="H650" s="3"/>
      <c r="I650" s="3" t="s">
        <v>3392</v>
      </c>
      <c r="J650" s="3">
        <v>27</v>
      </c>
      <c r="K650" s="3">
        <v>27</v>
      </c>
      <c r="L650" s="3">
        <v>0</v>
      </c>
      <c r="M650" s="3">
        <v>0</v>
      </c>
      <c r="N650" s="3">
        <v>27</v>
      </c>
      <c r="O650" s="3">
        <v>0.09</v>
      </c>
      <c r="P650" s="3">
        <v>0</v>
      </c>
      <c r="Q650" s="3">
        <v>0</v>
      </c>
      <c r="R650" s="3">
        <v>0</v>
      </c>
    </row>
    <row r="651" spans="1:18">
      <c r="A651" s="3" t="s">
        <v>2314</v>
      </c>
      <c r="B651" s="3" t="s">
        <v>2315</v>
      </c>
      <c r="C651" s="3" t="s">
        <v>2316</v>
      </c>
      <c r="D651" s="3" t="s">
        <v>2317</v>
      </c>
      <c r="E651" s="3" t="s">
        <v>867</v>
      </c>
      <c r="F651" s="3">
        <v>39.98</v>
      </c>
      <c r="G651" s="3" t="s">
        <v>3391</v>
      </c>
      <c r="H651" s="3"/>
      <c r="I651" s="3" t="s">
        <v>3392</v>
      </c>
      <c r="J651" s="3">
        <v>10</v>
      </c>
      <c r="K651" s="3">
        <v>10</v>
      </c>
      <c r="L651" s="3">
        <v>0</v>
      </c>
      <c r="M651" s="3">
        <v>0</v>
      </c>
      <c r="N651" s="3">
        <v>10</v>
      </c>
      <c r="O651" s="3">
        <v>0.09</v>
      </c>
      <c r="P651" s="3">
        <v>0</v>
      </c>
      <c r="Q651" s="3">
        <v>0</v>
      </c>
      <c r="R651" s="3">
        <v>0</v>
      </c>
    </row>
    <row r="652" spans="1:18">
      <c r="A652" s="3" t="s">
        <v>3162</v>
      </c>
      <c r="B652" s="3" t="s">
        <v>3163</v>
      </c>
      <c r="C652" s="3" t="s">
        <v>3164</v>
      </c>
      <c r="D652" s="3" t="s">
        <v>3165</v>
      </c>
      <c r="E652" s="3" t="s">
        <v>867</v>
      </c>
      <c r="F652" s="3">
        <v>39.98</v>
      </c>
      <c r="G652" s="3" t="s">
        <v>3391</v>
      </c>
      <c r="H652" s="3"/>
      <c r="I652" s="3" t="s">
        <v>3392</v>
      </c>
      <c r="J652" s="3">
        <v>11</v>
      </c>
      <c r="K652" s="3">
        <v>11</v>
      </c>
      <c r="L652" s="3">
        <v>0</v>
      </c>
      <c r="M652" s="3">
        <v>0</v>
      </c>
      <c r="N652" s="3">
        <v>11</v>
      </c>
      <c r="O652" s="3">
        <v>0.09</v>
      </c>
      <c r="P652" s="3">
        <v>0</v>
      </c>
      <c r="Q652" s="3">
        <v>0</v>
      </c>
      <c r="R652" s="3">
        <v>0</v>
      </c>
    </row>
    <row r="653" spans="1:18">
      <c r="A653" s="3" t="s">
        <v>1809</v>
      </c>
      <c r="B653" s="3" t="s">
        <v>1810</v>
      </c>
      <c r="C653" s="3" t="s">
        <v>1811</v>
      </c>
      <c r="D653" s="3" t="s">
        <v>1812</v>
      </c>
      <c r="E653" s="3" t="s">
        <v>867</v>
      </c>
      <c r="F653" s="3">
        <v>39.98</v>
      </c>
      <c r="G653" s="3" t="s">
        <v>3391</v>
      </c>
      <c r="H653" s="3"/>
      <c r="I653" s="3" t="s">
        <v>3392</v>
      </c>
      <c r="J653" s="3">
        <v>29</v>
      </c>
      <c r="K653" s="3">
        <v>29</v>
      </c>
      <c r="L653" s="3">
        <v>0</v>
      </c>
      <c r="M653" s="3">
        <v>0</v>
      </c>
      <c r="N653" s="3">
        <v>29</v>
      </c>
      <c r="O653" s="3">
        <v>0.09</v>
      </c>
      <c r="P653" s="3">
        <v>0</v>
      </c>
      <c r="Q653" s="3">
        <v>0</v>
      </c>
      <c r="R653" s="3">
        <v>0</v>
      </c>
    </row>
    <row r="654" spans="1:18">
      <c r="A654" s="3" t="s">
        <v>2528</v>
      </c>
      <c r="B654" s="3" t="s">
        <v>2529</v>
      </c>
      <c r="C654" s="3" t="s">
        <v>2530</v>
      </c>
      <c r="D654" s="3" t="s">
        <v>2531</v>
      </c>
      <c r="E654" s="3" t="s">
        <v>867</v>
      </c>
      <c r="F654" s="3">
        <v>39.98</v>
      </c>
      <c r="G654" s="3" t="s">
        <v>3391</v>
      </c>
      <c r="H654" s="3"/>
      <c r="I654" s="3" t="s">
        <v>3392</v>
      </c>
      <c r="J654" s="3">
        <v>22</v>
      </c>
      <c r="K654" s="3">
        <v>22</v>
      </c>
      <c r="L654" s="3">
        <v>0</v>
      </c>
      <c r="M654" s="3">
        <v>0</v>
      </c>
      <c r="N654" s="3">
        <v>22</v>
      </c>
      <c r="O654" s="3">
        <v>0.09</v>
      </c>
      <c r="P654" s="3">
        <v>0</v>
      </c>
      <c r="Q654" s="3">
        <v>0</v>
      </c>
      <c r="R654" s="3">
        <v>0</v>
      </c>
    </row>
    <row r="655" spans="1:18">
      <c r="A655" s="3" t="s">
        <v>2107</v>
      </c>
      <c r="B655" s="3" t="s">
        <v>2108</v>
      </c>
      <c r="C655" s="3" t="s">
        <v>2109</v>
      </c>
      <c r="D655" s="3" t="s">
        <v>2110</v>
      </c>
      <c r="E655" s="3" t="s">
        <v>867</v>
      </c>
      <c r="F655" s="3">
        <v>39.98</v>
      </c>
      <c r="G655" s="3" t="s">
        <v>3391</v>
      </c>
      <c r="H655" s="3"/>
      <c r="I655" s="3" t="s">
        <v>3392</v>
      </c>
      <c r="J655" s="3">
        <v>28</v>
      </c>
      <c r="K655" s="3">
        <v>28</v>
      </c>
      <c r="L655" s="3">
        <v>0</v>
      </c>
      <c r="M655" s="3">
        <v>0</v>
      </c>
      <c r="N655" s="3">
        <v>28</v>
      </c>
      <c r="O655" s="3">
        <v>0.09</v>
      </c>
      <c r="P655" s="3">
        <v>0</v>
      </c>
      <c r="Q655" s="3">
        <v>0</v>
      </c>
      <c r="R655" s="3">
        <v>0</v>
      </c>
    </row>
    <row r="656" spans="1:18">
      <c r="A656" s="3" t="s">
        <v>1515</v>
      </c>
      <c r="B656" s="3" t="s">
        <v>1516</v>
      </c>
      <c r="C656" s="3" t="s">
        <v>1517</v>
      </c>
      <c r="D656" s="3" t="s">
        <v>1518</v>
      </c>
      <c r="E656" s="3" t="s">
        <v>867</v>
      </c>
      <c r="F656" s="3">
        <v>39.98</v>
      </c>
      <c r="G656" s="3" t="s">
        <v>3391</v>
      </c>
      <c r="H656" s="3"/>
      <c r="I656" s="3" t="s">
        <v>3392</v>
      </c>
      <c r="J656" s="3">
        <v>15</v>
      </c>
      <c r="K656" s="3">
        <v>15</v>
      </c>
      <c r="L656" s="3">
        <v>0</v>
      </c>
      <c r="M656" s="3">
        <v>0</v>
      </c>
      <c r="N656" s="3">
        <v>15</v>
      </c>
      <c r="O656" s="3">
        <v>0.09</v>
      </c>
      <c r="P656" s="3">
        <v>0</v>
      </c>
      <c r="Q656" s="3">
        <v>0</v>
      </c>
      <c r="R656" s="3">
        <v>0</v>
      </c>
    </row>
    <row r="657" spans="1:18">
      <c r="A657" s="3" t="s">
        <v>207</v>
      </c>
      <c r="B657" s="3" t="s">
        <v>208</v>
      </c>
      <c r="C657" s="3" t="s">
        <v>209</v>
      </c>
      <c r="D657" s="3" t="s">
        <v>210</v>
      </c>
      <c r="E657" s="3" t="s">
        <v>867</v>
      </c>
      <c r="F657" s="3">
        <v>39.98</v>
      </c>
      <c r="G657" s="3" t="s">
        <v>3391</v>
      </c>
      <c r="H657" s="3"/>
      <c r="I657" s="3" t="s">
        <v>3392</v>
      </c>
      <c r="J657" s="3">
        <v>17</v>
      </c>
      <c r="K657" s="3">
        <v>16</v>
      </c>
      <c r="L657" s="3">
        <v>0</v>
      </c>
      <c r="M657" s="3">
        <v>1</v>
      </c>
      <c r="N657" s="3">
        <v>17</v>
      </c>
      <c r="O657" s="3">
        <v>0.09</v>
      </c>
      <c r="P657" s="3">
        <v>0</v>
      </c>
      <c r="Q657" s="3">
        <v>0</v>
      </c>
      <c r="R657" s="3">
        <v>0</v>
      </c>
    </row>
    <row r="658" spans="1:18">
      <c r="A658" s="3" t="s">
        <v>2886</v>
      </c>
      <c r="B658" s="3" t="s">
        <v>2887</v>
      </c>
      <c r="C658" s="3" t="s">
        <v>2091</v>
      </c>
      <c r="D658" s="3" t="s">
        <v>2092</v>
      </c>
      <c r="E658" s="3" t="s">
        <v>867</v>
      </c>
      <c r="F658" s="3">
        <v>39.98</v>
      </c>
      <c r="G658" s="3" t="s">
        <v>3391</v>
      </c>
      <c r="H658" s="3"/>
      <c r="I658" s="3" t="s">
        <v>3392</v>
      </c>
      <c r="J658" s="3">
        <v>28</v>
      </c>
      <c r="K658" s="3">
        <v>28</v>
      </c>
      <c r="L658" s="3">
        <v>0</v>
      </c>
      <c r="M658" s="3">
        <v>0</v>
      </c>
      <c r="N658" s="3">
        <v>28</v>
      </c>
      <c r="O658" s="3">
        <v>0.09</v>
      </c>
      <c r="P658" s="3">
        <v>0</v>
      </c>
      <c r="Q658" s="3">
        <v>0</v>
      </c>
      <c r="R658" s="3">
        <v>0</v>
      </c>
    </row>
    <row r="659" spans="1:18">
      <c r="A659" s="3" t="s">
        <v>2536</v>
      </c>
      <c r="B659" s="3" t="s">
        <v>2537</v>
      </c>
      <c r="C659" s="3" t="s">
        <v>2538</v>
      </c>
      <c r="D659" s="3" t="s">
        <v>2539</v>
      </c>
      <c r="E659" s="3" t="s">
        <v>3293</v>
      </c>
      <c r="F659" s="3"/>
      <c r="G659" s="3"/>
      <c r="H659" s="3"/>
      <c r="I659" s="3"/>
      <c r="J659" s="3">
        <v>24</v>
      </c>
      <c r="K659" s="3">
        <v>24</v>
      </c>
      <c r="L659" s="3">
        <v>0</v>
      </c>
      <c r="M659" s="3">
        <v>0</v>
      </c>
      <c r="N659" s="3">
        <v>24</v>
      </c>
      <c r="O659" s="3">
        <v>0.09</v>
      </c>
      <c r="P659" s="3">
        <v>0</v>
      </c>
      <c r="Q659" s="3">
        <v>0</v>
      </c>
      <c r="R659" s="3">
        <v>0</v>
      </c>
    </row>
    <row r="660" spans="1:18">
      <c r="A660" s="3" t="s">
        <v>1719</v>
      </c>
      <c r="B660" s="3" t="s">
        <v>1720</v>
      </c>
      <c r="C660" s="3" t="s">
        <v>1721</v>
      </c>
      <c r="D660" s="3" t="s">
        <v>1722</v>
      </c>
      <c r="E660" s="3" t="s">
        <v>867</v>
      </c>
      <c r="F660" s="3">
        <v>39.98</v>
      </c>
      <c r="G660" s="3" t="s">
        <v>3391</v>
      </c>
      <c r="H660" s="3"/>
      <c r="I660" s="3" t="s">
        <v>3392</v>
      </c>
      <c r="J660" s="3">
        <v>4</v>
      </c>
      <c r="K660" s="3">
        <v>4</v>
      </c>
      <c r="L660" s="3">
        <v>0</v>
      </c>
      <c r="M660" s="3">
        <v>0</v>
      </c>
      <c r="N660" s="3">
        <v>4</v>
      </c>
      <c r="O660" s="3">
        <v>0.09</v>
      </c>
      <c r="P660" s="3">
        <v>0</v>
      </c>
      <c r="Q660" s="3">
        <v>0</v>
      </c>
      <c r="R660" s="3">
        <v>0</v>
      </c>
    </row>
    <row r="661" spans="1:18">
      <c r="A661" s="3" t="s">
        <v>4298</v>
      </c>
      <c r="B661" s="3" t="s">
        <v>4299</v>
      </c>
      <c r="C661" s="3" t="s">
        <v>3614</v>
      </c>
      <c r="D661" s="3" t="s">
        <v>3615</v>
      </c>
      <c r="E661" s="3" t="s">
        <v>867</v>
      </c>
      <c r="F661" s="3">
        <v>39.98</v>
      </c>
      <c r="G661" s="3" t="s">
        <v>3391</v>
      </c>
      <c r="H661" s="3"/>
      <c r="I661" s="3" t="s">
        <v>3392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0.09</v>
      </c>
      <c r="P661" s="3">
        <v>0</v>
      </c>
      <c r="Q661" s="3">
        <v>0</v>
      </c>
      <c r="R661" s="3">
        <v>0</v>
      </c>
    </row>
    <row r="662" spans="1:18">
      <c r="A662" s="3" t="s">
        <v>4300</v>
      </c>
      <c r="B662" s="3" t="s">
        <v>4301</v>
      </c>
      <c r="C662" s="3" t="s">
        <v>3526</v>
      </c>
      <c r="D662" s="3" t="s">
        <v>3617</v>
      </c>
      <c r="E662" s="3" t="s">
        <v>867</v>
      </c>
      <c r="F662" s="3">
        <v>39.98</v>
      </c>
      <c r="G662" s="3" t="s">
        <v>3391</v>
      </c>
      <c r="H662" s="3"/>
      <c r="I662" s="3" t="s">
        <v>3392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0.09</v>
      </c>
      <c r="P662" s="3">
        <v>0</v>
      </c>
      <c r="Q662" s="3">
        <v>0</v>
      </c>
      <c r="R662" s="3">
        <v>0</v>
      </c>
    </row>
    <row r="663" spans="1:18">
      <c r="A663" s="3" t="s">
        <v>3014</v>
      </c>
      <c r="B663" s="3" t="s">
        <v>3015</v>
      </c>
      <c r="C663" s="3" t="s">
        <v>1756</v>
      </c>
      <c r="D663" s="3" t="s">
        <v>1757</v>
      </c>
      <c r="E663" s="3" t="s">
        <v>867</v>
      </c>
      <c r="F663" s="3">
        <v>39.98</v>
      </c>
      <c r="G663" s="3" t="s">
        <v>3391</v>
      </c>
      <c r="H663" s="3"/>
      <c r="I663" s="3" t="s">
        <v>3392</v>
      </c>
      <c r="J663" s="3">
        <v>7</v>
      </c>
      <c r="K663" s="3">
        <v>7</v>
      </c>
      <c r="L663" s="3">
        <v>0</v>
      </c>
      <c r="M663" s="3">
        <v>0</v>
      </c>
      <c r="N663" s="3">
        <v>7</v>
      </c>
      <c r="O663" s="3">
        <v>0.09</v>
      </c>
      <c r="P663" s="3">
        <v>0</v>
      </c>
      <c r="Q663" s="3">
        <v>0</v>
      </c>
      <c r="R663" s="3">
        <v>0</v>
      </c>
    </row>
    <row r="664" spans="1:18">
      <c r="A664" s="3" t="s">
        <v>4302</v>
      </c>
      <c r="B664" s="3" t="s">
        <v>4303</v>
      </c>
      <c r="C664" s="3" t="s">
        <v>1364</v>
      </c>
      <c r="D664" s="3" t="s">
        <v>1365</v>
      </c>
      <c r="E664" s="3" t="s">
        <v>867</v>
      </c>
      <c r="F664" s="3">
        <v>39.98</v>
      </c>
      <c r="G664" s="3" t="s">
        <v>3391</v>
      </c>
      <c r="H664" s="3"/>
      <c r="I664" s="3" t="s">
        <v>3392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0.09</v>
      </c>
      <c r="P664" s="3">
        <v>0</v>
      </c>
      <c r="Q664" s="3">
        <v>0</v>
      </c>
      <c r="R664" s="3">
        <v>0</v>
      </c>
    </row>
    <row r="665" spans="1:18">
      <c r="A665" s="3" t="s">
        <v>2893</v>
      </c>
      <c r="B665" s="3" t="s">
        <v>2894</v>
      </c>
      <c r="C665" s="3" t="s">
        <v>1458</v>
      </c>
      <c r="D665" s="3" t="s">
        <v>1459</v>
      </c>
      <c r="E665" s="3" t="s">
        <v>867</v>
      </c>
      <c r="F665" s="3">
        <v>39.98</v>
      </c>
      <c r="G665" s="3" t="s">
        <v>3391</v>
      </c>
      <c r="H665" s="3"/>
      <c r="I665" s="3" t="s">
        <v>3392</v>
      </c>
      <c r="J665" s="3">
        <v>3</v>
      </c>
      <c r="K665" s="3">
        <v>3</v>
      </c>
      <c r="L665" s="3">
        <v>0</v>
      </c>
      <c r="M665" s="3">
        <v>0</v>
      </c>
      <c r="N665" s="3">
        <v>3</v>
      </c>
      <c r="O665" s="3">
        <v>0.09</v>
      </c>
      <c r="P665" s="3">
        <v>0</v>
      </c>
      <c r="Q665" s="3">
        <v>0</v>
      </c>
      <c r="R665" s="3">
        <v>0</v>
      </c>
    </row>
    <row r="666" spans="1:18">
      <c r="A666" s="3" t="s">
        <v>4304</v>
      </c>
      <c r="B666" s="3" t="s">
        <v>4305</v>
      </c>
      <c r="C666" s="3" t="s">
        <v>3619</v>
      </c>
      <c r="D666" s="3" t="s">
        <v>3620</v>
      </c>
      <c r="E666" s="3" t="s">
        <v>867</v>
      </c>
      <c r="F666" s="3">
        <v>39.98</v>
      </c>
      <c r="G666" s="3" t="s">
        <v>3391</v>
      </c>
      <c r="H666" s="3"/>
      <c r="I666" s="3" t="s">
        <v>3392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0.09</v>
      </c>
      <c r="P666" s="3">
        <v>0</v>
      </c>
      <c r="Q666" s="3">
        <v>0</v>
      </c>
      <c r="R666" s="3">
        <v>0</v>
      </c>
    </row>
    <row r="667" spans="1:18">
      <c r="A667" s="3" t="s">
        <v>4306</v>
      </c>
      <c r="B667" s="3" t="s">
        <v>4307</v>
      </c>
      <c r="C667" s="3" t="s">
        <v>3622</v>
      </c>
      <c r="D667" s="3" t="s">
        <v>3623</v>
      </c>
      <c r="E667" s="3" t="s">
        <v>867</v>
      </c>
      <c r="F667" s="3">
        <v>39.98</v>
      </c>
      <c r="G667" s="3" t="s">
        <v>3391</v>
      </c>
      <c r="H667" s="3"/>
      <c r="I667" s="3" t="s">
        <v>3392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0.09</v>
      </c>
      <c r="P667" s="3">
        <v>0</v>
      </c>
      <c r="Q667" s="3">
        <v>0</v>
      </c>
      <c r="R667" s="3">
        <v>0</v>
      </c>
    </row>
    <row r="668" spans="1:18">
      <c r="A668" s="3" t="s">
        <v>2058</v>
      </c>
      <c r="B668" s="3" t="s">
        <v>2059</v>
      </c>
      <c r="C668" s="3" t="s">
        <v>2060</v>
      </c>
      <c r="D668" s="3" t="s">
        <v>2061</v>
      </c>
      <c r="E668" s="3" t="s">
        <v>867</v>
      </c>
      <c r="F668" s="3">
        <v>39.98</v>
      </c>
      <c r="G668" s="3" t="s">
        <v>3391</v>
      </c>
      <c r="H668" s="3"/>
      <c r="I668" s="3" t="s">
        <v>3392</v>
      </c>
      <c r="J668" s="3">
        <v>6</v>
      </c>
      <c r="K668" s="3">
        <v>6</v>
      </c>
      <c r="L668" s="3">
        <v>0</v>
      </c>
      <c r="M668" s="3">
        <v>0</v>
      </c>
      <c r="N668" s="3">
        <v>6</v>
      </c>
      <c r="O668" s="3">
        <v>0.09</v>
      </c>
      <c r="P668" s="3">
        <v>0</v>
      </c>
      <c r="Q668" s="3">
        <v>0</v>
      </c>
      <c r="R668" s="3">
        <v>0</v>
      </c>
    </row>
    <row r="669" spans="1:18">
      <c r="A669" s="3" t="s">
        <v>4308</v>
      </c>
      <c r="B669" s="3" t="s">
        <v>4309</v>
      </c>
      <c r="C669" s="3" t="s">
        <v>3626</v>
      </c>
      <c r="D669" s="3" t="s">
        <v>3627</v>
      </c>
      <c r="E669" s="3" t="s">
        <v>867</v>
      </c>
      <c r="F669" s="3">
        <v>39.98</v>
      </c>
      <c r="G669" s="3" t="s">
        <v>3391</v>
      </c>
      <c r="H669" s="3"/>
      <c r="I669" s="3" t="s">
        <v>3392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0.09</v>
      </c>
      <c r="P669" s="3">
        <v>0</v>
      </c>
      <c r="Q669" s="3">
        <v>0</v>
      </c>
      <c r="R669" s="3">
        <v>0</v>
      </c>
    </row>
    <row r="670" spans="1:18">
      <c r="A670" s="3" t="s">
        <v>4310</v>
      </c>
      <c r="B670" s="3" t="s">
        <v>4311</v>
      </c>
      <c r="C670" s="3" t="s">
        <v>3295</v>
      </c>
      <c r="D670" s="3" t="s">
        <v>4312</v>
      </c>
      <c r="E670" s="3" t="s">
        <v>867</v>
      </c>
      <c r="F670" s="3">
        <v>22.99</v>
      </c>
      <c r="G670" s="3" t="s">
        <v>3391</v>
      </c>
      <c r="H670" s="3"/>
      <c r="I670" s="3" t="s">
        <v>3392</v>
      </c>
      <c r="J670" s="3">
        <v>0</v>
      </c>
      <c r="K670" s="3">
        <v>0</v>
      </c>
      <c r="L670" s="3">
        <v>0</v>
      </c>
      <c r="M670" s="3">
        <v>0</v>
      </c>
      <c r="N670" s="3">
        <v>10</v>
      </c>
      <c r="O670" s="3">
        <v>0.16</v>
      </c>
      <c r="P670" s="3">
        <v>0</v>
      </c>
      <c r="Q670" s="3">
        <v>10</v>
      </c>
      <c r="R670" s="3">
        <v>0</v>
      </c>
    </row>
    <row r="671" spans="1:18">
      <c r="A671" s="3" t="s">
        <v>4313</v>
      </c>
      <c r="B671" s="3" t="s">
        <v>4314</v>
      </c>
      <c r="C671" s="3" t="s">
        <v>1186</v>
      </c>
      <c r="D671" s="3" t="s">
        <v>1187</v>
      </c>
      <c r="E671" s="3" t="s">
        <v>867</v>
      </c>
      <c r="F671" s="3">
        <v>22.99</v>
      </c>
      <c r="G671" s="3" t="s">
        <v>3391</v>
      </c>
      <c r="H671" s="3"/>
      <c r="I671" s="3" t="s">
        <v>3392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0.16</v>
      </c>
      <c r="P671" s="3">
        <v>0</v>
      </c>
      <c r="Q671" s="3">
        <v>0</v>
      </c>
      <c r="R671" s="3">
        <v>0</v>
      </c>
    </row>
    <row r="672" spans="1:18">
      <c r="A672" s="3" t="s">
        <v>2781</v>
      </c>
      <c r="B672" s="3" t="s">
        <v>2782</v>
      </c>
      <c r="C672" s="3" t="s">
        <v>2783</v>
      </c>
      <c r="D672" s="3" t="s">
        <v>2784</v>
      </c>
      <c r="E672" s="3" t="s">
        <v>867</v>
      </c>
      <c r="F672" s="3">
        <v>22.99</v>
      </c>
      <c r="G672" s="3" t="s">
        <v>3391</v>
      </c>
      <c r="H672" s="3"/>
      <c r="I672" s="3" t="s">
        <v>3392</v>
      </c>
      <c r="J672" s="3">
        <v>2</v>
      </c>
      <c r="K672" s="3">
        <v>2</v>
      </c>
      <c r="L672" s="3">
        <v>0</v>
      </c>
      <c r="M672" s="3">
        <v>0</v>
      </c>
      <c r="N672" s="3">
        <v>2</v>
      </c>
      <c r="O672" s="3">
        <v>0.16</v>
      </c>
      <c r="P672" s="3">
        <v>0</v>
      </c>
      <c r="Q672" s="3">
        <v>0</v>
      </c>
      <c r="R672" s="3">
        <v>0</v>
      </c>
    </row>
    <row r="673" spans="1:18">
      <c r="A673" s="3" t="s">
        <v>4315</v>
      </c>
      <c r="B673" s="3" t="s">
        <v>4316</v>
      </c>
      <c r="C673" s="3" t="s">
        <v>2560</v>
      </c>
      <c r="D673" s="3" t="s">
        <v>2561</v>
      </c>
      <c r="E673" s="3" t="s">
        <v>867</v>
      </c>
      <c r="F673" s="3">
        <v>22.99</v>
      </c>
      <c r="G673" s="3" t="s">
        <v>3391</v>
      </c>
      <c r="H673" s="3"/>
      <c r="I673" s="3" t="s">
        <v>3392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0.16</v>
      </c>
      <c r="P673" s="3">
        <v>0</v>
      </c>
      <c r="Q673" s="3">
        <v>0</v>
      </c>
      <c r="R673" s="3">
        <v>0</v>
      </c>
    </row>
    <row r="674" spans="1:18">
      <c r="A674" s="3" t="s">
        <v>4317</v>
      </c>
      <c r="B674" s="3" t="s">
        <v>4318</v>
      </c>
      <c r="C674" s="3" t="s">
        <v>1486</v>
      </c>
      <c r="D674" s="3" t="s">
        <v>1487</v>
      </c>
      <c r="E674" s="3" t="s">
        <v>867</v>
      </c>
      <c r="F674" s="3">
        <v>22.99</v>
      </c>
      <c r="G674" s="3" t="s">
        <v>3391</v>
      </c>
      <c r="H674" s="3"/>
      <c r="I674" s="3" t="s">
        <v>3392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0.16</v>
      </c>
      <c r="P674" s="3">
        <v>0</v>
      </c>
      <c r="Q674" s="3">
        <v>0</v>
      </c>
      <c r="R674" s="3">
        <v>0</v>
      </c>
    </row>
    <row r="675" spans="1:18">
      <c r="A675" s="3" t="s">
        <v>4319</v>
      </c>
      <c r="B675" s="3" t="s">
        <v>4320</v>
      </c>
      <c r="C675" s="3" t="s">
        <v>1565</v>
      </c>
      <c r="D675" s="3" t="s">
        <v>1566</v>
      </c>
      <c r="E675" s="3" t="s">
        <v>867</v>
      </c>
      <c r="F675" s="3">
        <v>22.99</v>
      </c>
      <c r="G675" s="3" t="s">
        <v>3391</v>
      </c>
      <c r="H675" s="3"/>
      <c r="I675" s="3" t="s">
        <v>3392</v>
      </c>
      <c r="J675" s="3">
        <v>0</v>
      </c>
      <c r="K675" s="3">
        <v>0</v>
      </c>
      <c r="L675" s="3">
        <v>0</v>
      </c>
      <c r="M675" s="3">
        <v>0</v>
      </c>
      <c r="N675" s="3">
        <v>5</v>
      </c>
      <c r="O675" s="3">
        <v>0.19</v>
      </c>
      <c r="P675" s="3">
        <v>0</v>
      </c>
      <c r="Q675" s="3">
        <v>5</v>
      </c>
      <c r="R675" s="3">
        <v>0</v>
      </c>
    </row>
    <row r="676" spans="1:18">
      <c r="A676" s="3" t="s">
        <v>4321</v>
      </c>
      <c r="B676" s="3" t="s">
        <v>4322</v>
      </c>
      <c r="C676" s="3" t="s">
        <v>4323</v>
      </c>
      <c r="D676" s="3" t="s">
        <v>4324</v>
      </c>
      <c r="E676" s="3" t="s">
        <v>867</v>
      </c>
      <c r="F676" s="3">
        <v>22.99</v>
      </c>
      <c r="G676" s="3" t="s">
        <v>3391</v>
      </c>
      <c r="H676" s="3"/>
      <c r="I676" s="3" t="s">
        <v>3392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0.02</v>
      </c>
      <c r="P676" s="3">
        <v>0</v>
      </c>
      <c r="Q676" s="3">
        <v>0</v>
      </c>
      <c r="R676" s="3">
        <v>0</v>
      </c>
    </row>
    <row r="677" spans="1:18">
      <c r="A677" s="3" t="s">
        <v>4325</v>
      </c>
      <c r="B677" s="3" t="s">
        <v>4326</v>
      </c>
      <c r="C677" s="3" t="s">
        <v>3304</v>
      </c>
      <c r="D677" s="3" t="s">
        <v>4327</v>
      </c>
      <c r="E677" s="3" t="s">
        <v>867</v>
      </c>
      <c r="F677" s="3">
        <v>22.99</v>
      </c>
      <c r="G677" s="3" t="s">
        <v>3391</v>
      </c>
      <c r="H677" s="3"/>
      <c r="I677" s="3" t="s">
        <v>3392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0.11</v>
      </c>
      <c r="P677" s="3">
        <v>0</v>
      </c>
      <c r="Q677" s="3">
        <v>0</v>
      </c>
      <c r="R677" s="3">
        <v>0</v>
      </c>
    </row>
    <row r="678" spans="1:18">
      <c r="A678" s="3" t="s">
        <v>183</v>
      </c>
      <c r="B678" s="3" t="s">
        <v>184</v>
      </c>
      <c r="C678" s="3" t="s">
        <v>185</v>
      </c>
      <c r="D678" s="3" t="s">
        <v>186</v>
      </c>
      <c r="E678" s="3" t="s">
        <v>867</v>
      </c>
      <c r="F678" s="3">
        <v>22.99</v>
      </c>
      <c r="G678" s="3" t="s">
        <v>3391</v>
      </c>
      <c r="H678" s="3"/>
      <c r="I678" s="3" t="s">
        <v>3392</v>
      </c>
      <c r="J678" s="3">
        <v>5</v>
      </c>
      <c r="K678" s="3">
        <v>0</v>
      </c>
      <c r="L678" s="3">
        <v>0</v>
      </c>
      <c r="M678" s="3">
        <v>5</v>
      </c>
      <c r="N678" s="3">
        <v>26</v>
      </c>
      <c r="O678" s="3">
        <v>0.11</v>
      </c>
      <c r="P678" s="3">
        <v>0</v>
      </c>
      <c r="Q678" s="3">
        <v>21</v>
      </c>
      <c r="R678" s="3">
        <v>0</v>
      </c>
    </row>
    <row r="679" spans="1:18">
      <c r="A679" s="3" t="s">
        <v>4328</v>
      </c>
      <c r="B679" s="3" t="s">
        <v>4329</v>
      </c>
      <c r="C679" s="3" t="s">
        <v>12</v>
      </c>
      <c r="D679" s="3" t="s">
        <v>13</v>
      </c>
      <c r="E679" s="3" t="s">
        <v>867</v>
      </c>
      <c r="F679" s="3">
        <v>22.99</v>
      </c>
      <c r="G679" s="3" t="s">
        <v>3391</v>
      </c>
      <c r="H679" s="3"/>
      <c r="I679" s="3" t="s">
        <v>3392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0.2</v>
      </c>
      <c r="P679" s="3">
        <v>0</v>
      </c>
      <c r="Q679" s="3">
        <v>0</v>
      </c>
      <c r="R679" s="3">
        <v>0</v>
      </c>
    </row>
    <row r="680" spans="1:18">
      <c r="A680" s="3" t="s">
        <v>199</v>
      </c>
      <c r="B680" s="3" t="s">
        <v>200</v>
      </c>
      <c r="C680" s="3" t="s">
        <v>201</v>
      </c>
      <c r="D680" s="3" t="s">
        <v>202</v>
      </c>
      <c r="E680" s="3" t="s">
        <v>867</v>
      </c>
      <c r="F680" s="3">
        <v>22.99</v>
      </c>
      <c r="G680" s="3" t="s">
        <v>3391</v>
      </c>
      <c r="H680" s="3"/>
      <c r="I680" s="3" t="s">
        <v>3392</v>
      </c>
      <c r="J680" s="3">
        <v>9</v>
      </c>
      <c r="K680" s="3">
        <v>4</v>
      </c>
      <c r="L680" s="3">
        <v>0</v>
      </c>
      <c r="M680" s="3">
        <v>5</v>
      </c>
      <c r="N680" s="3">
        <v>18</v>
      </c>
      <c r="O680" s="3">
        <v>0.07</v>
      </c>
      <c r="P680" s="3">
        <v>0</v>
      </c>
      <c r="Q680" s="3">
        <v>9</v>
      </c>
      <c r="R680" s="3">
        <v>0</v>
      </c>
    </row>
    <row r="681" spans="1:18">
      <c r="A681" s="3" t="s">
        <v>214</v>
      </c>
      <c r="B681" s="3" t="s">
        <v>215</v>
      </c>
      <c r="C681" s="3" t="s">
        <v>216</v>
      </c>
      <c r="D681" s="3" t="s">
        <v>217</v>
      </c>
      <c r="E681" s="3" t="s">
        <v>867</v>
      </c>
      <c r="F681" s="3">
        <v>22.99</v>
      </c>
      <c r="G681" s="3" t="s">
        <v>3391</v>
      </c>
      <c r="H681" s="3"/>
      <c r="I681" s="3" t="s">
        <v>3392</v>
      </c>
      <c r="J681" s="3">
        <v>10</v>
      </c>
      <c r="K681" s="3">
        <v>5</v>
      </c>
      <c r="L681" s="3">
        <v>0</v>
      </c>
      <c r="M681" s="3">
        <v>5</v>
      </c>
      <c r="N681" s="3">
        <v>10</v>
      </c>
      <c r="O681" s="3">
        <v>0.15</v>
      </c>
      <c r="P681" s="3">
        <v>0</v>
      </c>
      <c r="Q681" s="3">
        <v>0</v>
      </c>
      <c r="R681" s="3">
        <v>0</v>
      </c>
    </row>
    <row r="682" spans="1:18">
      <c r="A682" s="3" t="s">
        <v>203</v>
      </c>
      <c r="B682" s="3" t="s">
        <v>204</v>
      </c>
      <c r="C682" s="3" t="s">
        <v>205</v>
      </c>
      <c r="D682" s="3" t="s">
        <v>206</v>
      </c>
      <c r="E682" s="3" t="s">
        <v>867</v>
      </c>
      <c r="F682" s="3">
        <v>22.99</v>
      </c>
      <c r="G682" s="3" t="s">
        <v>3391</v>
      </c>
      <c r="H682" s="3"/>
      <c r="I682" s="3" t="s">
        <v>3392</v>
      </c>
      <c r="J682" s="3">
        <v>10</v>
      </c>
      <c r="K682" s="3">
        <v>5</v>
      </c>
      <c r="L682" s="3">
        <v>0</v>
      </c>
      <c r="M682" s="3">
        <v>5</v>
      </c>
      <c r="N682" s="3">
        <v>10</v>
      </c>
      <c r="O682" s="3">
        <v>0.22</v>
      </c>
      <c r="P682" s="3">
        <v>0</v>
      </c>
      <c r="Q682" s="3">
        <v>0</v>
      </c>
      <c r="R682" s="3">
        <v>0</v>
      </c>
    </row>
    <row r="683" spans="1:18">
      <c r="A683" s="3" t="s">
        <v>171</v>
      </c>
      <c r="B683" s="3" t="s">
        <v>172</v>
      </c>
      <c r="C683" s="3" t="s">
        <v>173</v>
      </c>
      <c r="D683" s="3" t="s">
        <v>174</v>
      </c>
      <c r="E683" s="3" t="s">
        <v>867</v>
      </c>
      <c r="F683" s="3">
        <v>22.99</v>
      </c>
      <c r="G683" s="3" t="s">
        <v>3391</v>
      </c>
      <c r="H683" s="3"/>
      <c r="I683" s="3" t="s">
        <v>3392</v>
      </c>
      <c r="J683" s="3">
        <v>8</v>
      </c>
      <c r="K683" s="3">
        <v>3</v>
      </c>
      <c r="L683" s="3">
        <v>0</v>
      </c>
      <c r="M683" s="3">
        <v>5</v>
      </c>
      <c r="N683" s="3">
        <v>18</v>
      </c>
      <c r="O683" s="3">
        <v>0.08</v>
      </c>
      <c r="P683" s="3">
        <v>0</v>
      </c>
      <c r="Q683" s="3">
        <v>10</v>
      </c>
      <c r="R683" s="3">
        <v>0</v>
      </c>
    </row>
    <row r="684" spans="1:18">
      <c r="A684" s="3" t="s">
        <v>191</v>
      </c>
      <c r="B684" s="3" t="s">
        <v>192</v>
      </c>
      <c r="C684" s="3" t="s">
        <v>193</v>
      </c>
      <c r="D684" s="3" t="s">
        <v>194</v>
      </c>
      <c r="E684" s="3" t="s">
        <v>867</v>
      </c>
      <c r="F684" s="3">
        <v>22.99</v>
      </c>
      <c r="G684" s="3" t="s">
        <v>3391</v>
      </c>
      <c r="H684" s="3"/>
      <c r="I684" s="3" t="s">
        <v>3392</v>
      </c>
      <c r="J684" s="3">
        <v>7</v>
      </c>
      <c r="K684" s="3">
        <v>5</v>
      </c>
      <c r="L684" s="3">
        <v>0</v>
      </c>
      <c r="M684" s="3">
        <v>2</v>
      </c>
      <c r="N684" s="3">
        <v>7</v>
      </c>
      <c r="O684" s="3">
        <v>0.13</v>
      </c>
      <c r="P684" s="3">
        <v>0</v>
      </c>
      <c r="Q684" s="3">
        <v>0</v>
      </c>
      <c r="R684" s="3">
        <v>0</v>
      </c>
    </row>
    <row r="685" spans="1:18">
      <c r="A685" s="3" t="s">
        <v>4330</v>
      </c>
      <c r="B685" s="3" t="s">
        <v>4331</v>
      </c>
      <c r="C685" s="3" t="s">
        <v>18</v>
      </c>
      <c r="D685" s="3" t="s">
        <v>19</v>
      </c>
      <c r="E685" s="3" t="s">
        <v>867</v>
      </c>
      <c r="F685" s="3">
        <v>22.99</v>
      </c>
      <c r="G685" s="3" t="s">
        <v>3391</v>
      </c>
      <c r="H685" s="3"/>
      <c r="I685" s="3" t="s">
        <v>3392</v>
      </c>
      <c r="J685" s="3">
        <v>0</v>
      </c>
      <c r="K685" s="3">
        <v>0</v>
      </c>
      <c r="L685" s="3">
        <v>0</v>
      </c>
      <c r="M685" s="3">
        <v>0</v>
      </c>
      <c r="N685" s="3">
        <v>30</v>
      </c>
      <c r="O685" s="3">
        <v>0.1</v>
      </c>
      <c r="P685" s="3">
        <v>0</v>
      </c>
      <c r="Q685" s="3">
        <v>30</v>
      </c>
      <c r="R685" s="3">
        <v>0</v>
      </c>
    </row>
    <row r="686" spans="1:18">
      <c r="A686" s="3" t="s">
        <v>4332</v>
      </c>
      <c r="B686" s="3" t="s">
        <v>4333</v>
      </c>
      <c r="C686" s="3" t="s">
        <v>15</v>
      </c>
      <c r="D686" s="3" t="s">
        <v>16</v>
      </c>
      <c r="E686" s="3" t="s">
        <v>867</v>
      </c>
      <c r="F686" s="3">
        <v>22.99</v>
      </c>
      <c r="G686" s="3" t="s">
        <v>3391</v>
      </c>
      <c r="H686" s="3"/>
      <c r="I686" s="3" t="s">
        <v>3392</v>
      </c>
      <c r="J686" s="3">
        <v>0</v>
      </c>
      <c r="K686" s="3">
        <v>0</v>
      </c>
      <c r="L686" s="3">
        <v>0</v>
      </c>
      <c r="M686" s="3">
        <v>0</v>
      </c>
      <c r="N686" s="3">
        <v>19</v>
      </c>
      <c r="O686" s="3">
        <v>0.11</v>
      </c>
      <c r="P686" s="3">
        <v>0</v>
      </c>
      <c r="Q686" s="3">
        <v>19</v>
      </c>
      <c r="R686" s="3">
        <v>0</v>
      </c>
    </row>
    <row r="687" spans="1:18">
      <c r="A687" s="3" t="s">
        <v>4334</v>
      </c>
      <c r="B687" s="3" t="s">
        <v>4335</v>
      </c>
      <c r="C687" s="3" t="s">
        <v>3238</v>
      </c>
      <c r="D687" s="3" t="s">
        <v>3239</v>
      </c>
      <c r="E687" s="3" t="s">
        <v>867</v>
      </c>
      <c r="F687" s="3">
        <v>22.99</v>
      </c>
      <c r="G687" s="3" t="s">
        <v>3391</v>
      </c>
      <c r="H687" s="3"/>
      <c r="I687" s="3" t="s">
        <v>3392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0.2</v>
      </c>
      <c r="P687" s="3">
        <v>0</v>
      </c>
      <c r="Q687" s="3">
        <v>0</v>
      </c>
      <c r="R687" s="3">
        <v>0</v>
      </c>
    </row>
    <row r="688" spans="1:18">
      <c r="A688" s="3" t="s">
        <v>160</v>
      </c>
      <c r="B688" s="3" t="s">
        <v>161</v>
      </c>
      <c r="C688" s="3" t="s">
        <v>162</v>
      </c>
      <c r="D688" s="3" t="s">
        <v>163</v>
      </c>
      <c r="E688" s="3" t="s">
        <v>867</v>
      </c>
      <c r="F688" s="3">
        <v>22.99</v>
      </c>
      <c r="G688" s="3" t="s">
        <v>3391</v>
      </c>
      <c r="H688" s="3"/>
      <c r="I688" s="3" t="s">
        <v>3392</v>
      </c>
      <c r="J688" s="3">
        <v>20</v>
      </c>
      <c r="K688" s="3">
        <v>10</v>
      </c>
      <c r="L688" s="3">
        <v>0</v>
      </c>
      <c r="M688" s="3">
        <v>10</v>
      </c>
      <c r="N688" s="3">
        <v>30</v>
      </c>
      <c r="O688" s="3">
        <v>0.05</v>
      </c>
      <c r="P688" s="3">
        <v>0</v>
      </c>
      <c r="Q688" s="3">
        <v>10</v>
      </c>
      <c r="R688" s="3">
        <v>0</v>
      </c>
    </row>
    <row r="689" spans="1:18">
      <c r="A689" s="3" t="s">
        <v>4336</v>
      </c>
      <c r="B689" s="3" t="s">
        <v>4337</v>
      </c>
      <c r="C689" s="3" t="s">
        <v>3314</v>
      </c>
      <c r="D689" s="3"/>
      <c r="E689" s="3" t="s">
        <v>3293</v>
      </c>
      <c r="F689" s="3"/>
      <c r="G689" s="3"/>
      <c r="H689" s="3"/>
      <c r="I689" s="3"/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/>
      <c r="P689" s="3">
        <v>0</v>
      </c>
      <c r="Q689" s="3">
        <v>0</v>
      </c>
      <c r="R689" s="3">
        <v>0</v>
      </c>
    </row>
    <row r="690" spans="1:18">
      <c r="A690" s="3" t="s">
        <v>4338</v>
      </c>
      <c r="B690" s="3" t="s">
        <v>4339</v>
      </c>
      <c r="C690" s="3" t="s">
        <v>4340</v>
      </c>
      <c r="D690" s="3" t="s">
        <v>2000</v>
      </c>
      <c r="E690" s="3" t="s">
        <v>867</v>
      </c>
      <c r="F690" s="3">
        <v>22.99</v>
      </c>
      <c r="G690" s="3" t="s">
        <v>3391</v>
      </c>
      <c r="H690" s="3"/>
      <c r="I690" s="3" t="s">
        <v>3392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0.16</v>
      </c>
      <c r="P690" s="3">
        <v>0</v>
      </c>
      <c r="Q690" s="3">
        <v>0</v>
      </c>
      <c r="R690" s="3">
        <v>0</v>
      </c>
    </row>
    <row r="691" spans="1:18">
      <c r="A691" s="3" t="s">
        <v>4341</v>
      </c>
      <c r="B691" s="3" t="s">
        <v>4342</v>
      </c>
      <c r="C691" s="3" t="s">
        <v>2909</v>
      </c>
      <c r="D691" s="3" t="s">
        <v>2910</v>
      </c>
      <c r="E691" s="3" t="s">
        <v>867</v>
      </c>
      <c r="F691" s="3">
        <v>22.99</v>
      </c>
      <c r="G691" s="3" t="s">
        <v>3391</v>
      </c>
      <c r="H691" s="3"/>
      <c r="I691" s="3" t="s">
        <v>3392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0.1</v>
      </c>
      <c r="P691" s="3">
        <v>0</v>
      </c>
      <c r="Q691" s="3">
        <v>0</v>
      </c>
      <c r="R691" s="3">
        <v>0</v>
      </c>
    </row>
    <row r="692" spans="1:18">
      <c r="A692" s="3" t="s">
        <v>4343</v>
      </c>
      <c r="B692" s="3" t="s">
        <v>4344</v>
      </c>
      <c r="C692" s="3" t="s">
        <v>1839</v>
      </c>
      <c r="D692" s="3" t="s">
        <v>1840</v>
      </c>
      <c r="E692" s="3" t="s">
        <v>867</v>
      </c>
      <c r="F692" s="3">
        <v>22.99</v>
      </c>
      <c r="G692" s="3" t="s">
        <v>3391</v>
      </c>
      <c r="H692" s="3"/>
      <c r="I692" s="3" t="s">
        <v>3392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0.11</v>
      </c>
      <c r="P692" s="3">
        <v>0</v>
      </c>
      <c r="Q692" s="3">
        <v>0</v>
      </c>
      <c r="R692" s="3">
        <v>0</v>
      </c>
    </row>
    <row r="693" spans="1:18">
      <c r="A693" s="3" t="s">
        <v>4345</v>
      </c>
      <c r="B693" s="3" t="s">
        <v>4346</v>
      </c>
      <c r="C693" s="3" t="s">
        <v>2626</v>
      </c>
      <c r="D693" s="3" t="s">
        <v>2627</v>
      </c>
      <c r="E693" s="3" t="s">
        <v>867</v>
      </c>
      <c r="F693" s="3">
        <v>22.99</v>
      </c>
      <c r="G693" s="3" t="s">
        <v>3391</v>
      </c>
      <c r="H693" s="3"/>
      <c r="I693" s="3" t="s">
        <v>3392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0.11</v>
      </c>
      <c r="P693" s="3">
        <v>0</v>
      </c>
      <c r="Q693" s="3">
        <v>0</v>
      </c>
      <c r="R693" s="3">
        <v>0</v>
      </c>
    </row>
    <row r="694" spans="1:18">
      <c r="A694" s="3" t="s">
        <v>4347</v>
      </c>
      <c r="B694" s="3" t="s">
        <v>4348</v>
      </c>
      <c r="C694" s="3" t="s">
        <v>1220</v>
      </c>
      <c r="D694" s="3" t="s">
        <v>1221</v>
      </c>
      <c r="E694" s="3" t="s">
        <v>867</v>
      </c>
      <c r="F694" s="3">
        <v>22.99</v>
      </c>
      <c r="G694" s="3" t="s">
        <v>3391</v>
      </c>
      <c r="H694" s="3"/>
      <c r="I694" s="3" t="s">
        <v>3392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0.15</v>
      </c>
      <c r="P694" s="3">
        <v>0</v>
      </c>
      <c r="Q694" s="3">
        <v>0</v>
      </c>
      <c r="R694" s="3">
        <v>0</v>
      </c>
    </row>
    <row r="695" spans="1:18">
      <c r="A695" s="3" t="s">
        <v>4349</v>
      </c>
      <c r="B695" s="3" t="s">
        <v>4350</v>
      </c>
      <c r="C695" s="3" t="s">
        <v>1212</v>
      </c>
      <c r="D695" s="3" t="s">
        <v>1213</v>
      </c>
      <c r="E695" s="3" t="s">
        <v>867</v>
      </c>
      <c r="F695" s="3">
        <v>22.99</v>
      </c>
      <c r="G695" s="3" t="s">
        <v>3391</v>
      </c>
      <c r="H695" s="3"/>
      <c r="I695" s="3" t="s">
        <v>3392</v>
      </c>
      <c r="J695" s="3">
        <v>0</v>
      </c>
      <c r="K695" s="3">
        <v>0</v>
      </c>
      <c r="L695" s="3">
        <v>0</v>
      </c>
      <c r="M695" s="3">
        <v>0</v>
      </c>
      <c r="N695" s="3">
        <v>3</v>
      </c>
      <c r="O695" s="3">
        <v>0.11</v>
      </c>
      <c r="P695" s="3">
        <v>0</v>
      </c>
      <c r="Q695" s="3">
        <v>3</v>
      </c>
      <c r="R695" s="3">
        <v>0</v>
      </c>
    </row>
    <row r="696" spans="1:18">
      <c r="A696" s="3" t="s">
        <v>4351</v>
      </c>
      <c r="B696" s="3" t="s">
        <v>4352</v>
      </c>
      <c r="C696" s="3" t="s">
        <v>1414</v>
      </c>
      <c r="D696" s="3" t="s">
        <v>1415</v>
      </c>
      <c r="E696" s="3" t="s">
        <v>867</v>
      </c>
      <c r="F696" s="3">
        <v>22.99</v>
      </c>
      <c r="G696" s="3" t="s">
        <v>3391</v>
      </c>
      <c r="H696" s="3"/>
      <c r="I696" s="3" t="s">
        <v>3392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0.16</v>
      </c>
      <c r="P696" s="3">
        <v>0</v>
      </c>
      <c r="Q696" s="3">
        <v>0</v>
      </c>
      <c r="R696" s="3">
        <v>0</v>
      </c>
    </row>
    <row r="697" spans="1:18">
      <c r="A697" s="3" t="s">
        <v>4353</v>
      </c>
      <c r="B697" s="3" t="s">
        <v>4354</v>
      </c>
      <c r="C697" s="3" t="s">
        <v>3206</v>
      </c>
      <c r="D697" s="3" t="s">
        <v>3207</v>
      </c>
      <c r="E697" s="3" t="s">
        <v>867</v>
      </c>
      <c r="F697" s="3">
        <v>22.99</v>
      </c>
      <c r="G697" s="3" t="s">
        <v>3391</v>
      </c>
      <c r="H697" s="3"/>
      <c r="I697" s="3" t="s">
        <v>3392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0.13</v>
      </c>
      <c r="P697" s="3">
        <v>0</v>
      </c>
      <c r="Q697" s="3">
        <v>0</v>
      </c>
      <c r="R697" s="3">
        <v>0</v>
      </c>
    </row>
    <row r="698" spans="1:18">
      <c r="A698" s="3" t="s">
        <v>4355</v>
      </c>
      <c r="B698" s="3" t="s">
        <v>4356</v>
      </c>
      <c r="C698" s="3" t="s">
        <v>4357</v>
      </c>
      <c r="D698" s="3" t="s">
        <v>2542</v>
      </c>
      <c r="E698" s="3" t="s">
        <v>867</v>
      </c>
      <c r="F698" s="3">
        <v>22.99</v>
      </c>
      <c r="G698" s="3" t="s">
        <v>3391</v>
      </c>
      <c r="H698" s="3"/>
      <c r="I698" s="3" t="s">
        <v>3392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0.13</v>
      </c>
      <c r="P698" s="3">
        <v>0</v>
      </c>
      <c r="Q698" s="3">
        <v>0</v>
      </c>
      <c r="R698" s="3">
        <v>0</v>
      </c>
    </row>
    <row r="699" spans="1:18">
      <c r="A699" s="3" t="s">
        <v>4358</v>
      </c>
      <c r="B699" s="3" t="s">
        <v>4359</v>
      </c>
      <c r="C699" s="3" t="s">
        <v>2700</v>
      </c>
      <c r="D699" s="3" t="s">
        <v>2701</v>
      </c>
      <c r="E699" s="3" t="s">
        <v>867</v>
      </c>
      <c r="F699" s="3">
        <v>22.99</v>
      </c>
      <c r="G699" s="3" t="s">
        <v>3391</v>
      </c>
      <c r="H699" s="3"/>
      <c r="I699" s="3" t="s">
        <v>3392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0.2</v>
      </c>
      <c r="P699" s="3">
        <v>0</v>
      </c>
      <c r="Q699" s="3">
        <v>0</v>
      </c>
      <c r="R699" s="3">
        <v>0</v>
      </c>
    </row>
    <row r="700" spans="1:18">
      <c r="A700" s="3" t="s">
        <v>4360</v>
      </c>
      <c r="B700" s="3" t="s">
        <v>4361</v>
      </c>
      <c r="C700" s="3" t="s">
        <v>1970</v>
      </c>
      <c r="D700" s="3" t="s">
        <v>1971</v>
      </c>
      <c r="E700" s="3" t="s">
        <v>867</v>
      </c>
      <c r="F700" s="3">
        <v>22.99</v>
      </c>
      <c r="G700" s="3" t="s">
        <v>3391</v>
      </c>
      <c r="H700" s="3"/>
      <c r="I700" s="3" t="s">
        <v>3392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0.2</v>
      </c>
      <c r="P700" s="3">
        <v>0</v>
      </c>
      <c r="Q700" s="3">
        <v>0</v>
      </c>
      <c r="R700" s="3">
        <v>0</v>
      </c>
    </row>
    <row r="701" spans="1:18">
      <c r="A701" s="3" t="s">
        <v>4362</v>
      </c>
      <c r="B701" s="3" t="s">
        <v>4363</v>
      </c>
      <c r="C701" s="3" t="s">
        <v>1921</v>
      </c>
      <c r="D701" s="3" t="s">
        <v>1922</v>
      </c>
      <c r="E701" s="3" t="s">
        <v>867</v>
      </c>
      <c r="F701" s="3">
        <v>22.99</v>
      </c>
      <c r="G701" s="3" t="s">
        <v>3391</v>
      </c>
      <c r="H701" s="3"/>
      <c r="I701" s="3" t="s">
        <v>3392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0.04</v>
      </c>
      <c r="P701" s="3">
        <v>0</v>
      </c>
      <c r="Q701" s="3">
        <v>0</v>
      </c>
      <c r="R701" s="3">
        <v>0</v>
      </c>
    </row>
    <row r="702" spans="1:18">
      <c r="A702" s="3" t="s">
        <v>4364</v>
      </c>
      <c r="B702" s="3" t="s">
        <v>4365</v>
      </c>
      <c r="C702" s="3" t="s">
        <v>2153</v>
      </c>
      <c r="D702" s="3" t="s">
        <v>2154</v>
      </c>
      <c r="E702" s="3" t="s">
        <v>867</v>
      </c>
      <c r="F702" s="3">
        <v>22.99</v>
      </c>
      <c r="G702" s="3" t="s">
        <v>3391</v>
      </c>
      <c r="H702" s="3"/>
      <c r="I702" s="3" t="s">
        <v>3392</v>
      </c>
      <c r="J702" s="3">
        <v>0</v>
      </c>
      <c r="K702" s="3">
        <v>0</v>
      </c>
      <c r="L702" s="3">
        <v>0</v>
      </c>
      <c r="M702" s="3">
        <v>0</v>
      </c>
      <c r="N702" s="3">
        <v>15</v>
      </c>
      <c r="O702" s="3">
        <v>0.13</v>
      </c>
      <c r="P702" s="3">
        <v>0</v>
      </c>
      <c r="Q702" s="3">
        <v>15</v>
      </c>
      <c r="R702" s="3">
        <v>0</v>
      </c>
    </row>
    <row r="703" spans="1:18">
      <c r="A703" s="3" t="s">
        <v>329</v>
      </c>
      <c r="B703" s="3" t="s">
        <v>330</v>
      </c>
      <c r="C703" s="3" t="s">
        <v>331</v>
      </c>
      <c r="D703" s="3" t="s">
        <v>332</v>
      </c>
      <c r="E703" s="3" t="s">
        <v>867</v>
      </c>
      <c r="F703" s="3">
        <v>22.99</v>
      </c>
      <c r="G703" s="3" t="s">
        <v>3391</v>
      </c>
      <c r="H703" s="3"/>
      <c r="I703" s="3" t="s">
        <v>3392</v>
      </c>
      <c r="J703" s="3">
        <v>10</v>
      </c>
      <c r="K703" s="3">
        <v>0</v>
      </c>
      <c r="L703" s="3">
        <v>0</v>
      </c>
      <c r="M703" s="3">
        <v>10</v>
      </c>
      <c r="N703" s="3">
        <v>30</v>
      </c>
      <c r="O703" s="3">
        <v>0.12</v>
      </c>
      <c r="P703" s="3">
        <v>0</v>
      </c>
      <c r="Q703" s="3">
        <v>20</v>
      </c>
      <c r="R703" s="3">
        <v>0</v>
      </c>
    </row>
    <row r="704" spans="1:18">
      <c r="A704" s="3" t="s">
        <v>1125</v>
      </c>
      <c r="B704" s="3" t="s">
        <v>1126</v>
      </c>
      <c r="C704" s="3" t="s">
        <v>1127</v>
      </c>
      <c r="D704" s="3" t="s">
        <v>1128</v>
      </c>
      <c r="E704" s="3" t="s">
        <v>867</v>
      </c>
      <c r="F704" s="3">
        <v>22.99</v>
      </c>
      <c r="G704" s="3" t="s">
        <v>3391</v>
      </c>
      <c r="H704" s="3"/>
      <c r="I704" s="3" t="s">
        <v>3392</v>
      </c>
      <c r="J704" s="3">
        <v>12</v>
      </c>
      <c r="K704" s="3">
        <v>12</v>
      </c>
      <c r="L704" s="3">
        <v>0</v>
      </c>
      <c r="M704" s="3">
        <v>0</v>
      </c>
      <c r="N704" s="3">
        <v>12</v>
      </c>
      <c r="O704" s="3">
        <v>0.2</v>
      </c>
      <c r="P704" s="3">
        <v>0</v>
      </c>
      <c r="Q704" s="3">
        <v>0</v>
      </c>
      <c r="R704" s="3">
        <v>0</v>
      </c>
    </row>
    <row r="705" spans="1:18">
      <c r="A705" s="3" t="s">
        <v>4366</v>
      </c>
      <c r="B705" s="3" t="s">
        <v>4367</v>
      </c>
      <c r="C705" s="3" t="s">
        <v>1695</v>
      </c>
      <c r="D705" s="3" t="s">
        <v>1696</v>
      </c>
      <c r="E705" s="3" t="s">
        <v>867</v>
      </c>
      <c r="F705" s="3">
        <v>22.99</v>
      </c>
      <c r="G705" s="3" t="s">
        <v>3391</v>
      </c>
      <c r="H705" s="3"/>
      <c r="I705" s="3" t="s">
        <v>3392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0.14</v>
      </c>
      <c r="P705" s="3">
        <v>0</v>
      </c>
      <c r="Q705" s="3">
        <v>0</v>
      </c>
      <c r="R705" s="3">
        <v>0</v>
      </c>
    </row>
    <row r="706" spans="1:18">
      <c r="A706" s="3" t="s">
        <v>4368</v>
      </c>
      <c r="B706" s="3" t="s">
        <v>4369</v>
      </c>
      <c r="C706" s="3" t="s">
        <v>3332</v>
      </c>
      <c r="D706" s="3" t="s">
        <v>4370</v>
      </c>
      <c r="E706" s="3" t="s">
        <v>867</v>
      </c>
      <c r="F706" s="3">
        <v>22.99</v>
      </c>
      <c r="G706" s="3" t="s">
        <v>3391</v>
      </c>
      <c r="H706" s="3"/>
      <c r="I706" s="3" t="s">
        <v>3392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0.13</v>
      </c>
      <c r="P706" s="3">
        <v>0</v>
      </c>
      <c r="Q706" s="3">
        <v>0</v>
      </c>
      <c r="R706" s="3">
        <v>0</v>
      </c>
    </row>
    <row r="707" spans="1:18">
      <c r="A707" s="3" t="s">
        <v>4371</v>
      </c>
      <c r="B707" s="3" t="s">
        <v>4372</v>
      </c>
      <c r="C707" s="3" t="s">
        <v>3334</v>
      </c>
      <c r="D707" s="3" t="s">
        <v>4373</v>
      </c>
      <c r="E707" s="3" t="s">
        <v>867</v>
      </c>
      <c r="F707" s="3">
        <v>22.99</v>
      </c>
      <c r="G707" s="3" t="s">
        <v>3391</v>
      </c>
      <c r="H707" s="3"/>
      <c r="I707" s="3" t="s">
        <v>3392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0.13</v>
      </c>
      <c r="P707" s="3">
        <v>0</v>
      </c>
      <c r="Q707" s="3">
        <v>0</v>
      </c>
      <c r="R707" s="3">
        <v>0</v>
      </c>
    </row>
    <row r="708" spans="1:18">
      <c r="A708" s="3" t="s">
        <v>4374</v>
      </c>
      <c r="B708" s="3" t="s">
        <v>4375</v>
      </c>
      <c r="C708" s="3" t="s">
        <v>1698</v>
      </c>
      <c r="D708" s="3" t="s">
        <v>1699</v>
      </c>
      <c r="E708" s="3" t="s">
        <v>867</v>
      </c>
      <c r="F708" s="3">
        <v>22.99</v>
      </c>
      <c r="G708" s="3" t="s">
        <v>3391</v>
      </c>
      <c r="H708" s="3"/>
      <c r="I708" s="3" t="s">
        <v>3392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0.16</v>
      </c>
      <c r="P708" s="3">
        <v>0</v>
      </c>
      <c r="Q708" s="3">
        <v>0</v>
      </c>
      <c r="R708" s="3">
        <v>0</v>
      </c>
    </row>
    <row r="709" spans="1:18">
      <c r="A709" s="3" t="s">
        <v>4376</v>
      </c>
      <c r="B709" s="3" t="s">
        <v>4377</v>
      </c>
      <c r="C709" s="3" t="s">
        <v>1242</v>
      </c>
      <c r="D709" s="3" t="s">
        <v>1243</v>
      </c>
      <c r="E709" s="3" t="s">
        <v>867</v>
      </c>
      <c r="F709" s="3">
        <v>22.99</v>
      </c>
      <c r="G709" s="3" t="s">
        <v>3391</v>
      </c>
      <c r="H709" s="3"/>
      <c r="I709" s="3" t="s">
        <v>3392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0.2</v>
      </c>
      <c r="P709" s="3">
        <v>0</v>
      </c>
      <c r="Q709" s="3">
        <v>0</v>
      </c>
      <c r="R709" s="3">
        <v>0</v>
      </c>
    </row>
    <row r="710" spans="1:18">
      <c r="A710" s="3" t="s">
        <v>297</v>
      </c>
      <c r="B710" s="3" t="s">
        <v>298</v>
      </c>
      <c r="C710" s="3" t="s">
        <v>299</v>
      </c>
      <c r="D710" s="3" t="s">
        <v>300</v>
      </c>
      <c r="E710" s="3" t="s">
        <v>867</v>
      </c>
      <c r="F710" s="3">
        <v>22.99</v>
      </c>
      <c r="G710" s="3" t="s">
        <v>3391</v>
      </c>
      <c r="H710" s="3"/>
      <c r="I710" s="3" t="s">
        <v>3392</v>
      </c>
      <c r="J710" s="3">
        <v>10</v>
      </c>
      <c r="K710" s="3">
        <v>5</v>
      </c>
      <c r="L710" s="3">
        <v>0</v>
      </c>
      <c r="M710" s="3">
        <v>5</v>
      </c>
      <c r="N710" s="3">
        <v>20</v>
      </c>
      <c r="O710" s="3">
        <v>0.09</v>
      </c>
      <c r="P710" s="3">
        <v>0</v>
      </c>
      <c r="Q710" s="3">
        <v>10</v>
      </c>
      <c r="R710" s="3">
        <v>0</v>
      </c>
    </row>
    <row r="711" spans="1:18">
      <c r="A711" s="3" t="s">
        <v>289</v>
      </c>
      <c r="B711" s="3" t="s">
        <v>290</v>
      </c>
      <c r="C711" s="3" t="s">
        <v>291</v>
      </c>
      <c r="D711" s="3" t="s">
        <v>292</v>
      </c>
      <c r="E711" s="3" t="s">
        <v>867</v>
      </c>
      <c r="F711" s="3">
        <v>22.99</v>
      </c>
      <c r="G711" s="3" t="s">
        <v>3391</v>
      </c>
      <c r="H711" s="3"/>
      <c r="I711" s="3" t="s">
        <v>3392</v>
      </c>
      <c r="J711" s="3">
        <v>5</v>
      </c>
      <c r="K711" s="3">
        <v>0</v>
      </c>
      <c r="L711" s="3">
        <v>0</v>
      </c>
      <c r="M711" s="3">
        <v>5</v>
      </c>
      <c r="N711" s="3">
        <v>10</v>
      </c>
      <c r="O711" s="3">
        <v>0.12</v>
      </c>
      <c r="P711" s="3">
        <v>0</v>
      </c>
      <c r="Q711" s="3">
        <v>5</v>
      </c>
      <c r="R711" s="3">
        <v>0</v>
      </c>
    </row>
    <row r="712" spans="1:18">
      <c r="A712" s="3" t="s">
        <v>226</v>
      </c>
      <c r="B712" s="3" t="s">
        <v>227</v>
      </c>
      <c r="C712" s="3" t="s">
        <v>228</v>
      </c>
      <c r="D712" s="3" t="s">
        <v>229</v>
      </c>
      <c r="E712" s="3" t="s">
        <v>867</v>
      </c>
      <c r="F712" s="3">
        <v>22.99</v>
      </c>
      <c r="G712" s="3" t="s">
        <v>3391</v>
      </c>
      <c r="H712" s="3"/>
      <c r="I712" s="3" t="s">
        <v>3392</v>
      </c>
      <c r="J712" s="3">
        <v>5</v>
      </c>
      <c r="K712" s="3">
        <v>0</v>
      </c>
      <c r="L712" s="3">
        <v>0</v>
      </c>
      <c r="M712" s="3">
        <v>5</v>
      </c>
      <c r="N712" s="3">
        <v>5</v>
      </c>
      <c r="O712" s="3">
        <v>0.2</v>
      </c>
      <c r="P712" s="3">
        <v>0</v>
      </c>
      <c r="Q712" s="3">
        <v>0</v>
      </c>
      <c r="R712" s="3">
        <v>0</v>
      </c>
    </row>
    <row r="713" spans="1:18">
      <c r="A713" s="3" t="s">
        <v>4378</v>
      </c>
      <c r="B713" s="3" t="s">
        <v>4379</v>
      </c>
      <c r="C713" s="3" t="s">
        <v>4380</v>
      </c>
      <c r="D713" s="3" t="s">
        <v>4381</v>
      </c>
      <c r="E713" s="3" t="s">
        <v>867</v>
      </c>
      <c r="F713" s="3">
        <v>22.99</v>
      </c>
      <c r="G713" s="3" t="s">
        <v>3391</v>
      </c>
      <c r="H713" s="3"/>
      <c r="I713" s="3" t="s">
        <v>3392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0.1</v>
      </c>
      <c r="P713" s="3">
        <v>0</v>
      </c>
      <c r="Q713" s="3">
        <v>0</v>
      </c>
      <c r="R713" s="3">
        <v>0</v>
      </c>
    </row>
    <row r="714" spans="1:18">
      <c r="A714" s="3" t="s">
        <v>337</v>
      </c>
      <c r="B714" s="3" t="s">
        <v>338</v>
      </c>
      <c r="C714" s="3" t="s">
        <v>339</v>
      </c>
      <c r="D714" s="3" t="s">
        <v>340</v>
      </c>
      <c r="E714" s="3" t="s">
        <v>867</v>
      </c>
      <c r="F714" s="3">
        <v>22.99</v>
      </c>
      <c r="G714" s="3" t="s">
        <v>3391</v>
      </c>
      <c r="H714" s="3"/>
      <c r="I714" s="3" t="s">
        <v>3392</v>
      </c>
      <c r="J714" s="3">
        <v>5</v>
      </c>
      <c r="K714" s="3">
        <v>0</v>
      </c>
      <c r="L714" s="3">
        <v>0</v>
      </c>
      <c r="M714" s="3">
        <v>5</v>
      </c>
      <c r="N714" s="3">
        <v>10</v>
      </c>
      <c r="O714" s="3">
        <v>0.2</v>
      </c>
      <c r="P714" s="3">
        <v>0</v>
      </c>
      <c r="Q714" s="3">
        <v>5</v>
      </c>
      <c r="R714" s="3">
        <v>0</v>
      </c>
    </row>
    <row r="715" spans="1:18">
      <c r="A715" s="3" t="s">
        <v>4382</v>
      </c>
      <c r="B715" s="3" t="s">
        <v>4383</v>
      </c>
      <c r="C715" s="3" t="s">
        <v>1710</v>
      </c>
      <c r="D715" s="3" t="s">
        <v>1711</v>
      </c>
      <c r="E715" s="3" t="s">
        <v>867</v>
      </c>
      <c r="F715" s="3">
        <v>18.98</v>
      </c>
      <c r="G715" s="3" t="s">
        <v>3391</v>
      </c>
      <c r="H715" s="3"/>
      <c r="I715" s="3" t="s">
        <v>3392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0.17</v>
      </c>
      <c r="P715" s="3">
        <v>0</v>
      </c>
      <c r="Q715" s="3">
        <v>0</v>
      </c>
      <c r="R715" s="3">
        <v>0</v>
      </c>
    </row>
    <row r="716" spans="1:18">
      <c r="A716" s="3" t="s">
        <v>4384</v>
      </c>
      <c r="B716" s="3" t="s">
        <v>4385</v>
      </c>
      <c r="C716" s="3" t="s">
        <v>4386</v>
      </c>
      <c r="D716" s="3" t="s">
        <v>4387</v>
      </c>
      <c r="E716" s="3" t="s">
        <v>867</v>
      </c>
      <c r="F716" s="3">
        <v>39.98</v>
      </c>
      <c r="G716" s="3" t="s">
        <v>3391</v>
      </c>
      <c r="H716" s="3"/>
      <c r="I716" s="3" t="s">
        <v>3392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</row>
    <row r="717" spans="1:18">
      <c r="A717" s="3" t="s">
        <v>4388</v>
      </c>
      <c r="B717" s="3" t="s">
        <v>4389</v>
      </c>
      <c r="C717" s="3" t="s">
        <v>4390</v>
      </c>
      <c r="D717" s="3" t="s">
        <v>4391</v>
      </c>
      <c r="E717" s="3" t="s">
        <v>867</v>
      </c>
      <c r="F717" s="3">
        <v>39.98</v>
      </c>
      <c r="G717" s="3" t="s">
        <v>3391</v>
      </c>
      <c r="H717" s="3"/>
      <c r="I717" s="3" t="s">
        <v>3392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</row>
    <row r="718" spans="1:18">
      <c r="A718" s="3" t="s">
        <v>4392</v>
      </c>
      <c r="B718" s="3" t="s">
        <v>4393</v>
      </c>
      <c r="C718" s="3" t="s">
        <v>569</v>
      </c>
      <c r="D718" s="3" t="s">
        <v>561</v>
      </c>
      <c r="E718" s="3" t="s">
        <v>867</v>
      </c>
      <c r="F718" s="3">
        <v>18.98</v>
      </c>
      <c r="G718" s="3" t="s">
        <v>3391</v>
      </c>
      <c r="H718" s="3"/>
      <c r="I718" s="3" t="s">
        <v>3392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0.18</v>
      </c>
      <c r="P718" s="3">
        <v>0</v>
      </c>
      <c r="Q718" s="3">
        <v>0</v>
      </c>
      <c r="R718" s="3">
        <v>0</v>
      </c>
    </row>
    <row r="719" spans="1:18">
      <c r="A719" s="3" t="s">
        <v>4394</v>
      </c>
      <c r="B719" s="3" t="s">
        <v>4395</v>
      </c>
      <c r="C719" s="3" t="s">
        <v>4396</v>
      </c>
      <c r="D719" s="3" t="s">
        <v>4397</v>
      </c>
      <c r="E719" s="3" t="s">
        <v>867</v>
      </c>
      <c r="F719" s="3">
        <v>39.98</v>
      </c>
      <c r="G719" s="3" t="s">
        <v>3391</v>
      </c>
      <c r="H719" s="3"/>
      <c r="I719" s="3" t="s">
        <v>3392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</row>
    <row r="720" spans="1:18">
      <c r="A720" s="3" t="s">
        <v>4398</v>
      </c>
      <c r="B720" s="3" t="s">
        <v>4399</v>
      </c>
      <c r="C720" s="3" t="s">
        <v>4400</v>
      </c>
      <c r="D720" s="3" t="s">
        <v>567</v>
      </c>
      <c r="E720" s="3" t="s">
        <v>867</v>
      </c>
      <c r="F720" s="3">
        <v>45.98</v>
      </c>
      <c r="G720" s="3" t="s">
        <v>3391</v>
      </c>
      <c r="H720" s="3"/>
      <c r="I720" s="3" t="s">
        <v>3392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0.12</v>
      </c>
      <c r="P720" s="3">
        <v>0</v>
      </c>
      <c r="Q720" s="3">
        <v>0</v>
      </c>
      <c r="R720" s="3">
        <v>0</v>
      </c>
    </row>
    <row r="721" spans="1:18">
      <c r="A721" s="3" t="s">
        <v>4401</v>
      </c>
      <c r="B721" s="3" t="s">
        <v>4402</v>
      </c>
      <c r="C721" s="3" t="s">
        <v>1702</v>
      </c>
      <c r="D721" s="3" t="s">
        <v>1151</v>
      </c>
      <c r="E721" s="3" t="s">
        <v>867</v>
      </c>
      <c r="F721" s="3">
        <v>45.98</v>
      </c>
      <c r="G721" s="3" t="s">
        <v>3391</v>
      </c>
      <c r="H721" s="3"/>
      <c r="I721" s="3" t="s">
        <v>3392</v>
      </c>
      <c r="J721" s="3">
        <v>0</v>
      </c>
      <c r="K721" s="3">
        <v>0</v>
      </c>
      <c r="L721" s="3">
        <v>0</v>
      </c>
      <c r="M721" s="3">
        <v>0</v>
      </c>
      <c r="N721" s="3">
        <v>10</v>
      </c>
      <c r="O721" s="3">
        <v>0.12</v>
      </c>
      <c r="P721" s="3">
        <v>0</v>
      </c>
      <c r="Q721" s="3">
        <v>10</v>
      </c>
      <c r="R721" s="3">
        <v>0</v>
      </c>
    </row>
    <row r="722" spans="1:18">
      <c r="A722" s="3" t="s">
        <v>4403</v>
      </c>
      <c r="B722" s="3" t="s">
        <v>4404</v>
      </c>
      <c r="C722" s="3" t="s">
        <v>2517</v>
      </c>
      <c r="D722" s="3" t="s">
        <v>2518</v>
      </c>
      <c r="E722" s="3" t="s">
        <v>867</v>
      </c>
      <c r="F722" s="3">
        <v>45.98</v>
      </c>
      <c r="G722" s="3" t="s">
        <v>3391</v>
      </c>
      <c r="H722" s="3"/>
      <c r="I722" s="3" t="s">
        <v>3392</v>
      </c>
      <c r="J722" s="3">
        <v>0</v>
      </c>
      <c r="K722" s="3">
        <v>0</v>
      </c>
      <c r="L722" s="3">
        <v>0</v>
      </c>
      <c r="M722" s="3">
        <v>0</v>
      </c>
      <c r="N722" s="3">
        <v>10</v>
      </c>
      <c r="O722" s="3">
        <v>0.12</v>
      </c>
      <c r="P722" s="3">
        <v>0</v>
      </c>
      <c r="Q722" s="3">
        <v>10</v>
      </c>
      <c r="R722" s="3">
        <v>0</v>
      </c>
    </row>
    <row r="723" spans="1:18">
      <c r="A723" s="3" t="s">
        <v>1871</v>
      </c>
      <c r="B723" s="3" t="s">
        <v>1872</v>
      </c>
      <c r="C723" s="3" t="s">
        <v>958</v>
      </c>
      <c r="D723" s="3" t="s">
        <v>959</v>
      </c>
      <c r="E723" s="3" t="s">
        <v>867</v>
      </c>
      <c r="F723" s="3">
        <v>45.98</v>
      </c>
      <c r="G723" s="3" t="s">
        <v>3391</v>
      </c>
      <c r="H723" s="3"/>
      <c r="I723" s="3" t="s">
        <v>3392</v>
      </c>
      <c r="J723" s="3">
        <v>3</v>
      </c>
      <c r="K723" s="3">
        <v>3</v>
      </c>
      <c r="L723" s="3">
        <v>0</v>
      </c>
      <c r="M723" s="3">
        <v>0</v>
      </c>
      <c r="N723" s="3">
        <v>10</v>
      </c>
      <c r="O723" s="3">
        <v>0.12</v>
      </c>
      <c r="P723" s="3">
        <v>0</v>
      </c>
      <c r="Q723" s="3">
        <v>7</v>
      </c>
      <c r="R723" s="3">
        <v>0</v>
      </c>
    </row>
    <row r="724" spans="1:18">
      <c r="A724" s="3" t="s">
        <v>4405</v>
      </c>
      <c r="B724" s="3" t="s">
        <v>4406</v>
      </c>
      <c r="C724" s="3" t="s">
        <v>2056</v>
      </c>
      <c r="D724" s="3" t="s">
        <v>2057</v>
      </c>
      <c r="E724" s="3" t="s">
        <v>867</v>
      </c>
      <c r="F724" s="3">
        <v>45.98</v>
      </c>
      <c r="G724" s="3" t="s">
        <v>3391</v>
      </c>
      <c r="H724" s="3"/>
      <c r="I724" s="3" t="s">
        <v>3392</v>
      </c>
      <c r="J724" s="3">
        <v>0</v>
      </c>
      <c r="K724" s="3">
        <v>0</v>
      </c>
      <c r="L724" s="3">
        <v>0</v>
      </c>
      <c r="M724" s="3">
        <v>0</v>
      </c>
      <c r="N724" s="3">
        <v>20</v>
      </c>
      <c r="O724" s="3">
        <v>0.12</v>
      </c>
      <c r="P724" s="3">
        <v>0</v>
      </c>
      <c r="Q724" s="3">
        <v>20</v>
      </c>
      <c r="R724" s="3">
        <v>0</v>
      </c>
    </row>
    <row r="725" spans="1:18">
      <c r="A725" s="3" t="s">
        <v>4407</v>
      </c>
      <c r="B725" s="3" t="s">
        <v>4408</v>
      </c>
      <c r="C725" s="3" t="s">
        <v>2238</v>
      </c>
      <c r="D725" s="3" t="s">
        <v>2077</v>
      </c>
      <c r="E725" s="3" t="s">
        <v>867</v>
      </c>
      <c r="F725" s="3">
        <v>45.98</v>
      </c>
      <c r="G725" s="3" t="s">
        <v>3391</v>
      </c>
      <c r="H725" s="3"/>
      <c r="I725" s="3" t="s">
        <v>3392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0.12</v>
      </c>
      <c r="P725" s="3">
        <v>0</v>
      </c>
      <c r="Q725" s="3">
        <v>0</v>
      </c>
      <c r="R725" s="3">
        <v>0</v>
      </c>
    </row>
    <row r="726" spans="1:18">
      <c r="A726" s="3" t="s">
        <v>4409</v>
      </c>
      <c r="B726" s="3" t="s">
        <v>4410</v>
      </c>
      <c r="C726" s="3" t="s">
        <v>4411</v>
      </c>
      <c r="D726" s="3" t="s">
        <v>4412</v>
      </c>
      <c r="E726" s="3" t="s">
        <v>867</v>
      </c>
      <c r="F726" s="3">
        <v>45.98</v>
      </c>
      <c r="G726" s="3" t="s">
        <v>3391</v>
      </c>
      <c r="H726" s="3"/>
      <c r="I726" s="3" t="s">
        <v>3392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0.11</v>
      </c>
      <c r="P726" s="3">
        <v>0</v>
      </c>
      <c r="Q726" s="3">
        <v>0</v>
      </c>
      <c r="R726" s="3">
        <v>0</v>
      </c>
    </row>
    <row r="727" spans="1:18">
      <c r="A727" s="3" t="s">
        <v>4413</v>
      </c>
      <c r="B727" s="3" t="s">
        <v>4414</v>
      </c>
      <c r="C727" s="3" t="s">
        <v>3011</v>
      </c>
      <c r="D727" s="3" t="s">
        <v>3012</v>
      </c>
      <c r="E727" s="3" t="s">
        <v>867</v>
      </c>
      <c r="F727" s="3">
        <v>45.98</v>
      </c>
      <c r="G727" s="3" t="s">
        <v>3391</v>
      </c>
      <c r="H727" s="3"/>
      <c r="I727" s="3" t="s">
        <v>3392</v>
      </c>
      <c r="J727" s="3">
        <v>0</v>
      </c>
      <c r="K727" s="3">
        <v>0</v>
      </c>
      <c r="L727" s="3">
        <v>0</v>
      </c>
      <c r="M727" s="3">
        <v>0</v>
      </c>
      <c r="N727" s="3">
        <v>8</v>
      </c>
      <c r="O727" s="3">
        <v>0.12</v>
      </c>
      <c r="P727" s="3">
        <v>0</v>
      </c>
      <c r="Q727" s="3">
        <v>8</v>
      </c>
      <c r="R727" s="3">
        <v>0</v>
      </c>
    </row>
    <row r="728" spans="1:18">
      <c r="A728" s="3" t="s">
        <v>4415</v>
      </c>
      <c r="B728" s="3" t="s">
        <v>4416</v>
      </c>
      <c r="C728" s="3" t="s">
        <v>4417</v>
      </c>
      <c r="D728" s="3" t="s">
        <v>572</v>
      </c>
      <c r="E728" s="3" t="s">
        <v>867</v>
      </c>
      <c r="F728" s="3">
        <v>45.98</v>
      </c>
      <c r="G728" s="3" t="s">
        <v>3391</v>
      </c>
      <c r="H728" s="3"/>
      <c r="I728" s="3" t="s">
        <v>3392</v>
      </c>
      <c r="J728" s="3">
        <v>0</v>
      </c>
      <c r="K728" s="3">
        <v>0</v>
      </c>
      <c r="L728" s="3">
        <v>0</v>
      </c>
      <c r="M728" s="3">
        <v>0</v>
      </c>
      <c r="N728" s="3">
        <v>5</v>
      </c>
      <c r="O728" s="3">
        <v>0.19</v>
      </c>
      <c r="P728" s="3">
        <v>0</v>
      </c>
      <c r="Q728" s="3">
        <v>5</v>
      </c>
      <c r="R728" s="3">
        <v>0</v>
      </c>
    </row>
    <row r="729" spans="1:18">
      <c r="A729" s="3" t="s">
        <v>4418</v>
      </c>
      <c r="B729" s="3" t="s">
        <v>4419</v>
      </c>
      <c r="C729" s="3" t="s">
        <v>4420</v>
      </c>
      <c r="D729" s="3" t="s">
        <v>3271</v>
      </c>
      <c r="E729" s="3" t="s">
        <v>867</v>
      </c>
      <c r="F729" s="3">
        <v>45.98</v>
      </c>
      <c r="G729" s="3" t="s">
        <v>3391</v>
      </c>
      <c r="H729" s="3"/>
      <c r="I729" s="3" t="s">
        <v>3392</v>
      </c>
      <c r="J729" s="3">
        <v>0</v>
      </c>
      <c r="K729" s="3">
        <v>0</v>
      </c>
      <c r="L729" s="3">
        <v>0</v>
      </c>
      <c r="M729" s="3">
        <v>0</v>
      </c>
      <c r="N729" s="3">
        <v>13</v>
      </c>
      <c r="O729" s="3">
        <v>0</v>
      </c>
      <c r="P729" s="3">
        <v>0</v>
      </c>
      <c r="Q729" s="3">
        <v>13</v>
      </c>
      <c r="R729" s="3">
        <v>0</v>
      </c>
    </row>
    <row r="730" spans="1:18">
      <c r="A730" s="3" t="s">
        <v>4421</v>
      </c>
      <c r="B730" s="3" t="s">
        <v>4422</v>
      </c>
      <c r="C730" s="3" t="s">
        <v>4423</v>
      </c>
      <c r="D730" s="3" t="s">
        <v>564</v>
      </c>
      <c r="E730" s="3" t="s">
        <v>867</v>
      </c>
      <c r="F730" s="3">
        <v>45.98</v>
      </c>
      <c r="G730" s="3" t="s">
        <v>3391</v>
      </c>
      <c r="H730" s="3"/>
      <c r="I730" s="3" t="s">
        <v>3392</v>
      </c>
      <c r="J730" s="3">
        <v>0</v>
      </c>
      <c r="K730" s="3">
        <v>0</v>
      </c>
      <c r="L730" s="3">
        <v>0</v>
      </c>
      <c r="M730" s="3">
        <v>0</v>
      </c>
      <c r="N730" s="3">
        <v>10</v>
      </c>
      <c r="O730" s="3">
        <v>0.12</v>
      </c>
      <c r="P730" s="3">
        <v>0</v>
      </c>
      <c r="Q730" s="3">
        <v>10</v>
      </c>
      <c r="R730" s="3">
        <v>0</v>
      </c>
    </row>
    <row r="731" spans="1:18">
      <c r="A731" s="3" t="s">
        <v>4424</v>
      </c>
      <c r="B731" s="3" t="s">
        <v>4425</v>
      </c>
      <c r="C731" s="3" t="s">
        <v>3039</v>
      </c>
      <c r="D731" s="3" t="s">
        <v>3040</v>
      </c>
      <c r="E731" s="3" t="s">
        <v>867</v>
      </c>
      <c r="F731" s="3">
        <v>45.98</v>
      </c>
      <c r="G731" s="3" t="s">
        <v>3391</v>
      </c>
      <c r="H731" s="3"/>
      <c r="I731" s="3" t="s">
        <v>3392</v>
      </c>
      <c r="J731" s="3">
        <v>0</v>
      </c>
      <c r="K731" s="3">
        <v>0</v>
      </c>
      <c r="L731" s="3">
        <v>0</v>
      </c>
      <c r="M731" s="3">
        <v>0</v>
      </c>
      <c r="N731" s="3">
        <v>7</v>
      </c>
      <c r="O731" s="3">
        <v>0.12</v>
      </c>
      <c r="P731" s="3">
        <v>0</v>
      </c>
      <c r="Q731" s="3">
        <v>7</v>
      </c>
      <c r="R731" s="3">
        <v>0</v>
      </c>
    </row>
    <row r="732" spans="1:18">
      <c r="A732" s="3" t="s">
        <v>321</v>
      </c>
      <c r="B732" s="3" t="s">
        <v>322</v>
      </c>
      <c r="C732" s="3" t="s">
        <v>323</v>
      </c>
      <c r="D732" s="3" t="s">
        <v>324</v>
      </c>
      <c r="E732" s="3" t="s">
        <v>867</v>
      </c>
      <c r="F732" s="3">
        <v>45.98</v>
      </c>
      <c r="G732" s="3" t="s">
        <v>3391</v>
      </c>
      <c r="H732" s="3"/>
      <c r="I732" s="3" t="s">
        <v>3392</v>
      </c>
      <c r="J732" s="3">
        <v>9</v>
      </c>
      <c r="K732" s="3">
        <v>4</v>
      </c>
      <c r="L732" s="3">
        <v>0</v>
      </c>
      <c r="M732" s="3">
        <v>5</v>
      </c>
      <c r="N732" s="3">
        <v>18</v>
      </c>
      <c r="O732" s="3">
        <v>0.12</v>
      </c>
      <c r="P732" s="3">
        <v>0</v>
      </c>
      <c r="Q732" s="3">
        <v>9</v>
      </c>
      <c r="R732" s="3">
        <v>0</v>
      </c>
    </row>
    <row r="733" spans="1:18">
      <c r="A733" s="3" t="s">
        <v>4426</v>
      </c>
      <c r="B733" s="3" t="s">
        <v>4427</v>
      </c>
      <c r="C733" s="3" t="s">
        <v>4428</v>
      </c>
      <c r="D733" s="3" t="s">
        <v>549</v>
      </c>
      <c r="E733" s="3" t="s">
        <v>867</v>
      </c>
      <c r="F733" s="3">
        <v>45.98</v>
      </c>
      <c r="G733" s="3" t="s">
        <v>3391</v>
      </c>
      <c r="H733" s="3"/>
      <c r="I733" s="3" t="s">
        <v>3392</v>
      </c>
      <c r="J733" s="3">
        <v>0</v>
      </c>
      <c r="K733" s="3">
        <v>0</v>
      </c>
      <c r="L733" s="3">
        <v>0</v>
      </c>
      <c r="M733" s="3">
        <v>0</v>
      </c>
      <c r="N733" s="3">
        <v>20</v>
      </c>
      <c r="O733" s="3">
        <v>0.12</v>
      </c>
      <c r="P733" s="3">
        <v>0</v>
      </c>
      <c r="Q733" s="3">
        <v>20</v>
      </c>
      <c r="R733" s="3">
        <v>0</v>
      </c>
    </row>
    <row r="734" spans="1:18">
      <c r="A734" s="3" t="s">
        <v>4429</v>
      </c>
      <c r="B734" s="3" t="s">
        <v>4430</v>
      </c>
      <c r="C734" s="3" t="s">
        <v>4431</v>
      </c>
      <c r="D734" s="3" t="s">
        <v>2246</v>
      </c>
      <c r="E734" s="3" t="s">
        <v>867</v>
      </c>
      <c r="F734" s="3">
        <v>45.98</v>
      </c>
      <c r="G734" s="3" t="s">
        <v>3391</v>
      </c>
      <c r="H734" s="3"/>
      <c r="I734" s="3" t="s">
        <v>3392</v>
      </c>
      <c r="J734" s="3">
        <v>0</v>
      </c>
      <c r="K734" s="3">
        <v>0</v>
      </c>
      <c r="L734" s="3">
        <v>0</v>
      </c>
      <c r="M734" s="3">
        <v>0</v>
      </c>
      <c r="N734" s="3">
        <v>20</v>
      </c>
      <c r="O734" s="3">
        <v>0.12</v>
      </c>
      <c r="P734" s="3">
        <v>0</v>
      </c>
      <c r="Q734" s="3">
        <v>20</v>
      </c>
      <c r="R734" s="3">
        <v>0</v>
      </c>
    </row>
    <row r="735" spans="1:18">
      <c r="A735" s="3" t="s">
        <v>4432</v>
      </c>
      <c r="B735" s="3" t="s">
        <v>4433</v>
      </c>
      <c r="C735" s="3" t="s">
        <v>1268</v>
      </c>
      <c r="D735" s="3" t="s">
        <v>1269</v>
      </c>
      <c r="E735" s="3" t="s">
        <v>867</v>
      </c>
      <c r="F735" s="3">
        <v>45.98</v>
      </c>
      <c r="G735" s="3" t="s">
        <v>3391</v>
      </c>
      <c r="H735" s="3"/>
      <c r="I735" s="3" t="s">
        <v>3392</v>
      </c>
      <c r="J735" s="3">
        <v>0</v>
      </c>
      <c r="K735" s="3">
        <v>0</v>
      </c>
      <c r="L735" s="3">
        <v>0</v>
      </c>
      <c r="M735" s="3">
        <v>0</v>
      </c>
      <c r="N735" s="3">
        <v>11</v>
      </c>
      <c r="O735" s="3">
        <v>0.12</v>
      </c>
      <c r="P735" s="3">
        <v>0</v>
      </c>
      <c r="Q735" s="3">
        <v>11</v>
      </c>
      <c r="R735" s="3">
        <v>0</v>
      </c>
    </row>
    <row r="736" spans="1:18">
      <c r="A736" s="3" t="s">
        <v>270</v>
      </c>
      <c r="B736" s="3" t="s">
        <v>271</v>
      </c>
      <c r="C736" s="3" t="s">
        <v>272</v>
      </c>
      <c r="D736" s="3" t="s">
        <v>273</v>
      </c>
      <c r="E736" s="3" t="s">
        <v>867</v>
      </c>
      <c r="F736" s="3">
        <v>45.98</v>
      </c>
      <c r="G736" s="3" t="s">
        <v>3391</v>
      </c>
      <c r="H736" s="3"/>
      <c r="I736" s="3" t="s">
        <v>3392</v>
      </c>
      <c r="J736" s="3">
        <v>3</v>
      </c>
      <c r="K736" s="3">
        <v>0</v>
      </c>
      <c r="L736" s="3">
        <v>0</v>
      </c>
      <c r="M736" s="3">
        <v>3</v>
      </c>
      <c r="N736" s="3">
        <v>16</v>
      </c>
      <c r="O736" s="3">
        <v>0.12</v>
      </c>
      <c r="P736" s="3">
        <v>0</v>
      </c>
      <c r="Q736" s="3">
        <v>13</v>
      </c>
      <c r="R736" s="3">
        <v>0</v>
      </c>
    </row>
    <row r="737" spans="1:18">
      <c r="A737" s="3" t="s">
        <v>4434</v>
      </c>
      <c r="B737" s="3" t="s">
        <v>4435</v>
      </c>
      <c r="C737" s="3" t="s">
        <v>1293</v>
      </c>
      <c r="D737" s="3" t="s">
        <v>1294</v>
      </c>
      <c r="E737" s="3" t="s">
        <v>867</v>
      </c>
      <c r="F737" s="3">
        <v>45.98</v>
      </c>
      <c r="G737" s="3" t="s">
        <v>3391</v>
      </c>
      <c r="H737" s="3"/>
      <c r="I737" s="3" t="s">
        <v>3392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0.12</v>
      </c>
      <c r="P737" s="3">
        <v>0</v>
      </c>
      <c r="Q737" s="3">
        <v>0</v>
      </c>
      <c r="R737" s="3">
        <v>0</v>
      </c>
    </row>
    <row r="738" spans="1:18">
      <c r="A738" s="3" t="s">
        <v>4436</v>
      </c>
      <c r="B738" s="3" t="s">
        <v>4437</v>
      </c>
      <c r="C738" s="3" t="s">
        <v>4438</v>
      </c>
      <c r="D738" s="3" t="s">
        <v>4439</v>
      </c>
      <c r="E738" s="3" t="s">
        <v>867</v>
      </c>
      <c r="F738" s="3">
        <v>45.98</v>
      </c>
      <c r="G738" s="3" t="s">
        <v>3391</v>
      </c>
      <c r="H738" s="3"/>
      <c r="I738" s="3" t="s">
        <v>3392</v>
      </c>
      <c r="J738" s="3">
        <v>0</v>
      </c>
      <c r="K738" s="3">
        <v>0</v>
      </c>
      <c r="L738" s="3">
        <v>0</v>
      </c>
      <c r="M738" s="3">
        <v>0</v>
      </c>
      <c r="N738" s="3">
        <v>20</v>
      </c>
      <c r="O738" s="3">
        <v>0.12</v>
      </c>
      <c r="P738" s="3">
        <v>0</v>
      </c>
      <c r="Q738" s="3">
        <v>20</v>
      </c>
      <c r="R738" s="3">
        <v>0</v>
      </c>
    </row>
    <row r="739" spans="1:18">
      <c r="A739" s="3" t="s">
        <v>4440</v>
      </c>
      <c r="B739" s="3" t="s">
        <v>4441</v>
      </c>
      <c r="C739" s="3" t="s">
        <v>3074</v>
      </c>
      <c r="D739" s="3" t="s">
        <v>3075</v>
      </c>
      <c r="E739" s="3" t="s">
        <v>867</v>
      </c>
      <c r="F739" s="3">
        <v>45.98</v>
      </c>
      <c r="G739" s="3" t="s">
        <v>3391</v>
      </c>
      <c r="H739" s="3"/>
      <c r="I739" s="3" t="s">
        <v>3392</v>
      </c>
      <c r="J739" s="3">
        <v>0</v>
      </c>
      <c r="K739" s="3">
        <v>0</v>
      </c>
      <c r="L739" s="3">
        <v>0</v>
      </c>
      <c r="M739" s="3">
        <v>0</v>
      </c>
      <c r="N739" s="3">
        <v>17</v>
      </c>
      <c r="O739" s="3">
        <v>0.12</v>
      </c>
      <c r="P739" s="3">
        <v>0</v>
      </c>
      <c r="Q739" s="3">
        <v>17</v>
      </c>
      <c r="R739" s="3">
        <v>0</v>
      </c>
    </row>
    <row r="740" spans="1:18">
      <c r="A740" s="3" t="s">
        <v>1744</v>
      </c>
      <c r="B740" s="3" t="s">
        <v>1745</v>
      </c>
      <c r="C740" s="3" t="s">
        <v>1746</v>
      </c>
      <c r="D740" s="3" t="s">
        <v>1747</v>
      </c>
      <c r="E740" s="3" t="s">
        <v>867</v>
      </c>
      <c r="F740" s="3">
        <v>26.99</v>
      </c>
      <c r="G740" s="3" t="s">
        <v>3391</v>
      </c>
      <c r="H740" s="3"/>
      <c r="I740" s="3" t="s">
        <v>3392</v>
      </c>
      <c r="J740" s="3">
        <v>10</v>
      </c>
      <c r="K740" s="3">
        <v>10</v>
      </c>
      <c r="L740" s="3">
        <v>0</v>
      </c>
      <c r="M740" s="3">
        <v>0</v>
      </c>
      <c r="N740" s="3">
        <v>12</v>
      </c>
      <c r="O740" s="3">
        <v>0.12</v>
      </c>
      <c r="P740" s="3">
        <v>0</v>
      </c>
      <c r="Q740" s="3">
        <v>2</v>
      </c>
      <c r="R740" s="3">
        <v>0</v>
      </c>
    </row>
    <row r="741" spans="1:18">
      <c r="A741" s="3" t="s">
        <v>4442</v>
      </c>
      <c r="B741" s="3" t="s">
        <v>4443</v>
      </c>
      <c r="C741" s="3" t="s">
        <v>2166</v>
      </c>
      <c r="D741" s="3" t="s">
        <v>2167</v>
      </c>
      <c r="E741" s="3" t="s">
        <v>867</v>
      </c>
      <c r="F741" s="3">
        <v>45.98</v>
      </c>
      <c r="G741" s="3" t="s">
        <v>3391</v>
      </c>
      <c r="H741" s="3"/>
      <c r="I741" s="3" t="s">
        <v>3392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0.12</v>
      </c>
      <c r="P741" s="3">
        <v>0</v>
      </c>
      <c r="Q741" s="3">
        <v>0</v>
      </c>
      <c r="R741" s="3">
        <v>0</v>
      </c>
    </row>
    <row r="742" spans="1:18">
      <c r="A742" s="3" t="s">
        <v>4444</v>
      </c>
      <c r="B742" s="3" t="s">
        <v>4445</v>
      </c>
      <c r="C742" s="3" t="s">
        <v>2848</v>
      </c>
      <c r="D742" s="3" t="s">
        <v>2849</v>
      </c>
      <c r="E742" s="3" t="s">
        <v>867</v>
      </c>
      <c r="F742" s="3">
        <v>45.98</v>
      </c>
      <c r="G742" s="3" t="s">
        <v>3391</v>
      </c>
      <c r="H742" s="3"/>
      <c r="I742" s="3" t="s">
        <v>3392</v>
      </c>
      <c r="J742" s="3">
        <v>0</v>
      </c>
      <c r="K742" s="3">
        <v>0</v>
      </c>
      <c r="L742" s="3">
        <v>0</v>
      </c>
      <c r="M742" s="3">
        <v>0</v>
      </c>
      <c r="N742" s="3">
        <v>10</v>
      </c>
      <c r="O742" s="3">
        <v>0.12</v>
      </c>
      <c r="P742" s="3">
        <v>0</v>
      </c>
      <c r="Q742" s="3">
        <v>10</v>
      </c>
      <c r="R742" s="3">
        <v>0</v>
      </c>
    </row>
    <row r="743" spans="1:18">
      <c r="A743" s="3" t="s">
        <v>4446</v>
      </c>
      <c r="B743" s="3" t="s">
        <v>4447</v>
      </c>
      <c r="C743" s="3" t="s">
        <v>1248</v>
      </c>
      <c r="D743" s="3" t="s">
        <v>1249</v>
      </c>
      <c r="E743" s="3" t="s">
        <v>867</v>
      </c>
      <c r="F743" s="3">
        <v>45.98</v>
      </c>
      <c r="G743" s="3" t="s">
        <v>3391</v>
      </c>
      <c r="H743" s="3"/>
      <c r="I743" s="3" t="s">
        <v>3392</v>
      </c>
      <c r="J743" s="3">
        <v>0</v>
      </c>
      <c r="K743" s="3">
        <v>0</v>
      </c>
      <c r="L743" s="3">
        <v>0</v>
      </c>
      <c r="M743" s="3">
        <v>0</v>
      </c>
      <c r="N743" s="3">
        <v>24</v>
      </c>
      <c r="O743" s="3">
        <v>0.12</v>
      </c>
      <c r="P743" s="3">
        <v>0</v>
      </c>
      <c r="Q743" s="3">
        <v>24</v>
      </c>
      <c r="R743" s="3">
        <v>0</v>
      </c>
    </row>
    <row r="744" spans="1:18">
      <c r="A744" s="3" t="s">
        <v>1607</v>
      </c>
      <c r="B744" s="3" t="s">
        <v>1608</v>
      </c>
      <c r="C744" s="3" t="s">
        <v>1609</v>
      </c>
      <c r="D744" s="3" t="s">
        <v>1610</v>
      </c>
      <c r="E744" s="3" t="s">
        <v>867</v>
      </c>
      <c r="F744" s="3">
        <v>45.98</v>
      </c>
      <c r="G744" s="3" t="s">
        <v>3391</v>
      </c>
      <c r="H744" s="3"/>
      <c r="I744" s="3" t="s">
        <v>3392</v>
      </c>
      <c r="J744" s="3">
        <v>17</v>
      </c>
      <c r="K744" s="3">
        <v>17</v>
      </c>
      <c r="L744" s="3">
        <v>0</v>
      </c>
      <c r="M744" s="3">
        <v>0</v>
      </c>
      <c r="N744" s="3">
        <v>27</v>
      </c>
      <c r="O744" s="3">
        <v>0.16</v>
      </c>
      <c r="P744" s="3">
        <v>0</v>
      </c>
      <c r="Q744" s="3">
        <v>10</v>
      </c>
      <c r="R744" s="3">
        <v>0</v>
      </c>
    </row>
    <row r="745" spans="1:18">
      <c r="A745" s="3" t="s">
        <v>242</v>
      </c>
      <c r="B745" s="3" t="s">
        <v>243</v>
      </c>
      <c r="C745" s="3" t="s">
        <v>244</v>
      </c>
      <c r="D745" s="3" t="s">
        <v>245</v>
      </c>
      <c r="E745" s="3" t="s">
        <v>867</v>
      </c>
      <c r="F745" s="3">
        <v>45.98</v>
      </c>
      <c r="G745" s="3" t="s">
        <v>3391</v>
      </c>
      <c r="H745" s="3"/>
      <c r="I745" s="3" t="s">
        <v>3392</v>
      </c>
      <c r="J745" s="3">
        <v>8</v>
      </c>
      <c r="K745" s="3">
        <v>3</v>
      </c>
      <c r="L745" s="3">
        <v>0</v>
      </c>
      <c r="M745" s="3">
        <v>5</v>
      </c>
      <c r="N745" s="3">
        <v>33</v>
      </c>
      <c r="O745" s="3">
        <v>0.12</v>
      </c>
      <c r="P745" s="3">
        <v>0</v>
      </c>
      <c r="Q745" s="3">
        <v>25</v>
      </c>
      <c r="R745" s="3">
        <v>0</v>
      </c>
    </row>
    <row r="746" spans="1:18">
      <c r="A746" s="3" t="s">
        <v>1366</v>
      </c>
      <c r="B746" s="3" t="s">
        <v>1367</v>
      </c>
      <c r="C746" s="3" t="s">
        <v>1368</v>
      </c>
      <c r="D746" s="3" t="s">
        <v>1369</v>
      </c>
      <c r="E746" s="3" t="s">
        <v>867</v>
      </c>
      <c r="F746" s="3">
        <v>45.98</v>
      </c>
      <c r="G746" s="3" t="s">
        <v>3391</v>
      </c>
      <c r="H746" s="3"/>
      <c r="I746" s="3" t="s">
        <v>3392</v>
      </c>
      <c r="J746" s="3">
        <v>0</v>
      </c>
      <c r="K746" s="3">
        <v>0</v>
      </c>
      <c r="L746" s="3">
        <v>0</v>
      </c>
      <c r="M746" s="3">
        <v>0</v>
      </c>
      <c r="N746" s="3">
        <v>28</v>
      </c>
      <c r="O746" s="3">
        <v>0.09</v>
      </c>
      <c r="P746" s="3">
        <v>0</v>
      </c>
      <c r="Q746" s="3">
        <v>28</v>
      </c>
      <c r="R746" s="3">
        <v>0</v>
      </c>
    </row>
    <row r="747" spans="1:18">
      <c r="A747" s="3" t="s">
        <v>3194</v>
      </c>
      <c r="B747" s="3" t="s">
        <v>3195</v>
      </c>
      <c r="C747" s="3" t="s">
        <v>3196</v>
      </c>
      <c r="D747" s="3" t="s">
        <v>3197</v>
      </c>
      <c r="E747" s="3" t="s">
        <v>867</v>
      </c>
      <c r="F747" s="3">
        <v>45.98</v>
      </c>
      <c r="G747" s="3" t="s">
        <v>3391</v>
      </c>
      <c r="H747" s="3"/>
      <c r="I747" s="3" t="s">
        <v>3392</v>
      </c>
      <c r="J747" s="3">
        <v>8</v>
      </c>
      <c r="K747" s="3">
        <v>8</v>
      </c>
      <c r="L747" s="3">
        <v>0</v>
      </c>
      <c r="M747" s="3">
        <v>0</v>
      </c>
      <c r="N747" s="3">
        <v>14</v>
      </c>
      <c r="O747" s="3">
        <v>0.16</v>
      </c>
      <c r="P747" s="3">
        <v>0</v>
      </c>
      <c r="Q747" s="3">
        <v>6</v>
      </c>
      <c r="R747" s="3">
        <v>0</v>
      </c>
    </row>
    <row r="748" spans="1:18">
      <c r="A748" s="3" t="s">
        <v>238</v>
      </c>
      <c r="B748" s="3" t="s">
        <v>239</v>
      </c>
      <c r="C748" s="3" t="s">
        <v>240</v>
      </c>
      <c r="D748" s="3" t="s">
        <v>241</v>
      </c>
      <c r="E748" s="3" t="s">
        <v>867</v>
      </c>
      <c r="F748" s="3">
        <v>45.98</v>
      </c>
      <c r="G748" s="3" t="s">
        <v>3391</v>
      </c>
      <c r="H748" s="3"/>
      <c r="I748" s="3" t="s">
        <v>3392</v>
      </c>
      <c r="J748" s="3">
        <v>4</v>
      </c>
      <c r="K748" s="3">
        <v>1</v>
      </c>
      <c r="L748" s="3">
        <v>0</v>
      </c>
      <c r="M748" s="3">
        <v>3</v>
      </c>
      <c r="N748" s="3">
        <v>24</v>
      </c>
      <c r="O748" s="3">
        <v>0.16</v>
      </c>
      <c r="P748" s="3">
        <v>0</v>
      </c>
      <c r="Q748" s="3">
        <v>20</v>
      </c>
      <c r="R748" s="3">
        <v>0</v>
      </c>
    </row>
    <row r="749" spans="1:18">
      <c r="A749" s="3" t="s">
        <v>1523</v>
      </c>
      <c r="B749" s="3" t="s">
        <v>1524</v>
      </c>
      <c r="C749" s="3" t="s">
        <v>1525</v>
      </c>
      <c r="D749" s="3" t="s">
        <v>1526</v>
      </c>
      <c r="E749" s="3" t="s">
        <v>867</v>
      </c>
      <c r="F749" s="3">
        <v>45.98</v>
      </c>
      <c r="G749" s="3" t="s">
        <v>3391</v>
      </c>
      <c r="H749" s="3"/>
      <c r="I749" s="3" t="s">
        <v>3392</v>
      </c>
      <c r="J749" s="3">
        <v>5</v>
      </c>
      <c r="K749" s="3">
        <v>5</v>
      </c>
      <c r="L749" s="3">
        <v>0</v>
      </c>
      <c r="M749" s="3">
        <v>0</v>
      </c>
      <c r="N749" s="3">
        <v>15</v>
      </c>
      <c r="O749" s="3">
        <v>0.16</v>
      </c>
      <c r="P749" s="3">
        <v>0</v>
      </c>
      <c r="Q749" s="3">
        <v>10</v>
      </c>
      <c r="R749" s="3">
        <v>0</v>
      </c>
    </row>
    <row r="750" spans="1:18">
      <c r="A750" s="3" t="s">
        <v>4448</v>
      </c>
      <c r="B750" s="3" t="s">
        <v>4449</v>
      </c>
      <c r="C750" s="3" t="s">
        <v>4450</v>
      </c>
      <c r="D750" s="3" t="s">
        <v>2498</v>
      </c>
      <c r="E750" s="3" t="s">
        <v>867</v>
      </c>
      <c r="F750" s="3">
        <v>45.98</v>
      </c>
      <c r="G750" s="3" t="s">
        <v>3391</v>
      </c>
      <c r="H750" s="3"/>
      <c r="I750" s="3" t="s">
        <v>3392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0.12</v>
      </c>
      <c r="P750" s="3">
        <v>0</v>
      </c>
      <c r="Q750" s="3">
        <v>0</v>
      </c>
      <c r="R750" s="3">
        <v>0</v>
      </c>
    </row>
    <row r="751" spans="1:18">
      <c r="A751" s="3" t="s">
        <v>4451</v>
      </c>
      <c r="B751" s="3" t="s">
        <v>4452</v>
      </c>
      <c r="C751" s="3" t="s">
        <v>2761</v>
      </c>
      <c r="D751" s="3" t="s">
        <v>2676</v>
      </c>
      <c r="E751" s="3" t="s">
        <v>867</v>
      </c>
      <c r="F751" s="3">
        <v>45.98</v>
      </c>
      <c r="G751" s="3" t="s">
        <v>3391</v>
      </c>
      <c r="H751" s="3"/>
      <c r="I751" s="3" t="s">
        <v>3392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0.12</v>
      </c>
      <c r="P751" s="3">
        <v>0</v>
      </c>
      <c r="Q751" s="3">
        <v>0</v>
      </c>
      <c r="R751" s="3">
        <v>0</v>
      </c>
    </row>
    <row r="752" spans="1:18">
      <c r="A752" s="3" t="s">
        <v>258</v>
      </c>
      <c r="B752" s="3" t="s">
        <v>259</v>
      </c>
      <c r="C752" s="3" t="s">
        <v>260</v>
      </c>
      <c r="D752" s="3" t="s">
        <v>261</v>
      </c>
      <c r="E752" s="3" t="s">
        <v>867</v>
      </c>
      <c r="F752" s="3">
        <v>45.98</v>
      </c>
      <c r="G752" s="3" t="s">
        <v>3391</v>
      </c>
      <c r="H752" s="3"/>
      <c r="I752" s="3" t="s">
        <v>3392</v>
      </c>
      <c r="J752" s="3">
        <v>6</v>
      </c>
      <c r="K752" s="3">
        <v>3</v>
      </c>
      <c r="L752" s="3">
        <v>0</v>
      </c>
      <c r="M752" s="3">
        <v>3</v>
      </c>
      <c r="N752" s="3">
        <v>9</v>
      </c>
      <c r="O752" s="3">
        <v>0.12</v>
      </c>
      <c r="P752" s="3">
        <v>0</v>
      </c>
      <c r="Q752" s="3">
        <v>3</v>
      </c>
      <c r="R752" s="3">
        <v>0</v>
      </c>
    </row>
    <row r="753" spans="1:18">
      <c r="A753" s="3" t="s">
        <v>4453</v>
      </c>
      <c r="B753" s="3" t="s">
        <v>4454</v>
      </c>
      <c r="C753" s="3" t="s">
        <v>2980</v>
      </c>
      <c r="D753" s="3" t="s">
        <v>2981</v>
      </c>
      <c r="E753" s="3" t="s">
        <v>867</v>
      </c>
      <c r="F753" s="3">
        <v>45.98</v>
      </c>
      <c r="G753" s="3" t="s">
        <v>3391</v>
      </c>
      <c r="H753" s="3"/>
      <c r="I753" s="3" t="s">
        <v>3392</v>
      </c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>
        <v>0.12</v>
      </c>
      <c r="P753" s="3">
        <v>0</v>
      </c>
      <c r="Q753" s="3">
        <v>0</v>
      </c>
      <c r="R753" s="3">
        <v>0</v>
      </c>
    </row>
    <row r="754" spans="1:18">
      <c r="A754" s="3" t="s">
        <v>4455</v>
      </c>
      <c r="B754" s="3" t="s">
        <v>4456</v>
      </c>
      <c r="C754" s="3" t="s">
        <v>4457</v>
      </c>
      <c r="D754" s="3" t="s">
        <v>2991</v>
      </c>
      <c r="E754" s="3" t="s">
        <v>867</v>
      </c>
      <c r="F754" s="3">
        <v>45.98</v>
      </c>
      <c r="G754" s="3" t="s">
        <v>3391</v>
      </c>
      <c r="H754" s="3"/>
      <c r="I754" s="3" t="s">
        <v>3392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0.15</v>
      </c>
      <c r="P754" s="3">
        <v>0</v>
      </c>
      <c r="Q754" s="3">
        <v>0</v>
      </c>
      <c r="R754" s="3">
        <v>0</v>
      </c>
    </row>
    <row r="755" spans="1:18">
      <c r="A755" s="3" t="s">
        <v>4458</v>
      </c>
      <c r="B755" s="3" t="s">
        <v>4459</v>
      </c>
      <c r="C755" s="3" t="s">
        <v>4460</v>
      </c>
      <c r="D755" s="3" t="s">
        <v>1063</v>
      </c>
      <c r="E755" s="3" t="s">
        <v>867</v>
      </c>
      <c r="F755" s="3">
        <v>45.98</v>
      </c>
      <c r="G755" s="3" t="s">
        <v>3391</v>
      </c>
      <c r="H755" s="3"/>
      <c r="I755" s="3" t="s">
        <v>3392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0.12</v>
      </c>
      <c r="P755" s="3">
        <v>0</v>
      </c>
      <c r="Q755" s="3">
        <v>0</v>
      </c>
      <c r="R755" s="3">
        <v>0</v>
      </c>
    </row>
    <row r="756" spans="1:18">
      <c r="A756" s="3" t="s">
        <v>4461</v>
      </c>
      <c r="B756" s="3" t="s">
        <v>4462</v>
      </c>
      <c r="C756" s="3" t="s">
        <v>1784</v>
      </c>
      <c r="D756" s="3" t="s">
        <v>1775</v>
      </c>
      <c r="E756" s="3" t="s">
        <v>867</v>
      </c>
      <c r="F756" s="3">
        <v>45.98</v>
      </c>
      <c r="G756" s="3" t="s">
        <v>3391</v>
      </c>
      <c r="H756" s="3"/>
      <c r="I756" s="3" t="s">
        <v>3392</v>
      </c>
      <c r="J756" s="3">
        <v>0</v>
      </c>
      <c r="K756" s="3">
        <v>0</v>
      </c>
      <c r="L756" s="3">
        <v>0</v>
      </c>
      <c r="M756" s="3">
        <v>0</v>
      </c>
      <c r="N756" s="3">
        <v>10</v>
      </c>
      <c r="O756" s="3">
        <v>0.12</v>
      </c>
      <c r="P756" s="3">
        <v>0</v>
      </c>
      <c r="Q756" s="3">
        <v>10</v>
      </c>
      <c r="R756" s="3">
        <v>0</v>
      </c>
    </row>
    <row r="757" spans="1:18">
      <c r="A757" s="3" t="s">
        <v>250</v>
      </c>
      <c r="B757" s="3" t="s">
        <v>251</v>
      </c>
      <c r="C757" s="3" t="s">
        <v>252</v>
      </c>
      <c r="D757" s="3" t="s">
        <v>253</v>
      </c>
      <c r="E757" s="3" t="s">
        <v>867</v>
      </c>
      <c r="F757" s="3">
        <v>45.98</v>
      </c>
      <c r="G757" s="3" t="s">
        <v>3391</v>
      </c>
      <c r="H757" s="3"/>
      <c r="I757" s="3" t="s">
        <v>3392</v>
      </c>
      <c r="J757" s="3">
        <v>10</v>
      </c>
      <c r="K757" s="3">
        <v>5</v>
      </c>
      <c r="L757" s="3">
        <v>0</v>
      </c>
      <c r="M757" s="3">
        <v>5</v>
      </c>
      <c r="N757" s="3">
        <v>15</v>
      </c>
      <c r="O757" s="3">
        <v>0.12</v>
      </c>
      <c r="P757" s="3">
        <v>0</v>
      </c>
      <c r="Q757" s="3">
        <v>5</v>
      </c>
      <c r="R757" s="3">
        <v>0</v>
      </c>
    </row>
    <row r="758" spans="1:18">
      <c r="A758" s="3" t="s">
        <v>4463</v>
      </c>
      <c r="B758" s="3" t="s">
        <v>4464</v>
      </c>
      <c r="C758" s="3" t="s">
        <v>904</v>
      </c>
      <c r="D758" s="3" t="s">
        <v>905</v>
      </c>
      <c r="E758" s="3" t="s">
        <v>867</v>
      </c>
      <c r="F758" s="3">
        <v>45.98</v>
      </c>
      <c r="G758" s="3" t="s">
        <v>3391</v>
      </c>
      <c r="H758" s="3"/>
      <c r="I758" s="3" t="s">
        <v>3392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0.12</v>
      </c>
      <c r="P758" s="3">
        <v>0</v>
      </c>
      <c r="Q758" s="3">
        <v>0</v>
      </c>
      <c r="R758" s="3">
        <v>0</v>
      </c>
    </row>
    <row r="759" spans="1:18">
      <c r="A759" s="3" t="s">
        <v>4465</v>
      </c>
      <c r="B759" s="3" t="s">
        <v>4466</v>
      </c>
      <c r="C759" s="3" t="s">
        <v>3111</v>
      </c>
      <c r="D759" s="3" t="s">
        <v>3021</v>
      </c>
      <c r="E759" s="3" t="s">
        <v>867</v>
      </c>
      <c r="F759" s="3">
        <v>45.98</v>
      </c>
      <c r="G759" s="3" t="s">
        <v>3391</v>
      </c>
      <c r="H759" s="3"/>
      <c r="I759" s="3" t="s">
        <v>3392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0.12</v>
      </c>
      <c r="P759" s="3">
        <v>0</v>
      </c>
      <c r="Q759" s="3">
        <v>0</v>
      </c>
      <c r="R759" s="3">
        <v>0</v>
      </c>
    </row>
    <row r="760" spans="1:18">
      <c r="A760" s="3" t="s">
        <v>4467</v>
      </c>
      <c r="B760" s="3" t="s">
        <v>4468</v>
      </c>
      <c r="C760" s="3" t="s">
        <v>4469</v>
      </c>
      <c r="D760" s="3" t="s">
        <v>1652</v>
      </c>
      <c r="E760" s="3" t="s">
        <v>867</v>
      </c>
      <c r="F760" s="3">
        <v>45.98</v>
      </c>
      <c r="G760" s="3" t="s">
        <v>3391</v>
      </c>
      <c r="H760" s="3"/>
      <c r="I760" s="3" t="s">
        <v>3392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0.13</v>
      </c>
      <c r="P760" s="3">
        <v>0</v>
      </c>
      <c r="Q760" s="3">
        <v>0</v>
      </c>
      <c r="R760" s="3">
        <v>0</v>
      </c>
    </row>
    <row r="761" spans="1:18">
      <c r="A761" s="3" t="s">
        <v>4470</v>
      </c>
      <c r="B761" s="3" t="s">
        <v>4471</v>
      </c>
      <c r="C761" s="3" t="s">
        <v>4472</v>
      </c>
      <c r="D761" s="3" t="s">
        <v>1916</v>
      </c>
      <c r="E761" s="3" t="s">
        <v>867</v>
      </c>
      <c r="F761" s="3">
        <v>45.98</v>
      </c>
      <c r="G761" s="3" t="s">
        <v>3391</v>
      </c>
      <c r="H761" s="3"/>
      <c r="I761" s="3" t="s">
        <v>3392</v>
      </c>
      <c r="J761" s="3">
        <v>0</v>
      </c>
      <c r="K761" s="3">
        <v>0</v>
      </c>
      <c r="L761" s="3">
        <v>0</v>
      </c>
      <c r="M761" s="3">
        <v>0</v>
      </c>
      <c r="N761" s="3">
        <v>13</v>
      </c>
      <c r="O761" s="3">
        <v>0</v>
      </c>
      <c r="P761" s="3">
        <v>0</v>
      </c>
      <c r="Q761" s="3">
        <v>13</v>
      </c>
      <c r="R761" s="3">
        <v>0</v>
      </c>
    </row>
    <row r="762" spans="1:18">
      <c r="A762" s="3" t="s">
        <v>2971</v>
      </c>
      <c r="B762" s="3" t="s">
        <v>2972</v>
      </c>
      <c r="C762" s="3" t="s">
        <v>2973</v>
      </c>
      <c r="D762" s="3" t="s">
        <v>2974</v>
      </c>
      <c r="E762" s="3" t="s">
        <v>867</v>
      </c>
      <c r="F762" s="3">
        <v>45.98</v>
      </c>
      <c r="G762" s="3" t="s">
        <v>3391</v>
      </c>
      <c r="H762" s="3"/>
      <c r="I762" s="3" t="s">
        <v>3392</v>
      </c>
      <c r="J762" s="3">
        <v>3</v>
      </c>
      <c r="K762" s="3">
        <v>3</v>
      </c>
      <c r="L762" s="3">
        <v>0</v>
      </c>
      <c r="M762" s="3">
        <v>0</v>
      </c>
      <c r="N762" s="3">
        <v>3</v>
      </c>
      <c r="O762" s="3">
        <v>0.12</v>
      </c>
      <c r="P762" s="3">
        <v>0</v>
      </c>
      <c r="Q762" s="3">
        <v>0</v>
      </c>
      <c r="R762" s="3">
        <v>0</v>
      </c>
    </row>
    <row r="763" spans="1:18">
      <c r="A763" s="3" t="s">
        <v>4473</v>
      </c>
      <c r="B763" s="3" t="s">
        <v>4474</v>
      </c>
      <c r="C763" s="3" t="s">
        <v>1202</v>
      </c>
      <c r="D763" s="3" t="s">
        <v>1203</v>
      </c>
      <c r="E763" s="3" t="s">
        <v>867</v>
      </c>
      <c r="F763" s="3">
        <v>45.98</v>
      </c>
      <c r="G763" s="3" t="s">
        <v>3391</v>
      </c>
      <c r="H763" s="3"/>
      <c r="I763" s="3" t="s">
        <v>3392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0.12</v>
      </c>
      <c r="P763" s="3">
        <v>0</v>
      </c>
      <c r="Q763" s="3">
        <v>0</v>
      </c>
      <c r="R763" s="3">
        <v>0</v>
      </c>
    </row>
    <row r="764" spans="1:18">
      <c r="A764" s="3" t="s">
        <v>4475</v>
      </c>
      <c r="B764" s="3" t="s">
        <v>4476</v>
      </c>
      <c r="C764" s="3" t="s">
        <v>1550</v>
      </c>
      <c r="D764" s="3" t="s">
        <v>1551</v>
      </c>
      <c r="E764" s="3" t="s">
        <v>867</v>
      </c>
      <c r="F764" s="3">
        <v>45.98</v>
      </c>
      <c r="G764" s="3" t="s">
        <v>3391</v>
      </c>
      <c r="H764" s="3"/>
      <c r="I764" s="3" t="s">
        <v>3392</v>
      </c>
      <c r="J764" s="3">
        <v>0</v>
      </c>
      <c r="K764" s="3">
        <v>0</v>
      </c>
      <c r="L764" s="3">
        <v>0</v>
      </c>
      <c r="M764" s="3">
        <v>0</v>
      </c>
      <c r="N764" s="3">
        <v>4</v>
      </c>
      <c r="O764" s="3">
        <v>0.12</v>
      </c>
      <c r="P764" s="3">
        <v>0</v>
      </c>
      <c r="Q764" s="3">
        <v>4</v>
      </c>
      <c r="R764" s="3">
        <v>0</v>
      </c>
    </row>
    <row r="765" spans="1:18">
      <c r="A765" s="3" t="s">
        <v>278</v>
      </c>
      <c r="B765" s="3" t="s">
        <v>279</v>
      </c>
      <c r="C765" s="3" t="s">
        <v>280</v>
      </c>
      <c r="D765" s="3" t="s">
        <v>68</v>
      </c>
      <c r="E765" s="3" t="s">
        <v>867</v>
      </c>
      <c r="F765" s="3">
        <v>39.98</v>
      </c>
      <c r="G765" s="3" t="s">
        <v>3391</v>
      </c>
      <c r="H765" s="3"/>
      <c r="I765" s="3" t="s">
        <v>3392</v>
      </c>
      <c r="J765" s="3">
        <v>24</v>
      </c>
      <c r="K765" s="3">
        <v>19</v>
      </c>
      <c r="L765" s="3">
        <v>1</v>
      </c>
      <c r="M765" s="3">
        <v>4</v>
      </c>
      <c r="N765" s="3">
        <v>49</v>
      </c>
      <c r="O765" s="3">
        <v>0.05</v>
      </c>
      <c r="P765" s="3">
        <v>0</v>
      </c>
      <c r="Q765" s="3">
        <v>25</v>
      </c>
      <c r="R765" s="3">
        <v>0</v>
      </c>
    </row>
    <row r="766" spans="1:18">
      <c r="A766" s="3" t="s">
        <v>345</v>
      </c>
      <c r="B766" s="3" t="s">
        <v>346</v>
      </c>
      <c r="C766" s="3" t="s">
        <v>347</v>
      </c>
      <c r="D766" s="3" t="s">
        <v>348</v>
      </c>
      <c r="E766" s="3" t="s">
        <v>867</v>
      </c>
      <c r="F766" s="3">
        <v>39.98</v>
      </c>
      <c r="G766" s="3" t="s">
        <v>3391</v>
      </c>
      <c r="H766" s="3"/>
      <c r="I766" s="3" t="s">
        <v>3392</v>
      </c>
      <c r="J766" s="3">
        <v>5</v>
      </c>
      <c r="K766" s="3">
        <v>0</v>
      </c>
      <c r="L766" s="3">
        <v>1</v>
      </c>
      <c r="M766" s="3">
        <v>4</v>
      </c>
      <c r="N766" s="3">
        <v>20</v>
      </c>
      <c r="O766" s="3">
        <v>0.05</v>
      </c>
      <c r="P766" s="3">
        <v>0</v>
      </c>
      <c r="Q766" s="3">
        <v>15</v>
      </c>
      <c r="R766" s="3">
        <v>0</v>
      </c>
    </row>
    <row r="767" spans="1:18">
      <c r="A767" s="3" t="s">
        <v>262</v>
      </c>
      <c r="B767" s="3" t="s">
        <v>263</v>
      </c>
      <c r="C767" s="3" t="s">
        <v>264</v>
      </c>
      <c r="D767" s="3" t="s">
        <v>265</v>
      </c>
      <c r="E767" s="3" t="s">
        <v>867</v>
      </c>
      <c r="F767" s="3">
        <v>39.98</v>
      </c>
      <c r="G767" s="3" t="s">
        <v>3391</v>
      </c>
      <c r="H767" s="3"/>
      <c r="I767" s="3" t="s">
        <v>3392</v>
      </c>
      <c r="J767" s="3">
        <v>8</v>
      </c>
      <c r="K767" s="3">
        <v>6</v>
      </c>
      <c r="L767" s="3">
        <v>0</v>
      </c>
      <c r="M767" s="3">
        <v>2</v>
      </c>
      <c r="N767" s="3">
        <v>10</v>
      </c>
      <c r="O767" s="3">
        <v>0.05</v>
      </c>
      <c r="P767" s="3">
        <v>0</v>
      </c>
      <c r="Q767" s="3">
        <v>2</v>
      </c>
      <c r="R767" s="3">
        <v>0</v>
      </c>
    </row>
    <row r="768" spans="1:18">
      <c r="A768" s="3" t="s">
        <v>246</v>
      </c>
      <c r="B768" s="3" t="s">
        <v>247</v>
      </c>
      <c r="C768" s="3" t="s">
        <v>248</v>
      </c>
      <c r="D768" s="3" t="s">
        <v>249</v>
      </c>
      <c r="E768" s="3" t="s">
        <v>867</v>
      </c>
      <c r="F768" s="3">
        <v>39.98</v>
      </c>
      <c r="G768" s="3" t="s">
        <v>3391</v>
      </c>
      <c r="H768" s="3"/>
      <c r="I768" s="3" t="s">
        <v>3392</v>
      </c>
      <c r="J768" s="3">
        <v>19</v>
      </c>
      <c r="K768" s="3">
        <v>11</v>
      </c>
      <c r="L768" s="3">
        <v>2</v>
      </c>
      <c r="M768" s="3">
        <v>6</v>
      </c>
      <c r="N768" s="3">
        <v>49</v>
      </c>
      <c r="O768" s="3">
        <v>0.05</v>
      </c>
      <c r="P768" s="3">
        <v>0</v>
      </c>
      <c r="Q768" s="3">
        <v>30</v>
      </c>
      <c r="R768" s="3">
        <v>0</v>
      </c>
    </row>
    <row r="769" spans="1:18">
      <c r="A769" s="3" t="s">
        <v>1129</v>
      </c>
      <c r="B769" s="3" t="s">
        <v>1130</v>
      </c>
      <c r="C769" s="3" t="s">
        <v>1131</v>
      </c>
      <c r="D769" s="3" t="s">
        <v>1132</v>
      </c>
      <c r="E769" s="3" t="s">
        <v>867</v>
      </c>
      <c r="F769" s="3">
        <v>39.98</v>
      </c>
      <c r="G769" s="3" t="s">
        <v>3391</v>
      </c>
      <c r="H769" s="3"/>
      <c r="I769" s="3" t="s">
        <v>3392</v>
      </c>
      <c r="J769" s="3">
        <v>20</v>
      </c>
      <c r="K769" s="3">
        <v>20</v>
      </c>
      <c r="L769" s="3">
        <v>0</v>
      </c>
      <c r="M769" s="3">
        <v>0</v>
      </c>
      <c r="N769" s="3">
        <v>20</v>
      </c>
      <c r="O769" s="3">
        <v>0.05</v>
      </c>
      <c r="P769" s="3">
        <v>0</v>
      </c>
      <c r="Q769" s="3">
        <v>0</v>
      </c>
      <c r="R769" s="3">
        <v>0</v>
      </c>
    </row>
    <row r="770" spans="1:18">
      <c r="A770" s="3" t="s">
        <v>325</v>
      </c>
      <c r="B770" s="3" t="s">
        <v>326</v>
      </c>
      <c r="C770" s="3" t="s">
        <v>327</v>
      </c>
      <c r="D770" s="3" t="s">
        <v>328</v>
      </c>
      <c r="E770" s="3" t="s">
        <v>867</v>
      </c>
      <c r="F770" s="3">
        <v>23.98</v>
      </c>
      <c r="G770" s="3" t="s">
        <v>3391</v>
      </c>
      <c r="H770" s="3"/>
      <c r="I770" s="3" t="s">
        <v>3392</v>
      </c>
      <c r="J770" s="3">
        <v>1</v>
      </c>
      <c r="K770" s="3">
        <v>0</v>
      </c>
      <c r="L770" s="3">
        <v>0</v>
      </c>
      <c r="M770" s="3">
        <v>1</v>
      </c>
      <c r="N770" s="3">
        <v>1</v>
      </c>
      <c r="O770" s="3">
        <v>0.05</v>
      </c>
      <c r="P770" s="3">
        <v>0</v>
      </c>
      <c r="Q770" s="3">
        <v>0</v>
      </c>
      <c r="R770" s="3">
        <v>0</v>
      </c>
    </row>
    <row r="771" spans="1:18">
      <c r="A771" s="3" t="s">
        <v>4477</v>
      </c>
      <c r="B771" s="3" t="s">
        <v>4478</v>
      </c>
      <c r="C771" s="3" t="s">
        <v>580</v>
      </c>
      <c r="D771" s="3" t="s">
        <v>581</v>
      </c>
      <c r="E771" s="3" t="s">
        <v>867</v>
      </c>
      <c r="F771" s="3">
        <v>21.98</v>
      </c>
      <c r="G771" s="3" t="s">
        <v>3391</v>
      </c>
      <c r="H771" s="3"/>
      <c r="I771" s="3" t="s">
        <v>3392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>
        <v>0.05</v>
      </c>
      <c r="P771" s="3">
        <v>0</v>
      </c>
      <c r="Q771" s="3">
        <v>0</v>
      </c>
      <c r="R771" s="3">
        <v>0</v>
      </c>
    </row>
    <row r="772" spans="1:18">
      <c r="A772" s="3" t="s">
        <v>4479</v>
      </c>
      <c r="B772" s="3" t="s">
        <v>4480</v>
      </c>
      <c r="C772" s="3" t="s">
        <v>1513</v>
      </c>
      <c r="D772" s="3" t="s">
        <v>1514</v>
      </c>
      <c r="E772" s="3" t="s">
        <v>867</v>
      </c>
      <c r="F772" s="3">
        <v>20.98</v>
      </c>
      <c r="G772" s="3" t="s">
        <v>3391</v>
      </c>
      <c r="H772" s="3"/>
      <c r="I772" s="3" t="s">
        <v>3392</v>
      </c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>
        <v>0.05</v>
      </c>
      <c r="P772" s="3">
        <v>0</v>
      </c>
      <c r="Q772" s="3">
        <v>0</v>
      </c>
      <c r="R772" s="3">
        <v>0</v>
      </c>
    </row>
    <row r="773" spans="1:18">
      <c r="A773" s="3" t="s">
        <v>1677</v>
      </c>
      <c r="B773" s="3" t="s">
        <v>1678</v>
      </c>
      <c r="C773" s="3" t="s">
        <v>1679</v>
      </c>
      <c r="D773" s="3" t="s">
        <v>1680</v>
      </c>
      <c r="E773" s="3" t="s">
        <v>867</v>
      </c>
      <c r="F773" s="3">
        <v>23.98</v>
      </c>
      <c r="G773" s="3" t="s">
        <v>3391</v>
      </c>
      <c r="H773" s="3"/>
      <c r="I773" s="3" t="s">
        <v>3392</v>
      </c>
      <c r="J773" s="3">
        <v>17</v>
      </c>
      <c r="K773" s="3">
        <v>17</v>
      </c>
      <c r="L773" s="3">
        <v>0</v>
      </c>
      <c r="M773" s="3">
        <v>0</v>
      </c>
      <c r="N773" s="3">
        <v>17</v>
      </c>
      <c r="O773" s="3">
        <v>0.12</v>
      </c>
      <c r="P773" s="3">
        <v>0</v>
      </c>
      <c r="Q773" s="3">
        <v>0</v>
      </c>
      <c r="R773" s="3">
        <v>0</v>
      </c>
    </row>
    <row r="774" spans="1:18">
      <c r="A774" s="3" t="s">
        <v>301</v>
      </c>
      <c r="B774" s="3" t="s">
        <v>302</v>
      </c>
      <c r="C774" s="3" t="s">
        <v>303</v>
      </c>
      <c r="D774" s="3" t="s">
        <v>304</v>
      </c>
      <c r="E774" s="3" t="s">
        <v>867</v>
      </c>
      <c r="F774" s="3">
        <v>23.98</v>
      </c>
      <c r="G774" s="3" t="s">
        <v>3391</v>
      </c>
      <c r="H774" s="3"/>
      <c r="I774" s="3" t="s">
        <v>3392</v>
      </c>
      <c r="J774" s="3">
        <v>10</v>
      </c>
      <c r="K774" s="3">
        <v>5</v>
      </c>
      <c r="L774" s="3">
        <v>0</v>
      </c>
      <c r="M774" s="3">
        <v>5</v>
      </c>
      <c r="N774" s="3">
        <v>20</v>
      </c>
      <c r="O774" s="3">
        <v>0.05</v>
      </c>
      <c r="P774" s="3">
        <v>0</v>
      </c>
      <c r="Q774" s="3">
        <v>10</v>
      </c>
      <c r="R774" s="3">
        <v>0</v>
      </c>
    </row>
    <row r="775" spans="1:18">
      <c r="A775" s="3" t="s">
        <v>341</v>
      </c>
      <c r="B775" s="3" t="s">
        <v>342</v>
      </c>
      <c r="C775" s="3" t="s">
        <v>343</v>
      </c>
      <c r="D775" s="3" t="s">
        <v>344</v>
      </c>
      <c r="E775" s="3" t="s">
        <v>867</v>
      </c>
      <c r="F775" s="3">
        <v>23.98</v>
      </c>
      <c r="G775" s="3" t="s">
        <v>3391</v>
      </c>
      <c r="H775" s="3"/>
      <c r="I775" s="3" t="s">
        <v>3392</v>
      </c>
      <c r="J775" s="3">
        <v>14</v>
      </c>
      <c r="K775" s="3">
        <v>12</v>
      </c>
      <c r="L775" s="3">
        <v>0</v>
      </c>
      <c r="M775" s="3">
        <v>2</v>
      </c>
      <c r="N775" s="3">
        <v>14</v>
      </c>
      <c r="O775" s="3">
        <v>0.05</v>
      </c>
      <c r="P775" s="3">
        <v>0</v>
      </c>
      <c r="Q775" s="3">
        <v>0</v>
      </c>
      <c r="R775" s="3">
        <v>0</v>
      </c>
    </row>
    <row r="776" spans="1:18">
      <c r="A776" s="3" t="s">
        <v>1617</v>
      </c>
      <c r="B776" s="3" t="s">
        <v>1618</v>
      </c>
      <c r="C776" s="3" t="s">
        <v>1619</v>
      </c>
      <c r="D776" s="3" t="s">
        <v>1620</v>
      </c>
      <c r="E776" s="3" t="s">
        <v>867</v>
      </c>
      <c r="F776" s="3">
        <v>23.98</v>
      </c>
      <c r="G776" s="3" t="s">
        <v>3391</v>
      </c>
      <c r="H776" s="3"/>
      <c r="I776" s="3" t="s">
        <v>3392</v>
      </c>
      <c r="J776" s="3">
        <v>11</v>
      </c>
      <c r="K776" s="3">
        <v>11</v>
      </c>
      <c r="L776" s="3">
        <v>0</v>
      </c>
      <c r="M776" s="3">
        <v>0</v>
      </c>
      <c r="N776" s="3">
        <v>11</v>
      </c>
      <c r="O776" s="3">
        <v>0.05</v>
      </c>
      <c r="P776" s="3">
        <v>0</v>
      </c>
      <c r="Q776" s="3">
        <v>0</v>
      </c>
      <c r="R776" s="3">
        <v>0</v>
      </c>
    </row>
    <row r="777" spans="1:18">
      <c r="A777" s="3" t="s">
        <v>266</v>
      </c>
      <c r="B777" s="3" t="s">
        <v>267</v>
      </c>
      <c r="C777" s="3" t="s">
        <v>268</v>
      </c>
      <c r="D777" s="3" t="s">
        <v>269</v>
      </c>
      <c r="E777" s="3" t="s">
        <v>867</v>
      </c>
      <c r="F777" s="3">
        <v>14.98</v>
      </c>
      <c r="G777" s="3" t="s">
        <v>3391</v>
      </c>
      <c r="H777" s="3"/>
      <c r="I777" s="3" t="s">
        <v>3392</v>
      </c>
      <c r="J777" s="3">
        <v>18</v>
      </c>
      <c r="K777" s="3">
        <v>17</v>
      </c>
      <c r="L777" s="3">
        <v>0</v>
      </c>
      <c r="M777" s="3">
        <v>1</v>
      </c>
      <c r="N777" s="3">
        <v>18</v>
      </c>
      <c r="O777" s="3">
        <v>0.05</v>
      </c>
      <c r="P777" s="3">
        <v>0</v>
      </c>
      <c r="Q777" s="3">
        <v>0</v>
      </c>
      <c r="R777" s="3">
        <v>0</v>
      </c>
    </row>
    <row r="778" spans="1:18">
      <c r="A778" s="3" t="s">
        <v>254</v>
      </c>
      <c r="B778" s="3" t="s">
        <v>255</v>
      </c>
      <c r="C778" s="3" t="s">
        <v>256</v>
      </c>
      <c r="D778" s="3" t="s">
        <v>257</v>
      </c>
      <c r="E778" s="3" t="s">
        <v>867</v>
      </c>
      <c r="F778" s="3">
        <v>21.99</v>
      </c>
      <c r="G778" s="3" t="s">
        <v>3391</v>
      </c>
      <c r="H778" s="3"/>
      <c r="I778" s="3" t="s">
        <v>3392</v>
      </c>
      <c r="J778" s="3">
        <v>42</v>
      </c>
      <c r="K778" s="3">
        <v>39</v>
      </c>
      <c r="L778" s="3">
        <v>0</v>
      </c>
      <c r="M778" s="3">
        <v>3</v>
      </c>
      <c r="N778" s="3">
        <v>42</v>
      </c>
      <c r="O778" s="3">
        <v>0.05</v>
      </c>
      <c r="P778" s="3">
        <v>0</v>
      </c>
      <c r="Q778" s="3">
        <v>0</v>
      </c>
      <c r="R778" s="3">
        <v>0</v>
      </c>
    </row>
    <row r="779" spans="1:18">
      <c r="A779" s="3" t="s">
        <v>4481</v>
      </c>
      <c r="B779" s="3" t="s">
        <v>4482</v>
      </c>
      <c r="C779" s="3" t="s">
        <v>4483</v>
      </c>
      <c r="D779" s="3"/>
      <c r="E779" s="3" t="s">
        <v>3293</v>
      </c>
      <c r="F779" s="3"/>
      <c r="G779" s="3"/>
      <c r="H779" s="3"/>
      <c r="I779" s="3"/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/>
      <c r="P779" s="3">
        <v>0</v>
      </c>
      <c r="Q779" s="3">
        <v>0</v>
      </c>
      <c r="R779" s="3">
        <v>0</v>
      </c>
    </row>
    <row r="780" spans="1:18">
      <c r="A780" s="3" t="s">
        <v>309</v>
      </c>
      <c r="B780" s="3" t="s">
        <v>310</v>
      </c>
      <c r="C780" s="3" t="s">
        <v>311</v>
      </c>
      <c r="D780" s="3" t="s">
        <v>312</v>
      </c>
      <c r="E780" s="3" t="s">
        <v>867</v>
      </c>
      <c r="F780" s="3">
        <v>23.98</v>
      </c>
      <c r="G780" s="3" t="s">
        <v>3391</v>
      </c>
      <c r="H780" s="3"/>
      <c r="I780" s="3" t="s">
        <v>3392</v>
      </c>
      <c r="J780" s="3">
        <v>69</v>
      </c>
      <c r="K780" s="3">
        <v>56</v>
      </c>
      <c r="L780" s="3">
        <v>1</v>
      </c>
      <c r="M780" s="3">
        <v>12</v>
      </c>
      <c r="N780" s="3">
        <v>99</v>
      </c>
      <c r="O780" s="3">
        <v>0.05</v>
      </c>
      <c r="P780" s="3">
        <v>0</v>
      </c>
      <c r="Q780" s="3">
        <v>0</v>
      </c>
      <c r="R780" s="3">
        <v>30</v>
      </c>
    </row>
    <row r="781" spans="1:18">
      <c r="A781" s="3" t="s">
        <v>293</v>
      </c>
      <c r="B781" s="3" t="s">
        <v>294</v>
      </c>
      <c r="C781" s="3" t="s">
        <v>295</v>
      </c>
      <c r="D781" s="3" t="s">
        <v>296</v>
      </c>
      <c r="E781" s="3" t="s">
        <v>867</v>
      </c>
      <c r="F781" s="3">
        <v>23.98</v>
      </c>
      <c r="G781" s="3" t="s">
        <v>3391</v>
      </c>
      <c r="H781" s="3"/>
      <c r="I781" s="3" t="s">
        <v>3392</v>
      </c>
      <c r="J781" s="3">
        <v>78</v>
      </c>
      <c r="K781" s="3">
        <v>77</v>
      </c>
      <c r="L781" s="3">
        <v>0</v>
      </c>
      <c r="M781" s="3">
        <v>1</v>
      </c>
      <c r="N781" s="3">
        <v>78</v>
      </c>
      <c r="O781" s="3">
        <v>0.05</v>
      </c>
      <c r="P781" s="3">
        <v>0</v>
      </c>
      <c r="Q781" s="3">
        <v>0</v>
      </c>
      <c r="R781" s="3">
        <v>0</v>
      </c>
    </row>
    <row r="782" spans="1:18">
      <c r="A782" s="3" t="s">
        <v>4484</v>
      </c>
      <c r="B782" s="3" t="s">
        <v>4485</v>
      </c>
      <c r="C782" s="3" t="s">
        <v>1996</v>
      </c>
      <c r="D782" s="3" t="s">
        <v>1997</v>
      </c>
      <c r="E782" s="3" t="s">
        <v>867</v>
      </c>
      <c r="F782" s="3">
        <v>22.98</v>
      </c>
      <c r="G782" s="3" t="s">
        <v>3391</v>
      </c>
      <c r="H782" s="3"/>
      <c r="I782" s="3" t="s">
        <v>3392</v>
      </c>
      <c r="J782" s="3">
        <v>0</v>
      </c>
      <c r="K782" s="3">
        <v>0</v>
      </c>
      <c r="L782" s="3">
        <v>0</v>
      </c>
      <c r="M782" s="3">
        <v>0</v>
      </c>
      <c r="N782" s="3">
        <v>11</v>
      </c>
      <c r="O782" s="3">
        <v>0.05</v>
      </c>
      <c r="P782" s="3">
        <v>0</v>
      </c>
      <c r="Q782" s="3">
        <v>11</v>
      </c>
      <c r="R782" s="3">
        <v>0</v>
      </c>
    </row>
    <row r="783" spans="1:18">
      <c r="A783" s="3" t="s">
        <v>274</v>
      </c>
      <c r="B783" s="3" t="s">
        <v>275</v>
      </c>
      <c r="C783" s="3" t="s">
        <v>276</v>
      </c>
      <c r="D783" s="3" t="s">
        <v>277</v>
      </c>
      <c r="E783" s="3" t="s">
        <v>867</v>
      </c>
      <c r="F783" s="3">
        <v>23.98</v>
      </c>
      <c r="G783" s="3" t="s">
        <v>3391</v>
      </c>
      <c r="H783" s="3"/>
      <c r="I783" s="3" t="s">
        <v>3392</v>
      </c>
      <c r="J783" s="3">
        <v>6</v>
      </c>
      <c r="K783" s="3">
        <v>0</v>
      </c>
      <c r="L783" s="3">
        <v>3</v>
      </c>
      <c r="M783" s="3">
        <v>3</v>
      </c>
      <c r="N783" s="3">
        <v>23</v>
      </c>
      <c r="O783" s="3">
        <v>0.05</v>
      </c>
      <c r="P783" s="3">
        <v>0</v>
      </c>
      <c r="Q783" s="3">
        <v>17</v>
      </c>
      <c r="R783" s="3">
        <v>0</v>
      </c>
    </row>
    <row r="784" spans="1:18">
      <c r="A784" s="3" t="s">
        <v>222</v>
      </c>
      <c r="B784" s="3" t="s">
        <v>223</v>
      </c>
      <c r="C784" s="3" t="s">
        <v>224</v>
      </c>
      <c r="D784" s="3" t="s">
        <v>225</v>
      </c>
      <c r="E784" s="3" t="s">
        <v>867</v>
      </c>
      <c r="F784" s="3">
        <v>23.98</v>
      </c>
      <c r="G784" s="3" t="s">
        <v>3391</v>
      </c>
      <c r="H784" s="3"/>
      <c r="I784" s="3" t="s">
        <v>3392</v>
      </c>
      <c r="J784" s="3">
        <v>39</v>
      </c>
      <c r="K784" s="3">
        <v>36</v>
      </c>
      <c r="L784" s="3">
        <v>1</v>
      </c>
      <c r="M784" s="3">
        <v>2</v>
      </c>
      <c r="N784" s="3">
        <v>54</v>
      </c>
      <c r="O784" s="3">
        <v>0.12</v>
      </c>
      <c r="P784" s="3">
        <v>0</v>
      </c>
      <c r="Q784" s="3">
        <v>15</v>
      </c>
      <c r="R784" s="3">
        <v>0</v>
      </c>
    </row>
    <row r="785" spans="1:18">
      <c r="A785" s="3" t="s">
        <v>281</v>
      </c>
      <c r="B785" s="3" t="s">
        <v>282</v>
      </c>
      <c r="C785" s="3" t="s">
        <v>283</v>
      </c>
      <c r="D785" s="3" t="s">
        <v>284</v>
      </c>
      <c r="E785" s="3" t="s">
        <v>867</v>
      </c>
      <c r="F785" s="3">
        <v>39.98</v>
      </c>
      <c r="G785" s="3" t="s">
        <v>3391</v>
      </c>
      <c r="H785" s="3"/>
      <c r="I785" s="3" t="s">
        <v>3392</v>
      </c>
      <c r="J785" s="3">
        <v>9</v>
      </c>
      <c r="K785" s="3">
        <v>8</v>
      </c>
      <c r="L785" s="3">
        <v>0</v>
      </c>
      <c r="M785" s="3">
        <v>1</v>
      </c>
      <c r="N785" s="3">
        <v>9</v>
      </c>
      <c r="O785" s="3">
        <v>0.05</v>
      </c>
      <c r="P785" s="3">
        <v>0</v>
      </c>
      <c r="Q785" s="3">
        <v>0</v>
      </c>
      <c r="R785" s="3">
        <v>0</v>
      </c>
    </row>
    <row r="786" spans="1:18">
      <c r="A786" s="3" t="s">
        <v>4486</v>
      </c>
      <c r="B786" s="3" t="s">
        <v>4487</v>
      </c>
      <c r="C786" s="3" t="s">
        <v>589</v>
      </c>
      <c r="D786" s="3" t="s">
        <v>590</v>
      </c>
      <c r="E786" s="3" t="s">
        <v>867</v>
      </c>
      <c r="F786" s="3">
        <v>23.98</v>
      </c>
      <c r="G786" s="3" t="s">
        <v>3391</v>
      </c>
      <c r="H786" s="3"/>
      <c r="I786" s="3" t="s">
        <v>3392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>
        <v>0.12</v>
      </c>
      <c r="P786" s="3">
        <v>0</v>
      </c>
      <c r="Q786" s="3">
        <v>0</v>
      </c>
      <c r="R786" s="3">
        <v>0</v>
      </c>
    </row>
    <row r="787" spans="1:18">
      <c r="A787" s="3" t="s">
        <v>4488</v>
      </c>
      <c r="B787" s="3" t="s">
        <v>4489</v>
      </c>
      <c r="C787" s="3" t="s">
        <v>1594</v>
      </c>
      <c r="D787" s="3" t="s">
        <v>1595</v>
      </c>
      <c r="E787" s="3" t="s">
        <v>867</v>
      </c>
      <c r="F787" s="3">
        <v>22.99</v>
      </c>
      <c r="G787" s="3" t="s">
        <v>3391</v>
      </c>
      <c r="H787" s="3"/>
      <c r="I787" s="3" t="s">
        <v>3392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0.05</v>
      </c>
      <c r="P787" s="3">
        <v>0</v>
      </c>
      <c r="Q787" s="3">
        <v>0</v>
      </c>
      <c r="R787" s="3">
        <v>0</v>
      </c>
    </row>
    <row r="788" spans="1:18">
      <c r="A788" s="3" t="s">
        <v>305</v>
      </c>
      <c r="B788" s="3" t="s">
        <v>306</v>
      </c>
      <c r="C788" s="3" t="s">
        <v>307</v>
      </c>
      <c r="D788" s="3" t="s">
        <v>308</v>
      </c>
      <c r="E788" s="3" t="s">
        <v>867</v>
      </c>
      <c r="F788" s="3">
        <v>23.98</v>
      </c>
      <c r="G788" s="3" t="s">
        <v>3391</v>
      </c>
      <c r="H788" s="3"/>
      <c r="I788" s="3" t="s">
        <v>3392</v>
      </c>
      <c r="J788" s="3">
        <v>14</v>
      </c>
      <c r="K788" s="3">
        <v>12</v>
      </c>
      <c r="L788" s="3">
        <v>0</v>
      </c>
      <c r="M788" s="3">
        <v>2</v>
      </c>
      <c r="N788" s="3">
        <v>14</v>
      </c>
      <c r="O788" s="3">
        <v>0.12</v>
      </c>
      <c r="P788" s="3">
        <v>0</v>
      </c>
      <c r="Q788" s="3">
        <v>0</v>
      </c>
      <c r="R788" s="3">
        <v>0</v>
      </c>
    </row>
    <row r="789" spans="1:18">
      <c r="A789" s="3" t="s">
        <v>4490</v>
      </c>
      <c r="B789" s="3" t="s">
        <v>4491</v>
      </c>
      <c r="C789" s="3" t="s">
        <v>583</v>
      </c>
      <c r="D789" s="3" t="s">
        <v>584</v>
      </c>
      <c r="E789" s="3" t="s">
        <v>867</v>
      </c>
      <c r="F789" s="3">
        <v>23.98</v>
      </c>
      <c r="G789" s="3" t="s">
        <v>3391</v>
      </c>
      <c r="H789" s="3"/>
      <c r="I789" s="3" t="s">
        <v>3392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0.12</v>
      </c>
      <c r="P789" s="3">
        <v>0</v>
      </c>
      <c r="Q789" s="3">
        <v>0</v>
      </c>
      <c r="R789" s="3">
        <v>0</v>
      </c>
    </row>
    <row r="790" spans="1:18">
      <c r="A790" s="3" t="s">
        <v>317</v>
      </c>
      <c r="B790" s="3" t="s">
        <v>318</v>
      </c>
      <c r="C790" s="3" t="s">
        <v>319</v>
      </c>
      <c r="D790" s="3" t="s">
        <v>320</v>
      </c>
      <c r="E790" s="3" t="s">
        <v>867</v>
      </c>
      <c r="F790" s="3">
        <v>21.99</v>
      </c>
      <c r="G790" s="3" t="s">
        <v>3391</v>
      </c>
      <c r="H790" s="3"/>
      <c r="I790" s="3" t="s">
        <v>3392</v>
      </c>
      <c r="J790" s="3">
        <v>54</v>
      </c>
      <c r="K790" s="3">
        <v>52</v>
      </c>
      <c r="L790" s="3">
        <v>1</v>
      </c>
      <c r="M790" s="3">
        <v>1</v>
      </c>
      <c r="N790" s="3">
        <v>54</v>
      </c>
      <c r="O790" s="3">
        <v>0.12</v>
      </c>
      <c r="P790" s="3">
        <v>0</v>
      </c>
      <c r="Q790" s="3">
        <v>0</v>
      </c>
      <c r="R790" s="3">
        <v>0</v>
      </c>
    </row>
    <row r="791" spans="1:18">
      <c r="A791" s="3" t="s">
        <v>333</v>
      </c>
      <c r="B791" s="3" t="s">
        <v>334</v>
      </c>
      <c r="C791" s="3" t="s">
        <v>335</v>
      </c>
      <c r="D791" s="3" t="s">
        <v>336</v>
      </c>
      <c r="E791" s="3" t="s">
        <v>867</v>
      </c>
      <c r="F791" s="3">
        <v>20.99</v>
      </c>
      <c r="G791" s="3" t="s">
        <v>3391</v>
      </c>
      <c r="H791" s="3"/>
      <c r="I791" s="3" t="s">
        <v>3392</v>
      </c>
      <c r="J791" s="3">
        <v>52</v>
      </c>
      <c r="K791" s="3">
        <v>48</v>
      </c>
      <c r="L791" s="3">
        <v>1</v>
      </c>
      <c r="M791" s="3">
        <v>3</v>
      </c>
      <c r="N791" s="3">
        <v>52</v>
      </c>
      <c r="O791" s="3">
        <v>0.09</v>
      </c>
      <c r="P791" s="3">
        <v>0</v>
      </c>
      <c r="Q791" s="3">
        <v>0</v>
      </c>
      <c r="R791" s="3">
        <v>0</v>
      </c>
    </row>
    <row r="792" spans="1:18">
      <c r="A792" s="3" t="s">
        <v>313</v>
      </c>
      <c r="B792" s="3" t="s">
        <v>314</v>
      </c>
      <c r="C792" s="3" t="s">
        <v>315</v>
      </c>
      <c r="D792" s="3" t="s">
        <v>316</v>
      </c>
      <c r="E792" s="3" t="s">
        <v>867</v>
      </c>
      <c r="F792" s="3">
        <v>21.98</v>
      </c>
      <c r="G792" s="3" t="s">
        <v>3391</v>
      </c>
      <c r="H792" s="3"/>
      <c r="I792" s="3" t="s">
        <v>3392</v>
      </c>
      <c r="J792" s="3">
        <v>12</v>
      </c>
      <c r="K792" s="3">
        <v>10</v>
      </c>
      <c r="L792" s="3">
        <v>0</v>
      </c>
      <c r="M792" s="3">
        <v>2</v>
      </c>
      <c r="N792" s="3">
        <v>12</v>
      </c>
      <c r="O792" s="3">
        <v>0.05</v>
      </c>
      <c r="P792" s="3">
        <v>0</v>
      </c>
      <c r="Q792" s="3">
        <v>0</v>
      </c>
      <c r="R792" s="3">
        <v>0</v>
      </c>
    </row>
    <row r="793" spans="1:18">
      <c r="A793" s="3" t="s">
        <v>234</v>
      </c>
      <c r="B793" s="3" t="s">
        <v>235</v>
      </c>
      <c r="C793" s="3" t="s">
        <v>236</v>
      </c>
      <c r="D793" s="3" t="s">
        <v>237</v>
      </c>
      <c r="E793" s="3" t="s">
        <v>867</v>
      </c>
      <c r="F793" s="3">
        <v>21.99</v>
      </c>
      <c r="G793" s="3" t="s">
        <v>3391</v>
      </c>
      <c r="H793" s="3"/>
      <c r="I793" s="3" t="s">
        <v>3392</v>
      </c>
      <c r="J793" s="3">
        <v>34</v>
      </c>
      <c r="K793" s="3">
        <v>33</v>
      </c>
      <c r="L793" s="3">
        <v>0</v>
      </c>
      <c r="M793" s="3">
        <v>1</v>
      </c>
      <c r="N793" s="3">
        <v>34</v>
      </c>
      <c r="O793" s="3">
        <v>0.12</v>
      </c>
      <c r="P793" s="3">
        <v>0</v>
      </c>
      <c r="Q793" s="3">
        <v>0</v>
      </c>
      <c r="R793" s="3">
        <v>0</v>
      </c>
    </row>
    <row r="794" spans="1:18">
      <c r="A794" s="3" t="s">
        <v>230</v>
      </c>
      <c r="B794" s="3" t="s">
        <v>231</v>
      </c>
      <c r="C794" s="3" t="s">
        <v>232</v>
      </c>
      <c r="D794" s="3" t="s">
        <v>233</v>
      </c>
      <c r="E794" s="3" t="s">
        <v>867</v>
      </c>
      <c r="F794" s="3">
        <v>23.98</v>
      </c>
      <c r="G794" s="3" t="s">
        <v>3391</v>
      </c>
      <c r="H794" s="3"/>
      <c r="I794" s="3" t="s">
        <v>3392</v>
      </c>
      <c r="J794" s="3">
        <v>9</v>
      </c>
      <c r="K794" s="3">
        <v>5</v>
      </c>
      <c r="L794" s="3">
        <v>0</v>
      </c>
      <c r="M794" s="3">
        <v>4</v>
      </c>
      <c r="N794" s="3">
        <v>9</v>
      </c>
      <c r="O794" s="3">
        <v>0.12</v>
      </c>
      <c r="P794" s="3">
        <v>0</v>
      </c>
      <c r="Q794" s="3">
        <v>0</v>
      </c>
      <c r="R794" s="3">
        <v>0</v>
      </c>
    </row>
    <row r="795" spans="1:18">
      <c r="A795" s="3" t="s">
        <v>285</v>
      </c>
      <c r="B795" s="3" t="s">
        <v>286</v>
      </c>
      <c r="C795" s="3" t="s">
        <v>287</v>
      </c>
      <c r="D795" s="3" t="s">
        <v>288</v>
      </c>
      <c r="E795" s="3" t="s">
        <v>867</v>
      </c>
      <c r="F795" s="3">
        <v>22.98</v>
      </c>
      <c r="G795" s="3" t="s">
        <v>3391</v>
      </c>
      <c r="H795" s="3"/>
      <c r="I795" s="3" t="s">
        <v>3392</v>
      </c>
      <c r="J795" s="3">
        <v>87</v>
      </c>
      <c r="K795" s="3">
        <v>84</v>
      </c>
      <c r="L795" s="3">
        <v>1</v>
      </c>
      <c r="M795" s="3">
        <v>2</v>
      </c>
      <c r="N795" s="3">
        <v>87</v>
      </c>
      <c r="O795" s="3">
        <v>0.05</v>
      </c>
      <c r="P795" s="3">
        <v>0</v>
      </c>
      <c r="Q795" s="3">
        <v>0</v>
      </c>
      <c r="R795" s="3">
        <v>0</v>
      </c>
    </row>
    <row r="796" spans="1:18">
      <c r="A796" s="3" t="s">
        <v>373</v>
      </c>
      <c r="B796" s="3" t="s">
        <v>374</v>
      </c>
      <c r="C796" s="3" t="s">
        <v>375</v>
      </c>
      <c r="D796" s="3" t="s">
        <v>376</v>
      </c>
      <c r="E796" s="3" t="s">
        <v>867</v>
      </c>
      <c r="F796" s="3">
        <v>23.98</v>
      </c>
      <c r="G796" s="3" t="s">
        <v>3391</v>
      </c>
      <c r="H796" s="3"/>
      <c r="I796" s="3" t="s">
        <v>3392</v>
      </c>
      <c r="J796" s="3">
        <v>43</v>
      </c>
      <c r="K796" s="3">
        <v>40</v>
      </c>
      <c r="L796" s="3">
        <v>0</v>
      </c>
      <c r="M796" s="3">
        <v>3</v>
      </c>
      <c r="N796" s="3">
        <v>43</v>
      </c>
      <c r="O796" s="3">
        <v>0.05</v>
      </c>
      <c r="P796" s="3">
        <v>0</v>
      </c>
      <c r="Q796" s="3">
        <v>0</v>
      </c>
      <c r="R796" s="3">
        <v>0</v>
      </c>
    </row>
    <row r="797" spans="1:18">
      <c r="A797" s="3" t="s">
        <v>4492</v>
      </c>
      <c r="B797" s="3" t="s">
        <v>4493</v>
      </c>
      <c r="C797" s="3" t="s">
        <v>4494</v>
      </c>
      <c r="D797" s="3" t="s">
        <v>4495</v>
      </c>
      <c r="E797" s="3" t="s">
        <v>867</v>
      </c>
      <c r="F797" s="3">
        <v>23.98</v>
      </c>
      <c r="G797" s="3" t="s">
        <v>3391</v>
      </c>
      <c r="H797" s="3"/>
      <c r="I797" s="3" t="s">
        <v>3392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0.05</v>
      </c>
      <c r="P797" s="3">
        <v>0</v>
      </c>
      <c r="Q797" s="3">
        <v>0</v>
      </c>
      <c r="R797" s="3">
        <v>0</v>
      </c>
    </row>
    <row r="798" spans="1:18">
      <c r="A798" s="3" t="s">
        <v>361</v>
      </c>
      <c r="B798" s="3" t="s">
        <v>362</v>
      </c>
      <c r="C798" s="3" t="s">
        <v>363</v>
      </c>
      <c r="D798" s="3" t="s">
        <v>364</v>
      </c>
      <c r="E798" s="3" t="s">
        <v>867</v>
      </c>
      <c r="F798" s="3">
        <v>23.98</v>
      </c>
      <c r="G798" s="3" t="s">
        <v>3391</v>
      </c>
      <c r="H798" s="3"/>
      <c r="I798" s="3" t="s">
        <v>3392</v>
      </c>
      <c r="J798" s="3">
        <v>2</v>
      </c>
      <c r="K798" s="3">
        <v>0</v>
      </c>
      <c r="L798" s="3">
        <v>1</v>
      </c>
      <c r="M798" s="3">
        <v>1</v>
      </c>
      <c r="N798" s="3">
        <v>2</v>
      </c>
      <c r="O798" s="3">
        <v>0.05</v>
      </c>
      <c r="P798" s="3">
        <v>0</v>
      </c>
      <c r="Q798" s="3">
        <v>0</v>
      </c>
      <c r="R798" s="3">
        <v>0</v>
      </c>
    </row>
    <row r="799" spans="1:18">
      <c r="A799" s="3" t="s">
        <v>389</v>
      </c>
      <c r="B799" s="3" t="s">
        <v>390</v>
      </c>
      <c r="C799" s="3" t="s">
        <v>391</v>
      </c>
      <c r="D799" s="3" t="s">
        <v>392</v>
      </c>
      <c r="E799" s="3" t="s">
        <v>867</v>
      </c>
      <c r="F799" s="3">
        <v>23.98</v>
      </c>
      <c r="G799" s="3" t="s">
        <v>3391</v>
      </c>
      <c r="H799" s="3"/>
      <c r="I799" s="3" t="s">
        <v>3392</v>
      </c>
      <c r="J799" s="3">
        <v>47</v>
      </c>
      <c r="K799" s="3">
        <v>45</v>
      </c>
      <c r="L799" s="3">
        <v>1</v>
      </c>
      <c r="M799" s="3">
        <v>1</v>
      </c>
      <c r="N799" s="3">
        <v>47</v>
      </c>
      <c r="O799" s="3">
        <v>0.05</v>
      </c>
      <c r="P799" s="3">
        <v>0</v>
      </c>
      <c r="Q799" s="3">
        <v>0</v>
      </c>
      <c r="R799" s="3">
        <v>0</v>
      </c>
    </row>
    <row r="800" spans="1:18">
      <c r="A800" s="3" t="s">
        <v>365</v>
      </c>
      <c r="B800" s="3" t="s">
        <v>366</v>
      </c>
      <c r="C800" s="3" t="s">
        <v>367</v>
      </c>
      <c r="D800" s="3" t="s">
        <v>368</v>
      </c>
      <c r="E800" s="3" t="s">
        <v>867</v>
      </c>
      <c r="F800" s="3">
        <v>23.98</v>
      </c>
      <c r="G800" s="3" t="s">
        <v>3391</v>
      </c>
      <c r="H800" s="3"/>
      <c r="I800" s="3" t="s">
        <v>3392</v>
      </c>
      <c r="J800" s="3">
        <v>30</v>
      </c>
      <c r="K800" s="3">
        <v>20</v>
      </c>
      <c r="L800" s="3">
        <v>1</v>
      </c>
      <c r="M800" s="3">
        <v>9</v>
      </c>
      <c r="N800" s="3">
        <v>30</v>
      </c>
      <c r="O800" s="3">
        <v>0.17</v>
      </c>
      <c r="P800" s="3">
        <v>0</v>
      </c>
      <c r="Q800" s="3">
        <v>0</v>
      </c>
      <c r="R800" s="3">
        <v>0</v>
      </c>
    </row>
    <row r="801" spans="1:18">
      <c r="A801" s="3" t="s">
        <v>393</v>
      </c>
      <c r="B801" s="3" t="s">
        <v>394</v>
      </c>
      <c r="C801" s="3" t="s">
        <v>395</v>
      </c>
      <c r="D801" s="3" t="s">
        <v>396</v>
      </c>
      <c r="E801" s="3" t="s">
        <v>867</v>
      </c>
      <c r="F801" s="3">
        <v>23.98</v>
      </c>
      <c r="G801" s="3" t="s">
        <v>3391</v>
      </c>
      <c r="H801" s="3"/>
      <c r="I801" s="3" t="s">
        <v>3392</v>
      </c>
      <c r="J801" s="3">
        <v>52</v>
      </c>
      <c r="K801" s="3">
        <v>50</v>
      </c>
      <c r="L801" s="3">
        <v>0</v>
      </c>
      <c r="M801" s="3">
        <v>2</v>
      </c>
      <c r="N801" s="3">
        <v>68</v>
      </c>
      <c r="O801" s="3">
        <v>0.11</v>
      </c>
      <c r="P801" s="3">
        <v>0</v>
      </c>
      <c r="Q801" s="3">
        <v>15</v>
      </c>
      <c r="R801" s="3">
        <v>1</v>
      </c>
    </row>
    <row r="802" spans="1:18">
      <c r="A802" s="3" t="s">
        <v>353</v>
      </c>
      <c r="B802" s="3" t="s">
        <v>354</v>
      </c>
      <c r="C802" s="3" t="s">
        <v>355</v>
      </c>
      <c r="D802" s="3" t="s">
        <v>356</v>
      </c>
      <c r="E802" s="3" t="s">
        <v>867</v>
      </c>
      <c r="F802" s="3">
        <v>21.98</v>
      </c>
      <c r="G802" s="3" t="s">
        <v>3391</v>
      </c>
      <c r="H802" s="3"/>
      <c r="I802" s="3" t="s">
        <v>3392</v>
      </c>
      <c r="J802" s="3">
        <v>8</v>
      </c>
      <c r="K802" s="3">
        <v>6</v>
      </c>
      <c r="L802" s="3">
        <v>0</v>
      </c>
      <c r="M802" s="3">
        <v>2</v>
      </c>
      <c r="N802" s="3">
        <v>8</v>
      </c>
      <c r="O802" s="3">
        <v>0.05</v>
      </c>
      <c r="P802" s="3">
        <v>0</v>
      </c>
      <c r="Q802" s="3">
        <v>0</v>
      </c>
      <c r="R802" s="3">
        <v>0</v>
      </c>
    </row>
    <row r="803" spans="1:18">
      <c r="A803" s="3" t="s">
        <v>385</v>
      </c>
      <c r="B803" s="3" t="s">
        <v>386</v>
      </c>
      <c r="C803" s="3" t="s">
        <v>387</v>
      </c>
      <c r="D803" s="3" t="s">
        <v>388</v>
      </c>
      <c r="E803" s="3" t="s">
        <v>867</v>
      </c>
      <c r="F803" s="3">
        <v>23.98</v>
      </c>
      <c r="G803" s="3" t="s">
        <v>3391</v>
      </c>
      <c r="H803" s="3"/>
      <c r="I803" s="3" t="s">
        <v>3392</v>
      </c>
      <c r="J803" s="3">
        <v>39</v>
      </c>
      <c r="K803" s="3">
        <v>31</v>
      </c>
      <c r="L803" s="3">
        <v>1</v>
      </c>
      <c r="M803" s="3">
        <v>7</v>
      </c>
      <c r="N803" s="3">
        <v>79</v>
      </c>
      <c r="O803" s="3">
        <v>0.05</v>
      </c>
      <c r="P803" s="3">
        <v>0</v>
      </c>
      <c r="Q803" s="3">
        <v>40</v>
      </c>
      <c r="R803" s="3">
        <v>0</v>
      </c>
    </row>
    <row r="804" spans="1:18">
      <c r="A804" s="3" t="s">
        <v>381</v>
      </c>
      <c r="B804" s="3" t="s">
        <v>382</v>
      </c>
      <c r="C804" s="3" t="s">
        <v>383</v>
      </c>
      <c r="D804" s="3" t="s">
        <v>384</v>
      </c>
      <c r="E804" s="3" t="s">
        <v>867</v>
      </c>
      <c r="F804" s="3">
        <v>23.98</v>
      </c>
      <c r="G804" s="3" t="s">
        <v>3391</v>
      </c>
      <c r="H804" s="3"/>
      <c r="I804" s="3" t="s">
        <v>3392</v>
      </c>
      <c r="J804" s="3">
        <v>27</v>
      </c>
      <c r="K804" s="3">
        <v>21</v>
      </c>
      <c r="L804" s="3">
        <v>0</v>
      </c>
      <c r="M804" s="3">
        <v>6</v>
      </c>
      <c r="N804" s="3">
        <v>35</v>
      </c>
      <c r="O804" s="3">
        <v>0.05</v>
      </c>
      <c r="P804" s="3">
        <v>0</v>
      </c>
      <c r="Q804" s="3">
        <v>8</v>
      </c>
      <c r="R804" s="3">
        <v>0</v>
      </c>
    </row>
    <row r="805" spans="1:18">
      <c r="A805" s="3" t="s">
        <v>369</v>
      </c>
      <c r="B805" s="3" t="s">
        <v>370</v>
      </c>
      <c r="C805" s="3" t="s">
        <v>371</v>
      </c>
      <c r="D805" s="3" t="s">
        <v>372</v>
      </c>
      <c r="E805" s="3" t="s">
        <v>867</v>
      </c>
      <c r="F805" s="3">
        <v>23.98</v>
      </c>
      <c r="G805" s="3" t="s">
        <v>3391</v>
      </c>
      <c r="H805" s="3"/>
      <c r="I805" s="3" t="s">
        <v>3392</v>
      </c>
      <c r="J805" s="3">
        <v>73</v>
      </c>
      <c r="K805" s="3">
        <v>58</v>
      </c>
      <c r="L805" s="3">
        <v>5</v>
      </c>
      <c r="M805" s="3">
        <v>10</v>
      </c>
      <c r="N805" s="3">
        <v>115</v>
      </c>
      <c r="O805" s="3">
        <v>0.05</v>
      </c>
      <c r="P805" s="3">
        <v>0</v>
      </c>
      <c r="Q805" s="3">
        <v>22</v>
      </c>
      <c r="R805" s="3">
        <v>20</v>
      </c>
    </row>
    <row r="806" spans="1:18">
      <c r="A806" s="3" t="s">
        <v>357</v>
      </c>
      <c r="B806" s="3" t="s">
        <v>358</v>
      </c>
      <c r="C806" s="3" t="s">
        <v>359</v>
      </c>
      <c r="D806" s="3" t="s">
        <v>360</v>
      </c>
      <c r="E806" s="3" t="s">
        <v>867</v>
      </c>
      <c r="F806" s="3">
        <v>23.98</v>
      </c>
      <c r="G806" s="3" t="s">
        <v>3391</v>
      </c>
      <c r="H806" s="3"/>
      <c r="I806" s="3" t="s">
        <v>3392</v>
      </c>
      <c r="J806" s="3">
        <v>110</v>
      </c>
      <c r="K806" s="3">
        <v>103</v>
      </c>
      <c r="L806" s="3">
        <v>1</v>
      </c>
      <c r="M806" s="3">
        <v>6</v>
      </c>
      <c r="N806" s="3">
        <v>110</v>
      </c>
      <c r="O806" s="3">
        <v>0.05</v>
      </c>
      <c r="P806" s="3">
        <v>0</v>
      </c>
      <c r="Q806" s="3">
        <v>0</v>
      </c>
      <c r="R806" s="3">
        <v>0</v>
      </c>
    </row>
    <row r="807" spans="1:18">
      <c r="A807" s="3" t="s">
        <v>4496</v>
      </c>
      <c r="B807" s="3" t="s">
        <v>4497</v>
      </c>
      <c r="C807" s="3" t="s">
        <v>601</v>
      </c>
      <c r="D807" s="3"/>
      <c r="E807" s="3" t="s">
        <v>3293</v>
      </c>
      <c r="F807" s="3"/>
      <c r="G807" s="3"/>
      <c r="H807" s="3"/>
      <c r="I807" s="3"/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/>
      <c r="P807" s="3">
        <v>0</v>
      </c>
      <c r="Q807" s="3">
        <v>0</v>
      </c>
      <c r="R807" s="3">
        <v>0</v>
      </c>
    </row>
    <row r="808" spans="1:18">
      <c r="A808" s="3" t="s">
        <v>377</v>
      </c>
      <c r="B808" s="3" t="s">
        <v>378</v>
      </c>
      <c r="C808" s="3" t="s">
        <v>379</v>
      </c>
      <c r="D808" s="3" t="s">
        <v>380</v>
      </c>
      <c r="E808" s="3" t="s">
        <v>867</v>
      </c>
      <c r="F808" s="3">
        <v>24.98</v>
      </c>
      <c r="G808" s="3" t="s">
        <v>3391</v>
      </c>
      <c r="H808" s="3"/>
      <c r="I808" s="3" t="s">
        <v>3392</v>
      </c>
      <c r="J808" s="3">
        <v>34</v>
      </c>
      <c r="K808" s="3">
        <v>8</v>
      </c>
      <c r="L808" s="3">
        <v>5</v>
      </c>
      <c r="M808" s="3">
        <v>21</v>
      </c>
      <c r="N808" s="3">
        <v>47</v>
      </c>
      <c r="O808" s="3">
        <v>0.05</v>
      </c>
      <c r="P808" s="3">
        <v>0</v>
      </c>
      <c r="Q808" s="3">
        <v>0</v>
      </c>
      <c r="R808" s="3">
        <v>13</v>
      </c>
    </row>
    <row r="809" spans="1:18">
      <c r="A809" s="3" t="s">
        <v>349</v>
      </c>
      <c r="B809" s="3" t="s">
        <v>350</v>
      </c>
      <c r="C809" s="3" t="s">
        <v>351</v>
      </c>
      <c r="D809" s="3" t="s">
        <v>352</v>
      </c>
      <c r="E809" s="3" t="s">
        <v>867</v>
      </c>
      <c r="F809" s="3">
        <v>23.98</v>
      </c>
      <c r="G809" s="3" t="s">
        <v>3391</v>
      </c>
      <c r="H809" s="3"/>
      <c r="I809" s="3" t="s">
        <v>3392</v>
      </c>
      <c r="J809" s="3">
        <v>64</v>
      </c>
      <c r="K809" s="3">
        <v>55</v>
      </c>
      <c r="L809" s="3">
        <v>3</v>
      </c>
      <c r="M809" s="3">
        <v>6</v>
      </c>
      <c r="N809" s="3">
        <v>85</v>
      </c>
      <c r="O809" s="3">
        <v>0.05</v>
      </c>
      <c r="P809" s="3">
        <v>0</v>
      </c>
      <c r="Q809" s="3">
        <v>21</v>
      </c>
      <c r="R809" s="3">
        <v>0</v>
      </c>
    </row>
    <row r="810" spans="1:18">
      <c r="A810" s="3" t="s">
        <v>1441</v>
      </c>
      <c r="B810" s="3" t="s">
        <v>1442</v>
      </c>
      <c r="C810" s="3" t="s">
        <v>1443</v>
      </c>
      <c r="D810" s="3" t="s">
        <v>1132</v>
      </c>
      <c r="E810" s="3" t="s">
        <v>867</v>
      </c>
      <c r="F810" s="3">
        <v>39.98</v>
      </c>
      <c r="G810" s="3" t="s">
        <v>3391</v>
      </c>
      <c r="H810" s="3"/>
      <c r="I810" s="3" t="s">
        <v>3392</v>
      </c>
      <c r="J810" s="3">
        <v>1</v>
      </c>
      <c r="K810" s="3">
        <v>1</v>
      </c>
      <c r="L810" s="3">
        <v>0</v>
      </c>
      <c r="M810" s="3">
        <v>0</v>
      </c>
      <c r="N810" s="3">
        <v>1</v>
      </c>
      <c r="O810" s="3">
        <v>0.05</v>
      </c>
      <c r="P810" s="3">
        <v>0</v>
      </c>
      <c r="Q810" s="3">
        <v>0</v>
      </c>
      <c r="R810" s="3">
        <v>0</v>
      </c>
    </row>
    <row r="811" spans="1:18">
      <c r="A811" s="3" t="s">
        <v>4498</v>
      </c>
      <c r="B811" s="3" t="s">
        <v>4499</v>
      </c>
      <c r="C811" s="3" t="s">
        <v>4500</v>
      </c>
      <c r="D811" s="3" t="s">
        <v>4501</v>
      </c>
      <c r="E811" s="3" t="s">
        <v>867</v>
      </c>
      <c r="F811" s="3">
        <v>35.98</v>
      </c>
      <c r="G811" s="3" t="s">
        <v>3391</v>
      </c>
      <c r="H811" s="3"/>
      <c r="I811" s="3" t="s">
        <v>3392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</row>
    <row r="812" spans="1:18">
      <c r="A812" s="3" t="s">
        <v>4502</v>
      </c>
      <c r="B812" s="3" t="s">
        <v>4503</v>
      </c>
      <c r="C812" s="3" t="s">
        <v>4504</v>
      </c>
      <c r="D812" s="3" t="s">
        <v>4505</v>
      </c>
      <c r="E812" s="3" t="s">
        <v>867</v>
      </c>
      <c r="F812" s="3">
        <v>35.98</v>
      </c>
      <c r="G812" s="3" t="s">
        <v>3391</v>
      </c>
      <c r="H812" s="3"/>
      <c r="I812" s="3" t="s">
        <v>3392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</row>
    <row r="813" spans="1:18">
      <c r="A813" s="3" t="s">
        <v>4506</v>
      </c>
      <c r="B813" s="3" t="s">
        <v>4507</v>
      </c>
      <c r="C813" s="3" t="s">
        <v>4508</v>
      </c>
      <c r="D813" s="3" t="s">
        <v>4509</v>
      </c>
      <c r="E813" s="3" t="s">
        <v>867</v>
      </c>
      <c r="F813" s="3">
        <v>35.98</v>
      </c>
      <c r="G813" s="3" t="s">
        <v>3391</v>
      </c>
      <c r="H813" s="3"/>
      <c r="I813" s="3" t="s">
        <v>3392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</row>
    <row r="814" spans="1:18">
      <c r="A814" s="3" t="s">
        <v>4510</v>
      </c>
      <c r="B814" s="3" t="s">
        <v>4511</v>
      </c>
      <c r="C814" s="3" t="s">
        <v>4512</v>
      </c>
      <c r="D814" s="3" t="s">
        <v>4513</v>
      </c>
      <c r="E814" s="3" t="s">
        <v>867</v>
      </c>
      <c r="F814" s="3">
        <v>35.98</v>
      </c>
      <c r="G814" s="3" t="s">
        <v>3391</v>
      </c>
      <c r="H814" s="3"/>
      <c r="I814" s="3" t="s">
        <v>3392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</row>
    <row r="815" spans="1:18">
      <c r="A815" s="3" t="s">
        <v>4514</v>
      </c>
      <c r="B815" s="3" t="s">
        <v>4515</v>
      </c>
      <c r="C815" s="3" t="s">
        <v>4516</v>
      </c>
      <c r="D815" s="3" t="s">
        <v>4517</v>
      </c>
      <c r="E815" s="3" t="s">
        <v>867</v>
      </c>
      <c r="F815" s="3">
        <v>35.98</v>
      </c>
      <c r="G815" s="3" t="s">
        <v>3391</v>
      </c>
      <c r="H815" s="3"/>
      <c r="I815" s="3" t="s">
        <v>3392</v>
      </c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</row>
    <row r="816" spans="1:18">
      <c r="A816" s="3" t="s">
        <v>4518</v>
      </c>
      <c r="B816" s="3" t="s">
        <v>4519</v>
      </c>
      <c r="C816" s="3" t="s">
        <v>873</v>
      </c>
      <c r="D816" s="3"/>
      <c r="E816" s="3" t="s">
        <v>3293</v>
      </c>
      <c r="F816" s="3"/>
      <c r="G816" s="3"/>
      <c r="H816" s="3"/>
      <c r="I816" s="3"/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/>
      <c r="P816" s="3">
        <v>0</v>
      </c>
      <c r="Q816" s="3">
        <v>0</v>
      </c>
      <c r="R816" s="3">
        <v>0</v>
      </c>
    </row>
    <row r="817" spans="1:18">
      <c r="A817" s="3" t="s">
        <v>4520</v>
      </c>
      <c r="B817" s="3" t="s">
        <v>4521</v>
      </c>
      <c r="C817" s="3" t="s">
        <v>2718</v>
      </c>
      <c r="D817" s="3"/>
      <c r="E817" s="3" t="s">
        <v>3293</v>
      </c>
      <c r="F817" s="3"/>
      <c r="G817" s="3"/>
      <c r="H817" s="3"/>
      <c r="I817" s="3"/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/>
      <c r="P817" s="3">
        <v>0</v>
      </c>
      <c r="Q817" s="3">
        <v>0</v>
      </c>
      <c r="R817" s="3">
        <v>0</v>
      </c>
    </row>
    <row r="818" spans="1:18">
      <c r="A818" s="3" t="s">
        <v>4522</v>
      </c>
      <c r="B818" s="3" t="s">
        <v>4523</v>
      </c>
      <c r="C818" s="3" t="s">
        <v>24</v>
      </c>
      <c r="D818" s="3"/>
      <c r="E818" s="3" t="s">
        <v>3293</v>
      </c>
      <c r="F818" s="3"/>
      <c r="G818" s="3"/>
      <c r="H818" s="3"/>
      <c r="I818" s="3"/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/>
      <c r="P818" s="3">
        <v>0</v>
      </c>
      <c r="Q818" s="3">
        <v>0</v>
      </c>
      <c r="R818" s="3">
        <v>0</v>
      </c>
    </row>
    <row r="819" spans="1:18">
      <c r="A819" s="3" t="s">
        <v>4524</v>
      </c>
      <c r="B819" s="3" t="s">
        <v>4525</v>
      </c>
      <c r="C819" s="3" t="s">
        <v>9</v>
      </c>
      <c r="D819" s="3"/>
      <c r="E819" s="3" t="s">
        <v>3293</v>
      </c>
      <c r="F819" s="3"/>
      <c r="G819" s="3"/>
      <c r="H819" s="3"/>
      <c r="I819" s="3"/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/>
      <c r="P819" s="3">
        <v>0</v>
      </c>
      <c r="Q819" s="3">
        <v>0</v>
      </c>
      <c r="R819" s="3">
        <v>0</v>
      </c>
    </row>
    <row r="820" spans="1:18">
      <c r="A820" s="3" t="s">
        <v>4526</v>
      </c>
      <c r="B820" s="3" t="s">
        <v>4527</v>
      </c>
      <c r="C820" s="3" t="s">
        <v>4528</v>
      </c>
      <c r="D820" s="3"/>
      <c r="E820" s="3" t="s">
        <v>3293</v>
      </c>
      <c r="F820" s="3"/>
      <c r="G820" s="3"/>
      <c r="H820" s="3"/>
      <c r="I820" s="3"/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/>
      <c r="P820" s="3">
        <v>0</v>
      </c>
      <c r="Q820" s="3">
        <v>0</v>
      </c>
      <c r="R820" s="3">
        <v>0</v>
      </c>
    </row>
    <row r="821" spans="1:18">
      <c r="A821" s="3" t="s">
        <v>4529</v>
      </c>
      <c r="B821" s="3" t="s">
        <v>4530</v>
      </c>
      <c r="C821" s="3" t="s">
        <v>2919</v>
      </c>
      <c r="D821" s="3"/>
      <c r="E821" s="3" t="s">
        <v>3293</v>
      </c>
      <c r="F821" s="3"/>
      <c r="G821" s="3"/>
      <c r="H821" s="3"/>
      <c r="I821" s="3"/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/>
      <c r="P821" s="3">
        <v>0</v>
      </c>
      <c r="Q821" s="3">
        <v>0</v>
      </c>
      <c r="R821" s="3">
        <v>0</v>
      </c>
    </row>
    <row r="822" spans="1:18">
      <c r="A822" s="3" t="s">
        <v>4531</v>
      </c>
      <c r="B822" s="3" t="s">
        <v>4532</v>
      </c>
      <c r="C822" s="3" t="s">
        <v>3347</v>
      </c>
      <c r="D822" s="3"/>
      <c r="E822" s="3" t="s">
        <v>3293</v>
      </c>
      <c r="F822" s="3"/>
      <c r="G822" s="3"/>
      <c r="H822" s="3"/>
      <c r="I822" s="3"/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/>
      <c r="P822" s="3">
        <v>0</v>
      </c>
      <c r="Q822" s="3">
        <v>0</v>
      </c>
      <c r="R822" s="3">
        <v>0</v>
      </c>
    </row>
    <row r="823" spans="1:18">
      <c r="A823" s="3" t="s">
        <v>4533</v>
      </c>
      <c r="B823" s="3" t="s">
        <v>4534</v>
      </c>
      <c r="C823" s="3" t="s">
        <v>3349</v>
      </c>
      <c r="D823" s="3"/>
      <c r="E823" s="3" t="s">
        <v>3293</v>
      </c>
      <c r="F823" s="3"/>
      <c r="G823" s="3"/>
      <c r="H823" s="3"/>
      <c r="I823" s="3"/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/>
      <c r="P823" s="3">
        <v>0</v>
      </c>
      <c r="Q823" s="3">
        <v>0</v>
      </c>
      <c r="R823" s="3">
        <v>0</v>
      </c>
    </row>
    <row r="824" spans="1:18">
      <c r="A824" s="3" t="s">
        <v>4535</v>
      </c>
      <c r="B824" s="3" t="s">
        <v>4536</v>
      </c>
      <c r="C824" s="3" t="s">
        <v>3351</v>
      </c>
      <c r="D824" s="3"/>
      <c r="E824" s="3" t="s">
        <v>3293</v>
      </c>
      <c r="F824" s="3"/>
      <c r="G824" s="3"/>
      <c r="H824" s="3"/>
      <c r="I824" s="3"/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/>
      <c r="P824" s="3">
        <v>0</v>
      </c>
      <c r="Q824" s="3">
        <v>0</v>
      </c>
      <c r="R824" s="3">
        <v>0</v>
      </c>
    </row>
    <row r="825" spans="1:18">
      <c r="A825" s="3" t="s">
        <v>4537</v>
      </c>
      <c r="B825" s="3" t="s">
        <v>4538</v>
      </c>
      <c r="C825" s="3" t="s">
        <v>4539</v>
      </c>
      <c r="D825" s="3"/>
      <c r="E825" s="3" t="s">
        <v>3293</v>
      </c>
      <c r="F825" s="3"/>
      <c r="G825" s="3"/>
      <c r="H825" s="3"/>
      <c r="I825" s="3"/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/>
      <c r="P825" s="3">
        <v>0</v>
      </c>
      <c r="Q825" s="3">
        <v>0</v>
      </c>
      <c r="R825" s="3">
        <v>0</v>
      </c>
    </row>
    <row r="826" spans="1:18">
      <c r="A826" s="3" t="s">
        <v>4540</v>
      </c>
      <c r="B826" s="3" t="s">
        <v>4541</v>
      </c>
      <c r="C826" s="3" t="s">
        <v>597</v>
      </c>
      <c r="D826" s="3"/>
      <c r="E826" s="3" t="s">
        <v>3293</v>
      </c>
      <c r="F826" s="3"/>
      <c r="G826" s="3"/>
      <c r="H826" s="3"/>
      <c r="I826" s="3"/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/>
      <c r="P826" s="3">
        <v>0</v>
      </c>
      <c r="Q826" s="3">
        <v>0</v>
      </c>
      <c r="R826" s="3">
        <v>0</v>
      </c>
    </row>
    <row r="827" spans="1:18">
      <c r="A827" s="3" t="s">
        <v>4542</v>
      </c>
      <c r="B827" s="3" t="s">
        <v>4543</v>
      </c>
      <c r="C827" s="3" t="s">
        <v>3356</v>
      </c>
      <c r="D827" s="3"/>
      <c r="E827" s="3" t="s">
        <v>3293</v>
      </c>
      <c r="F827" s="3"/>
      <c r="G827" s="3"/>
      <c r="H827" s="3"/>
      <c r="I827" s="3"/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/>
      <c r="P827" s="3">
        <v>0</v>
      </c>
      <c r="Q827" s="3">
        <v>0</v>
      </c>
      <c r="R827" s="3">
        <v>0</v>
      </c>
    </row>
    <row r="828" spans="1:18">
      <c r="A828" s="3" t="s">
        <v>4544</v>
      </c>
      <c r="B828" s="3" t="s">
        <v>4545</v>
      </c>
      <c r="C828" s="3" t="s">
        <v>3358</v>
      </c>
      <c r="D828" s="3"/>
      <c r="E828" s="3" t="s">
        <v>3293</v>
      </c>
      <c r="F828" s="3"/>
      <c r="G828" s="3"/>
      <c r="H828" s="3"/>
      <c r="I828" s="3"/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/>
      <c r="P828" s="3">
        <v>0</v>
      </c>
      <c r="Q828" s="3">
        <v>0</v>
      </c>
      <c r="R828" s="3">
        <v>0</v>
      </c>
    </row>
    <row r="829" spans="1:18">
      <c r="A829" s="3" t="s">
        <v>4546</v>
      </c>
      <c r="B829" s="3" t="s">
        <v>4547</v>
      </c>
      <c r="C829" s="3" t="s">
        <v>594</v>
      </c>
      <c r="D829" s="3"/>
      <c r="E829" s="3" t="s">
        <v>3293</v>
      </c>
      <c r="F829" s="3"/>
      <c r="G829" s="3"/>
      <c r="H829" s="3"/>
      <c r="I829" s="3"/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/>
      <c r="P829" s="3">
        <v>0</v>
      </c>
      <c r="Q829" s="3">
        <v>0</v>
      </c>
      <c r="R829" s="3">
        <v>0</v>
      </c>
    </row>
    <row r="830" spans="1:18">
      <c r="A830" s="3" t="s">
        <v>4548</v>
      </c>
      <c r="B830" s="3" t="s">
        <v>4549</v>
      </c>
      <c r="C830" s="3" t="s">
        <v>3361</v>
      </c>
      <c r="D830" s="3"/>
      <c r="E830" s="3" t="s">
        <v>3293</v>
      </c>
      <c r="F830" s="3"/>
      <c r="G830" s="3"/>
      <c r="H830" s="3"/>
      <c r="I830" s="3"/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/>
      <c r="P830" s="3">
        <v>0</v>
      </c>
      <c r="Q830" s="3">
        <v>0</v>
      </c>
      <c r="R830" s="3">
        <v>0</v>
      </c>
    </row>
    <row r="831" spans="1:18">
      <c r="A831" s="3" t="s">
        <v>4550</v>
      </c>
      <c r="B831" s="3" t="s">
        <v>4551</v>
      </c>
      <c r="C831" s="3" t="s">
        <v>576</v>
      </c>
      <c r="D831" s="3"/>
      <c r="E831" s="3" t="s">
        <v>3293</v>
      </c>
      <c r="F831" s="3"/>
      <c r="G831" s="3"/>
      <c r="H831" s="3"/>
      <c r="I831" s="3"/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/>
      <c r="P831" s="3">
        <v>0</v>
      </c>
      <c r="Q831" s="3">
        <v>0</v>
      </c>
      <c r="R831" s="3">
        <v>0</v>
      </c>
    </row>
    <row r="832" spans="1:18">
      <c r="A832" s="3" t="s">
        <v>4552</v>
      </c>
      <c r="B832" s="3" t="s">
        <v>4553</v>
      </c>
      <c r="C832" s="3" t="s">
        <v>4554</v>
      </c>
      <c r="D832" s="3"/>
      <c r="E832" s="3" t="s">
        <v>3293</v>
      </c>
      <c r="F832" s="3"/>
      <c r="G832" s="3"/>
      <c r="H832" s="3"/>
      <c r="I832" s="3"/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/>
      <c r="P832" s="3">
        <v>0</v>
      </c>
      <c r="Q832" s="3">
        <v>0</v>
      </c>
      <c r="R832" s="3">
        <v>0</v>
      </c>
    </row>
    <row r="833" spans="1:18">
      <c r="A833" s="3" t="s">
        <v>4555</v>
      </c>
      <c r="B833" s="3" t="s">
        <v>4556</v>
      </c>
      <c r="C833" s="3" t="s">
        <v>1787</v>
      </c>
      <c r="D833" s="3"/>
      <c r="E833" s="3" t="s">
        <v>3293</v>
      </c>
      <c r="F833" s="3"/>
      <c r="G833" s="3"/>
      <c r="H833" s="3"/>
      <c r="I833" s="3"/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/>
      <c r="P833" s="3">
        <v>0</v>
      </c>
      <c r="Q833" s="3">
        <v>0</v>
      </c>
      <c r="R833" s="3">
        <v>0</v>
      </c>
    </row>
    <row r="834" spans="1:18">
      <c r="A834" s="3" t="s">
        <v>4557</v>
      </c>
      <c r="B834" s="3" t="s">
        <v>4558</v>
      </c>
      <c r="C834" s="3" t="s">
        <v>1074</v>
      </c>
      <c r="D834" s="3"/>
      <c r="E834" s="3" t="s">
        <v>3293</v>
      </c>
      <c r="F834" s="3"/>
      <c r="G834" s="3"/>
      <c r="H834" s="3"/>
      <c r="I834" s="3"/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/>
      <c r="P834" s="3">
        <v>0</v>
      </c>
      <c r="Q834" s="3">
        <v>0</v>
      </c>
      <c r="R834" s="3">
        <v>0</v>
      </c>
    </row>
    <row r="835" spans="1:18">
      <c r="A835" s="3" t="s">
        <v>4559</v>
      </c>
      <c r="B835" s="3" t="s">
        <v>4560</v>
      </c>
      <c r="C835" s="3" t="s">
        <v>2741</v>
      </c>
      <c r="D835" s="3"/>
      <c r="E835" s="3" t="s">
        <v>3293</v>
      </c>
      <c r="F835" s="3"/>
      <c r="G835" s="3"/>
      <c r="H835" s="3"/>
      <c r="I835" s="3"/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/>
      <c r="P835" s="3">
        <v>0</v>
      </c>
      <c r="Q835" s="3">
        <v>0</v>
      </c>
      <c r="R835" s="3">
        <v>0</v>
      </c>
    </row>
    <row r="836" spans="1:18">
      <c r="A836" s="3" t="s">
        <v>4561</v>
      </c>
      <c r="B836" s="3" t="s">
        <v>4562</v>
      </c>
      <c r="C836" s="3" t="s">
        <v>3377</v>
      </c>
      <c r="D836" s="3"/>
      <c r="E836" s="3" t="s">
        <v>3293</v>
      </c>
      <c r="F836" s="3"/>
      <c r="G836" s="3"/>
      <c r="H836" s="3"/>
      <c r="I836" s="3"/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/>
      <c r="P836" s="3">
        <v>0</v>
      </c>
      <c r="Q836" s="3">
        <v>0</v>
      </c>
      <c r="R836" s="3">
        <v>0</v>
      </c>
    </row>
    <row r="837" spans="1:18">
      <c r="A837" s="3" t="s">
        <v>4563</v>
      </c>
      <c r="B837" s="3" t="s">
        <v>4564</v>
      </c>
      <c r="C837" s="3" t="s">
        <v>3379</v>
      </c>
      <c r="D837" s="3" t="s">
        <v>1843</v>
      </c>
      <c r="E837" s="3" t="s">
        <v>867</v>
      </c>
      <c r="F837" s="3">
        <v>0</v>
      </c>
      <c r="G837" s="3" t="s">
        <v>3391</v>
      </c>
      <c r="H837" s="3"/>
      <c r="I837" s="3" t="s">
        <v>3392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</row>
    <row r="838" spans="1:18">
      <c r="A838" s="3" t="s">
        <v>4565</v>
      </c>
      <c r="B838" s="3" t="s">
        <v>4566</v>
      </c>
      <c r="C838" s="3" t="s">
        <v>4567</v>
      </c>
      <c r="D838" s="3"/>
      <c r="E838" s="3" t="s">
        <v>3293</v>
      </c>
      <c r="F838" s="3"/>
      <c r="G838" s="3"/>
      <c r="H838" s="3"/>
      <c r="I838" s="3"/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/>
      <c r="P838" s="3">
        <v>0</v>
      </c>
      <c r="Q838" s="3">
        <v>0</v>
      </c>
      <c r="R838" s="3">
        <v>0</v>
      </c>
    </row>
    <row r="839" spans="1:18">
      <c r="A839" s="3" t="s">
        <v>4568</v>
      </c>
      <c r="B839" s="3" t="s">
        <v>4569</v>
      </c>
      <c r="C839" s="3" t="s">
        <v>3381</v>
      </c>
      <c r="D839" s="3"/>
      <c r="E839" s="3" t="s">
        <v>3293</v>
      </c>
      <c r="F839" s="3"/>
      <c r="G839" s="3"/>
      <c r="H839" s="3"/>
      <c r="I839" s="3"/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/>
      <c r="P839" s="3">
        <v>0</v>
      </c>
      <c r="Q839" s="3">
        <v>0</v>
      </c>
      <c r="R839" s="3">
        <v>0</v>
      </c>
    </row>
    <row r="840" spans="1:18">
      <c r="A840" s="3" t="s">
        <v>4570</v>
      </c>
      <c r="B840" s="3" t="s">
        <v>4571</v>
      </c>
      <c r="C840" s="3" t="s">
        <v>3383</v>
      </c>
      <c r="D840" s="3"/>
      <c r="E840" s="3" t="s">
        <v>3293</v>
      </c>
      <c r="F840" s="3"/>
      <c r="G840" s="3"/>
      <c r="H840" s="3"/>
      <c r="I840" s="3"/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/>
      <c r="P840" s="3">
        <v>0</v>
      </c>
      <c r="Q840" s="3">
        <v>0</v>
      </c>
      <c r="R840" s="3">
        <v>0</v>
      </c>
    </row>
    <row r="841" spans="1:18">
      <c r="A841" s="3" t="s">
        <v>4572</v>
      </c>
      <c r="B841" s="3" t="s">
        <v>4573</v>
      </c>
      <c r="C841" s="3" t="s">
        <v>604</v>
      </c>
      <c r="D841" s="3"/>
      <c r="E841" s="3" t="s">
        <v>3293</v>
      </c>
      <c r="F841" s="3"/>
      <c r="G841" s="3"/>
      <c r="H841" s="3"/>
      <c r="I841" s="3"/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/>
      <c r="P841" s="3">
        <v>0</v>
      </c>
      <c r="Q841" s="3">
        <v>0</v>
      </c>
      <c r="R841" s="3">
        <v>0</v>
      </c>
    </row>
    <row r="842" spans="1:18">
      <c r="A842" s="3" t="s">
        <v>4574</v>
      </c>
      <c r="B842" s="3" t="s">
        <v>4575</v>
      </c>
      <c r="C842" s="3" t="s">
        <v>1274</v>
      </c>
      <c r="D842" s="3"/>
      <c r="E842" s="3" t="s">
        <v>3293</v>
      </c>
      <c r="F842" s="3"/>
      <c r="G842" s="3"/>
      <c r="H842" s="3"/>
      <c r="I842" s="3"/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/>
      <c r="P842" s="3">
        <v>0</v>
      </c>
      <c r="Q842" s="3">
        <v>0</v>
      </c>
      <c r="R842" s="3">
        <v>0</v>
      </c>
    </row>
    <row r="843" spans="1:18">
      <c r="A843" s="3" t="s">
        <v>4576</v>
      </c>
      <c r="B843" s="3" t="s">
        <v>4577</v>
      </c>
      <c r="C843" s="3" t="s">
        <v>4578</v>
      </c>
      <c r="D843" s="3"/>
      <c r="E843" s="3" t="s">
        <v>3293</v>
      </c>
      <c r="F843" s="3"/>
      <c r="G843" s="3"/>
      <c r="H843" s="3"/>
      <c r="I843" s="3"/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/>
      <c r="P843" s="3">
        <v>0</v>
      </c>
      <c r="Q843" s="3">
        <v>0</v>
      </c>
      <c r="R843" s="3">
        <v>0</v>
      </c>
    </row>
    <row r="844" spans="1:18">
      <c r="A844" s="3" t="s">
        <v>4579</v>
      </c>
      <c r="B844" s="3" t="s">
        <v>4580</v>
      </c>
      <c r="C844" s="3" t="s">
        <v>616</v>
      </c>
      <c r="D844" s="3"/>
      <c r="E844" s="3" t="s">
        <v>3293</v>
      </c>
      <c r="F844" s="3"/>
      <c r="G844" s="3"/>
      <c r="H844" s="3"/>
      <c r="I844" s="3"/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/>
      <c r="P844" s="3">
        <v>0</v>
      </c>
      <c r="Q844" s="3">
        <v>0</v>
      </c>
      <c r="R844" s="3">
        <v>0</v>
      </c>
    </row>
    <row r="845" spans="1:18">
      <c r="A845" s="3" t="s">
        <v>4581</v>
      </c>
      <c r="B845" s="3" t="s">
        <v>4582</v>
      </c>
      <c r="C845" s="3" t="s">
        <v>613</v>
      </c>
      <c r="D845" s="3"/>
      <c r="E845" s="3" t="s">
        <v>3293</v>
      </c>
      <c r="F845" s="3"/>
      <c r="G845" s="3"/>
      <c r="H845" s="3"/>
      <c r="I845" s="3"/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/>
      <c r="P845" s="3">
        <v>0</v>
      </c>
      <c r="Q845" s="3">
        <v>0</v>
      </c>
      <c r="R845" s="3">
        <v>0</v>
      </c>
    </row>
    <row r="846" spans="1:18">
      <c r="A846" s="3" t="s">
        <v>4583</v>
      </c>
      <c r="B846" s="3" t="s">
        <v>4584</v>
      </c>
      <c r="C846" s="3" t="s">
        <v>607</v>
      </c>
      <c r="D846" s="3"/>
      <c r="E846" s="3" t="s">
        <v>3293</v>
      </c>
      <c r="F846" s="3"/>
      <c r="G846" s="3"/>
      <c r="H846" s="3"/>
      <c r="I846" s="3"/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/>
      <c r="P846" s="3">
        <v>0</v>
      </c>
      <c r="Q846" s="3">
        <v>0</v>
      </c>
      <c r="R846" s="3">
        <v>0</v>
      </c>
    </row>
    <row r="847" spans="1:18">
      <c r="A847" s="3" t="s">
        <v>4585</v>
      </c>
      <c r="B847" s="3" t="s">
        <v>4586</v>
      </c>
      <c r="C847" s="3" t="s">
        <v>4587</v>
      </c>
      <c r="D847" s="3"/>
      <c r="E847" s="3" t="s">
        <v>3293</v>
      </c>
      <c r="F847" s="3"/>
      <c r="G847" s="3"/>
      <c r="H847" s="3"/>
      <c r="I847" s="3"/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/>
      <c r="P847" s="3">
        <v>0</v>
      </c>
      <c r="Q847" s="3">
        <v>0</v>
      </c>
      <c r="R847" s="3">
        <v>0</v>
      </c>
    </row>
    <row r="848" spans="1:18">
      <c r="A848" s="3" t="s">
        <v>4588</v>
      </c>
      <c r="B848" s="3" t="s">
        <v>4589</v>
      </c>
      <c r="C848" s="3" t="s">
        <v>21</v>
      </c>
      <c r="D848" s="3"/>
      <c r="E848" s="3" t="s">
        <v>3293</v>
      </c>
      <c r="F848" s="3"/>
      <c r="G848" s="3"/>
      <c r="H848" s="3"/>
      <c r="I848" s="3"/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/>
      <c r="P848" s="3">
        <v>0</v>
      </c>
      <c r="Q848" s="3">
        <v>0</v>
      </c>
      <c r="R848" s="3">
        <v>0</v>
      </c>
    </row>
    <row r="849" spans="1:18">
      <c r="A849" s="3" t="s">
        <v>4590</v>
      </c>
      <c r="B849" s="3" t="s">
        <v>4591</v>
      </c>
      <c r="C849" s="3" t="s">
        <v>2868</v>
      </c>
      <c r="D849" s="3"/>
      <c r="E849" s="3" t="s">
        <v>3293</v>
      </c>
      <c r="F849" s="3"/>
      <c r="G849" s="3"/>
      <c r="H849" s="3"/>
      <c r="I849" s="3"/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/>
      <c r="P849" s="3">
        <v>0</v>
      </c>
      <c r="Q849" s="3">
        <v>0</v>
      </c>
      <c r="R849" s="3">
        <v>0</v>
      </c>
    </row>
    <row r="850" spans="1:18">
      <c r="A850" s="3" t="s">
        <v>4592</v>
      </c>
      <c r="B850" s="3" t="s">
        <v>4593</v>
      </c>
      <c r="C850" s="3" t="s">
        <v>4594</v>
      </c>
      <c r="D850" s="3" t="s">
        <v>4595</v>
      </c>
      <c r="E850" s="3" t="s">
        <v>867</v>
      </c>
      <c r="F850" s="3">
        <v>35.98</v>
      </c>
      <c r="G850" s="3" t="s">
        <v>3391</v>
      </c>
      <c r="H850" s="3"/>
      <c r="I850" s="3" t="s">
        <v>3392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</row>
    <row r="851" spans="1:18">
      <c r="A851" s="3" t="s">
        <v>4596</v>
      </c>
      <c r="B851" s="3" t="s">
        <v>4597</v>
      </c>
      <c r="C851" s="3" t="s">
        <v>4598</v>
      </c>
      <c r="D851" s="3" t="s">
        <v>4599</v>
      </c>
      <c r="E851" s="3" t="s">
        <v>867</v>
      </c>
      <c r="F851" s="3">
        <v>35.98</v>
      </c>
      <c r="G851" s="3" t="s">
        <v>3391</v>
      </c>
      <c r="H851" s="3"/>
      <c r="I851" s="3" t="s">
        <v>3392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</row>
    <row r="852" spans="1:18">
      <c r="A852" s="3" t="s">
        <v>4600</v>
      </c>
      <c r="B852" s="3" t="s">
        <v>4601</v>
      </c>
      <c r="C852" s="3" t="s">
        <v>4602</v>
      </c>
      <c r="D852" s="3" t="s">
        <v>4603</v>
      </c>
      <c r="E852" s="3" t="s">
        <v>867</v>
      </c>
      <c r="F852" s="3">
        <v>35.98</v>
      </c>
      <c r="G852" s="3" t="s">
        <v>3391</v>
      </c>
      <c r="H852" s="3"/>
      <c r="I852" s="3" t="s">
        <v>3392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</row>
    <row r="853" spans="1:18">
      <c r="A853" s="3" t="s">
        <v>4604</v>
      </c>
      <c r="B853" s="3" t="s">
        <v>4605</v>
      </c>
      <c r="C853" s="3" t="s">
        <v>4606</v>
      </c>
      <c r="D853" s="3" t="s">
        <v>4607</v>
      </c>
      <c r="E853" s="3" t="s">
        <v>867</v>
      </c>
      <c r="F853" s="3">
        <v>35.98</v>
      </c>
      <c r="G853" s="3" t="s">
        <v>3391</v>
      </c>
      <c r="H853" s="3"/>
      <c r="I853" s="3" t="s">
        <v>3392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</row>
    <row r="854" spans="1:18">
      <c r="A854" s="3" t="s">
        <v>4608</v>
      </c>
      <c r="B854" s="3" t="s">
        <v>4609</v>
      </c>
      <c r="C854" s="3" t="s">
        <v>4610</v>
      </c>
      <c r="D854" s="3" t="s">
        <v>4611</v>
      </c>
      <c r="E854" s="3" t="s">
        <v>867</v>
      </c>
      <c r="F854" s="3">
        <v>35.98</v>
      </c>
      <c r="G854" s="3" t="s">
        <v>3391</v>
      </c>
      <c r="H854" s="3"/>
      <c r="I854" s="3" t="s">
        <v>3392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</row>
    <row r="855" spans="1:18">
      <c r="A855" s="3" t="s">
        <v>4612</v>
      </c>
      <c r="B855" s="3" t="s">
        <v>4613</v>
      </c>
      <c r="C855" s="3" t="s">
        <v>4614</v>
      </c>
      <c r="D855" s="3"/>
      <c r="E855" s="3" t="s">
        <v>3293</v>
      </c>
      <c r="F855" s="3"/>
      <c r="G855" s="3"/>
      <c r="H855" s="3"/>
      <c r="I855" s="3"/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/>
      <c r="P855" s="3">
        <v>0</v>
      </c>
      <c r="Q855" s="3">
        <v>0</v>
      </c>
      <c r="R855" s="3">
        <v>0</v>
      </c>
    </row>
    <row r="856" spans="1:18">
      <c r="A856" s="3" t="s">
        <v>4615</v>
      </c>
      <c r="B856" s="3" t="s">
        <v>4616</v>
      </c>
      <c r="C856" s="3" t="s">
        <v>914</v>
      </c>
      <c r="D856" s="3"/>
      <c r="E856" s="3" t="s">
        <v>3293</v>
      </c>
      <c r="F856" s="3"/>
      <c r="G856" s="3"/>
      <c r="H856" s="3"/>
      <c r="I856" s="3"/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/>
      <c r="P856" s="3">
        <v>0</v>
      </c>
      <c r="Q856" s="3">
        <v>0</v>
      </c>
      <c r="R856" s="3">
        <v>0</v>
      </c>
    </row>
    <row r="857" spans="1:18">
      <c r="A857" s="3" t="s">
        <v>4617</v>
      </c>
      <c r="B857" s="3" t="s">
        <v>4618</v>
      </c>
      <c r="C857" s="3" t="s">
        <v>1897</v>
      </c>
      <c r="D857" s="3"/>
      <c r="E857" s="3" t="s">
        <v>3293</v>
      </c>
      <c r="F857" s="3"/>
      <c r="G857" s="3"/>
      <c r="H857" s="3"/>
      <c r="I857" s="3"/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/>
      <c r="P857" s="3">
        <v>0</v>
      </c>
      <c r="Q857" s="3">
        <v>0</v>
      </c>
      <c r="R857" s="3">
        <v>0</v>
      </c>
    </row>
    <row r="858" spans="1:18">
      <c r="A858" s="3" t="s">
        <v>4619</v>
      </c>
      <c r="B858" s="3" t="s">
        <v>4620</v>
      </c>
      <c r="C858" s="3" t="s">
        <v>4621</v>
      </c>
      <c r="D858" s="3"/>
      <c r="E858" s="3" t="s">
        <v>3293</v>
      </c>
      <c r="F858" s="3"/>
      <c r="G858" s="3"/>
      <c r="H858" s="3"/>
      <c r="I858" s="3"/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/>
      <c r="P858" s="3">
        <v>0</v>
      </c>
      <c r="Q858" s="3">
        <v>0</v>
      </c>
      <c r="R858" s="3">
        <v>0</v>
      </c>
    </row>
    <row r="859" spans="1:18">
      <c r="A859" s="3" t="s">
        <v>4622</v>
      </c>
      <c r="B859" s="3" t="s">
        <v>4623</v>
      </c>
      <c r="C859" s="3" t="s">
        <v>2828</v>
      </c>
      <c r="D859" s="3"/>
      <c r="E859" s="3" t="s">
        <v>3293</v>
      </c>
      <c r="F859" s="3"/>
      <c r="G859" s="3"/>
      <c r="H859" s="3"/>
      <c r="I859" s="3"/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/>
      <c r="P859" s="3">
        <v>0</v>
      </c>
      <c r="Q859" s="3">
        <v>0</v>
      </c>
      <c r="R859" s="3">
        <v>0</v>
      </c>
    </row>
    <row r="860" spans="1:18">
      <c r="A860" s="3" t="s">
        <v>4624</v>
      </c>
      <c r="B860" s="3" t="s">
        <v>4625</v>
      </c>
      <c r="C860" s="3" t="s">
        <v>1864</v>
      </c>
      <c r="D860" s="3"/>
      <c r="E860" s="3" t="s">
        <v>3293</v>
      </c>
      <c r="F860" s="3"/>
      <c r="G860" s="3"/>
      <c r="H860" s="3"/>
      <c r="I860" s="3"/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/>
      <c r="P860" s="3">
        <v>0</v>
      </c>
      <c r="Q860" s="3">
        <v>0</v>
      </c>
      <c r="R860" s="3">
        <v>0</v>
      </c>
    </row>
    <row r="861" spans="1:18">
      <c r="A861" s="3" t="s">
        <v>4626</v>
      </c>
      <c r="B861" s="3" t="s">
        <v>4627</v>
      </c>
      <c r="C861" s="3" t="s">
        <v>1455</v>
      </c>
      <c r="D861" s="3"/>
      <c r="E861" s="3" t="s">
        <v>3293</v>
      </c>
      <c r="F861" s="3"/>
      <c r="G861" s="3"/>
      <c r="H861" s="3"/>
      <c r="I861" s="3"/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/>
      <c r="P861" s="3">
        <v>0</v>
      </c>
      <c r="Q861" s="3">
        <v>0</v>
      </c>
      <c r="R861" s="3">
        <v>0</v>
      </c>
    </row>
    <row r="862" spans="1:18">
      <c r="A862" s="3" t="s">
        <v>4628</v>
      </c>
      <c r="B862" s="3" t="s">
        <v>4629</v>
      </c>
      <c r="C862" s="3" t="s">
        <v>1290</v>
      </c>
      <c r="D862" s="3"/>
      <c r="E862" s="3" t="s">
        <v>3293</v>
      </c>
      <c r="F862" s="3"/>
      <c r="G862" s="3"/>
      <c r="H862" s="3"/>
      <c r="I862" s="3"/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/>
      <c r="P862" s="3">
        <v>0</v>
      </c>
      <c r="Q862" s="3">
        <v>0</v>
      </c>
      <c r="R862" s="3">
        <v>0</v>
      </c>
    </row>
    <row r="863" spans="1:18">
      <c r="A863" s="3" t="s">
        <v>4630</v>
      </c>
      <c r="B863" s="3" t="s">
        <v>4631</v>
      </c>
      <c r="C863" s="3" t="s">
        <v>2175</v>
      </c>
      <c r="D863" s="3"/>
      <c r="E863" s="3" t="s">
        <v>3293</v>
      </c>
      <c r="F863" s="3"/>
      <c r="G863" s="3"/>
      <c r="H863" s="3"/>
      <c r="I863" s="3"/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/>
      <c r="P863" s="3">
        <v>0</v>
      </c>
      <c r="Q863" s="3">
        <v>0</v>
      </c>
      <c r="R863" s="3">
        <v>0</v>
      </c>
    </row>
    <row r="864" spans="1:18">
      <c r="A864" s="3" t="s">
        <v>4632</v>
      </c>
      <c r="B864" s="3" t="s">
        <v>4633</v>
      </c>
      <c r="C864" s="3" t="s">
        <v>2159</v>
      </c>
      <c r="D864" s="3"/>
      <c r="E864" s="3" t="s">
        <v>3293</v>
      </c>
      <c r="F864" s="3"/>
      <c r="G864" s="3"/>
      <c r="H864" s="3"/>
      <c r="I864" s="3"/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/>
      <c r="P864" s="3">
        <v>0</v>
      </c>
      <c r="Q864" s="3">
        <v>0</v>
      </c>
      <c r="R864" s="3">
        <v>0</v>
      </c>
    </row>
    <row r="865" spans="1:18">
      <c r="A865" s="3" t="s">
        <v>4634</v>
      </c>
      <c r="B865" s="3" t="s">
        <v>4635</v>
      </c>
      <c r="C865" s="3" t="s">
        <v>4636</v>
      </c>
      <c r="D865" s="3"/>
      <c r="E865" s="3" t="s">
        <v>3293</v>
      </c>
      <c r="F865" s="3"/>
      <c r="G865" s="3"/>
      <c r="H865" s="3"/>
      <c r="I865" s="3"/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/>
      <c r="P865" s="3">
        <v>0</v>
      </c>
      <c r="Q865" s="3">
        <v>0</v>
      </c>
      <c r="R865" s="3">
        <v>0</v>
      </c>
    </row>
    <row r="866" spans="1:18">
      <c r="A866" s="3" t="s">
        <v>4637</v>
      </c>
      <c r="B866" s="3" t="s">
        <v>4638</v>
      </c>
      <c r="C866" s="3" t="s">
        <v>427</v>
      </c>
      <c r="D866" s="3"/>
      <c r="E866" s="3" t="s">
        <v>3293</v>
      </c>
      <c r="F866" s="3"/>
      <c r="G866" s="3"/>
      <c r="H866" s="3"/>
      <c r="I866" s="3"/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4639</v>
      </c>
      <c r="B867" s="3" t="s">
        <v>4640</v>
      </c>
      <c r="C867" s="3" t="s">
        <v>449</v>
      </c>
      <c r="D867" s="3"/>
      <c r="E867" s="3" t="s">
        <v>3293</v>
      </c>
      <c r="F867" s="3"/>
      <c r="G867" s="3"/>
      <c r="H867" s="3"/>
      <c r="I867" s="3"/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4641</v>
      </c>
      <c r="B868" s="3" t="s">
        <v>4642</v>
      </c>
      <c r="C868" s="3" t="s">
        <v>4643</v>
      </c>
      <c r="D868" s="3"/>
      <c r="E868" s="3" t="s">
        <v>3293</v>
      </c>
      <c r="F868" s="3"/>
      <c r="G868" s="3"/>
      <c r="H868" s="3"/>
      <c r="I868" s="3"/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4644</v>
      </c>
      <c r="B869" s="3" t="s">
        <v>4645</v>
      </c>
      <c r="C869" s="3" t="s">
        <v>4646</v>
      </c>
      <c r="D869" s="3"/>
      <c r="E869" s="3" t="s">
        <v>3293</v>
      </c>
      <c r="F869" s="3"/>
      <c r="G869" s="3"/>
      <c r="H869" s="3"/>
      <c r="I869" s="3"/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4647</v>
      </c>
      <c r="B870" s="3" t="s">
        <v>4648</v>
      </c>
      <c r="C870" s="3" t="s">
        <v>4649</v>
      </c>
      <c r="D870" s="3"/>
      <c r="E870" s="3" t="s">
        <v>3293</v>
      </c>
      <c r="F870" s="3"/>
      <c r="G870" s="3"/>
      <c r="H870" s="3"/>
      <c r="I870" s="3"/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4650</v>
      </c>
      <c r="B871" s="3" t="s">
        <v>4651</v>
      </c>
      <c r="C871" s="3" t="s">
        <v>2852</v>
      </c>
      <c r="D871" s="3"/>
      <c r="E871" s="3" t="s">
        <v>3293</v>
      </c>
      <c r="F871" s="3"/>
      <c r="G871" s="3"/>
      <c r="H871" s="3"/>
      <c r="I871" s="3"/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4652</v>
      </c>
      <c r="B872" s="3" t="s">
        <v>4653</v>
      </c>
      <c r="C872" s="3" t="s">
        <v>4654</v>
      </c>
      <c r="D872" s="3"/>
      <c r="E872" s="3" t="s">
        <v>3293</v>
      </c>
      <c r="F872" s="3"/>
      <c r="G872" s="3"/>
      <c r="H872" s="3"/>
      <c r="I872" s="3"/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/>
      <c r="P872" s="3">
        <v>0</v>
      </c>
      <c r="Q872" s="3">
        <v>0</v>
      </c>
      <c r="R872" s="3">
        <v>0</v>
      </c>
    </row>
    <row r="873" spans="1:18">
      <c r="A873" s="3" t="s">
        <v>4655</v>
      </c>
      <c r="B873" s="3" t="s">
        <v>4656</v>
      </c>
      <c r="C873" s="3" t="s">
        <v>1629</v>
      </c>
      <c r="D873" s="3"/>
      <c r="E873" s="3" t="s">
        <v>3293</v>
      </c>
      <c r="F873" s="3"/>
      <c r="G873" s="3"/>
      <c r="H873" s="3"/>
      <c r="I873" s="3"/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/>
      <c r="P873" s="3">
        <v>0</v>
      </c>
      <c r="Q873" s="3">
        <v>0</v>
      </c>
      <c r="R873" s="3">
        <v>0</v>
      </c>
    </row>
    <row r="874" spans="1:18">
      <c r="A874" s="3" t="s">
        <v>4657</v>
      </c>
      <c r="B874" s="3" t="s">
        <v>4658</v>
      </c>
      <c r="C874" s="3" t="s">
        <v>994</v>
      </c>
      <c r="D874" s="3"/>
      <c r="E874" s="3" t="s">
        <v>3293</v>
      </c>
      <c r="F874" s="3"/>
      <c r="G874" s="3"/>
      <c r="H874" s="3"/>
      <c r="I874" s="3"/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4659</v>
      </c>
      <c r="B875" s="3" t="s">
        <v>4660</v>
      </c>
      <c r="C875" s="3" t="s">
        <v>3244</v>
      </c>
      <c r="D875" s="3"/>
      <c r="E875" s="3" t="s">
        <v>3293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4661</v>
      </c>
      <c r="B876" s="3" t="s">
        <v>4662</v>
      </c>
      <c r="C876" s="3" t="s">
        <v>424</v>
      </c>
      <c r="D876" s="3"/>
      <c r="E876" s="3" t="s">
        <v>3293</v>
      </c>
      <c r="F876" s="3"/>
      <c r="G876" s="3"/>
      <c r="H876" s="3"/>
      <c r="I876" s="3"/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/>
      <c r="P876" s="3">
        <v>0</v>
      </c>
      <c r="Q876" s="3">
        <v>0</v>
      </c>
      <c r="R876" s="3">
        <v>0</v>
      </c>
    </row>
    <row r="877" spans="1:18">
      <c r="A877" s="3" t="s">
        <v>4663</v>
      </c>
      <c r="B877" s="3" t="s">
        <v>4664</v>
      </c>
      <c r="C877" s="3" t="s">
        <v>410</v>
      </c>
      <c r="D877" s="3"/>
      <c r="E877" s="3" t="s">
        <v>3293</v>
      </c>
      <c r="F877" s="3"/>
      <c r="G877" s="3"/>
      <c r="H877" s="3"/>
      <c r="I877" s="3"/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4665</v>
      </c>
      <c r="B878" s="3" t="s">
        <v>4666</v>
      </c>
      <c r="C878" s="3" t="s">
        <v>1704</v>
      </c>
      <c r="D878" s="3"/>
      <c r="E878" s="3" t="s">
        <v>3293</v>
      </c>
      <c r="F878" s="3"/>
      <c r="G878" s="3"/>
      <c r="H878" s="3"/>
      <c r="I878" s="3"/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4667</v>
      </c>
      <c r="B879" s="3" t="s">
        <v>4668</v>
      </c>
      <c r="C879" s="3" t="s">
        <v>4669</v>
      </c>
      <c r="D879" s="3"/>
      <c r="E879" s="3" t="s">
        <v>3293</v>
      </c>
      <c r="F879" s="3"/>
      <c r="G879" s="3"/>
      <c r="H879" s="3"/>
      <c r="I879" s="3"/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4670</v>
      </c>
      <c r="B880" s="3" t="s">
        <v>4671</v>
      </c>
      <c r="C880" s="3" t="s">
        <v>632</v>
      </c>
      <c r="D880" s="3"/>
      <c r="E880" s="3" t="s">
        <v>3293</v>
      </c>
      <c r="F880" s="3"/>
      <c r="G880" s="3"/>
      <c r="H880" s="3"/>
      <c r="I880" s="3"/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/>
      <c r="P880" s="3">
        <v>0</v>
      </c>
      <c r="Q880" s="3">
        <v>0</v>
      </c>
      <c r="R880" s="3">
        <v>0</v>
      </c>
    </row>
    <row r="881" spans="1:18">
      <c r="A881" s="3" t="s">
        <v>4672</v>
      </c>
      <c r="B881" s="3" t="s">
        <v>4673</v>
      </c>
      <c r="C881" s="3" t="s">
        <v>469</v>
      </c>
      <c r="D881" s="3"/>
      <c r="E881" s="3" t="s">
        <v>3293</v>
      </c>
      <c r="F881" s="3"/>
      <c r="G881" s="3"/>
      <c r="H881" s="3"/>
      <c r="I881" s="3"/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/>
      <c r="P881" s="3">
        <v>0</v>
      </c>
      <c r="Q881" s="3">
        <v>0</v>
      </c>
      <c r="R881" s="3">
        <v>0</v>
      </c>
    </row>
    <row r="882" spans="1:18">
      <c r="A882" s="3" t="s">
        <v>4674</v>
      </c>
      <c r="B882" s="3" t="s">
        <v>4675</v>
      </c>
      <c r="C882" s="3" t="s">
        <v>4676</v>
      </c>
      <c r="D882" s="3"/>
      <c r="E882" s="3" t="s">
        <v>3293</v>
      </c>
      <c r="F882" s="3"/>
      <c r="G882" s="3"/>
      <c r="H882" s="3"/>
      <c r="I882" s="3"/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/>
      <c r="P882" s="3">
        <v>0</v>
      </c>
      <c r="Q882" s="3">
        <v>0</v>
      </c>
      <c r="R882" s="3">
        <v>0</v>
      </c>
    </row>
    <row r="883" spans="1:18">
      <c r="A883" s="3" t="s">
        <v>4677</v>
      </c>
      <c r="B883" s="3" t="s">
        <v>4678</v>
      </c>
      <c r="C883" s="3" t="s">
        <v>438</v>
      </c>
      <c r="D883" s="3"/>
      <c r="E883" s="3" t="s">
        <v>3293</v>
      </c>
      <c r="F883" s="3"/>
      <c r="G883" s="3"/>
      <c r="H883" s="3"/>
      <c r="I883" s="3"/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/>
      <c r="P883" s="3">
        <v>0</v>
      </c>
      <c r="Q883" s="3">
        <v>0</v>
      </c>
      <c r="R883" s="3">
        <v>0</v>
      </c>
    </row>
    <row r="884" spans="1:18">
      <c r="A884" s="3" t="s">
        <v>4679</v>
      </c>
      <c r="B884" s="3" t="s">
        <v>4680</v>
      </c>
      <c r="C884" s="3" t="s">
        <v>453</v>
      </c>
      <c r="D884" s="3"/>
      <c r="E884" s="3" t="s">
        <v>3293</v>
      </c>
      <c r="F884" s="3"/>
      <c r="G884" s="3"/>
      <c r="H884" s="3"/>
      <c r="I884" s="3"/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/>
      <c r="P884" s="3">
        <v>0</v>
      </c>
      <c r="Q884" s="3">
        <v>0</v>
      </c>
      <c r="R884" s="3">
        <v>0</v>
      </c>
    </row>
    <row r="885" spans="1:18">
      <c r="A885" s="3" t="s">
        <v>4681</v>
      </c>
      <c r="B885" s="3" t="s">
        <v>4682</v>
      </c>
      <c r="C885" s="3" t="s">
        <v>4683</v>
      </c>
      <c r="D885" s="3"/>
      <c r="E885" s="3" t="s">
        <v>3293</v>
      </c>
      <c r="F885" s="3"/>
      <c r="G885" s="3"/>
      <c r="H885" s="3"/>
      <c r="I885" s="3"/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/>
      <c r="P885" s="3">
        <v>0</v>
      </c>
      <c r="Q885" s="3">
        <v>0</v>
      </c>
      <c r="R885" s="3">
        <v>0</v>
      </c>
    </row>
    <row r="886" spans="1:18">
      <c r="A886" s="3" t="s">
        <v>4684</v>
      </c>
      <c r="B886" s="3" t="s">
        <v>4685</v>
      </c>
      <c r="C886" s="3" t="s">
        <v>4686</v>
      </c>
      <c r="D886" s="3"/>
      <c r="E886" s="3" t="s">
        <v>3293</v>
      </c>
      <c r="F886" s="3"/>
      <c r="G886" s="3"/>
      <c r="H886" s="3"/>
      <c r="I886" s="3"/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/>
      <c r="P886" s="3">
        <v>0</v>
      </c>
      <c r="Q886" s="3">
        <v>0</v>
      </c>
      <c r="R886" s="3">
        <v>0</v>
      </c>
    </row>
    <row r="887" spans="1:18">
      <c r="A887" s="3" t="s">
        <v>4687</v>
      </c>
      <c r="B887" s="3" t="s">
        <v>4688</v>
      </c>
      <c r="C887" s="3" t="s">
        <v>4689</v>
      </c>
      <c r="D887" s="3"/>
      <c r="E887" s="3" t="s">
        <v>3293</v>
      </c>
      <c r="F887" s="3"/>
      <c r="G887" s="3"/>
      <c r="H887" s="3"/>
      <c r="I887" s="3"/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/>
      <c r="P887" s="3">
        <v>0</v>
      </c>
      <c r="Q887" s="3">
        <v>0</v>
      </c>
      <c r="R887" s="3">
        <v>0</v>
      </c>
    </row>
    <row r="888" spans="1:18">
      <c r="A888" s="3" t="s">
        <v>4690</v>
      </c>
      <c r="B888" s="3" t="s">
        <v>4691</v>
      </c>
      <c r="C888" s="3" t="s">
        <v>4692</v>
      </c>
      <c r="D888" s="3"/>
      <c r="E888" s="3" t="s">
        <v>3293</v>
      </c>
      <c r="F888" s="3"/>
      <c r="G888" s="3"/>
      <c r="H888" s="3"/>
      <c r="I888" s="3"/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/>
      <c r="P888" s="3">
        <v>0</v>
      </c>
      <c r="Q888" s="3">
        <v>0</v>
      </c>
      <c r="R888" s="3">
        <v>0</v>
      </c>
    </row>
    <row r="889" spans="1:18">
      <c r="A889" s="3" t="s">
        <v>4693</v>
      </c>
      <c r="B889" s="3" t="s">
        <v>4694</v>
      </c>
      <c r="C889" s="3" t="s">
        <v>4695</v>
      </c>
      <c r="D889" s="3"/>
      <c r="E889" s="3" t="s">
        <v>3293</v>
      </c>
      <c r="F889" s="3"/>
      <c r="G889" s="3"/>
      <c r="H889" s="3"/>
      <c r="I889" s="3"/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/>
      <c r="P889" s="3">
        <v>0</v>
      </c>
      <c r="Q889" s="3">
        <v>0</v>
      </c>
      <c r="R889" s="3">
        <v>0</v>
      </c>
    </row>
    <row r="890" spans="1:18">
      <c r="A890" s="3" t="s">
        <v>4696</v>
      </c>
      <c r="B890" s="3" t="s">
        <v>4697</v>
      </c>
      <c r="C890" s="3" t="s">
        <v>2928</v>
      </c>
      <c r="D890" s="3"/>
      <c r="E890" s="3" t="s">
        <v>3293</v>
      </c>
      <c r="F890" s="3"/>
      <c r="G890" s="3"/>
      <c r="H890" s="3"/>
      <c r="I890" s="3"/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/>
      <c r="P890" s="3">
        <v>0</v>
      </c>
      <c r="Q890" s="3">
        <v>0</v>
      </c>
      <c r="R890" s="3">
        <v>0</v>
      </c>
    </row>
    <row r="891" spans="1:18">
      <c r="A891" s="3" t="s">
        <v>4698</v>
      </c>
      <c r="B891" s="3" t="s">
        <v>4699</v>
      </c>
      <c r="C891" s="3" t="s">
        <v>2084</v>
      </c>
      <c r="D891" s="3"/>
      <c r="E891" s="3" t="s">
        <v>3293</v>
      </c>
      <c r="F891" s="3"/>
      <c r="G891" s="3"/>
      <c r="H891" s="3"/>
      <c r="I891" s="3"/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/>
      <c r="P891" s="3">
        <v>0</v>
      </c>
      <c r="Q891" s="3">
        <v>0</v>
      </c>
      <c r="R891" s="3">
        <v>0</v>
      </c>
    </row>
    <row r="892" spans="1:18">
      <c r="A892" s="3" t="s">
        <v>4700</v>
      </c>
      <c r="B892" s="3" t="s">
        <v>4701</v>
      </c>
      <c r="C892" s="3" t="s">
        <v>416</v>
      </c>
      <c r="D892" s="3"/>
      <c r="E892" s="3" t="s">
        <v>3293</v>
      </c>
      <c r="F892" s="3"/>
      <c r="G892" s="3"/>
      <c r="H892" s="3"/>
      <c r="I892" s="3"/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/>
      <c r="P892" s="3">
        <v>0</v>
      </c>
      <c r="Q892" s="3">
        <v>0</v>
      </c>
      <c r="R892" s="3">
        <v>0</v>
      </c>
    </row>
    <row r="893" spans="1:18">
      <c r="A893" s="3" t="s">
        <v>4702</v>
      </c>
      <c r="B893" s="3" t="s">
        <v>4703</v>
      </c>
      <c r="C893" s="3" t="s">
        <v>442</v>
      </c>
      <c r="D893" s="3"/>
      <c r="E893" s="3" t="s">
        <v>3293</v>
      </c>
      <c r="F893" s="3"/>
      <c r="G893" s="3"/>
      <c r="H893" s="3"/>
      <c r="I893" s="3"/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/>
      <c r="P893" s="3">
        <v>0</v>
      </c>
      <c r="Q893" s="3">
        <v>0</v>
      </c>
      <c r="R893" s="3">
        <v>0</v>
      </c>
    </row>
    <row r="894" spans="1:18">
      <c r="A894" s="3" t="s">
        <v>4704</v>
      </c>
      <c r="B894" s="3" t="s">
        <v>4705</v>
      </c>
      <c r="C894" s="3" t="s">
        <v>2433</v>
      </c>
      <c r="D894" s="3"/>
      <c r="E894" s="3" t="s">
        <v>3293</v>
      </c>
      <c r="F894" s="3"/>
      <c r="G894" s="3"/>
      <c r="H894" s="3"/>
      <c r="I894" s="3"/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/>
      <c r="P894" s="3">
        <v>0</v>
      </c>
      <c r="Q894" s="3">
        <v>0</v>
      </c>
      <c r="R894" s="3">
        <v>0</v>
      </c>
    </row>
    <row r="895" spans="1:18">
      <c r="A895" s="3" t="s">
        <v>4706</v>
      </c>
      <c r="B895" s="3" t="s">
        <v>4707</v>
      </c>
      <c r="C895" s="3" t="s">
        <v>4707</v>
      </c>
      <c r="D895" s="3"/>
      <c r="E895" s="3" t="s">
        <v>3293</v>
      </c>
      <c r="F895" s="3"/>
      <c r="G895" s="3"/>
      <c r="H895" s="3"/>
      <c r="I895" s="3"/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/>
      <c r="P895" s="3">
        <v>0</v>
      </c>
      <c r="Q895" s="3">
        <v>0</v>
      </c>
      <c r="R895" s="3">
        <v>0</v>
      </c>
    </row>
    <row r="896" spans="1:18">
      <c r="A896" s="3" t="s">
        <v>4708</v>
      </c>
      <c r="B896" s="3" t="s">
        <v>4709</v>
      </c>
      <c r="C896" s="3" t="s">
        <v>4709</v>
      </c>
      <c r="D896" s="3"/>
      <c r="E896" s="3" t="s">
        <v>3293</v>
      </c>
      <c r="F896" s="3"/>
      <c r="G896" s="3"/>
      <c r="H896" s="3"/>
      <c r="I896" s="3"/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/>
      <c r="P896" s="3">
        <v>0</v>
      </c>
      <c r="Q896" s="3">
        <v>0</v>
      </c>
      <c r="R896" s="3">
        <v>0</v>
      </c>
    </row>
    <row r="897" spans="1:18">
      <c r="A897" s="3" t="s">
        <v>4710</v>
      </c>
      <c r="B897" s="3" t="s">
        <v>3295</v>
      </c>
      <c r="C897" s="3" t="s">
        <v>3295</v>
      </c>
      <c r="D897" s="3" t="s">
        <v>4312</v>
      </c>
      <c r="E897" s="3" t="s">
        <v>867</v>
      </c>
      <c r="F897" s="3">
        <v>22.99</v>
      </c>
      <c r="G897" s="3" t="s">
        <v>3391</v>
      </c>
      <c r="H897" s="3"/>
      <c r="I897" s="3" t="s">
        <v>3392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0.16</v>
      </c>
      <c r="P897" s="3">
        <v>0</v>
      </c>
      <c r="Q897" s="3">
        <v>0</v>
      </c>
      <c r="R897" s="3">
        <v>0</v>
      </c>
    </row>
    <row r="898" spans="1:18">
      <c r="A898" s="3" t="s">
        <v>1185</v>
      </c>
      <c r="B898" s="3" t="s">
        <v>1186</v>
      </c>
      <c r="C898" s="3" t="s">
        <v>1186</v>
      </c>
      <c r="D898" s="3" t="s">
        <v>1187</v>
      </c>
      <c r="E898" s="3" t="s">
        <v>867</v>
      </c>
      <c r="F898" s="3">
        <v>22.99</v>
      </c>
      <c r="G898" s="3" t="s">
        <v>3391</v>
      </c>
      <c r="H898" s="3"/>
      <c r="I898" s="3" t="s">
        <v>3392</v>
      </c>
      <c r="J898" s="3">
        <v>5</v>
      </c>
      <c r="K898" s="3">
        <v>5</v>
      </c>
      <c r="L898" s="3">
        <v>0</v>
      </c>
      <c r="M898" s="3">
        <v>0</v>
      </c>
      <c r="N898" s="3">
        <v>5</v>
      </c>
      <c r="O898" s="3">
        <v>0.16</v>
      </c>
      <c r="P898" s="3">
        <v>0</v>
      </c>
      <c r="Q898" s="3">
        <v>0</v>
      </c>
      <c r="R898" s="3">
        <v>0</v>
      </c>
    </row>
    <row r="899" spans="1:18">
      <c r="A899" s="3" t="s">
        <v>4711</v>
      </c>
      <c r="B899" s="3" t="s">
        <v>2783</v>
      </c>
      <c r="C899" s="3" t="s">
        <v>2783</v>
      </c>
      <c r="D899" s="3" t="s">
        <v>2784</v>
      </c>
      <c r="E899" s="3" t="s">
        <v>3293</v>
      </c>
      <c r="F899" s="3">
        <v>22.99</v>
      </c>
      <c r="G899" s="3" t="s">
        <v>3391</v>
      </c>
      <c r="H899" s="3"/>
      <c r="I899" s="3" t="s">
        <v>3392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0.16</v>
      </c>
      <c r="P899" s="3">
        <v>0</v>
      </c>
      <c r="Q899" s="3">
        <v>0</v>
      </c>
      <c r="R899" s="3">
        <v>0</v>
      </c>
    </row>
    <row r="900" spans="1:18">
      <c r="A900" s="3" t="s">
        <v>2559</v>
      </c>
      <c r="B900" s="3" t="s">
        <v>2560</v>
      </c>
      <c r="C900" s="3" t="s">
        <v>2560</v>
      </c>
      <c r="D900" s="3" t="s">
        <v>2561</v>
      </c>
      <c r="E900" s="3" t="s">
        <v>867</v>
      </c>
      <c r="F900" s="3">
        <v>22.99</v>
      </c>
      <c r="G900" s="3" t="s">
        <v>3391</v>
      </c>
      <c r="H900" s="3"/>
      <c r="I900" s="3" t="s">
        <v>3392</v>
      </c>
      <c r="J900" s="3">
        <v>1</v>
      </c>
      <c r="K900" s="3">
        <v>1</v>
      </c>
      <c r="L900" s="3">
        <v>0</v>
      </c>
      <c r="M900" s="3">
        <v>0</v>
      </c>
      <c r="N900" s="3">
        <v>1</v>
      </c>
      <c r="O900" s="3">
        <v>0.16</v>
      </c>
      <c r="P900" s="3">
        <v>0</v>
      </c>
      <c r="Q900" s="3">
        <v>0</v>
      </c>
      <c r="R900" s="3">
        <v>0</v>
      </c>
    </row>
    <row r="901" spans="1:18">
      <c r="A901" s="3" t="s">
        <v>1485</v>
      </c>
      <c r="B901" s="3" t="s">
        <v>1486</v>
      </c>
      <c r="C901" s="3" t="s">
        <v>1486</v>
      </c>
      <c r="D901" s="3" t="s">
        <v>1487</v>
      </c>
      <c r="E901" s="3" t="s">
        <v>867</v>
      </c>
      <c r="F901" s="3">
        <v>22.99</v>
      </c>
      <c r="G901" s="3" t="s">
        <v>3391</v>
      </c>
      <c r="H901" s="3"/>
      <c r="I901" s="3" t="s">
        <v>3392</v>
      </c>
      <c r="J901" s="3">
        <v>4</v>
      </c>
      <c r="K901" s="3">
        <v>4</v>
      </c>
      <c r="L901" s="3">
        <v>0</v>
      </c>
      <c r="M901" s="3">
        <v>0</v>
      </c>
      <c r="N901" s="3">
        <v>4</v>
      </c>
      <c r="O901" s="3">
        <v>0.16</v>
      </c>
      <c r="P901" s="3">
        <v>0</v>
      </c>
      <c r="Q901" s="3">
        <v>0</v>
      </c>
      <c r="R901" s="3">
        <v>0</v>
      </c>
    </row>
    <row r="902" spans="1:18">
      <c r="A902" s="3" t="s">
        <v>1564</v>
      </c>
      <c r="B902" s="3" t="s">
        <v>1565</v>
      </c>
      <c r="C902" s="3" t="s">
        <v>1565</v>
      </c>
      <c r="D902" s="3" t="s">
        <v>1566</v>
      </c>
      <c r="E902" s="3" t="s">
        <v>867</v>
      </c>
      <c r="F902" s="3">
        <v>22.99</v>
      </c>
      <c r="G902" s="3" t="s">
        <v>3391</v>
      </c>
      <c r="H902" s="3"/>
      <c r="I902" s="3" t="s">
        <v>3392</v>
      </c>
      <c r="J902" s="3">
        <v>11</v>
      </c>
      <c r="K902" s="3">
        <v>11</v>
      </c>
      <c r="L902" s="3">
        <v>0</v>
      </c>
      <c r="M902" s="3">
        <v>0</v>
      </c>
      <c r="N902" s="3">
        <v>11</v>
      </c>
      <c r="O902" s="3">
        <v>0.19</v>
      </c>
      <c r="P902" s="3">
        <v>0</v>
      </c>
      <c r="Q902" s="3">
        <v>0</v>
      </c>
      <c r="R902" s="3">
        <v>0</v>
      </c>
    </row>
    <row r="903" spans="1:18">
      <c r="A903" s="3" t="s">
        <v>4712</v>
      </c>
      <c r="B903" s="3" t="s">
        <v>3302</v>
      </c>
      <c r="C903" s="3" t="s">
        <v>3302</v>
      </c>
      <c r="D903" s="3"/>
      <c r="E903" s="3" t="s">
        <v>3293</v>
      </c>
      <c r="F903" s="3"/>
      <c r="G903" s="3"/>
      <c r="H903" s="3"/>
      <c r="I903" s="3"/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/>
      <c r="P903" s="3">
        <v>0</v>
      </c>
      <c r="Q903" s="3">
        <v>0</v>
      </c>
      <c r="R903" s="3">
        <v>0</v>
      </c>
    </row>
    <row r="904" spans="1:18">
      <c r="A904" s="3" t="s">
        <v>4713</v>
      </c>
      <c r="B904" s="3" t="s">
        <v>3304</v>
      </c>
      <c r="C904" s="3" t="s">
        <v>3304</v>
      </c>
      <c r="D904" s="3" t="s">
        <v>4327</v>
      </c>
      <c r="E904" s="3" t="s">
        <v>867</v>
      </c>
      <c r="F904" s="3">
        <v>22.99</v>
      </c>
      <c r="G904" s="3" t="s">
        <v>3391</v>
      </c>
      <c r="H904" s="3"/>
      <c r="I904" s="3" t="s">
        <v>3392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0.11</v>
      </c>
      <c r="P904" s="3">
        <v>0</v>
      </c>
      <c r="Q904" s="3">
        <v>0</v>
      </c>
      <c r="R904" s="3">
        <v>0</v>
      </c>
    </row>
    <row r="905" spans="1:18">
      <c r="A905" s="3" t="s">
        <v>875</v>
      </c>
      <c r="B905" s="3" t="s">
        <v>185</v>
      </c>
      <c r="C905" s="3" t="s">
        <v>185</v>
      </c>
      <c r="D905" s="3" t="s">
        <v>186</v>
      </c>
      <c r="E905" s="3" t="s">
        <v>867</v>
      </c>
      <c r="F905" s="3">
        <v>22.99</v>
      </c>
      <c r="G905" s="3" t="s">
        <v>3391</v>
      </c>
      <c r="H905" s="3"/>
      <c r="I905" s="3" t="s">
        <v>3392</v>
      </c>
      <c r="J905" s="3">
        <v>10</v>
      </c>
      <c r="K905" s="3">
        <v>10</v>
      </c>
      <c r="L905" s="3">
        <v>0</v>
      </c>
      <c r="M905" s="3">
        <v>0</v>
      </c>
      <c r="N905" s="3">
        <v>10</v>
      </c>
      <c r="O905" s="3">
        <v>0.11</v>
      </c>
      <c r="P905" s="3">
        <v>0</v>
      </c>
      <c r="Q905" s="3">
        <v>0</v>
      </c>
      <c r="R905" s="3">
        <v>0</v>
      </c>
    </row>
    <row r="906" spans="1:18">
      <c r="A906" s="3" t="s">
        <v>397</v>
      </c>
      <c r="B906" s="3" t="s">
        <v>12</v>
      </c>
      <c r="C906" s="3" t="s">
        <v>12</v>
      </c>
      <c r="D906" s="3" t="s">
        <v>13</v>
      </c>
      <c r="E906" s="3" t="s">
        <v>867</v>
      </c>
      <c r="F906" s="3">
        <v>22.99</v>
      </c>
      <c r="G906" s="3" t="s">
        <v>3391</v>
      </c>
      <c r="H906" s="3"/>
      <c r="I906" s="3" t="s">
        <v>3392</v>
      </c>
      <c r="J906" s="3">
        <v>3</v>
      </c>
      <c r="K906" s="3">
        <v>1</v>
      </c>
      <c r="L906" s="3">
        <v>0</v>
      </c>
      <c r="M906" s="3">
        <v>2</v>
      </c>
      <c r="N906" s="3">
        <v>3</v>
      </c>
      <c r="O906" s="3">
        <v>0.2</v>
      </c>
      <c r="P906" s="3">
        <v>0</v>
      </c>
      <c r="Q906" s="3">
        <v>0</v>
      </c>
      <c r="R906" s="3">
        <v>0</v>
      </c>
    </row>
    <row r="907" spans="1:18">
      <c r="A907" s="3" t="s">
        <v>4714</v>
      </c>
      <c r="B907" s="3" t="s">
        <v>201</v>
      </c>
      <c r="C907" s="3" t="s">
        <v>201</v>
      </c>
      <c r="D907" s="3" t="s">
        <v>202</v>
      </c>
      <c r="E907" s="3" t="s">
        <v>3293</v>
      </c>
      <c r="F907" s="3"/>
      <c r="G907" s="3"/>
      <c r="H907" s="3"/>
      <c r="I907" s="3"/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0.07</v>
      </c>
      <c r="P907" s="3">
        <v>0</v>
      </c>
      <c r="Q907" s="3">
        <v>0</v>
      </c>
      <c r="R907" s="3">
        <v>0</v>
      </c>
    </row>
    <row r="908" spans="1:18">
      <c r="A908" s="3" t="s">
        <v>4715</v>
      </c>
      <c r="B908" s="3" t="s">
        <v>3308</v>
      </c>
      <c r="C908" s="3" t="s">
        <v>3308</v>
      </c>
      <c r="D908" s="3"/>
      <c r="E908" s="3" t="s">
        <v>3293</v>
      </c>
      <c r="F908" s="3"/>
      <c r="G908" s="3"/>
      <c r="H908" s="3"/>
      <c r="I908" s="3"/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/>
      <c r="P908" s="3">
        <v>0</v>
      </c>
      <c r="Q908" s="3">
        <v>0</v>
      </c>
      <c r="R908" s="3">
        <v>0</v>
      </c>
    </row>
    <row r="909" spans="1:18">
      <c r="A909" s="3" t="s">
        <v>4716</v>
      </c>
      <c r="B909" s="3" t="s">
        <v>173</v>
      </c>
      <c r="C909" s="3" t="s">
        <v>173</v>
      </c>
      <c r="D909" s="3" t="s">
        <v>174</v>
      </c>
      <c r="E909" s="3" t="s">
        <v>3293</v>
      </c>
      <c r="F909" s="3"/>
      <c r="G909" s="3"/>
      <c r="H909" s="3"/>
      <c r="I909" s="3"/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0.08</v>
      </c>
      <c r="P909" s="3">
        <v>0</v>
      </c>
      <c r="Q909" s="3">
        <v>0</v>
      </c>
      <c r="R909" s="3">
        <v>0</v>
      </c>
    </row>
    <row r="910" spans="1:18">
      <c r="A910" s="3" t="s">
        <v>2639</v>
      </c>
      <c r="B910" s="3" t="s">
        <v>193</v>
      </c>
      <c r="C910" s="3" t="s">
        <v>193</v>
      </c>
      <c r="D910" s="3" t="s">
        <v>194</v>
      </c>
      <c r="E910" s="3" t="s">
        <v>867</v>
      </c>
      <c r="F910" s="3">
        <v>22.99</v>
      </c>
      <c r="G910" s="3" t="s">
        <v>3391</v>
      </c>
      <c r="H910" s="3"/>
      <c r="I910" s="3" t="s">
        <v>3392</v>
      </c>
      <c r="J910" s="3">
        <v>2</v>
      </c>
      <c r="K910" s="3">
        <v>2</v>
      </c>
      <c r="L910" s="3">
        <v>0</v>
      </c>
      <c r="M910" s="3">
        <v>0</v>
      </c>
      <c r="N910" s="3">
        <v>2</v>
      </c>
      <c r="O910" s="3">
        <v>0.13</v>
      </c>
      <c r="P910" s="3">
        <v>0</v>
      </c>
      <c r="Q910" s="3">
        <v>0</v>
      </c>
      <c r="R910" s="3">
        <v>0</v>
      </c>
    </row>
    <row r="911" spans="1:18">
      <c r="A911" s="3" t="s">
        <v>399</v>
      </c>
      <c r="B911" s="3" t="s">
        <v>18</v>
      </c>
      <c r="C911" s="3" t="s">
        <v>18</v>
      </c>
      <c r="D911" s="3" t="s">
        <v>19</v>
      </c>
      <c r="E911" s="3" t="s">
        <v>867</v>
      </c>
      <c r="F911" s="3">
        <v>22.99</v>
      </c>
      <c r="G911" s="3" t="s">
        <v>3391</v>
      </c>
      <c r="H911" s="3"/>
      <c r="I911" s="3" t="s">
        <v>3392</v>
      </c>
      <c r="J911" s="3">
        <v>5</v>
      </c>
      <c r="K911" s="3">
        <v>4</v>
      </c>
      <c r="L911" s="3">
        <v>0</v>
      </c>
      <c r="M911" s="3">
        <v>1</v>
      </c>
      <c r="N911" s="3">
        <v>5</v>
      </c>
      <c r="O911" s="3">
        <v>0.1</v>
      </c>
      <c r="P911" s="3">
        <v>0</v>
      </c>
      <c r="Q911" s="3">
        <v>0</v>
      </c>
      <c r="R911" s="3">
        <v>0</v>
      </c>
    </row>
    <row r="912" spans="1:18">
      <c r="A912" s="3" t="s">
        <v>398</v>
      </c>
      <c r="B912" s="3" t="s">
        <v>15</v>
      </c>
      <c r="C912" s="3" t="s">
        <v>15</v>
      </c>
      <c r="D912" s="3" t="s">
        <v>16</v>
      </c>
      <c r="E912" s="3" t="s">
        <v>867</v>
      </c>
      <c r="F912" s="3">
        <v>22.99</v>
      </c>
      <c r="G912" s="3" t="s">
        <v>3391</v>
      </c>
      <c r="H912" s="3"/>
      <c r="I912" s="3" t="s">
        <v>3392</v>
      </c>
      <c r="J912" s="3">
        <v>17</v>
      </c>
      <c r="K912" s="3">
        <v>16</v>
      </c>
      <c r="L912" s="3">
        <v>0</v>
      </c>
      <c r="M912" s="3">
        <v>1</v>
      </c>
      <c r="N912" s="3">
        <v>17</v>
      </c>
      <c r="O912" s="3">
        <v>0.11</v>
      </c>
      <c r="P912" s="3">
        <v>0</v>
      </c>
      <c r="Q912" s="3">
        <v>0</v>
      </c>
      <c r="R912" s="3">
        <v>0</v>
      </c>
    </row>
    <row r="913" spans="1:18">
      <c r="A913" s="3" t="s">
        <v>3237</v>
      </c>
      <c r="B913" s="3" t="s">
        <v>3238</v>
      </c>
      <c r="C913" s="3" t="s">
        <v>3238</v>
      </c>
      <c r="D913" s="3" t="s">
        <v>3239</v>
      </c>
      <c r="E913" s="3" t="s">
        <v>867</v>
      </c>
      <c r="F913" s="3">
        <v>22.99</v>
      </c>
      <c r="G913" s="3" t="s">
        <v>3391</v>
      </c>
      <c r="H913" s="3"/>
      <c r="I913" s="3" t="s">
        <v>3392</v>
      </c>
      <c r="J913" s="3">
        <v>5</v>
      </c>
      <c r="K913" s="3">
        <v>5</v>
      </c>
      <c r="L913" s="3">
        <v>0</v>
      </c>
      <c r="M913" s="3">
        <v>0</v>
      </c>
      <c r="N913" s="3">
        <v>5</v>
      </c>
      <c r="O913" s="3">
        <v>0.2</v>
      </c>
      <c r="P913" s="3">
        <v>0</v>
      </c>
      <c r="Q913" s="3">
        <v>0</v>
      </c>
      <c r="R913" s="3">
        <v>0</v>
      </c>
    </row>
    <row r="914" spans="1:18">
      <c r="A914" s="3" t="s">
        <v>2082</v>
      </c>
      <c r="B914" s="3" t="s">
        <v>162</v>
      </c>
      <c r="C914" s="3" t="s">
        <v>162</v>
      </c>
      <c r="D914" s="3" t="s">
        <v>163</v>
      </c>
      <c r="E914" s="3" t="s">
        <v>867</v>
      </c>
      <c r="F914" s="3">
        <v>22.99</v>
      </c>
      <c r="G914" s="3" t="s">
        <v>3391</v>
      </c>
      <c r="H914" s="3"/>
      <c r="I914" s="3" t="s">
        <v>3392</v>
      </c>
      <c r="J914" s="3">
        <v>14</v>
      </c>
      <c r="K914" s="3">
        <v>14</v>
      </c>
      <c r="L914" s="3">
        <v>0</v>
      </c>
      <c r="M914" s="3">
        <v>0</v>
      </c>
      <c r="N914" s="3">
        <v>14</v>
      </c>
      <c r="O914" s="3">
        <v>0.05</v>
      </c>
      <c r="P914" s="3">
        <v>0</v>
      </c>
      <c r="Q914" s="3">
        <v>0</v>
      </c>
      <c r="R914" s="3">
        <v>0</v>
      </c>
    </row>
    <row r="915" spans="1:18">
      <c r="A915" s="3" t="s">
        <v>4717</v>
      </c>
      <c r="B915" s="3" t="s">
        <v>3314</v>
      </c>
      <c r="C915" s="3" t="s">
        <v>3314</v>
      </c>
      <c r="D915" s="3" t="s">
        <v>1994</v>
      </c>
      <c r="E915" s="3" t="s">
        <v>867</v>
      </c>
      <c r="F915" s="3">
        <v>35.98</v>
      </c>
      <c r="G915" s="3" t="s">
        <v>3391</v>
      </c>
      <c r="H915" s="3"/>
      <c r="I915" s="3" t="s">
        <v>3392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0.2</v>
      </c>
      <c r="P915" s="3">
        <v>0</v>
      </c>
      <c r="Q915" s="3">
        <v>0</v>
      </c>
      <c r="R915" s="3">
        <v>0</v>
      </c>
    </row>
    <row r="916" spans="1:18">
      <c r="A916" s="3" t="s">
        <v>1998</v>
      </c>
      <c r="B916" s="3" t="s">
        <v>1999</v>
      </c>
      <c r="C916" s="3" t="s">
        <v>1999</v>
      </c>
      <c r="D916" s="3" t="s">
        <v>2000</v>
      </c>
      <c r="E916" s="3" t="s">
        <v>867</v>
      </c>
      <c r="F916" s="3">
        <v>22.99</v>
      </c>
      <c r="G916" s="3" t="s">
        <v>3391</v>
      </c>
      <c r="H916" s="3"/>
      <c r="I916" s="3" t="s">
        <v>3392</v>
      </c>
      <c r="J916" s="3">
        <v>34</v>
      </c>
      <c r="K916" s="3">
        <v>34</v>
      </c>
      <c r="L916" s="3">
        <v>0</v>
      </c>
      <c r="M916" s="3">
        <v>0</v>
      </c>
      <c r="N916" s="3">
        <v>34</v>
      </c>
      <c r="O916" s="3">
        <v>0.16</v>
      </c>
      <c r="P916" s="3">
        <v>0</v>
      </c>
      <c r="Q916" s="3">
        <v>0</v>
      </c>
      <c r="R916" s="3">
        <v>0</v>
      </c>
    </row>
    <row r="917" spans="1:18">
      <c r="A917" s="3" t="s">
        <v>2908</v>
      </c>
      <c r="B917" s="3" t="s">
        <v>2909</v>
      </c>
      <c r="C917" s="3" t="s">
        <v>2909</v>
      </c>
      <c r="D917" s="3" t="s">
        <v>2910</v>
      </c>
      <c r="E917" s="3" t="s">
        <v>867</v>
      </c>
      <c r="F917" s="3">
        <v>22.99</v>
      </c>
      <c r="G917" s="3" t="s">
        <v>3391</v>
      </c>
      <c r="H917" s="3"/>
      <c r="I917" s="3" t="s">
        <v>3392</v>
      </c>
      <c r="J917" s="3">
        <v>13</v>
      </c>
      <c r="K917" s="3">
        <v>13</v>
      </c>
      <c r="L917" s="3">
        <v>0</v>
      </c>
      <c r="M917" s="3">
        <v>0</v>
      </c>
      <c r="N917" s="3">
        <v>13</v>
      </c>
      <c r="O917" s="3">
        <v>0.1</v>
      </c>
      <c r="P917" s="3">
        <v>0</v>
      </c>
      <c r="Q917" s="3">
        <v>0</v>
      </c>
      <c r="R917" s="3">
        <v>0</v>
      </c>
    </row>
    <row r="918" spans="1:18">
      <c r="A918" s="3" t="s">
        <v>1838</v>
      </c>
      <c r="B918" s="3" t="s">
        <v>1839</v>
      </c>
      <c r="C918" s="3" t="s">
        <v>1839</v>
      </c>
      <c r="D918" s="3" t="s">
        <v>1840</v>
      </c>
      <c r="E918" s="3" t="s">
        <v>867</v>
      </c>
      <c r="F918" s="3">
        <v>22.99</v>
      </c>
      <c r="G918" s="3" t="s">
        <v>3391</v>
      </c>
      <c r="H918" s="3"/>
      <c r="I918" s="3" t="s">
        <v>3392</v>
      </c>
      <c r="J918" s="3">
        <v>6</v>
      </c>
      <c r="K918" s="3">
        <v>6</v>
      </c>
      <c r="L918" s="3">
        <v>0</v>
      </c>
      <c r="M918" s="3">
        <v>0</v>
      </c>
      <c r="N918" s="3">
        <v>6</v>
      </c>
      <c r="O918" s="3">
        <v>0.11</v>
      </c>
      <c r="P918" s="3">
        <v>0</v>
      </c>
      <c r="Q918" s="3">
        <v>0</v>
      </c>
      <c r="R918" s="3">
        <v>0</v>
      </c>
    </row>
    <row r="919" spans="1:18">
      <c r="A919" s="3" t="s">
        <v>2625</v>
      </c>
      <c r="B919" s="3" t="s">
        <v>2626</v>
      </c>
      <c r="C919" s="3" t="s">
        <v>2626</v>
      </c>
      <c r="D919" s="3" t="s">
        <v>2627</v>
      </c>
      <c r="E919" s="3" t="s">
        <v>867</v>
      </c>
      <c r="F919" s="3">
        <v>22.99</v>
      </c>
      <c r="G919" s="3" t="s">
        <v>3391</v>
      </c>
      <c r="H919" s="3"/>
      <c r="I919" s="3" t="s">
        <v>3392</v>
      </c>
      <c r="J919" s="3">
        <v>39</v>
      </c>
      <c r="K919" s="3">
        <v>39</v>
      </c>
      <c r="L919" s="3">
        <v>0</v>
      </c>
      <c r="M919" s="3">
        <v>0</v>
      </c>
      <c r="N919" s="3">
        <v>39</v>
      </c>
      <c r="O919" s="3">
        <v>0.11</v>
      </c>
      <c r="P919" s="3">
        <v>0</v>
      </c>
      <c r="Q919" s="3">
        <v>0</v>
      </c>
      <c r="R919" s="3">
        <v>0</v>
      </c>
    </row>
    <row r="920" spans="1:18">
      <c r="A920" s="3" t="s">
        <v>1211</v>
      </c>
      <c r="B920" s="3" t="s">
        <v>1212</v>
      </c>
      <c r="C920" s="3" t="s">
        <v>1212</v>
      </c>
      <c r="D920" s="3" t="s">
        <v>1213</v>
      </c>
      <c r="E920" s="3" t="s">
        <v>867</v>
      </c>
      <c r="F920" s="3">
        <v>22.99</v>
      </c>
      <c r="G920" s="3" t="s">
        <v>3391</v>
      </c>
      <c r="H920" s="3"/>
      <c r="I920" s="3" t="s">
        <v>3392</v>
      </c>
      <c r="J920" s="3">
        <v>3</v>
      </c>
      <c r="K920" s="3">
        <v>3</v>
      </c>
      <c r="L920" s="3">
        <v>0</v>
      </c>
      <c r="M920" s="3">
        <v>0</v>
      </c>
      <c r="N920" s="3">
        <v>3</v>
      </c>
      <c r="O920" s="3">
        <v>0.11</v>
      </c>
      <c r="P920" s="3">
        <v>0</v>
      </c>
      <c r="Q920" s="3">
        <v>0</v>
      </c>
      <c r="R920" s="3">
        <v>0</v>
      </c>
    </row>
    <row r="921" spans="1:18">
      <c r="A921" s="3" t="s">
        <v>1413</v>
      </c>
      <c r="B921" s="3" t="s">
        <v>1414</v>
      </c>
      <c r="C921" s="3" t="s">
        <v>1414</v>
      </c>
      <c r="D921" s="3" t="s">
        <v>1415</v>
      </c>
      <c r="E921" s="3" t="s">
        <v>867</v>
      </c>
      <c r="F921" s="3">
        <v>22.99</v>
      </c>
      <c r="G921" s="3" t="s">
        <v>3391</v>
      </c>
      <c r="H921" s="3"/>
      <c r="I921" s="3" t="s">
        <v>3392</v>
      </c>
      <c r="J921" s="3">
        <v>1</v>
      </c>
      <c r="K921" s="3">
        <v>1</v>
      </c>
      <c r="L921" s="3">
        <v>0</v>
      </c>
      <c r="M921" s="3">
        <v>0</v>
      </c>
      <c r="N921" s="3">
        <v>1</v>
      </c>
      <c r="O921" s="3">
        <v>0.16</v>
      </c>
      <c r="P921" s="3">
        <v>0</v>
      </c>
      <c r="Q921" s="3">
        <v>0</v>
      </c>
      <c r="R921" s="3">
        <v>0</v>
      </c>
    </row>
    <row r="922" spans="1:18">
      <c r="A922" s="3" t="s">
        <v>3205</v>
      </c>
      <c r="B922" s="3" t="s">
        <v>3206</v>
      </c>
      <c r="C922" s="3" t="s">
        <v>3206</v>
      </c>
      <c r="D922" s="3" t="s">
        <v>3207</v>
      </c>
      <c r="E922" s="3" t="s">
        <v>867</v>
      </c>
      <c r="F922" s="3">
        <v>22.99</v>
      </c>
      <c r="G922" s="3" t="s">
        <v>3391</v>
      </c>
      <c r="H922" s="3"/>
      <c r="I922" s="3" t="s">
        <v>3392</v>
      </c>
      <c r="J922" s="3">
        <v>5</v>
      </c>
      <c r="K922" s="3">
        <v>5</v>
      </c>
      <c r="L922" s="3">
        <v>0</v>
      </c>
      <c r="M922" s="3">
        <v>0</v>
      </c>
      <c r="N922" s="3">
        <v>5</v>
      </c>
      <c r="O922" s="3">
        <v>0.13</v>
      </c>
      <c r="P922" s="3">
        <v>0</v>
      </c>
      <c r="Q922" s="3">
        <v>0</v>
      </c>
      <c r="R922" s="3">
        <v>0</v>
      </c>
    </row>
    <row r="923" spans="1:18">
      <c r="A923" s="3" t="s">
        <v>2540</v>
      </c>
      <c r="B923" s="3" t="s">
        <v>2541</v>
      </c>
      <c r="C923" s="3" t="s">
        <v>2541</v>
      </c>
      <c r="D923" s="3" t="s">
        <v>2542</v>
      </c>
      <c r="E923" s="3" t="s">
        <v>867</v>
      </c>
      <c r="F923" s="3">
        <v>22.99</v>
      </c>
      <c r="G923" s="3" t="s">
        <v>3391</v>
      </c>
      <c r="H923" s="3"/>
      <c r="I923" s="3" t="s">
        <v>3392</v>
      </c>
      <c r="J923" s="3">
        <v>15</v>
      </c>
      <c r="K923" s="3">
        <v>15</v>
      </c>
      <c r="L923" s="3">
        <v>0</v>
      </c>
      <c r="M923" s="3">
        <v>0</v>
      </c>
      <c r="N923" s="3">
        <v>15</v>
      </c>
      <c r="O923" s="3">
        <v>0.13</v>
      </c>
      <c r="P923" s="3">
        <v>0</v>
      </c>
      <c r="Q923" s="3">
        <v>0</v>
      </c>
      <c r="R923" s="3">
        <v>0</v>
      </c>
    </row>
    <row r="924" spans="1:18">
      <c r="A924" s="3" t="s">
        <v>2699</v>
      </c>
      <c r="B924" s="3" t="s">
        <v>2700</v>
      </c>
      <c r="C924" s="3" t="s">
        <v>2700</v>
      </c>
      <c r="D924" s="3" t="s">
        <v>2701</v>
      </c>
      <c r="E924" s="3" t="s">
        <v>867</v>
      </c>
      <c r="F924" s="3">
        <v>22.99</v>
      </c>
      <c r="G924" s="3" t="s">
        <v>3391</v>
      </c>
      <c r="H924" s="3"/>
      <c r="I924" s="3" t="s">
        <v>3392</v>
      </c>
      <c r="J924" s="3">
        <v>17</v>
      </c>
      <c r="K924" s="3">
        <v>17</v>
      </c>
      <c r="L924" s="3">
        <v>0</v>
      </c>
      <c r="M924" s="3">
        <v>0</v>
      </c>
      <c r="N924" s="3">
        <v>17</v>
      </c>
      <c r="O924" s="3">
        <v>0.2</v>
      </c>
      <c r="P924" s="3">
        <v>0</v>
      </c>
      <c r="Q924" s="3">
        <v>0</v>
      </c>
      <c r="R924" s="3">
        <v>0</v>
      </c>
    </row>
    <row r="925" spans="1:18">
      <c r="A925" s="3" t="s">
        <v>1969</v>
      </c>
      <c r="B925" s="3" t="s">
        <v>1970</v>
      </c>
      <c r="C925" s="3" t="s">
        <v>1970</v>
      </c>
      <c r="D925" s="3" t="s">
        <v>1971</v>
      </c>
      <c r="E925" s="3" t="s">
        <v>867</v>
      </c>
      <c r="F925" s="3">
        <v>22.99</v>
      </c>
      <c r="G925" s="3" t="s">
        <v>3391</v>
      </c>
      <c r="H925" s="3"/>
      <c r="I925" s="3" t="s">
        <v>3392</v>
      </c>
      <c r="J925" s="3">
        <v>29</v>
      </c>
      <c r="K925" s="3">
        <v>29</v>
      </c>
      <c r="L925" s="3">
        <v>0</v>
      </c>
      <c r="M925" s="3">
        <v>0</v>
      </c>
      <c r="N925" s="3">
        <v>29</v>
      </c>
      <c r="O925" s="3">
        <v>0.2</v>
      </c>
      <c r="P925" s="3">
        <v>0</v>
      </c>
      <c r="Q925" s="3">
        <v>0</v>
      </c>
      <c r="R925" s="3">
        <v>0</v>
      </c>
    </row>
    <row r="926" spans="1:18">
      <c r="A926" s="3" t="s">
        <v>1920</v>
      </c>
      <c r="B926" s="3" t="s">
        <v>1921</v>
      </c>
      <c r="C926" s="3" t="s">
        <v>1921</v>
      </c>
      <c r="D926" s="3" t="s">
        <v>1922</v>
      </c>
      <c r="E926" s="3" t="s">
        <v>867</v>
      </c>
      <c r="F926" s="3">
        <v>22.99</v>
      </c>
      <c r="G926" s="3" t="s">
        <v>3391</v>
      </c>
      <c r="H926" s="3"/>
      <c r="I926" s="3" t="s">
        <v>3392</v>
      </c>
      <c r="J926" s="3">
        <v>7</v>
      </c>
      <c r="K926" s="3">
        <v>7</v>
      </c>
      <c r="L926" s="3">
        <v>0</v>
      </c>
      <c r="M926" s="3">
        <v>0</v>
      </c>
      <c r="N926" s="3">
        <v>7</v>
      </c>
      <c r="O926" s="3">
        <v>0.04</v>
      </c>
      <c r="P926" s="3">
        <v>0</v>
      </c>
      <c r="Q926" s="3">
        <v>0</v>
      </c>
      <c r="R926" s="3">
        <v>0</v>
      </c>
    </row>
    <row r="927" spans="1:18">
      <c r="A927" s="3" t="s">
        <v>2152</v>
      </c>
      <c r="B927" s="3" t="s">
        <v>2153</v>
      </c>
      <c r="C927" s="3" t="s">
        <v>2153</v>
      </c>
      <c r="D927" s="3" t="s">
        <v>2154</v>
      </c>
      <c r="E927" s="3" t="s">
        <v>867</v>
      </c>
      <c r="F927" s="3">
        <v>22.99</v>
      </c>
      <c r="G927" s="3" t="s">
        <v>3391</v>
      </c>
      <c r="H927" s="3"/>
      <c r="I927" s="3" t="s">
        <v>3392</v>
      </c>
      <c r="J927" s="3">
        <v>2</v>
      </c>
      <c r="K927" s="3">
        <v>2</v>
      </c>
      <c r="L927" s="3">
        <v>0</v>
      </c>
      <c r="M927" s="3">
        <v>0</v>
      </c>
      <c r="N927" s="3">
        <v>2</v>
      </c>
      <c r="O927" s="3">
        <v>0.13</v>
      </c>
      <c r="P927" s="3">
        <v>0</v>
      </c>
      <c r="Q927" s="3">
        <v>0</v>
      </c>
      <c r="R927" s="3">
        <v>0</v>
      </c>
    </row>
    <row r="928" spans="1:18">
      <c r="A928" s="3" t="s">
        <v>1148</v>
      </c>
      <c r="B928" s="3" t="s">
        <v>331</v>
      </c>
      <c r="C928" s="3" t="s">
        <v>331</v>
      </c>
      <c r="D928" s="3" t="s">
        <v>332</v>
      </c>
      <c r="E928" s="3" t="s">
        <v>867</v>
      </c>
      <c r="F928" s="3">
        <v>22.99</v>
      </c>
      <c r="G928" s="3" t="s">
        <v>3391</v>
      </c>
      <c r="H928" s="3"/>
      <c r="I928" s="3" t="s">
        <v>3392</v>
      </c>
      <c r="J928" s="3">
        <v>2</v>
      </c>
      <c r="K928" s="3">
        <v>2</v>
      </c>
      <c r="L928" s="3">
        <v>0</v>
      </c>
      <c r="M928" s="3">
        <v>0</v>
      </c>
      <c r="N928" s="3">
        <v>2</v>
      </c>
      <c r="O928" s="3">
        <v>0.12</v>
      </c>
      <c r="P928" s="3">
        <v>0</v>
      </c>
      <c r="Q928" s="3">
        <v>0</v>
      </c>
      <c r="R928" s="3">
        <v>0</v>
      </c>
    </row>
    <row r="929" spans="1:18">
      <c r="A929" s="3" t="s">
        <v>2416</v>
      </c>
      <c r="B929" s="3" t="s">
        <v>1127</v>
      </c>
      <c r="C929" s="3" t="s">
        <v>1127</v>
      </c>
      <c r="D929" s="3" t="s">
        <v>1128</v>
      </c>
      <c r="E929" s="3" t="s">
        <v>867</v>
      </c>
      <c r="F929" s="3">
        <v>22.99</v>
      </c>
      <c r="G929" s="3" t="s">
        <v>3391</v>
      </c>
      <c r="H929" s="3"/>
      <c r="I929" s="3" t="s">
        <v>3392</v>
      </c>
      <c r="J929" s="3">
        <v>2</v>
      </c>
      <c r="K929" s="3">
        <v>2</v>
      </c>
      <c r="L929" s="3">
        <v>0</v>
      </c>
      <c r="M929" s="3">
        <v>0</v>
      </c>
      <c r="N929" s="3">
        <v>2</v>
      </c>
      <c r="O929" s="3">
        <v>0.2</v>
      </c>
      <c r="P929" s="3">
        <v>0</v>
      </c>
      <c r="Q929" s="3">
        <v>0</v>
      </c>
      <c r="R929" s="3">
        <v>0</v>
      </c>
    </row>
    <row r="930" spans="1:18">
      <c r="A930" s="3" t="s">
        <v>1694</v>
      </c>
      <c r="B930" s="3" t="s">
        <v>1695</v>
      </c>
      <c r="C930" s="3" t="s">
        <v>1695</v>
      </c>
      <c r="D930" s="3" t="s">
        <v>1696</v>
      </c>
      <c r="E930" s="3" t="s">
        <v>867</v>
      </c>
      <c r="F930" s="3">
        <v>22.99</v>
      </c>
      <c r="G930" s="3" t="s">
        <v>3391</v>
      </c>
      <c r="H930" s="3"/>
      <c r="I930" s="3" t="s">
        <v>3392</v>
      </c>
      <c r="J930" s="3">
        <v>14</v>
      </c>
      <c r="K930" s="3">
        <v>14</v>
      </c>
      <c r="L930" s="3">
        <v>0</v>
      </c>
      <c r="M930" s="3">
        <v>0</v>
      </c>
      <c r="N930" s="3">
        <v>14</v>
      </c>
      <c r="O930" s="3">
        <v>0.14</v>
      </c>
      <c r="P930" s="3">
        <v>0</v>
      </c>
      <c r="Q930" s="3">
        <v>0</v>
      </c>
      <c r="R930" s="3">
        <v>0</v>
      </c>
    </row>
    <row r="931" spans="1:18">
      <c r="A931" s="3" t="s">
        <v>4718</v>
      </c>
      <c r="B931" s="3" t="s">
        <v>3332</v>
      </c>
      <c r="C931" s="3" t="s">
        <v>3332</v>
      </c>
      <c r="D931" s="3" t="s">
        <v>4370</v>
      </c>
      <c r="E931" s="3" t="s">
        <v>3293</v>
      </c>
      <c r="F931" s="3"/>
      <c r="G931" s="3"/>
      <c r="H931" s="3"/>
      <c r="I931" s="3"/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0.13</v>
      </c>
      <c r="P931" s="3">
        <v>0</v>
      </c>
      <c r="Q931" s="3">
        <v>0</v>
      </c>
      <c r="R931" s="3">
        <v>0</v>
      </c>
    </row>
    <row r="932" spans="1:18">
      <c r="A932" s="3" t="s">
        <v>4719</v>
      </c>
      <c r="B932" s="3" t="s">
        <v>3334</v>
      </c>
      <c r="C932" s="3" t="s">
        <v>3334</v>
      </c>
      <c r="D932" s="3" t="s">
        <v>4373</v>
      </c>
      <c r="E932" s="3" t="s">
        <v>3293</v>
      </c>
      <c r="F932" s="3"/>
      <c r="G932" s="3"/>
      <c r="H932" s="3"/>
      <c r="I932" s="3"/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0.13</v>
      </c>
      <c r="P932" s="3">
        <v>0</v>
      </c>
      <c r="Q932" s="3">
        <v>0</v>
      </c>
      <c r="R932" s="3">
        <v>0</v>
      </c>
    </row>
    <row r="933" spans="1:18">
      <c r="A933" s="3" t="s">
        <v>1697</v>
      </c>
      <c r="B933" s="3" t="s">
        <v>1698</v>
      </c>
      <c r="C933" s="3" t="s">
        <v>1698</v>
      </c>
      <c r="D933" s="3" t="s">
        <v>1699</v>
      </c>
      <c r="E933" s="3" t="s">
        <v>867</v>
      </c>
      <c r="F933" s="3">
        <v>22.99</v>
      </c>
      <c r="G933" s="3" t="s">
        <v>3391</v>
      </c>
      <c r="H933" s="3"/>
      <c r="I933" s="3" t="s">
        <v>3392</v>
      </c>
      <c r="J933" s="3">
        <v>3</v>
      </c>
      <c r="K933" s="3">
        <v>3</v>
      </c>
      <c r="L933" s="3">
        <v>0</v>
      </c>
      <c r="M933" s="3">
        <v>0</v>
      </c>
      <c r="N933" s="3">
        <v>3</v>
      </c>
      <c r="O933" s="3">
        <v>0.16</v>
      </c>
      <c r="P933" s="3">
        <v>0</v>
      </c>
      <c r="Q933" s="3">
        <v>0</v>
      </c>
      <c r="R933" s="3">
        <v>0</v>
      </c>
    </row>
    <row r="934" spans="1:18">
      <c r="A934" s="3" t="s">
        <v>1241</v>
      </c>
      <c r="B934" s="3" t="s">
        <v>1242</v>
      </c>
      <c r="C934" s="3" t="s">
        <v>1242</v>
      </c>
      <c r="D934" s="3" t="s">
        <v>1243</v>
      </c>
      <c r="E934" s="3" t="s">
        <v>867</v>
      </c>
      <c r="F934" s="3">
        <v>22.99</v>
      </c>
      <c r="G934" s="3" t="s">
        <v>3391</v>
      </c>
      <c r="H934" s="3"/>
      <c r="I934" s="3" t="s">
        <v>3392</v>
      </c>
      <c r="J934" s="3">
        <v>13</v>
      </c>
      <c r="K934" s="3">
        <v>13</v>
      </c>
      <c r="L934" s="3">
        <v>0</v>
      </c>
      <c r="M934" s="3">
        <v>0</v>
      </c>
      <c r="N934" s="3">
        <v>13</v>
      </c>
      <c r="O934" s="3">
        <v>0.2</v>
      </c>
      <c r="P934" s="3">
        <v>0</v>
      </c>
      <c r="Q934" s="3">
        <v>0</v>
      </c>
      <c r="R934" s="3">
        <v>0</v>
      </c>
    </row>
    <row r="935" spans="1:18">
      <c r="A935" s="3" t="s">
        <v>4720</v>
      </c>
      <c r="B935" s="3" t="s">
        <v>299</v>
      </c>
      <c r="C935" s="3" t="s">
        <v>299</v>
      </c>
      <c r="D935" s="3" t="s">
        <v>300</v>
      </c>
      <c r="E935" s="3" t="s">
        <v>3293</v>
      </c>
      <c r="F935" s="3"/>
      <c r="G935" s="3"/>
      <c r="H935" s="3"/>
      <c r="I935" s="3"/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>
        <v>0.09</v>
      </c>
      <c r="P935" s="3">
        <v>0</v>
      </c>
      <c r="Q935" s="3">
        <v>0</v>
      </c>
      <c r="R935" s="3">
        <v>0</v>
      </c>
    </row>
    <row r="936" spans="1:18">
      <c r="A936" s="3" t="s">
        <v>4721</v>
      </c>
      <c r="B936" s="3" t="s">
        <v>291</v>
      </c>
      <c r="C936" s="3" t="s">
        <v>291</v>
      </c>
      <c r="D936" s="3" t="s">
        <v>292</v>
      </c>
      <c r="E936" s="3" t="s">
        <v>3293</v>
      </c>
      <c r="F936" s="3"/>
      <c r="G936" s="3"/>
      <c r="H936" s="3"/>
      <c r="I936" s="3"/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0.12</v>
      </c>
      <c r="P936" s="3">
        <v>0</v>
      </c>
      <c r="Q936" s="3">
        <v>0</v>
      </c>
      <c r="R936" s="3">
        <v>0</v>
      </c>
    </row>
    <row r="937" spans="1:18">
      <c r="A937" s="3" t="s">
        <v>3076</v>
      </c>
      <c r="B937" s="3" t="s">
        <v>228</v>
      </c>
      <c r="C937" s="3" t="s">
        <v>228</v>
      </c>
      <c r="D937" s="3" t="s">
        <v>229</v>
      </c>
      <c r="E937" s="3" t="s">
        <v>867</v>
      </c>
      <c r="F937" s="3">
        <v>22.99</v>
      </c>
      <c r="G937" s="3" t="s">
        <v>3391</v>
      </c>
      <c r="H937" s="3"/>
      <c r="I937" s="3" t="s">
        <v>3392</v>
      </c>
      <c r="J937" s="3">
        <v>1</v>
      </c>
      <c r="K937" s="3">
        <v>1</v>
      </c>
      <c r="L937" s="3">
        <v>0</v>
      </c>
      <c r="M937" s="3">
        <v>0</v>
      </c>
      <c r="N937" s="3">
        <v>1</v>
      </c>
      <c r="O937" s="3">
        <v>0.2</v>
      </c>
      <c r="P937" s="3">
        <v>0</v>
      </c>
      <c r="Q937" s="3">
        <v>0</v>
      </c>
      <c r="R937" s="3">
        <v>0</v>
      </c>
    </row>
    <row r="938" spans="1:18">
      <c r="A938" s="3" t="s">
        <v>1339</v>
      </c>
      <c r="B938" s="3" t="s">
        <v>339</v>
      </c>
      <c r="C938" s="3" t="s">
        <v>339</v>
      </c>
      <c r="D938" s="3" t="s">
        <v>340</v>
      </c>
      <c r="E938" s="3" t="s">
        <v>867</v>
      </c>
      <c r="F938" s="3">
        <v>22.99</v>
      </c>
      <c r="G938" s="3" t="s">
        <v>3391</v>
      </c>
      <c r="H938" s="3"/>
      <c r="I938" s="3" t="s">
        <v>3392</v>
      </c>
      <c r="J938" s="3">
        <v>1</v>
      </c>
      <c r="K938" s="3">
        <v>1</v>
      </c>
      <c r="L938" s="3">
        <v>0</v>
      </c>
      <c r="M938" s="3">
        <v>0</v>
      </c>
      <c r="N938" s="3">
        <v>1</v>
      </c>
      <c r="O938" s="3">
        <v>0.2</v>
      </c>
      <c r="P938" s="3">
        <v>0</v>
      </c>
      <c r="Q938" s="3">
        <v>0</v>
      </c>
      <c r="R938" s="3">
        <v>0</v>
      </c>
    </row>
    <row r="939" spans="1:18">
      <c r="A939" s="3" t="s">
        <v>2098</v>
      </c>
      <c r="B939" s="3" t="s">
        <v>2099</v>
      </c>
      <c r="C939" s="3" t="s">
        <v>2099</v>
      </c>
      <c r="D939" s="3" t="s">
        <v>2100</v>
      </c>
      <c r="E939" s="3" t="s">
        <v>867</v>
      </c>
      <c r="F939" s="3">
        <v>39.98</v>
      </c>
      <c r="G939" s="3" t="s">
        <v>3391</v>
      </c>
      <c r="H939" s="3"/>
      <c r="I939" s="3" t="s">
        <v>3392</v>
      </c>
      <c r="J939" s="3">
        <v>3</v>
      </c>
      <c r="K939" s="3">
        <v>3</v>
      </c>
      <c r="L939" s="3">
        <v>0</v>
      </c>
      <c r="M939" s="3">
        <v>0</v>
      </c>
      <c r="N939" s="3">
        <v>3</v>
      </c>
      <c r="O939" s="3">
        <v>0.11</v>
      </c>
      <c r="P939" s="3">
        <v>0</v>
      </c>
      <c r="Q939" s="3">
        <v>0</v>
      </c>
      <c r="R939" s="3">
        <v>0</v>
      </c>
    </row>
    <row r="940" spans="1:18">
      <c r="A940" s="3" t="s">
        <v>4722</v>
      </c>
      <c r="B940" s="3" t="s">
        <v>4723</v>
      </c>
      <c r="C940" s="3" t="s">
        <v>4723</v>
      </c>
      <c r="D940" s="3"/>
      <c r="E940" s="3" t="s">
        <v>3293</v>
      </c>
      <c r="F940" s="3"/>
      <c r="G940" s="3"/>
      <c r="H940" s="3"/>
      <c r="I940" s="3"/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/>
      <c r="P940" s="3">
        <v>0</v>
      </c>
      <c r="Q940" s="3">
        <v>0</v>
      </c>
      <c r="R940" s="3">
        <v>0</v>
      </c>
    </row>
    <row r="941" spans="1:18">
      <c r="A941" s="3" t="s">
        <v>4724</v>
      </c>
      <c r="B941" s="3" t="s">
        <v>4725</v>
      </c>
      <c r="C941" s="3" t="s">
        <v>4725</v>
      </c>
      <c r="D941" s="3" t="s">
        <v>4726</v>
      </c>
      <c r="E941" s="3" t="s">
        <v>867</v>
      </c>
      <c r="F941" s="3">
        <v>39.98</v>
      </c>
      <c r="G941" s="3" t="s">
        <v>3391</v>
      </c>
      <c r="H941" s="3"/>
      <c r="I941" s="3" t="s">
        <v>3392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0.28</v>
      </c>
      <c r="P941" s="3">
        <v>0</v>
      </c>
      <c r="Q941" s="3">
        <v>0</v>
      </c>
      <c r="R941" s="3">
        <v>0</v>
      </c>
    </row>
    <row r="942" spans="1:18">
      <c r="A942" s="3" t="s">
        <v>1926</v>
      </c>
      <c r="B942" s="3" t="s">
        <v>1927</v>
      </c>
      <c r="C942" s="3" t="s">
        <v>1927</v>
      </c>
      <c r="D942" s="3" t="s">
        <v>1928</v>
      </c>
      <c r="E942" s="3" t="s">
        <v>867</v>
      </c>
      <c r="F942" s="3">
        <v>39.98</v>
      </c>
      <c r="G942" s="3" t="s">
        <v>3391</v>
      </c>
      <c r="H942" s="3"/>
      <c r="I942" s="3" t="s">
        <v>3392</v>
      </c>
      <c r="J942" s="3">
        <v>13</v>
      </c>
      <c r="K942" s="3">
        <v>13</v>
      </c>
      <c r="L942" s="3">
        <v>0</v>
      </c>
      <c r="M942" s="3">
        <v>0</v>
      </c>
      <c r="N942" s="3">
        <v>13</v>
      </c>
      <c r="O942" s="3">
        <v>0.12</v>
      </c>
      <c r="P942" s="3">
        <v>0</v>
      </c>
      <c r="Q942" s="3">
        <v>0</v>
      </c>
      <c r="R942" s="3">
        <v>0</v>
      </c>
    </row>
    <row r="943" spans="1:18">
      <c r="A943" s="3" t="s">
        <v>2622</v>
      </c>
      <c r="B943" s="3" t="s">
        <v>2623</v>
      </c>
      <c r="C943" s="3" t="s">
        <v>2623</v>
      </c>
      <c r="D943" s="3" t="s">
        <v>2624</v>
      </c>
      <c r="E943" s="3" t="s">
        <v>867</v>
      </c>
      <c r="F943" s="3">
        <v>39.98</v>
      </c>
      <c r="G943" s="3" t="s">
        <v>3391</v>
      </c>
      <c r="H943" s="3"/>
      <c r="I943" s="3" t="s">
        <v>3392</v>
      </c>
      <c r="J943" s="3">
        <v>1</v>
      </c>
      <c r="K943" s="3">
        <v>1</v>
      </c>
      <c r="L943" s="3">
        <v>0</v>
      </c>
      <c r="M943" s="3">
        <v>0</v>
      </c>
      <c r="N943" s="3">
        <v>1</v>
      </c>
      <c r="O943" s="3">
        <v>0.08</v>
      </c>
      <c r="P943" s="3">
        <v>0</v>
      </c>
      <c r="Q943" s="3">
        <v>0</v>
      </c>
      <c r="R943" s="3">
        <v>0</v>
      </c>
    </row>
    <row r="944" spans="1:18">
      <c r="A944" s="3" t="s">
        <v>3208</v>
      </c>
      <c r="B944" s="3" t="s">
        <v>3209</v>
      </c>
      <c r="C944" s="3" t="s">
        <v>3209</v>
      </c>
      <c r="D944" s="3" t="s">
        <v>3210</v>
      </c>
      <c r="E944" s="3" t="s">
        <v>867</v>
      </c>
      <c r="F944" s="3">
        <v>39.98</v>
      </c>
      <c r="G944" s="3" t="s">
        <v>3391</v>
      </c>
      <c r="H944" s="3"/>
      <c r="I944" s="3" t="s">
        <v>3392</v>
      </c>
      <c r="J944" s="3">
        <v>18</v>
      </c>
      <c r="K944" s="3">
        <v>18</v>
      </c>
      <c r="L944" s="3">
        <v>0</v>
      </c>
      <c r="M944" s="3">
        <v>0</v>
      </c>
      <c r="N944" s="3">
        <v>18</v>
      </c>
      <c r="O944" s="3">
        <v>0.1</v>
      </c>
      <c r="P944" s="3">
        <v>0</v>
      </c>
      <c r="Q944" s="3">
        <v>0</v>
      </c>
      <c r="R944" s="3">
        <v>0</v>
      </c>
    </row>
    <row r="945" spans="1:18">
      <c r="A945" s="3" t="s">
        <v>2177</v>
      </c>
      <c r="B945" s="3" t="s">
        <v>2178</v>
      </c>
      <c r="C945" s="3" t="s">
        <v>2178</v>
      </c>
      <c r="D945" s="3" t="s">
        <v>2179</v>
      </c>
      <c r="E945" s="3" t="s">
        <v>867</v>
      </c>
      <c r="F945" s="3">
        <v>39.98</v>
      </c>
      <c r="G945" s="3" t="s">
        <v>3391</v>
      </c>
      <c r="H945" s="3"/>
      <c r="I945" s="3" t="s">
        <v>3392</v>
      </c>
      <c r="J945" s="3">
        <v>4</v>
      </c>
      <c r="K945" s="3">
        <v>4</v>
      </c>
      <c r="L945" s="3">
        <v>0</v>
      </c>
      <c r="M945" s="3">
        <v>0</v>
      </c>
      <c r="N945" s="3">
        <v>4</v>
      </c>
      <c r="O945" s="3">
        <v>0.28</v>
      </c>
      <c r="P945" s="3">
        <v>0</v>
      </c>
      <c r="Q945" s="3">
        <v>0</v>
      </c>
      <c r="R945" s="3">
        <v>0</v>
      </c>
    </row>
    <row r="946" spans="1:18">
      <c r="A946" s="3" t="s">
        <v>4727</v>
      </c>
      <c r="B946" s="3" t="s">
        <v>4728</v>
      </c>
      <c r="C946" s="3" t="s">
        <v>4728</v>
      </c>
      <c r="D946" s="3" t="s">
        <v>4729</v>
      </c>
      <c r="E946" s="3" t="s">
        <v>867</v>
      </c>
      <c r="F946" s="3">
        <v>39.98</v>
      </c>
      <c r="G946" s="3" t="s">
        <v>3391</v>
      </c>
      <c r="H946" s="3"/>
      <c r="I946" s="3" t="s">
        <v>3392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0.28</v>
      </c>
      <c r="P946" s="3">
        <v>0</v>
      </c>
      <c r="Q946" s="3">
        <v>0</v>
      </c>
      <c r="R946" s="3">
        <v>0</v>
      </c>
    </row>
    <row r="947" spans="1:18">
      <c r="A947" s="3" t="s">
        <v>895</v>
      </c>
      <c r="B947" s="3" t="s">
        <v>896</v>
      </c>
      <c r="C947" s="3" t="s">
        <v>896</v>
      </c>
      <c r="D947" s="3"/>
      <c r="E947" s="3" t="s">
        <v>3293</v>
      </c>
      <c r="F947" s="3"/>
      <c r="G947" s="3"/>
      <c r="H947" s="3"/>
      <c r="I947" s="3"/>
      <c r="J947" s="3">
        <v>1</v>
      </c>
      <c r="K947" s="3">
        <v>1</v>
      </c>
      <c r="L947" s="3">
        <v>0</v>
      </c>
      <c r="M947" s="3">
        <v>0</v>
      </c>
      <c r="N947" s="3">
        <v>1</v>
      </c>
      <c r="O947" s="3"/>
      <c r="P947" s="3">
        <v>0</v>
      </c>
      <c r="Q947" s="3">
        <v>0</v>
      </c>
      <c r="R947" s="3">
        <v>0</v>
      </c>
    </row>
    <row r="948" spans="1:18">
      <c r="A948" s="3" t="s">
        <v>2580</v>
      </c>
      <c r="B948" s="3" t="s">
        <v>2581</v>
      </c>
      <c r="C948" s="3" t="s">
        <v>2581</v>
      </c>
      <c r="D948" s="3" t="s">
        <v>2582</v>
      </c>
      <c r="E948" s="3" t="s">
        <v>867</v>
      </c>
      <c r="F948" s="3">
        <v>22.98</v>
      </c>
      <c r="G948" s="3" t="s">
        <v>3391</v>
      </c>
      <c r="H948" s="3"/>
      <c r="I948" s="3" t="s">
        <v>3392</v>
      </c>
      <c r="J948" s="3">
        <v>1</v>
      </c>
      <c r="K948" s="3">
        <v>1</v>
      </c>
      <c r="L948" s="3">
        <v>0</v>
      </c>
      <c r="M948" s="3">
        <v>0</v>
      </c>
      <c r="N948" s="3">
        <v>1</v>
      </c>
      <c r="O948" s="3">
        <v>0</v>
      </c>
      <c r="P948" s="3">
        <v>0</v>
      </c>
      <c r="Q948" s="3">
        <v>0</v>
      </c>
      <c r="R948" s="3">
        <v>0</v>
      </c>
    </row>
    <row r="949" spans="1:18">
      <c r="A949" s="3" t="s">
        <v>4730</v>
      </c>
      <c r="B949" s="3" t="s">
        <v>4731</v>
      </c>
      <c r="C949" s="3" t="s">
        <v>4731</v>
      </c>
      <c r="D949" s="3" t="s">
        <v>4732</v>
      </c>
      <c r="E949" s="3" t="s">
        <v>867</v>
      </c>
      <c r="F949" s="3">
        <v>39.98</v>
      </c>
      <c r="G949" s="3" t="s">
        <v>3391</v>
      </c>
      <c r="H949" s="3"/>
      <c r="I949" s="3" t="s">
        <v>3392</v>
      </c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>
        <v>0.28</v>
      </c>
      <c r="P949" s="3">
        <v>0</v>
      </c>
      <c r="Q949" s="3">
        <v>0</v>
      </c>
      <c r="R949" s="3">
        <v>0</v>
      </c>
    </row>
    <row r="950" spans="1:18">
      <c r="A950" s="3" t="s">
        <v>4733</v>
      </c>
      <c r="B950" s="3" t="s">
        <v>4734</v>
      </c>
      <c r="C950" s="3" t="s">
        <v>4734</v>
      </c>
      <c r="D950" s="3" t="s">
        <v>4735</v>
      </c>
      <c r="E950" s="3" t="s">
        <v>867</v>
      </c>
      <c r="F950" s="3">
        <v>39.98</v>
      </c>
      <c r="G950" s="3" t="s">
        <v>3391</v>
      </c>
      <c r="H950" s="3"/>
      <c r="I950" s="3" t="s">
        <v>3392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0.09</v>
      </c>
      <c r="P950" s="3">
        <v>0</v>
      </c>
      <c r="Q950" s="3">
        <v>0</v>
      </c>
      <c r="R950" s="3">
        <v>0</v>
      </c>
    </row>
    <row r="951" spans="1:18">
      <c r="A951" s="3" t="s">
        <v>1590</v>
      </c>
      <c r="B951" s="3" t="s">
        <v>1591</v>
      </c>
      <c r="C951" s="3" t="s">
        <v>1591</v>
      </c>
      <c r="D951" s="3" t="s">
        <v>1592</v>
      </c>
      <c r="E951" s="3" t="s">
        <v>867</v>
      </c>
      <c r="F951" s="3">
        <v>39.98</v>
      </c>
      <c r="G951" s="3" t="s">
        <v>3391</v>
      </c>
      <c r="H951" s="3"/>
      <c r="I951" s="3" t="s">
        <v>3392</v>
      </c>
      <c r="J951" s="3">
        <v>16</v>
      </c>
      <c r="K951" s="3">
        <v>16</v>
      </c>
      <c r="L951" s="3">
        <v>0</v>
      </c>
      <c r="M951" s="3">
        <v>0</v>
      </c>
      <c r="N951" s="3">
        <v>16</v>
      </c>
      <c r="O951" s="3">
        <v>0.11</v>
      </c>
      <c r="P951" s="3">
        <v>0</v>
      </c>
      <c r="Q951" s="3">
        <v>0</v>
      </c>
      <c r="R951" s="3">
        <v>0</v>
      </c>
    </row>
    <row r="952" spans="1:18">
      <c r="A952" s="3" t="s">
        <v>2070</v>
      </c>
      <c r="B952" s="3" t="s">
        <v>2071</v>
      </c>
      <c r="C952" s="3" t="s">
        <v>2071</v>
      </c>
      <c r="D952" s="3" t="s">
        <v>2072</v>
      </c>
      <c r="E952" s="3" t="s">
        <v>867</v>
      </c>
      <c r="F952" s="3">
        <v>39.98</v>
      </c>
      <c r="G952" s="3" t="s">
        <v>3391</v>
      </c>
      <c r="H952" s="3"/>
      <c r="I952" s="3" t="s">
        <v>3392</v>
      </c>
      <c r="J952" s="3">
        <v>25</v>
      </c>
      <c r="K952" s="3">
        <v>25</v>
      </c>
      <c r="L952" s="3">
        <v>0</v>
      </c>
      <c r="M952" s="3">
        <v>0</v>
      </c>
      <c r="N952" s="3">
        <v>25</v>
      </c>
      <c r="O952" s="3">
        <v>0.03</v>
      </c>
      <c r="P952" s="3">
        <v>0</v>
      </c>
      <c r="Q952" s="3">
        <v>0</v>
      </c>
      <c r="R952" s="3">
        <v>0</v>
      </c>
    </row>
    <row r="953" spans="1:18">
      <c r="A953" s="3" t="s">
        <v>4736</v>
      </c>
      <c r="B953" s="3" t="s">
        <v>4737</v>
      </c>
      <c r="C953" s="3" t="s">
        <v>4737</v>
      </c>
      <c r="D953" s="3" t="s">
        <v>4738</v>
      </c>
      <c r="E953" s="3" t="s">
        <v>867</v>
      </c>
      <c r="F953" s="3">
        <v>14.98</v>
      </c>
      <c r="G953" s="3" t="s">
        <v>3391</v>
      </c>
      <c r="H953" s="3"/>
      <c r="I953" s="3" t="s">
        <v>3392</v>
      </c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>
        <v>0.09</v>
      </c>
      <c r="P953" s="3">
        <v>0</v>
      </c>
      <c r="Q953" s="3">
        <v>0</v>
      </c>
      <c r="R953" s="3">
        <v>0</v>
      </c>
    </row>
    <row r="954" spans="1:18">
      <c r="A954" s="3" t="s">
        <v>1308</v>
      </c>
      <c r="B954" s="3" t="s">
        <v>1309</v>
      </c>
      <c r="C954" s="3" t="s">
        <v>1309</v>
      </c>
      <c r="D954" s="3" t="s">
        <v>1310</v>
      </c>
      <c r="E954" s="3" t="s">
        <v>867</v>
      </c>
      <c r="F954" s="3">
        <v>39.98</v>
      </c>
      <c r="G954" s="3" t="s">
        <v>3391</v>
      </c>
      <c r="H954" s="3"/>
      <c r="I954" s="3" t="s">
        <v>3392</v>
      </c>
      <c r="J954" s="3">
        <v>1</v>
      </c>
      <c r="K954" s="3">
        <v>1</v>
      </c>
      <c r="L954" s="3">
        <v>0</v>
      </c>
      <c r="M954" s="3">
        <v>0</v>
      </c>
      <c r="N954" s="3">
        <v>1</v>
      </c>
      <c r="O954" s="3">
        <v>0.28</v>
      </c>
      <c r="P954" s="3">
        <v>0</v>
      </c>
      <c r="Q954" s="3">
        <v>0</v>
      </c>
      <c r="R954" s="3">
        <v>0</v>
      </c>
    </row>
    <row r="955" spans="1:18">
      <c r="A955" s="3" t="s">
        <v>4739</v>
      </c>
      <c r="B955" s="3" t="s">
        <v>4740</v>
      </c>
      <c r="C955" s="3" t="s">
        <v>4740</v>
      </c>
      <c r="D955" s="3" t="s">
        <v>4741</v>
      </c>
      <c r="E955" s="3" t="s">
        <v>867</v>
      </c>
      <c r="F955" s="3">
        <v>39.98</v>
      </c>
      <c r="G955" s="3" t="s">
        <v>3391</v>
      </c>
      <c r="H955" s="3"/>
      <c r="I955" s="3" t="s">
        <v>3392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0.28</v>
      </c>
      <c r="P955" s="3">
        <v>0</v>
      </c>
      <c r="Q955" s="3">
        <v>0</v>
      </c>
      <c r="R955" s="3">
        <v>0</v>
      </c>
    </row>
    <row r="956" spans="1:18">
      <c r="A956" s="3" t="s">
        <v>4742</v>
      </c>
      <c r="B956" s="3" t="s">
        <v>4743</v>
      </c>
      <c r="C956" s="3" t="s">
        <v>4743</v>
      </c>
      <c r="D956" s="3"/>
      <c r="E956" s="3" t="s">
        <v>3293</v>
      </c>
      <c r="F956" s="3"/>
      <c r="G956" s="3"/>
      <c r="H956" s="3"/>
      <c r="I956" s="3"/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/>
      <c r="P956" s="3">
        <v>0</v>
      </c>
      <c r="Q956" s="3">
        <v>0</v>
      </c>
      <c r="R956" s="3">
        <v>0</v>
      </c>
    </row>
    <row r="957" spans="1:18">
      <c r="A957" s="3" t="s">
        <v>4744</v>
      </c>
      <c r="B957" s="3" t="s">
        <v>4745</v>
      </c>
      <c r="C957" s="3" t="s">
        <v>4745</v>
      </c>
      <c r="D957" s="3" t="s">
        <v>4746</v>
      </c>
      <c r="E957" s="3" t="s">
        <v>867</v>
      </c>
      <c r="F957" s="3">
        <v>39.98</v>
      </c>
      <c r="G957" s="3" t="s">
        <v>3391</v>
      </c>
      <c r="H957" s="3"/>
      <c r="I957" s="3" t="s">
        <v>3392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0.24</v>
      </c>
      <c r="P957" s="3">
        <v>0</v>
      </c>
      <c r="Q957" s="3">
        <v>0</v>
      </c>
      <c r="R957" s="3">
        <v>0</v>
      </c>
    </row>
    <row r="958" spans="1:18">
      <c r="A958" s="3" t="s">
        <v>4747</v>
      </c>
      <c r="B958" s="3" t="s">
        <v>4748</v>
      </c>
      <c r="C958" s="3" t="s">
        <v>4748</v>
      </c>
      <c r="D958" s="3" t="s">
        <v>4749</v>
      </c>
      <c r="E958" s="3" t="s">
        <v>867</v>
      </c>
      <c r="F958" s="3">
        <v>17.98</v>
      </c>
      <c r="G958" s="3" t="s">
        <v>3391</v>
      </c>
      <c r="H958" s="3"/>
      <c r="I958" s="3" t="s">
        <v>3392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0.28</v>
      </c>
      <c r="P958" s="3">
        <v>0</v>
      </c>
      <c r="Q958" s="3">
        <v>0</v>
      </c>
      <c r="R958" s="3">
        <v>0</v>
      </c>
    </row>
    <row r="959" spans="1:18">
      <c r="A959" s="3" t="s">
        <v>4750</v>
      </c>
      <c r="B959" s="3" t="s">
        <v>4751</v>
      </c>
      <c r="C959" s="3" t="s">
        <v>4751</v>
      </c>
      <c r="D959" s="3" t="s">
        <v>4752</v>
      </c>
      <c r="E959" s="3" t="s">
        <v>867</v>
      </c>
      <c r="F959" s="3">
        <v>39.98</v>
      </c>
      <c r="G959" s="3" t="s">
        <v>3391</v>
      </c>
      <c r="H959" s="3"/>
      <c r="I959" s="3" t="s">
        <v>3392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0.08</v>
      </c>
      <c r="P959" s="3">
        <v>0</v>
      </c>
      <c r="Q959" s="3">
        <v>0</v>
      </c>
      <c r="R959" s="3">
        <v>0</v>
      </c>
    </row>
    <row r="960" spans="1:18">
      <c r="A960" s="3" t="s">
        <v>4753</v>
      </c>
      <c r="B960" s="3" t="s">
        <v>4754</v>
      </c>
      <c r="C960" s="3" t="s">
        <v>4754</v>
      </c>
      <c r="D960" s="3" t="s">
        <v>4755</v>
      </c>
      <c r="E960" s="3" t="s">
        <v>867</v>
      </c>
      <c r="F960" s="3">
        <v>39.98</v>
      </c>
      <c r="G960" s="3" t="s">
        <v>3391</v>
      </c>
      <c r="H960" s="3"/>
      <c r="I960" s="3" t="s">
        <v>3392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0.28</v>
      </c>
      <c r="P960" s="3">
        <v>0</v>
      </c>
      <c r="Q960" s="3">
        <v>0</v>
      </c>
      <c r="R960" s="3">
        <v>0</v>
      </c>
    </row>
    <row r="961" spans="1:18">
      <c r="A961" s="3" t="s">
        <v>2004</v>
      </c>
      <c r="B961" s="3" t="s">
        <v>2005</v>
      </c>
      <c r="C961" s="3" t="s">
        <v>2005</v>
      </c>
      <c r="D961" s="3" t="s">
        <v>2006</v>
      </c>
      <c r="E961" s="3" t="s">
        <v>867</v>
      </c>
      <c r="F961" s="3">
        <v>39.98</v>
      </c>
      <c r="G961" s="3" t="s">
        <v>3391</v>
      </c>
      <c r="H961" s="3"/>
      <c r="I961" s="3" t="s">
        <v>3392</v>
      </c>
      <c r="J961" s="3">
        <v>1</v>
      </c>
      <c r="K961" s="3">
        <v>1</v>
      </c>
      <c r="L961" s="3">
        <v>0</v>
      </c>
      <c r="M961" s="3">
        <v>0</v>
      </c>
      <c r="N961" s="3">
        <v>1</v>
      </c>
      <c r="O961" s="3">
        <v>0.13</v>
      </c>
      <c r="P961" s="3">
        <v>0</v>
      </c>
      <c r="Q961" s="3">
        <v>0</v>
      </c>
      <c r="R961" s="3">
        <v>0</v>
      </c>
    </row>
    <row r="962" spans="1:18">
      <c r="A962" s="3" t="s">
        <v>4756</v>
      </c>
      <c r="B962" s="3" t="s">
        <v>4757</v>
      </c>
      <c r="C962" s="3" t="s">
        <v>4757</v>
      </c>
      <c r="D962" s="3" t="s">
        <v>4758</v>
      </c>
      <c r="E962" s="3" t="s">
        <v>867</v>
      </c>
      <c r="F962" s="3">
        <v>39.98</v>
      </c>
      <c r="G962" s="3" t="s">
        <v>3391</v>
      </c>
      <c r="H962" s="3"/>
      <c r="I962" s="3" t="s">
        <v>3392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0.12</v>
      </c>
      <c r="P962" s="3">
        <v>0</v>
      </c>
      <c r="Q962" s="3">
        <v>0</v>
      </c>
      <c r="R962" s="3">
        <v>0</v>
      </c>
    </row>
    <row r="963" spans="1:18">
      <c r="A963" s="3" t="s">
        <v>4759</v>
      </c>
      <c r="B963" s="3" t="s">
        <v>4760</v>
      </c>
      <c r="C963" s="3" t="s">
        <v>4760</v>
      </c>
      <c r="D963" s="3"/>
      <c r="E963" s="3" t="s">
        <v>3293</v>
      </c>
      <c r="F963" s="3"/>
      <c r="G963" s="3"/>
      <c r="H963" s="3"/>
      <c r="I963" s="3"/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/>
      <c r="P963" s="3">
        <v>0</v>
      </c>
      <c r="Q963" s="3">
        <v>0</v>
      </c>
      <c r="R963" s="3">
        <v>0</v>
      </c>
    </row>
    <row r="964" spans="1:18">
      <c r="A964" s="3" t="s">
        <v>2225</v>
      </c>
      <c r="B964" s="3" t="s">
        <v>2226</v>
      </c>
      <c r="C964" s="3" t="s">
        <v>2226</v>
      </c>
      <c r="D964" s="3" t="s">
        <v>2227</v>
      </c>
      <c r="E964" s="3" t="s">
        <v>867</v>
      </c>
      <c r="F964" s="3">
        <v>39.98</v>
      </c>
      <c r="G964" s="3" t="s">
        <v>3391</v>
      </c>
      <c r="H964" s="3"/>
      <c r="I964" s="3" t="s">
        <v>3392</v>
      </c>
      <c r="J964" s="3">
        <v>1</v>
      </c>
      <c r="K964" s="3">
        <v>1</v>
      </c>
      <c r="L964" s="3">
        <v>0</v>
      </c>
      <c r="M964" s="3">
        <v>0</v>
      </c>
      <c r="N964" s="3">
        <v>1</v>
      </c>
      <c r="O964" s="3">
        <v>0.28</v>
      </c>
      <c r="P964" s="3">
        <v>0</v>
      </c>
      <c r="Q964" s="3">
        <v>0</v>
      </c>
      <c r="R964" s="3">
        <v>0</v>
      </c>
    </row>
    <row r="965" spans="1:18">
      <c r="A965" s="3" t="s">
        <v>4761</v>
      </c>
      <c r="B965" s="3" t="s">
        <v>4762</v>
      </c>
      <c r="C965" s="3" t="s">
        <v>4762</v>
      </c>
      <c r="D965" s="3"/>
      <c r="E965" s="3" t="s">
        <v>3293</v>
      </c>
      <c r="F965" s="3"/>
      <c r="G965" s="3"/>
      <c r="H965" s="3"/>
      <c r="I965" s="3"/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/>
      <c r="P965" s="3">
        <v>0</v>
      </c>
      <c r="Q965" s="3">
        <v>0</v>
      </c>
      <c r="R965" s="3">
        <v>0</v>
      </c>
    </row>
    <row r="966" spans="1:18">
      <c r="A966" s="3" t="s">
        <v>4763</v>
      </c>
      <c r="B966" s="3" t="s">
        <v>4764</v>
      </c>
      <c r="C966" s="3" t="s">
        <v>4764</v>
      </c>
      <c r="D966" s="3"/>
      <c r="E966" s="3" t="s">
        <v>3293</v>
      </c>
      <c r="F966" s="3"/>
      <c r="G966" s="3"/>
      <c r="H966" s="3"/>
      <c r="I966" s="3"/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/>
      <c r="P966" s="3">
        <v>0</v>
      </c>
      <c r="Q966" s="3">
        <v>0</v>
      </c>
      <c r="R966" s="3">
        <v>0</v>
      </c>
    </row>
    <row r="967" spans="1:18">
      <c r="A967" s="3" t="s">
        <v>4765</v>
      </c>
      <c r="B967" s="3" t="s">
        <v>4766</v>
      </c>
      <c r="C967" s="3" t="s">
        <v>4766</v>
      </c>
      <c r="D967" s="3" t="s">
        <v>4767</v>
      </c>
      <c r="E967" s="3" t="s">
        <v>867</v>
      </c>
      <c r="F967" s="3">
        <v>22.98</v>
      </c>
      <c r="G967" s="3" t="s">
        <v>3391</v>
      </c>
      <c r="H967" s="3"/>
      <c r="I967" s="3" t="s">
        <v>3392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0.28</v>
      </c>
      <c r="P967" s="3">
        <v>0</v>
      </c>
      <c r="Q967" s="3">
        <v>0</v>
      </c>
      <c r="R967" s="3">
        <v>0</v>
      </c>
    </row>
    <row r="968" spans="1:18">
      <c r="A968" s="3" t="s">
        <v>4768</v>
      </c>
      <c r="B968" s="3" t="s">
        <v>4769</v>
      </c>
      <c r="C968" s="3" t="s">
        <v>4769</v>
      </c>
      <c r="D968" s="3"/>
      <c r="E968" s="3" t="s">
        <v>3293</v>
      </c>
      <c r="F968" s="3"/>
      <c r="G968" s="3"/>
      <c r="H968" s="3"/>
      <c r="I968" s="3"/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/>
      <c r="P968" s="3">
        <v>0</v>
      </c>
      <c r="Q968" s="3">
        <v>0</v>
      </c>
      <c r="R968" s="3">
        <v>0</v>
      </c>
    </row>
    <row r="969" spans="1:18">
      <c r="A969" s="3" t="s">
        <v>4770</v>
      </c>
      <c r="B969" s="3" t="s">
        <v>4771</v>
      </c>
      <c r="C969" s="3" t="s">
        <v>4771</v>
      </c>
      <c r="D969" s="3"/>
      <c r="E969" s="3" t="s">
        <v>3293</v>
      </c>
      <c r="F969" s="3"/>
      <c r="G969" s="3"/>
      <c r="H969" s="3"/>
      <c r="I969" s="3"/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/>
      <c r="P969" s="3">
        <v>0</v>
      </c>
      <c r="Q969" s="3">
        <v>0</v>
      </c>
      <c r="R969" s="3">
        <v>0</v>
      </c>
    </row>
    <row r="970" spans="1:18">
      <c r="A970" s="3" t="s">
        <v>4772</v>
      </c>
      <c r="B970" s="3" t="s">
        <v>4773</v>
      </c>
      <c r="C970" s="3" t="s">
        <v>4773</v>
      </c>
      <c r="D970" s="3" t="s">
        <v>4774</v>
      </c>
      <c r="E970" s="3" t="s">
        <v>867</v>
      </c>
      <c r="F970" s="3">
        <v>39.98</v>
      </c>
      <c r="G970" s="3" t="s">
        <v>3391</v>
      </c>
      <c r="H970" s="3"/>
      <c r="I970" s="3" t="s">
        <v>3392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0.08</v>
      </c>
      <c r="P970" s="3">
        <v>0</v>
      </c>
      <c r="Q970" s="3">
        <v>0</v>
      </c>
      <c r="R970" s="3">
        <v>0</v>
      </c>
    </row>
    <row r="971" spans="1:18">
      <c r="A971" s="3" t="s">
        <v>1336</v>
      </c>
      <c r="B971" s="3" t="s">
        <v>1337</v>
      </c>
      <c r="C971" s="3" t="s">
        <v>1337</v>
      </c>
      <c r="D971" s="3" t="s">
        <v>1338</v>
      </c>
      <c r="E971" s="3" t="s">
        <v>867</v>
      </c>
      <c r="F971" s="3">
        <v>39.98</v>
      </c>
      <c r="G971" s="3" t="s">
        <v>3391</v>
      </c>
      <c r="H971" s="3"/>
      <c r="I971" s="3" t="s">
        <v>3392</v>
      </c>
      <c r="J971" s="3">
        <v>2</v>
      </c>
      <c r="K971" s="3">
        <v>2</v>
      </c>
      <c r="L971" s="3">
        <v>0</v>
      </c>
      <c r="M971" s="3">
        <v>0</v>
      </c>
      <c r="N971" s="3">
        <v>2</v>
      </c>
      <c r="O971" s="3">
        <v>0.1</v>
      </c>
      <c r="P971" s="3">
        <v>0</v>
      </c>
      <c r="Q971" s="3">
        <v>0</v>
      </c>
      <c r="R971" s="3">
        <v>0</v>
      </c>
    </row>
    <row r="972" spans="1:18">
      <c r="A972" s="3" t="s">
        <v>3173</v>
      </c>
      <c r="B972" s="3" t="s">
        <v>3174</v>
      </c>
      <c r="C972" s="3" t="s">
        <v>3174</v>
      </c>
      <c r="D972" s="3" t="s">
        <v>3175</v>
      </c>
      <c r="E972" s="3" t="s">
        <v>867</v>
      </c>
      <c r="F972" s="3">
        <v>39.98</v>
      </c>
      <c r="G972" s="3" t="s">
        <v>3391</v>
      </c>
      <c r="H972" s="3"/>
      <c r="I972" s="3" t="s">
        <v>3392</v>
      </c>
      <c r="J972" s="3">
        <v>5</v>
      </c>
      <c r="K972" s="3">
        <v>5</v>
      </c>
      <c r="L972" s="3">
        <v>0</v>
      </c>
      <c r="M972" s="3">
        <v>0</v>
      </c>
      <c r="N972" s="3">
        <v>5</v>
      </c>
      <c r="O972" s="3">
        <v>0.15</v>
      </c>
      <c r="P972" s="3">
        <v>0</v>
      </c>
      <c r="Q972" s="3">
        <v>0</v>
      </c>
      <c r="R972" s="3">
        <v>0</v>
      </c>
    </row>
    <row r="973" spans="1:18">
      <c r="A973" s="3" t="s">
        <v>2881</v>
      </c>
      <c r="B973" s="3" t="s">
        <v>2882</v>
      </c>
      <c r="C973" s="3" t="s">
        <v>2882</v>
      </c>
      <c r="D973" s="3" t="s">
        <v>2883</v>
      </c>
      <c r="E973" s="3" t="s">
        <v>867</v>
      </c>
      <c r="F973" s="3">
        <v>39.98</v>
      </c>
      <c r="G973" s="3" t="s">
        <v>3391</v>
      </c>
      <c r="H973" s="3"/>
      <c r="I973" s="3" t="s">
        <v>3392</v>
      </c>
      <c r="J973" s="3">
        <v>4</v>
      </c>
      <c r="K973" s="3">
        <v>4</v>
      </c>
      <c r="L973" s="3">
        <v>0</v>
      </c>
      <c r="M973" s="3">
        <v>0</v>
      </c>
      <c r="N973" s="3">
        <v>4</v>
      </c>
      <c r="O973" s="3">
        <v>0.1</v>
      </c>
      <c r="P973" s="3">
        <v>0</v>
      </c>
      <c r="Q973" s="3">
        <v>0</v>
      </c>
      <c r="R973" s="3">
        <v>0</v>
      </c>
    </row>
    <row r="974" spans="1:18">
      <c r="A974" s="3" t="s">
        <v>910</v>
      </c>
      <c r="B974" s="3" t="s">
        <v>911</v>
      </c>
      <c r="C974" s="3" t="s">
        <v>911</v>
      </c>
      <c r="D974" s="3" t="s">
        <v>912</v>
      </c>
      <c r="E974" s="3" t="s">
        <v>867</v>
      </c>
      <c r="F974" s="3">
        <v>39.98</v>
      </c>
      <c r="G974" s="3" t="s">
        <v>3391</v>
      </c>
      <c r="H974" s="3"/>
      <c r="I974" s="3" t="s">
        <v>3392</v>
      </c>
      <c r="J974" s="3">
        <v>2</v>
      </c>
      <c r="K974" s="3">
        <v>2</v>
      </c>
      <c r="L974" s="3">
        <v>0</v>
      </c>
      <c r="M974" s="3">
        <v>0</v>
      </c>
      <c r="N974" s="3">
        <v>2</v>
      </c>
      <c r="O974" s="3">
        <v>0.12</v>
      </c>
      <c r="P974" s="3">
        <v>0</v>
      </c>
      <c r="Q974" s="3">
        <v>0</v>
      </c>
      <c r="R974" s="3">
        <v>0</v>
      </c>
    </row>
    <row r="975" spans="1:18">
      <c r="A975" s="3" t="s">
        <v>4775</v>
      </c>
      <c r="B975" s="3" t="s">
        <v>4776</v>
      </c>
      <c r="C975" s="3" t="s">
        <v>4776</v>
      </c>
      <c r="D975" s="3" t="s">
        <v>4777</v>
      </c>
      <c r="E975" s="3" t="s">
        <v>867</v>
      </c>
      <c r="F975" s="3">
        <v>22</v>
      </c>
      <c r="G975" s="3" t="s">
        <v>3391</v>
      </c>
      <c r="H975" s="3"/>
      <c r="I975" s="3" t="s">
        <v>3392</v>
      </c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>
        <v>0.11</v>
      </c>
      <c r="P975" s="3">
        <v>0</v>
      </c>
      <c r="Q975" s="3">
        <v>0</v>
      </c>
      <c r="R975" s="3">
        <v>0</v>
      </c>
    </row>
    <row r="976" spans="1:18">
      <c r="A976" s="3" t="s">
        <v>4778</v>
      </c>
      <c r="B976" s="3" t="s">
        <v>4779</v>
      </c>
      <c r="C976" s="3" t="s">
        <v>4779</v>
      </c>
      <c r="D976" s="3"/>
      <c r="E976" s="3" t="s">
        <v>3293</v>
      </c>
      <c r="F976" s="3"/>
      <c r="G976" s="3"/>
      <c r="H976" s="3"/>
      <c r="I976" s="3"/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/>
      <c r="P976" s="3">
        <v>0</v>
      </c>
      <c r="Q976" s="3">
        <v>0</v>
      </c>
      <c r="R976" s="3">
        <v>0</v>
      </c>
    </row>
    <row r="977" spans="1:18">
      <c r="A977" s="3" t="s">
        <v>4780</v>
      </c>
      <c r="B977" s="3" t="s">
        <v>4781</v>
      </c>
      <c r="C977" s="3" t="s">
        <v>4781</v>
      </c>
      <c r="D977" s="3"/>
      <c r="E977" s="3" t="s">
        <v>3293</v>
      </c>
      <c r="F977" s="3"/>
      <c r="G977" s="3"/>
      <c r="H977" s="3"/>
      <c r="I977" s="3"/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/>
      <c r="P977" s="3">
        <v>0</v>
      </c>
      <c r="Q977" s="3">
        <v>0</v>
      </c>
      <c r="R977" s="3">
        <v>0</v>
      </c>
    </row>
    <row r="978" spans="1:18">
      <c r="A978" s="3" t="s">
        <v>4782</v>
      </c>
      <c r="B978" s="3" t="s">
        <v>4783</v>
      </c>
      <c r="C978" s="3" t="s">
        <v>4783</v>
      </c>
      <c r="D978" s="3"/>
      <c r="E978" s="3" t="s">
        <v>3293</v>
      </c>
      <c r="F978" s="3"/>
      <c r="G978" s="3"/>
      <c r="H978" s="3"/>
      <c r="I978" s="3"/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/>
      <c r="P978" s="3">
        <v>0</v>
      </c>
      <c r="Q978" s="3">
        <v>0</v>
      </c>
      <c r="R978" s="3">
        <v>0</v>
      </c>
    </row>
    <row r="979" spans="1:18">
      <c r="A979" s="3" t="s">
        <v>4784</v>
      </c>
      <c r="B979" s="3" t="s">
        <v>4785</v>
      </c>
      <c r="C979" s="3" t="s">
        <v>4785</v>
      </c>
      <c r="D979" s="3"/>
      <c r="E979" s="3" t="s">
        <v>3293</v>
      </c>
      <c r="F979" s="3"/>
      <c r="G979" s="3"/>
      <c r="H979" s="3"/>
      <c r="I979" s="3"/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/>
      <c r="P979" s="3">
        <v>0</v>
      </c>
      <c r="Q979" s="3">
        <v>0</v>
      </c>
      <c r="R979" s="3">
        <v>0</v>
      </c>
    </row>
    <row r="980" spans="1:18">
      <c r="A980" s="3" t="s">
        <v>1301</v>
      </c>
      <c r="B980" s="3" t="s">
        <v>1302</v>
      </c>
      <c r="C980" s="3" t="s">
        <v>1302</v>
      </c>
      <c r="D980" s="3" t="s">
        <v>1303</v>
      </c>
      <c r="E980" s="3" t="s">
        <v>867</v>
      </c>
      <c r="F980" s="3">
        <v>39.98</v>
      </c>
      <c r="G980" s="3" t="s">
        <v>3391</v>
      </c>
      <c r="H980" s="3"/>
      <c r="I980" s="3" t="s">
        <v>3392</v>
      </c>
      <c r="J980" s="3">
        <v>2</v>
      </c>
      <c r="K980" s="3">
        <v>2</v>
      </c>
      <c r="L980" s="3">
        <v>0</v>
      </c>
      <c r="M980" s="3">
        <v>0</v>
      </c>
      <c r="N980" s="3">
        <v>2</v>
      </c>
      <c r="O980" s="3">
        <v>0.05</v>
      </c>
      <c r="P980" s="3">
        <v>0</v>
      </c>
      <c r="Q980" s="3">
        <v>0</v>
      </c>
      <c r="R980" s="3">
        <v>0</v>
      </c>
    </row>
    <row r="981" spans="1:18">
      <c r="A981" s="3" t="s">
        <v>4786</v>
      </c>
      <c r="B981" s="3" t="s">
        <v>4787</v>
      </c>
      <c r="C981" s="3" t="s">
        <v>4787</v>
      </c>
      <c r="D981" s="3" t="s">
        <v>4788</v>
      </c>
      <c r="E981" s="3" t="s">
        <v>867</v>
      </c>
      <c r="F981" s="3">
        <v>21.98</v>
      </c>
      <c r="G981" s="3" t="s">
        <v>3391</v>
      </c>
      <c r="H981" s="3"/>
      <c r="I981" s="3" t="s">
        <v>3392</v>
      </c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>
        <v>0.12</v>
      </c>
      <c r="P981" s="3">
        <v>0</v>
      </c>
      <c r="Q981" s="3">
        <v>0</v>
      </c>
      <c r="R981" s="3">
        <v>0</v>
      </c>
    </row>
    <row r="982" spans="1:18">
      <c r="A982" s="3" t="s">
        <v>4789</v>
      </c>
      <c r="B982" s="3" t="s">
        <v>4790</v>
      </c>
      <c r="C982" s="3" t="s">
        <v>4790</v>
      </c>
      <c r="D982" s="3"/>
      <c r="E982" s="3" t="s">
        <v>3293</v>
      </c>
      <c r="F982" s="3"/>
      <c r="G982" s="3"/>
      <c r="H982" s="3"/>
      <c r="I982" s="3"/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/>
      <c r="P982" s="3">
        <v>0</v>
      </c>
      <c r="Q982" s="3">
        <v>0</v>
      </c>
      <c r="R982" s="3">
        <v>0</v>
      </c>
    </row>
    <row r="983" spans="1:18">
      <c r="A983" s="3" t="s">
        <v>978</v>
      </c>
      <c r="B983" s="3" t="s">
        <v>979</v>
      </c>
      <c r="C983" s="3" t="s">
        <v>979</v>
      </c>
      <c r="D983" s="3"/>
      <c r="E983" s="3" t="s">
        <v>3293</v>
      </c>
      <c r="F983" s="3"/>
      <c r="G983" s="3"/>
      <c r="H983" s="3"/>
      <c r="I983" s="3"/>
      <c r="J983" s="3">
        <v>1</v>
      </c>
      <c r="K983" s="3">
        <v>1</v>
      </c>
      <c r="L983" s="3">
        <v>0</v>
      </c>
      <c r="M983" s="3">
        <v>0</v>
      </c>
      <c r="N983" s="3">
        <v>1</v>
      </c>
      <c r="O983" s="3"/>
      <c r="P983" s="3">
        <v>0</v>
      </c>
      <c r="Q983" s="3">
        <v>0</v>
      </c>
      <c r="R983" s="3">
        <v>0</v>
      </c>
    </row>
    <row r="984" spans="1:18">
      <c r="A984" s="3" t="s">
        <v>4791</v>
      </c>
      <c r="B984" s="3" t="s">
        <v>4792</v>
      </c>
      <c r="C984" s="3" t="s">
        <v>4792</v>
      </c>
      <c r="D984" s="3" t="s">
        <v>4793</v>
      </c>
      <c r="E984" s="3" t="s">
        <v>867</v>
      </c>
      <c r="F984" s="3">
        <v>19.98</v>
      </c>
      <c r="G984" s="3" t="s">
        <v>3391</v>
      </c>
      <c r="H984" s="3"/>
      <c r="I984" s="3" t="s">
        <v>3392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0.09</v>
      </c>
      <c r="P984" s="3">
        <v>0</v>
      </c>
      <c r="Q984" s="3">
        <v>0</v>
      </c>
      <c r="R984" s="3">
        <v>0</v>
      </c>
    </row>
    <row r="985" spans="1:18">
      <c r="A985" s="3" t="s">
        <v>4794</v>
      </c>
      <c r="B985" s="3" t="s">
        <v>4795</v>
      </c>
      <c r="C985" s="3" t="s">
        <v>4795</v>
      </c>
      <c r="D985" s="3"/>
      <c r="E985" s="3" t="s">
        <v>3293</v>
      </c>
      <c r="F985" s="3"/>
      <c r="G985" s="3"/>
      <c r="H985" s="3"/>
      <c r="I985" s="3"/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/>
      <c r="P985" s="3">
        <v>0</v>
      </c>
      <c r="Q985" s="3">
        <v>0</v>
      </c>
      <c r="R985" s="3">
        <v>0</v>
      </c>
    </row>
    <row r="986" spans="1:18">
      <c r="A986" s="3" t="s">
        <v>2833</v>
      </c>
      <c r="B986" s="3" t="s">
        <v>2834</v>
      </c>
      <c r="C986" s="3" t="s">
        <v>2834</v>
      </c>
      <c r="D986" s="3"/>
      <c r="E986" s="3" t="s">
        <v>3293</v>
      </c>
      <c r="F986" s="3"/>
      <c r="G986" s="3"/>
      <c r="H986" s="3"/>
      <c r="I986" s="3"/>
      <c r="J986" s="3">
        <v>1</v>
      </c>
      <c r="K986" s="3">
        <v>1</v>
      </c>
      <c r="L986" s="3">
        <v>0</v>
      </c>
      <c r="M986" s="3">
        <v>0</v>
      </c>
      <c r="N986" s="3">
        <v>1</v>
      </c>
      <c r="O986" s="3"/>
      <c r="P986" s="3">
        <v>0</v>
      </c>
      <c r="Q986" s="3">
        <v>0</v>
      </c>
      <c r="R986" s="3">
        <v>0</v>
      </c>
    </row>
    <row r="987" spans="1:18">
      <c r="A987" s="3" t="s">
        <v>2398</v>
      </c>
      <c r="B987" s="3" t="s">
        <v>2399</v>
      </c>
      <c r="C987" s="3" t="s">
        <v>2399</v>
      </c>
      <c r="D987" s="3" t="s">
        <v>2400</v>
      </c>
      <c r="E987" s="3" t="s">
        <v>867</v>
      </c>
      <c r="F987" s="3">
        <v>14.98</v>
      </c>
      <c r="G987" s="3" t="s">
        <v>3391</v>
      </c>
      <c r="H987" s="3"/>
      <c r="I987" s="3" t="s">
        <v>3392</v>
      </c>
      <c r="J987" s="3">
        <v>4</v>
      </c>
      <c r="K987" s="3">
        <v>4</v>
      </c>
      <c r="L987" s="3">
        <v>0</v>
      </c>
      <c r="M987" s="3">
        <v>0</v>
      </c>
      <c r="N987" s="3">
        <v>4</v>
      </c>
      <c r="O987" s="3">
        <v>0.15</v>
      </c>
      <c r="P987" s="3">
        <v>0</v>
      </c>
      <c r="Q987" s="3">
        <v>0</v>
      </c>
      <c r="R987" s="3">
        <v>0</v>
      </c>
    </row>
    <row r="988" spans="1:18">
      <c r="A988" s="3" t="s">
        <v>4796</v>
      </c>
      <c r="B988" s="3" t="s">
        <v>4797</v>
      </c>
      <c r="C988" s="3" t="s">
        <v>4797</v>
      </c>
      <c r="D988" s="3"/>
      <c r="E988" s="3" t="s">
        <v>3293</v>
      </c>
      <c r="F988" s="3"/>
      <c r="G988" s="3"/>
      <c r="H988" s="3"/>
      <c r="I988" s="3"/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/>
      <c r="P988" s="3">
        <v>0</v>
      </c>
      <c r="Q988" s="3">
        <v>0</v>
      </c>
      <c r="R988" s="3">
        <v>0</v>
      </c>
    </row>
    <row r="989" spans="1:18">
      <c r="A989" s="3" t="s">
        <v>4798</v>
      </c>
      <c r="B989" s="3" t="s">
        <v>4799</v>
      </c>
      <c r="C989" s="3" t="s">
        <v>4799</v>
      </c>
      <c r="D989" s="3" t="s">
        <v>4800</v>
      </c>
      <c r="E989" s="3" t="s">
        <v>867</v>
      </c>
      <c r="F989" s="3">
        <v>39.98</v>
      </c>
      <c r="G989" s="3" t="s">
        <v>3391</v>
      </c>
      <c r="H989" s="3"/>
      <c r="I989" s="3" t="s">
        <v>3392</v>
      </c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>
        <v>0.14</v>
      </c>
      <c r="P989" s="3">
        <v>0</v>
      </c>
      <c r="Q989" s="3">
        <v>0</v>
      </c>
      <c r="R989" s="3">
        <v>0</v>
      </c>
    </row>
    <row r="990" spans="1:18">
      <c r="A990" s="3" t="s">
        <v>4801</v>
      </c>
      <c r="B990" s="3" t="s">
        <v>4802</v>
      </c>
      <c r="C990" s="3" t="s">
        <v>4802</v>
      </c>
      <c r="D990" s="3"/>
      <c r="E990" s="3" t="s">
        <v>3293</v>
      </c>
      <c r="F990" s="3"/>
      <c r="G990" s="3"/>
      <c r="H990" s="3"/>
      <c r="I990" s="3"/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/>
      <c r="P990" s="3">
        <v>0</v>
      </c>
      <c r="Q990" s="3">
        <v>0</v>
      </c>
      <c r="R990" s="3">
        <v>0</v>
      </c>
    </row>
    <row r="991" spans="1:18">
      <c r="A991" s="3" t="s">
        <v>4803</v>
      </c>
      <c r="B991" s="3" t="s">
        <v>4804</v>
      </c>
      <c r="C991" s="3" t="s">
        <v>4804</v>
      </c>
      <c r="D991" s="3" t="s">
        <v>4805</v>
      </c>
      <c r="E991" s="3" t="s">
        <v>867</v>
      </c>
      <c r="F991" s="3">
        <v>39.98</v>
      </c>
      <c r="G991" s="3" t="s">
        <v>3391</v>
      </c>
      <c r="H991" s="3"/>
      <c r="I991" s="3" t="s">
        <v>3392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0.14</v>
      </c>
      <c r="P991" s="3">
        <v>0</v>
      </c>
      <c r="Q991" s="3">
        <v>0</v>
      </c>
      <c r="R991" s="3">
        <v>0</v>
      </c>
    </row>
    <row r="992" spans="1:18">
      <c r="A992" s="3" t="s">
        <v>4806</v>
      </c>
      <c r="B992" s="3" t="s">
        <v>4807</v>
      </c>
      <c r="C992" s="3" t="s">
        <v>4807</v>
      </c>
      <c r="D992" s="3" t="s">
        <v>4808</v>
      </c>
      <c r="E992" s="3" t="s">
        <v>867</v>
      </c>
      <c r="F992" s="3">
        <v>39.98</v>
      </c>
      <c r="G992" s="3" t="s">
        <v>3391</v>
      </c>
      <c r="H992" s="3"/>
      <c r="I992" s="3" t="s">
        <v>3392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0.14</v>
      </c>
      <c r="P992" s="3">
        <v>0</v>
      </c>
      <c r="Q992" s="3">
        <v>0</v>
      </c>
      <c r="R992" s="3">
        <v>0</v>
      </c>
    </row>
    <row r="993" spans="1:18">
      <c r="A993" s="3" t="s">
        <v>4809</v>
      </c>
      <c r="B993" s="3" t="s">
        <v>4810</v>
      </c>
      <c r="C993" s="3" t="s">
        <v>4810</v>
      </c>
      <c r="D993" s="3" t="s">
        <v>546</v>
      </c>
      <c r="E993" s="3" t="s">
        <v>867</v>
      </c>
      <c r="F993" s="3">
        <v>24.98</v>
      </c>
      <c r="G993" s="3" t="s">
        <v>3391</v>
      </c>
      <c r="H993" s="3"/>
      <c r="I993" s="3" t="s">
        <v>3392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0.14</v>
      </c>
      <c r="P993" s="3">
        <v>0</v>
      </c>
      <c r="Q993" s="3">
        <v>0</v>
      </c>
      <c r="R993" s="3">
        <v>0</v>
      </c>
    </row>
    <row r="994" spans="1:18">
      <c r="A994" s="3" t="s">
        <v>1701</v>
      </c>
      <c r="B994" s="3" t="s">
        <v>1702</v>
      </c>
      <c r="C994" s="3" t="s">
        <v>1702</v>
      </c>
      <c r="D994" s="3" t="s">
        <v>1151</v>
      </c>
      <c r="E994" s="3" t="s">
        <v>867</v>
      </c>
      <c r="F994" s="3">
        <v>25.98</v>
      </c>
      <c r="G994" s="3" t="s">
        <v>3391</v>
      </c>
      <c r="H994" s="3"/>
      <c r="I994" s="3" t="s">
        <v>3392</v>
      </c>
      <c r="J994" s="3">
        <v>2</v>
      </c>
      <c r="K994" s="3">
        <v>2</v>
      </c>
      <c r="L994" s="3">
        <v>0</v>
      </c>
      <c r="M994" s="3">
        <v>0</v>
      </c>
      <c r="N994" s="3">
        <v>2</v>
      </c>
      <c r="O994" s="3">
        <v>0.12</v>
      </c>
      <c r="P994" s="3">
        <v>0</v>
      </c>
      <c r="Q994" s="3">
        <v>0</v>
      </c>
      <c r="R994" s="3">
        <v>0</v>
      </c>
    </row>
    <row r="995" spans="1:18">
      <c r="A995" s="3" t="s">
        <v>2516</v>
      </c>
      <c r="B995" s="3" t="s">
        <v>2517</v>
      </c>
      <c r="C995" s="3" t="s">
        <v>2517</v>
      </c>
      <c r="D995" s="3" t="s">
        <v>2518</v>
      </c>
      <c r="E995" s="3" t="s">
        <v>867</v>
      </c>
      <c r="F995" s="3">
        <v>25.98</v>
      </c>
      <c r="G995" s="3" t="s">
        <v>3391</v>
      </c>
      <c r="H995" s="3"/>
      <c r="I995" s="3" t="s">
        <v>3392</v>
      </c>
      <c r="J995" s="3">
        <v>7</v>
      </c>
      <c r="K995" s="3">
        <v>7</v>
      </c>
      <c r="L995" s="3">
        <v>0</v>
      </c>
      <c r="M995" s="3">
        <v>0</v>
      </c>
      <c r="N995" s="3">
        <v>7</v>
      </c>
      <c r="O995" s="3">
        <v>0.12</v>
      </c>
      <c r="P995" s="3">
        <v>0</v>
      </c>
      <c r="Q995" s="3">
        <v>0</v>
      </c>
      <c r="R995" s="3">
        <v>0</v>
      </c>
    </row>
    <row r="996" spans="1:18">
      <c r="A996" s="3" t="s">
        <v>2611</v>
      </c>
      <c r="B996" s="3" t="s">
        <v>958</v>
      </c>
      <c r="C996" s="3" t="s">
        <v>958</v>
      </c>
      <c r="D996" s="3" t="s">
        <v>959</v>
      </c>
      <c r="E996" s="3" t="s">
        <v>867</v>
      </c>
      <c r="F996" s="3">
        <v>25.98</v>
      </c>
      <c r="G996" s="3" t="s">
        <v>3391</v>
      </c>
      <c r="H996" s="3"/>
      <c r="I996" s="3" t="s">
        <v>3392</v>
      </c>
      <c r="J996" s="3">
        <v>1</v>
      </c>
      <c r="K996" s="3">
        <v>1</v>
      </c>
      <c r="L996" s="3">
        <v>0</v>
      </c>
      <c r="M996" s="3">
        <v>0</v>
      </c>
      <c r="N996" s="3">
        <v>1</v>
      </c>
      <c r="O996" s="3">
        <v>0.12</v>
      </c>
      <c r="P996" s="3">
        <v>0</v>
      </c>
      <c r="Q996" s="3">
        <v>0</v>
      </c>
      <c r="R996" s="3">
        <v>0</v>
      </c>
    </row>
    <row r="997" spans="1:18">
      <c r="A997" s="3" t="s">
        <v>2055</v>
      </c>
      <c r="B997" s="3" t="s">
        <v>2056</v>
      </c>
      <c r="C997" s="3" t="s">
        <v>2056</v>
      </c>
      <c r="D997" s="3" t="s">
        <v>2057</v>
      </c>
      <c r="E997" s="3" t="s">
        <v>867</v>
      </c>
      <c r="F997" s="3">
        <v>25.98</v>
      </c>
      <c r="G997" s="3" t="s">
        <v>3391</v>
      </c>
      <c r="H997" s="3"/>
      <c r="I997" s="3" t="s">
        <v>3392</v>
      </c>
      <c r="J997" s="3">
        <v>5</v>
      </c>
      <c r="K997" s="3">
        <v>5</v>
      </c>
      <c r="L997" s="3">
        <v>0</v>
      </c>
      <c r="M997" s="3">
        <v>0</v>
      </c>
      <c r="N997" s="3">
        <v>5</v>
      </c>
      <c r="O997" s="3">
        <v>0.12</v>
      </c>
      <c r="P997" s="3">
        <v>0</v>
      </c>
      <c r="Q997" s="3">
        <v>0</v>
      </c>
      <c r="R997" s="3">
        <v>0</v>
      </c>
    </row>
    <row r="998" spans="1:18">
      <c r="A998" s="3" t="s">
        <v>2237</v>
      </c>
      <c r="B998" s="3" t="s">
        <v>2238</v>
      </c>
      <c r="C998" s="3" t="s">
        <v>2238</v>
      </c>
      <c r="D998" s="3"/>
      <c r="E998" s="3" t="s">
        <v>3293</v>
      </c>
      <c r="F998" s="3"/>
      <c r="G998" s="3"/>
      <c r="H998" s="3"/>
      <c r="I998" s="3"/>
      <c r="J998" s="3">
        <v>10</v>
      </c>
      <c r="K998" s="3">
        <v>10</v>
      </c>
      <c r="L998" s="3">
        <v>0</v>
      </c>
      <c r="M998" s="3">
        <v>0</v>
      </c>
      <c r="N998" s="3">
        <v>10</v>
      </c>
      <c r="O998" s="3"/>
      <c r="P998" s="3">
        <v>0</v>
      </c>
      <c r="Q998" s="3">
        <v>0</v>
      </c>
      <c r="R998" s="3">
        <v>0</v>
      </c>
    </row>
    <row r="999" spans="1:18">
      <c r="A999" s="3" t="s">
        <v>4811</v>
      </c>
      <c r="B999" s="3" t="s">
        <v>4411</v>
      </c>
      <c r="C999" s="3" t="s">
        <v>4411</v>
      </c>
      <c r="D999" s="3" t="s">
        <v>4412</v>
      </c>
      <c r="E999" s="3" t="s">
        <v>867</v>
      </c>
      <c r="F999" s="3">
        <v>45.98</v>
      </c>
      <c r="G999" s="3" t="s">
        <v>3391</v>
      </c>
      <c r="H999" s="3"/>
      <c r="I999" s="3" t="s">
        <v>3392</v>
      </c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>
        <v>0.11</v>
      </c>
      <c r="P999" s="3">
        <v>0</v>
      </c>
      <c r="Q999" s="3">
        <v>0</v>
      </c>
      <c r="R999" s="3">
        <v>0</v>
      </c>
    </row>
    <row r="1000" spans="1:18">
      <c r="A1000" s="3" t="s">
        <v>3010</v>
      </c>
      <c r="B1000" s="3" t="s">
        <v>3011</v>
      </c>
      <c r="C1000" s="3" t="s">
        <v>3011</v>
      </c>
      <c r="D1000" s="3" t="s">
        <v>3012</v>
      </c>
      <c r="E1000" s="3" t="s">
        <v>867</v>
      </c>
      <c r="F1000" s="3">
        <v>25.98</v>
      </c>
      <c r="G1000" s="3" t="s">
        <v>3391</v>
      </c>
      <c r="H1000" s="3"/>
      <c r="I1000" s="3" t="s">
        <v>3392</v>
      </c>
      <c r="J1000" s="3">
        <v>4</v>
      </c>
      <c r="K1000" s="3">
        <v>4</v>
      </c>
      <c r="L1000" s="3">
        <v>0</v>
      </c>
      <c r="M1000" s="3">
        <v>0</v>
      </c>
      <c r="N1000" s="3">
        <v>4</v>
      </c>
      <c r="O1000" s="3">
        <v>0.12</v>
      </c>
      <c r="P1000" s="3">
        <v>0</v>
      </c>
      <c r="Q1000" s="3">
        <v>0</v>
      </c>
      <c r="R1000" s="3">
        <v>0</v>
      </c>
    </row>
    <row r="1001" spans="1:18">
      <c r="A1001" s="3" t="s">
        <v>3269</v>
      </c>
      <c r="B1001" s="3" t="s">
        <v>3270</v>
      </c>
      <c r="C1001" s="3" t="s">
        <v>3270</v>
      </c>
      <c r="D1001" s="3" t="s">
        <v>3271</v>
      </c>
      <c r="E1001" s="3" t="s">
        <v>867</v>
      </c>
      <c r="F1001" s="3">
        <v>25.98</v>
      </c>
      <c r="G1001" s="3" t="s">
        <v>3391</v>
      </c>
      <c r="H1001" s="3"/>
      <c r="I1001" s="3" t="s">
        <v>3392</v>
      </c>
      <c r="J1001" s="3">
        <v>3</v>
      </c>
      <c r="K1001" s="3">
        <v>3</v>
      </c>
      <c r="L1001" s="3">
        <v>0</v>
      </c>
      <c r="M1001" s="3">
        <v>0</v>
      </c>
      <c r="N1001" s="3">
        <v>3</v>
      </c>
      <c r="O1001" s="3">
        <v>0.12</v>
      </c>
      <c r="P1001" s="3">
        <v>0</v>
      </c>
      <c r="Q1001" s="3">
        <v>0</v>
      </c>
      <c r="R1001" s="3">
        <v>0</v>
      </c>
    </row>
    <row r="1002" spans="1:18">
      <c r="A1002" s="3" t="s">
        <v>3038</v>
      </c>
      <c r="B1002" s="3" t="s">
        <v>3039</v>
      </c>
      <c r="C1002" s="3" t="s">
        <v>3039</v>
      </c>
      <c r="D1002" s="3" t="s">
        <v>3040</v>
      </c>
      <c r="E1002" s="3" t="s">
        <v>867</v>
      </c>
      <c r="F1002" s="3">
        <v>25.98</v>
      </c>
      <c r="G1002" s="3" t="s">
        <v>3391</v>
      </c>
      <c r="H1002" s="3"/>
      <c r="I1002" s="3" t="s">
        <v>3392</v>
      </c>
      <c r="J1002" s="3">
        <v>9</v>
      </c>
      <c r="K1002" s="3">
        <v>9</v>
      </c>
      <c r="L1002" s="3">
        <v>0</v>
      </c>
      <c r="M1002" s="3">
        <v>0</v>
      </c>
      <c r="N1002" s="3">
        <v>9</v>
      </c>
      <c r="O1002" s="3">
        <v>0.12</v>
      </c>
      <c r="P1002" s="3">
        <v>0</v>
      </c>
      <c r="Q1002" s="3">
        <v>0</v>
      </c>
      <c r="R1002" s="3">
        <v>0</v>
      </c>
    </row>
    <row r="1003" spans="1:18">
      <c r="A1003" s="3" t="s">
        <v>4812</v>
      </c>
      <c r="B1003" s="3" t="s">
        <v>323</v>
      </c>
      <c r="C1003" s="3" t="s">
        <v>323</v>
      </c>
      <c r="D1003" s="3" t="s">
        <v>324</v>
      </c>
      <c r="E1003" s="3" t="s">
        <v>867</v>
      </c>
      <c r="F1003" s="3">
        <v>45.98</v>
      </c>
      <c r="G1003" s="3" t="s">
        <v>3391</v>
      </c>
      <c r="H1003" s="3"/>
      <c r="I1003" s="3" t="s">
        <v>3392</v>
      </c>
      <c r="J1003" s="3">
        <v>0</v>
      </c>
      <c r="K1003" s="3">
        <v>0</v>
      </c>
      <c r="L1003" s="3">
        <v>0</v>
      </c>
      <c r="M1003" s="3">
        <v>0</v>
      </c>
      <c r="N1003" s="3">
        <v>0</v>
      </c>
      <c r="O1003" s="3">
        <v>0.12</v>
      </c>
      <c r="P1003" s="3">
        <v>0</v>
      </c>
      <c r="Q1003" s="3">
        <v>0</v>
      </c>
      <c r="R1003" s="3">
        <v>0</v>
      </c>
    </row>
    <row r="1004" spans="1:18">
      <c r="A1004" s="3" t="s">
        <v>4813</v>
      </c>
      <c r="B1004" s="3" t="s">
        <v>4428</v>
      </c>
      <c r="C1004" s="3" t="s">
        <v>4428</v>
      </c>
      <c r="D1004" s="3" t="s">
        <v>549</v>
      </c>
      <c r="E1004" s="3" t="s">
        <v>867</v>
      </c>
      <c r="F1004" s="3">
        <v>45.98</v>
      </c>
      <c r="G1004" s="3" t="s">
        <v>3391</v>
      </c>
      <c r="H1004" s="3"/>
      <c r="I1004" s="3" t="s">
        <v>3392</v>
      </c>
      <c r="J1004" s="3">
        <v>0</v>
      </c>
      <c r="K1004" s="3">
        <v>0</v>
      </c>
      <c r="L1004" s="3">
        <v>0</v>
      </c>
      <c r="M1004" s="3">
        <v>0</v>
      </c>
      <c r="N1004" s="3">
        <v>0</v>
      </c>
      <c r="O1004" s="3">
        <v>0.12</v>
      </c>
      <c r="P1004" s="3">
        <v>0</v>
      </c>
      <c r="Q1004" s="3">
        <v>0</v>
      </c>
      <c r="R1004" s="3">
        <v>0</v>
      </c>
    </row>
    <row r="1005" spans="1:18">
      <c r="A1005" s="3" t="s">
        <v>4814</v>
      </c>
      <c r="B1005" s="3" t="s">
        <v>4431</v>
      </c>
      <c r="C1005" s="3" t="s">
        <v>4431</v>
      </c>
      <c r="D1005" s="3"/>
      <c r="E1005" s="3" t="s">
        <v>3293</v>
      </c>
      <c r="F1005" s="3"/>
      <c r="G1005" s="3"/>
      <c r="H1005" s="3"/>
      <c r="I1005" s="3"/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/>
      <c r="P1005" s="3">
        <v>0</v>
      </c>
      <c r="Q1005" s="3">
        <v>0</v>
      </c>
      <c r="R1005" s="3">
        <v>0</v>
      </c>
    </row>
    <row r="1006" spans="1:18">
      <c r="A1006" s="3" t="s">
        <v>1472</v>
      </c>
      <c r="B1006" s="3" t="s">
        <v>1268</v>
      </c>
      <c r="C1006" s="3" t="s">
        <v>1268</v>
      </c>
      <c r="D1006" s="3" t="s">
        <v>1269</v>
      </c>
      <c r="E1006" s="3" t="s">
        <v>867</v>
      </c>
      <c r="F1006" s="3">
        <v>25.98</v>
      </c>
      <c r="G1006" s="3" t="s">
        <v>3391</v>
      </c>
      <c r="H1006" s="3"/>
      <c r="I1006" s="3" t="s">
        <v>3392</v>
      </c>
      <c r="J1006" s="3">
        <v>4</v>
      </c>
      <c r="K1006" s="3">
        <v>4</v>
      </c>
      <c r="L1006" s="3">
        <v>0</v>
      </c>
      <c r="M1006" s="3">
        <v>0</v>
      </c>
      <c r="N1006" s="3">
        <v>4</v>
      </c>
      <c r="O1006" s="3">
        <v>0.12</v>
      </c>
      <c r="P1006" s="3">
        <v>0</v>
      </c>
      <c r="Q1006" s="3">
        <v>0</v>
      </c>
      <c r="R1006" s="3">
        <v>0</v>
      </c>
    </row>
    <row r="1007" spans="1:18">
      <c r="A1007" s="3" t="s">
        <v>1292</v>
      </c>
      <c r="B1007" s="3" t="s">
        <v>1293</v>
      </c>
      <c r="C1007" s="3" t="s">
        <v>1293</v>
      </c>
      <c r="D1007" s="3"/>
      <c r="E1007" s="3" t="s">
        <v>3293</v>
      </c>
      <c r="F1007" s="3"/>
      <c r="G1007" s="3"/>
      <c r="H1007" s="3"/>
      <c r="I1007" s="3"/>
      <c r="J1007" s="3">
        <v>2</v>
      </c>
      <c r="K1007" s="3">
        <v>2</v>
      </c>
      <c r="L1007" s="3">
        <v>0</v>
      </c>
      <c r="M1007" s="3">
        <v>0</v>
      </c>
      <c r="N1007" s="3">
        <v>2</v>
      </c>
      <c r="O1007" s="3"/>
      <c r="P1007" s="3">
        <v>0</v>
      </c>
      <c r="Q1007" s="3">
        <v>0</v>
      </c>
      <c r="R1007" s="3">
        <v>0</v>
      </c>
    </row>
    <row r="1008" spans="1:18">
      <c r="A1008" s="3" t="s">
        <v>3073</v>
      </c>
      <c r="B1008" s="3" t="s">
        <v>3074</v>
      </c>
      <c r="C1008" s="3" t="s">
        <v>3074</v>
      </c>
      <c r="D1008" s="3" t="s">
        <v>3075</v>
      </c>
      <c r="E1008" s="3" t="s">
        <v>867</v>
      </c>
      <c r="F1008" s="3">
        <v>25.98</v>
      </c>
      <c r="G1008" s="3" t="s">
        <v>3391</v>
      </c>
      <c r="H1008" s="3"/>
      <c r="I1008" s="3" t="s">
        <v>3392</v>
      </c>
      <c r="J1008" s="3">
        <v>7</v>
      </c>
      <c r="K1008" s="3">
        <v>7</v>
      </c>
      <c r="L1008" s="3">
        <v>0</v>
      </c>
      <c r="M1008" s="3">
        <v>0</v>
      </c>
      <c r="N1008" s="3">
        <v>7</v>
      </c>
      <c r="O1008" s="3">
        <v>0.12</v>
      </c>
      <c r="P1008" s="3">
        <v>0</v>
      </c>
      <c r="Q1008" s="3">
        <v>0</v>
      </c>
      <c r="R1008" s="3">
        <v>0</v>
      </c>
    </row>
    <row r="1009" spans="1:18">
      <c r="A1009" s="3" t="s">
        <v>4815</v>
      </c>
      <c r="B1009" s="3" t="s">
        <v>2166</v>
      </c>
      <c r="C1009" s="3" t="s">
        <v>2166</v>
      </c>
      <c r="D1009" s="3"/>
      <c r="E1009" s="3" t="s">
        <v>3293</v>
      </c>
      <c r="F1009" s="3"/>
      <c r="G1009" s="3"/>
      <c r="H1009" s="3"/>
      <c r="I1009" s="3"/>
      <c r="J1009" s="3">
        <v>20</v>
      </c>
      <c r="K1009" s="3">
        <v>20</v>
      </c>
      <c r="L1009" s="3">
        <v>0</v>
      </c>
      <c r="M1009" s="3">
        <v>0</v>
      </c>
      <c r="N1009" s="3">
        <v>20</v>
      </c>
      <c r="O1009" s="3"/>
      <c r="P1009" s="3">
        <v>0</v>
      </c>
      <c r="Q1009" s="3">
        <v>0</v>
      </c>
      <c r="R1009" s="3">
        <v>0</v>
      </c>
    </row>
    <row r="1010" spans="1:18">
      <c r="A1010" s="3" t="s">
        <v>2847</v>
      </c>
      <c r="B1010" s="3" t="s">
        <v>2848</v>
      </c>
      <c r="C1010" s="3" t="s">
        <v>2848</v>
      </c>
      <c r="D1010" s="3" t="s">
        <v>2849</v>
      </c>
      <c r="E1010" s="3" t="s">
        <v>867</v>
      </c>
      <c r="F1010" s="3">
        <v>45.98</v>
      </c>
      <c r="G1010" s="3" t="s">
        <v>3391</v>
      </c>
      <c r="H1010" s="3"/>
      <c r="I1010" s="3" t="s">
        <v>3392</v>
      </c>
      <c r="J1010" s="3">
        <v>5</v>
      </c>
      <c r="K1010" s="3">
        <v>5</v>
      </c>
      <c r="L1010" s="3">
        <v>0</v>
      </c>
      <c r="M1010" s="3">
        <v>0</v>
      </c>
      <c r="N1010" s="3">
        <v>5</v>
      </c>
      <c r="O1010" s="3">
        <v>0.12</v>
      </c>
      <c r="P1010" s="3">
        <v>0</v>
      </c>
      <c r="Q1010" s="3">
        <v>0</v>
      </c>
      <c r="R1010" s="3">
        <v>0</v>
      </c>
    </row>
    <row r="1011" spans="1:18">
      <c r="A1011" s="3" t="s">
        <v>2888</v>
      </c>
      <c r="B1011" s="3" t="s">
        <v>1248</v>
      </c>
      <c r="C1011" s="3" t="s">
        <v>1248</v>
      </c>
      <c r="D1011" s="3" t="s">
        <v>1249</v>
      </c>
      <c r="E1011" s="3" t="s">
        <v>867</v>
      </c>
      <c r="F1011" s="3">
        <v>25.98</v>
      </c>
      <c r="G1011" s="3" t="s">
        <v>3391</v>
      </c>
      <c r="H1011" s="3"/>
      <c r="I1011" s="3" t="s">
        <v>3392</v>
      </c>
      <c r="J1011" s="3">
        <v>2</v>
      </c>
      <c r="K1011" s="3">
        <v>2</v>
      </c>
      <c r="L1011" s="3">
        <v>0</v>
      </c>
      <c r="M1011" s="3">
        <v>0</v>
      </c>
      <c r="N1011" s="3">
        <v>2</v>
      </c>
      <c r="O1011" s="3">
        <v>0.12</v>
      </c>
      <c r="P1011" s="3">
        <v>0</v>
      </c>
      <c r="Q1011" s="3">
        <v>0</v>
      </c>
      <c r="R1011" s="3">
        <v>0</v>
      </c>
    </row>
    <row r="1012" spans="1:18">
      <c r="A1012" s="3" t="s">
        <v>4816</v>
      </c>
      <c r="B1012" s="3" t="s">
        <v>1609</v>
      </c>
      <c r="C1012" s="3" t="s">
        <v>1609</v>
      </c>
      <c r="D1012" s="3" t="s">
        <v>1610</v>
      </c>
      <c r="E1012" s="3" t="s">
        <v>867</v>
      </c>
      <c r="F1012" s="3">
        <v>45.98</v>
      </c>
      <c r="G1012" s="3" t="s">
        <v>3391</v>
      </c>
      <c r="H1012" s="3"/>
      <c r="I1012" s="3" t="s">
        <v>3392</v>
      </c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>
        <v>0.16</v>
      </c>
      <c r="P1012" s="3">
        <v>0</v>
      </c>
      <c r="Q1012" s="3">
        <v>0</v>
      </c>
      <c r="R1012" s="3">
        <v>0</v>
      </c>
    </row>
    <row r="1013" spans="1:18">
      <c r="A1013" s="3" t="s">
        <v>4817</v>
      </c>
      <c r="B1013" s="3" t="s">
        <v>244</v>
      </c>
      <c r="C1013" s="3" t="s">
        <v>244</v>
      </c>
      <c r="D1013" s="3"/>
      <c r="E1013" s="3" t="s">
        <v>3293</v>
      </c>
      <c r="F1013" s="3"/>
      <c r="G1013" s="3"/>
      <c r="H1013" s="3"/>
      <c r="I1013" s="3"/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/>
      <c r="P1013" s="3">
        <v>0</v>
      </c>
      <c r="Q1013" s="3">
        <v>0</v>
      </c>
      <c r="R1013" s="3">
        <v>0</v>
      </c>
    </row>
    <row r="1014" spans="1:18">
      <c r="A1014" s="3" t="s">
        <v>4818</v>
      </c>
      <c r="B1014" s="3" t="s">
        <v>4819</v>
      </c>
      <c r="C1014" s="3" t="s">
        <v>4819</v>
      </c>
      <c r="D1014" s="3" t="s">
        <v>1369</v>
      </c>
      <c r="E1014" s="3" t="s">
        <v>867</v>
      </c>
      <c r="F1014" s="3">
        <v>45.98</v>
      </c>
      <c r="G1014" s="3" t="s">
        <v>3391</v>
      </c>
      <c r="H1014" s="3"/>
      <c r="I1014" s="3" t="s">
        <v>3392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0.12</v>
      </c>
      <c r="P1014" s="3">
        <v>0</v>
      </c>
      <c r="Q1014" s="3">
        <v>0</v>
      </c>
      <c r="R1014" s="3">
        <v>0</v>
      </c>
    </row>
    <row r="1015" spans="1:18">
      <c r="A1015" s="3" t="s">
        <v>4820</v>
      </c>
      <c r="B1015" s="3" t="s">
        <v>4821</v>
      </c>
      <c r="C1015" s="3" t="s">
        <v>4821</v>
      </c>
      <c r="D1015" s="3"/>
      <c r="E1015" s="3" t="s">
        <v>3293</v>
      </c>
      <c r="F1015" s="3"/>
      <c r="G1015" s="3"/>
      <c r="H1015" s="3"/>
      <c r="I1015" s="3"/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/>
      <c r="P1015" s="3">
        <v>0</v>
      </c>
      <c r="Q1015" s="3">
        <v>0</v>
      </c>
      <c r="R1015" s="3">
        <v>0</v>
      </c>
    </row>
    <row r="1016" spans="1:18">
      <c r="A1016" s="3" t="s">
        <v>2760</v>
      </c>
      <c r="B1016" s="3" t="s">
        <v>2761</v>
      </c>
      <c r="C1016" s="3" t="s">
        <v>2761</v>
      </c>
      <c r="D1016" s="3" t="s">
        <v>2676</v>
      </c>
      <c r="E1016" s="3" t="s">
        <v>867</v>
      </c>
      <c r="F1016" s="3">
        <v>25.98</v>
      </c>
      <c r="G1016" s="3" t="s">
        <v>3391</v>
      </c>
      <c r="H1016" s="3"/>
      <c r="I1016" s="3" t="s">
        <v>3392</v>
      </c>
      <c r="J1016" s="3">
        <v>2</v>
      </c>
      <c r="K1016" s="3">
        <v>2</v>
      </c>
      <c r="L1016" s="3">
        <v>0</v>
      </c>
      <c r="M1016" s="3">
        <v>0</v>
      </c>
      <c r="N1016" s="3">
        <v>2</v>
      </c>
      <c r="O1016" s="3">
        <v>0.12</v>
      </c>
      <c r="P1016" s="3">
        <v>0</v>
      </c>
      <c r="Q1016" s="3">
        <v>0</v>
      </c>
      <c r="R1016" s="3">
        <v>0</v>
      </c>
    </row>
    <row r="1017" spans="1:18">
      <c r="A1017" s="3" t="s">
        <v>4822</v>
      </c>
      <c r="B1017" s="3" t="s">
        <v>260</v>
      </c>
      <c r="C1017" s="3" t="s">
        <v>260</v>
      </c>
      <c r="D1017" s="3" t="s">
        <v>261</v>
      </c>
      <c r="E1017" s="3" t="s">
        <v>867</v>
      </c>
      <c r="F1017" s="3">
        <v>25.98</v>
      </c>
      <c r="G1017" s="3" t="s">
        <v>3391</v>
      </c>
      <c r="H1017" s="3"/>
      <c r="I1017" s="3" t="s">
        <v>3392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0.12</v>
      </c>
      <c r="P1017" s="3">
        <v>0</v>
      </c>
      <c r="Q1017" s="3">
        <v>0</v>
      </c>
      <c r="R1017" s="3">
        <v>0</v>
      </c>
    </row>
    <row r="1018" spans="1:18">
      <c r="A1018" s="3" t="s">
        <v>2979</v>
      </c>
      <c r="B1018" s="3" t="s">
        <v>2980</v>
      </c>
      <c r="C1018" s="3" t="s">
        <v>2980</v>
      </c>
      <c r="D1018" s="3" t="s">
        <v>2981</v>
      </c>
      <c r="E1018" s="3" t="s">
        <v>867</v>
      </c>
      <c r="F1018" s="3">
        <v>25.98</v>
      </c>
      <c r="G1018" s="3" t="s">
        <v>3391</v>
      </c>
      <c r="H1018" s="3"/>
      <c r="I1018" s="3" t="s">
        <v>3392</v>
      </c>
      <c r="J1018" s="3">
        <v>9</v>
      </c>
      <c r="K1018" s="3">
        <v>9</v>
      </c>
      <c r="L1018" s="3">
        <v>0</v>
      </c>
      <c r="M1018" s="3">
        <v>0</v>
      </c>
      <c r="N1018" s="3">
        <v>9</v>
      </c>
      <c r="O1018" s="3">
        <v>0.12</v>
      </c>
      <c r="P1018" s="3">
        <v>0</v>
      </c>
      <c r="Q1018" s="3">
        <v>0</v>
      </c>
      <c r="R1018" s="3">
        <v>0</v>
      </c>
    </row>
    <row r="1019" spans="1:18">
      <c r="A1019" s="3" t="s">
        <v>1783</v>
      </c>
      <c r="B1019" s="3" t="s">
        <v>1784</v>
      </c>
      <c r="C1019" s="3" t="s">
        <v>1784</v>
      </c>
      <c r="D1019" s="3" t="s">
        <v>1775</v>
      </c>
      <c r="E1019" s="3" t="s">
        <v>867</v>
      </c>
      <c r="F1019" s="3">
        <v>25.98</v>
      </c>
      <c r="G1019" s="3" t="s">
        <v>3391</v>
      </c>
      <c r="H1019" s="3"/>
      <c r="I1019" s="3" t="s">
        <v>3392</v>
      </c>
      <c r="J1019" s="3">
        <v>12</v>
      </c>
      <c r="K1019" s="3">
        <v>12</v>
      </c>
      <c r="L1019" s="3">
        <v>0</v>
      </c>
      <c r="M1019" s="3">
        <v>0</v>
      </c>
      <c r="N1019" s="3">
        <v>12</v>
      </c>
      <c r="O1019" s="3">
        <v>0.12</v>
      </c>
      <c r="P1019" s="3">
        <v>0</v>
      </c>
      <c r="Q1019" s="3">
        <v>0</v>
      </c>
      <c r="R1019" s="3">
        <v>0</v>
      </c>
    </row>
    <row r="1020" spans="1:18">
      <c r="A1020" s="3" t="s">
        <v>4823</v>
      </c>
      <c r="B1020" s="3" t="s">
        <v>252</v>
      </c>
      <c r="C1020" s="3" t="s">
        <v>252</v>
      </c>
      <c r="D1020" s="3" t="s">
        <v>253</v>
      </c>
      <c r="E1020" s="3" t="s">
        <v>867</v>
      </c>
      <c r="F1020" s="3">
        <v>45.98</v>
      </c>
      <c r="G1020" s="3" t="s">
        <v>3391</v>
      </c>
      <c r="H1020" s="3"/>
      <c r="I1020" s="3" t="s">
        <v>3392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0.12</v>
      </c>
      <c r="P1020" s="3">
        <v>0</v>
      </c>
      <c r="Q1020" s="3">
        <v>0</v>
      </c>
      <c r="R1020" s="3">
        <v>0</v>
      </c>
    </row>
    <row r="1021" spans="1:18">
      <c r="A1021" s="3" t="s">
        <v>903</v>
      </c>
      <c r="B1021" s="3" t="s">
        <v>904</v>
      </c>
      <c r="C1021" s="3" t="s">
        <v>904</v>
      </c>
      <c r="D1021" s="3" t="s">
        <v>905</v>
      </c>
      <c r="E1021" s="3" t="s">
        <v>867</v>
      </c>
      <c r="F1021" s="3">
        <v>25.98</v>
      </c>
      <c r="G1021" s="3" t="s">
        <v>3391</v>
      </c>
      <c r="H1021" s="3"/>
      <c r="I1021" s="3" t="s">
        <v>3392</v>
      </c>
      <c r="J1021" s="3">
        <v>7</v>
      </c>
      <c r="K1021" s="3">
        <v>7</v>
      </c>
      <c r="L1021" s="3">
        <v>0</v>
      </c>
      <c r="M1021" s="3">
        <v>0</v>
      </c>
      <c r="N1021" s="3">
        <v>7</v>
      </c>
      <c r="O1021" s="3">
        <v>0.12</v>
      </c>
      <c r="P1021" s="3">
        <v>0</v>
      </c>
      <c r="Q1021" s="3">
        <v>0</v>
      </c>
      <c r="R1021" s="3">
        <v>0</v>
      </c>
    </row>
    <row r="1022" spans="1:18">
      <c r="A1022" s="3" t="s">
        <v>3110</v>
      </c>
      <c r="B1022" s="3" t="s">
        <v>3111</v>
      </c>
      <c r="C1022" s="3" t="s">
        <v>3111</v>
      </c>
      <c r="D1022" s="3" t="s">
        <v>3021</v>
      </c>
      <c r="E1022" s="3" t="s">
        <v>867</v>
      </c>
      <c r="F1022" s="3">
        <v>45.98</v>
      </c>
      <c r="G1022" s="3" t="s">
        <v>3391</v>
      </c>
      <c r="H1022" s="3"/>
      <c r="I1022" s="3" t="s">
        <v>3392</v>
      </c>
      <c r="J1022" s="3">
        <v>9</v>
      </c>
      <c r="K1022" s="3">
        <v>9</v>
      </c>
      <c r="L1022" s="3">
        <v>0</v>
      </c>
      <c r="M1022" s="3">
        <v>0</v>
      </c>
      <c r="N1022" s="3">
        <v>9</v>
      </c>
      <c r="O1022" s="3">
        <v>0.12</v>
      </c>
      <c r="P1022" s="3">
        <v>0</v>
      </c>
      <c r="Q1022" s="3">
        <v>0</v>
      </c>
      <c r="R1022" s="3">
        <v>0</v>
      </c>
    </row>
    <row r="1023" spans="1:18">
      <c r="A1023" s="3" t="s">
        <v>1914</v>
      </c>
      <c r="B1023" s="3" t="s">
        <v>1915</v>
      </c>
      <c r="C1023" s="3" t="s">
        <v>1915</v>
      </c>
      <c r="D1023" s="3" t="s">
        <v>1916</v>
      </c>
      <c r="E1023" s="3" t="s">
        <v>867</v>
      </c>
      <c r="F1023" s="3">
        <v>25.98</v>
      </c>
      <c r="G1023" s="3" t="s">
        <v>3391</v>
      </c>
      <c r="H1023" s="3"/>
      <c r="I1023" s="3" t="s">
        <v>3392</v>
      </c>
      <c r="J1023" s="3">
        <v>2</v>
      </c>
      <c r="K1023" s="3">
        <v>2</v>
      </c>
      <c r="L1023" s="3">
        <v>0</v>
      </c>
      <c r="M1023" s="3">
        <v>0</v>
      </c>
      <c r="N1023" s="3">
        <v>2</v>
      </c>
      <c r="O1023" s="3">
        <v>0.12</v>
      </c>
      <c r="P1023" s="3">
        <v>0</v>
      </c>
      <c r="Q1023" s="3">
        <v>0</v>
      </c>
      <c r="R1023" s="3">
        <v>0</v>
      </c>
    </row>
    <row r="1024" spans="1:18">
      <c r="A1024" s="3" t="s">
        <v>4824</v>
      </c>
      <c r="B1024" s="3" t="s">
        <v>2973</v>
      </c>
      <c r="C1024" s="3" t="s">
        <v>2973</v>
      </c>
      <c r="D1024" s="3" t="s">
        <v>2974</v>
      </c>
      <c r="E1024" s="3" t="s">
        <v>867</v>
      </c>
      <c r="F1024" s="3">
        <v>45.98</v>
      </c>
      <c r="G1024" s="3" t="s">
        <v>3391</v>
      </c>
      <c r="H1024" s="3"/>
      <c r="I1024" s="3" t="s">
        <v>3392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0.12</v>
      </c>
      <c r="P1024" s="3">
        <v>0</v>
      </c>
      <c r="Q1024" s="3">
        <v>0</v>
      </c>
      <c r="R1024" s="3">
        <v>0</v>
      </c>
    </row>
    <row r="1025" spans="1:18">
      <c r="A1025" s="3" t="s">
        <v>4825</v>
      </c>
      <c r="B1025" s="3" t="s">
        <v>4826</v>
      </c>
      <c r="C1025" s="3" t="s">
        <v>4826</v>
      </c>
      <c r="D1025" s="3"/>
      <c r="E1025" s="3" t="s">
        <v>3293</v>
      </c>
      <c r="F1025" s="3"/>
      <c r="G1025" s="3"/>
      <c r="H1025" s="3"/>
      <c r="I1025" s="3"/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/>
      <c r="P1025" s="3">
        <v>0</v>
      </c>
      <c r="Q1025" s="3">
        <v>0</v>
      </c>
      <c r="R1025" s="3">
        <v>0</v>
      </c>
    </row>
    <row r="1026" spans="1:18">
      <c r="A1026" s="3" t="s">
        <v>1549</v>
      </c>
      <c r="B1026" s="3" t="s">
        <v>1550</v>
      </c>
      <c r="C1026" s="3" t="s">
        <v>1550</v>
      </c>
      <c r="D1026" s="3" t="s">
        <v>1551</v>
      </c>
      <c r="E1026" s="3" t="s">
        <v>867</v>
      </c>
      <c r="F1026" s="3">
        <v>45.98</v>
      </c>
      <c r="G1026" s="3" t="s">
        <v>3391</v>
      </c>
      <c r="H1026" s="3"/>
      <c r="I1026" s="3" t="s">
        <v>3392</v>
      </c>
      <c r="J1026" s="3">
        <v>1</v>
      </c>
      <c r="K1026" s="3">
        <v>1</v>
      </c>
      <c r="L1026" s="3">
        <v>0</v>
      </c>
      <c r="M1026" s="3">
        <v>0</v>
      </c>
      <c r="N1026" s="3">
        <v>1</v>
      </c>
      <c r="O1026" s="3">
        <v>0.12</v>
      </c>
      <c r="P1026" s="3">
        <v>0</v>
      </c>
      <c r="Q1026" s="3">
        <v>0</v>
      </c>
      <c r="R1026" s="3">
        <v>0</v>
      </c>
    </row>
    <row r="1027" spans="1:18">
      <c r="A1027" s="3" t="s">
        <v>4827</v>
      </c>
      <c r="B1027" s="3" t="s">
        <v>4828</v>
      </c>
      <c r="C1027" s="3" t="s">
        <v>4828</v>
      </c>
      <c r="D1027" s="3" t="s">
        <v>4829</v>
      </c>
      <c r="E1027" s="3" t="s">
        <v>867</v>
      </c>
      <c r="F1027" s="3">
        <v>39.98</v>
      </c>
      <c r="G1027" s="3" t="s">
        <v>3391</v>
      </c>
      <c r="H1027" s="3"/>
      <c r="I1027" s="3" t="s">
        <v>3392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0.16</v>
      </c>
      <c r="P1027" s="3">
        <v>0</v>
      </c>
      <c r="Q1027" s="3">
        <v>0</v>
      </c>
      <c r="R1027" s="3">
        <v>0</v>
      </c>
    </row>
    <row r="1028" spans="1:18">
      <c r="A1028" s="3" t="s">
        <v>4830</v>
      </c>
      <c r="B1028" s="3" t="s">
        <v>4831</v>
      </c>
      <c r="C1028" s="3" t="s">
        <v>4831</v>
      </c>
      <c r="D1028" s="3"/>
      <c r="E1028" s="3" t="s">
        <v>3293</v>
      </c>
      <c r="F1028" s="3"/>
      <c r="G1028" s="3"/>
      <c r="H1028" s="3"/>
      <c r="I1028" s="3"/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/>
      <c r="P1028" s="3">
        <v>0</v>
      </c>
      <c r="Q1028" s="3">
        <v>0</v>
      </c>
      <c r="R1028" s="3">
        <v>0</v>
      </c>
    </row>
    <row r="1029" spans="1:18">
      <c r="A1029" s="3" t="s">
        <v>4832</v>
      </c>
      <c r="B1029" s="3" t="s">
        <v>4833</v>
      </c>
      <c r="C1029" s="3" t="s">
        <v>4833</v>
      </c>
      <c r="D1029" s="3" t="s">
        <v>336</v>
      </c>
      <c r="E1029" s="3" t="s">
        <v>867</v>
      </c>
      <c r="F1029" s="3">
        <v>22.98</v>
      </c>
      <c r="G1029" s="3" t="s">
        <v>3391</v>
      </c>
      <c r="H1029" s="3"/>
      <c r="I1029" s="3" t="s">
        <v>3392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0.16</v>
      </c>
      <c r="P1029" s="3">
        <v>0</v>
      </c>
      <c r="Q1029" s="3">
        <v>0</v>
      </c>
      <c r="R1029" s="3">
        <v>0</v>
      </c>
    </row>
    <row r="1030" spans="1:18">
      <c r="A1030" s="3" t="s">
        <v>4834</v>
      </c>
      <c r="B1030" s="3" t="s">
        <v>4835</v>
      </c>
      <c r="C1030" s="3" t="s">
        <v>4835</v>
      </c>
      <c r="D1030" s="3" t="s">
        <v>4836</v>
      </c>
      <c r="E1030" s="3" t="s">
        <v>867</v>
      </c>
      <c r="F1030" s="3">
        <v>12.98</v>
      </c>
      <c r="G1030" s="3" t="s">
        <v>3391</v>
      </c>
      <c r="H1030" s="3"/>
      <c r="I1030" s="3" t="s">
        <v>3392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0.16</v>
      </c>
      <c r="P1030" s="3">
        <v>0</v>
      </c>
      <c r="Q1030" s="3">
        <v>0</v>
      </c>
      <c r="R1030" s="3">
        <v>0</v>
      </c>
    </row>
    <row r="1031" spans="1:18">
      <c r="A1031" s="3" t="s">
        <v>4837</v>
      </c>
      <c r="B1031" s="3" t="s">
        <v>4838</v>
      </c>
      <c r="C1031" s="3" t="s">
        <v>4838</v>
      </c>
      <c r="D1031" s="3" t="s">
        <v>4839</v>
      </c>
      <c r="E1031" s="3" t="s">
        <v>867</v>
      </c>
      <c r="F1031" s="3">
        <v>24.98</v>
      </c>
      <c r="G1031" s="3" t="s">
        <v>3391</v>
      </c>
      <c r="H1031" s="3"/>
      <c r="I1031" s="3" t="s">
        <v>3392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0.05</v>
      </c>
      <c r="P1031" s="3">
        <v>0</v>
      </c>
      <c r="Q1031" s="3">
        <v>0</v>
      </c>
      <c r="R1031" s="3">
        <v>0</v>
      </c>
    </row>
    <row r="1032" spans="1:18">
      <c r="A1032" s="3" t="s">
        <v>3107</v>
      </c>
      <c r="B1032" s="3" t="s">
        <v>3108</v>
      </c>
      <c r="C1032" s="3" t="s">
        <v>3108</v>
      </c>
      <c r="D1032" s="3" t="s">
        <v>3109</v>
      </c>
      <c r="E1032" s="3" t="s">
        <v>867</v>
      </c>
      <c r="F1032" s="3">
        <v>22.98</v>
      </c>
      <c r="G1032" s="3" t="s">
        <v>3392</v>
      </c>
      <c r="H1032" s="3">
        <v>0</v>
      </c>
      <c r="I1032" s="3" t="s">
        <v>3391</v>
      </c>
      <c r="J1032" s="3">
        <v>1</v>
      </c>
      <c r="K1032" s="3">
        <v>1</v>
      </c>
      <c r="L1032" s="3">
        <v>0</v>
      </c>
      <c r="M1032" s="3">
        <v>0</v>
      </c>
      <c r="N1032" s="3">
        <v>1</v>
      </c>
      <c r="O1032" s="3">
        <v>0.05</v>
      </c>
      <c r="P1032" s="3">
        <v>0</v>
      </c>
      <c r="Q1032" s="3">
        <v>0</v>
      </c>
      <c r="R1032" s="3">
        <v>0</v>
      </c>
    </row>
    <row r="1033" spans="1:18">
      <c r="A1033" s="3" t="s">
        <v>3256</v>
      </c>
      <c r="B1033" s="3" t="s">
        <v>3257</v>
      </c>
      <c r="C1033" s="3" t="s">
        <v>3257</v>
      </c>
      <c r="D1033" s="3" t="s">
        <v>3258</v>
      </c>
      <c r="E1033" s="3" t="s">
        <v>867</v>
      </c>
      <c r="F1033" s="3">
        <v>14.98</v>
      </c>
      <c r="G1033" s="3" t="s">
        <v>3392</v>
      </c>
      <c r="H1033" s="3">
        <v>0</v>
      </c>
      <c r="I1033" s="3" t="s">
        <v>3391</v>
      </c>
      <c r="J1033" s="3">
        <v>3</v>
      </c>
      <c r="K1033" s="3">
        <v>2</v>
      </c>
      <c r="L1033" s="3">
        <v>1</v>
      </c>
      <c r="M1033" s="3">
        <v>0</v>
      </c>
      <c r="N1033" s="3">
        <v>3</v>
      </c>
      <c r="O1033" s="3">
        <v>0.05</v>
      </c>
      <c r="P1033" s="3">
        <v>0</v>
      </c>
      <c r="Q1033" s="3">
        <v>0</v>
      </c>
      <c r="R1033" s="3">
        <v>0</v>
      </c>
    </row>
    <row r="1034" spans="1:18">
      <c r="A1034" s="3" t="s">
        <v>4840</v>
      </c>
      <c r="B1034" s="3" t="s">
        <v>4841</v>
      </c>
      <c r="C1034" s="3" t="s">
        <v>4841</v>
      </c>
      <c r="D1034" s="3" t="s">
        <v>4842</v>
      </c>
      <c r="E1034" s="3" t="s">
        <v>867</v>
      </c>
      <c r="F1034" s="3">
        <v>24.98</v>
      </c>
      <c r="G1034" s="3" t="s">
        <v>3392</v>
      </c>
      <c r="H1034" s="3">
        <v>0</v>
      </c>
      <c r="I1034" s="3" t="s">
        <v>3391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0.05</v>
      </c>
      <c r="P1034" s="3">
        <v>0</v>
      </c>
      <c r="Q1034" s="3">
        <v>0</v>
      </c>
      <c r="R1034" s="3">
        <v>0</v>
      </c>
    </row>
    <row r="1035" spans="1:18">
      <c r="A1035" s="3" t="s">
        <v>4843</v>
      </c>
      <c r="B1035" s="3" t="s">
        <v>4844</v>
      </c>
      <c r="C1035" s="3" t="s">
        <v>4844</v>
      </c>
      <c r="D1035" s="3"/>
      <c r="E1035" s="3" t="s">
        <v>3293</v>
      </c>
      <c r="F1035" s="3"/>
      <c r="G1035" s="3"/>
      <c r="H1035" s="3"/>
      <c r="I1035" s="3"/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/>
      <c r="P1035" s="3">
        <v>0</v>
      </c>
      <c r="Q1035" s="3">
        <v>0</v>
      </c>
      <c r="R1035" s="3">
        <v>0</v>
      </c>
    </row>
    <row r="1036" spans="1:18">
      <c r="A1036" s="3" t="s">
        <v>4845</v>
      </c>
      <c r="B1036" s="3" t="s">
        <v>4846</v>
      </c>
      <c r="C1036" s="3" t="s">
        <v>4846</v>
      </c>
      <c r="D1036" s="3" t="s">
        <v>4847</v>
      </c>
      <c r="E1036" s="3" t="s">
        <v>867</v>
      </c>
      <c r="F1036" s="3">
        <v>22.98</v>
      </c>
      <c r="G1036" s="3" t="s">
        <v>3391</v>
      </c>
      <c r="H1036" s="3"/>
      <c r="I1036" s="3" t="s">
        <v>3392</v>
      </c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>
        <v>0.05</v>
      </c>
      <c r="P1036" s="3">
        <v>0</v>
      </c>
      <c r="Q1036" s="3">
        <v>0</v>
      </c>
      <c r="R1036" s="3">
        <v>0</v>
      </c>
    </row>
    <row r="1037" spans="1:18">
      <c r="A1037" s="3" t="s">
        <v>4848</v>
      </c>
      <c r="B1037" s="3" t="s">
        <v>4849</v>
      </c>
      <c r="C1037" s="3" t="s">
        <v>4849</v>
      </c>
      <c r="D1037" s="3" t="s">
        <v>4850</v>
      </c>
      <c r="E1037" s="3" t="s">
        <v>867</v>
      </c>
      <c r="F1037" s="3">
        <v>22.98</v>
      </c>
      <c r="G1037" s="3" t="s">
        <v>3391</v>
      </c>
      <c r="H1037" s="3"/>
      <c r="I1037" s="3" t="s">
        <v>3392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0.02</v>
      </c>
      <c r="P1037" s="3">
        <v>0</v>
      </c>
      <c r="Q1037" s="3">
        <v>0</v>
      </c>
      <c r="R1037" s="3">
        <v>0</v>
      </c>
    </row>
    <row r="1038" spans="1:18">
      <c r="A1038" s="3" t="s">
        <v>3131</v>
      </c>
      <c r="B1038" s="3" t="s">
        <v>3132</v>
      </c>
      <c r="C1038" s="3" t="s">
        <v>3132</v>
      </c>
      <c r="D1038" s="3" t="s">
        <v>3133</v>
      </c>
      <c r="E1038" s="3" t="s">
        <v>867</v>
      </c>
      <c r="F1038" s="3">
        <v>22.98</v>
      </c>
      <c r="G1038" s="3" t="s">
        <v>3392</v>
      </c>
      <c r="H1038" s="3">
        <v>0</v>
      </c>
      <c r="I1038" s="3" t="s">
        <v>3391</v>
      </c>
      <c r="J1038" s="3">
        <v>2</v>
      </c>
      <c r="K1038" s="3">
        <v>2</v>
      </c>
      <c r="L1038" s="3">
        <v>0</v>
      </c>
      <c r="M1038" s="3">
        <v>0</v>
      </c>
      <c r="N1038" s="3">
        <v>2</v>
      </c>
      <c r="O1038" s="3">
        <v>0.02</v>
      </c>
      <c r="P1038" s="3">
        <v>0</v>
      </c>
      <c r="Q1038" s="3">
        <v>0</v>
      </c>
      <c r="R1038" s="3">
        <v>0</v>
      </c>
    </row>
    <row r="1039" spans="1:18">
      <c r="A1039" s="3" t="s">
        <v>1502</v>
      </c>
      <c r="B1039" s="3" t="s">
        <v>1503</v>
      </c>
      <c r="C1039" s="3" t="s">
        <v>1503</v>
      </c>
      <c r="D1039" s="3" t="s">
        <v>1504</v>
      </c>
      <c r="E1039" s="3" t="s">
        <v>867</v>
      </c>
      <c r="F1039" s="3">
        <v>22.98</v>
      </c>
      <c r="G1039" s="3" t="s">
        <v>3392</v>
      </c>
      <c r="H1039" s="3">
        <v>0</v>
      </c>
      <c r="I1039" s="3" t="s">
        <v>3391</v>
      </c>
      <c r="J1039" s="3">
        <v>1</v>
      </c>
      <c r="K1039" s="3">
        <v>1</v>
      </c>
      <c r="L1039" s="3">
        <v>0</v>
      </c>
      <c r="M1039" s="3">
        <v>0</v>
      </c>
      <c r="N1039" s="3">
        <v>1</v>
      </c>
      <c r="O1039" s="3">
        <v>0.05</v>
      </c>
      <c r="P1039" s="3">
        <v>0</v>
      </c>
      <c r="Q1039" s="3">
        <v>0</v>
      </c>
      <c r="R1039" s="3">
        <v>0</v>
      </c>
    </row>
    <row r="1040" spans="1:18">
      <c r="A1040" s="3" t="s">
        <v>4851</v>
      </c>
      <c r="B1040" s="3" t="s">
        <v>4852</v>
      </c>
      <c r="C1040" s="3" t="s">
        <v>4852</v>
      </c>
      <c r="D1040" s="3" t="s">
        <v>4853</v>
      </c>
      <c r="E1040" s="3" t="s">
        <v>867</v>
      </c>
      <c r="F1040" s="3">
        <v>22.98</v>
      </c>
      <c r="G1040" s="3" t="s">
        <v>3391</v>
      </c>
      <c r="H1040" s="3"/>
      <c r="I1040" s="3" t="s">
        <v>3392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0.05</v>
      </c>
      <c r="P1040" s="3">
        <v>0</v>
      </c>
      <c r="Q1040" s="3">
        <v>0</v>
      </c>
      <c r="R1040" s="3">
        <v>0</v>
      </c>
    </row>
    <row r="1041" spans="1:18">
      <c r="A1041" s="3" t="s">
        <v>1370</v>
      </c>
      <c r="B1041" s="3" t="s">
        <v>311</v>
      </c>
      <c r="C1041" s="3" t="s">
        <v>311</v>
      </c>
      <c r="D1041" s="3" t="s">
        <v>312</v>
      </c>
      <c r="E1041" s="3" t="s">
        <v>867</v>
      </c>
      <c r="F1041" s="3">
        <v>21.99</v>
      </c>
      <c r="G1041" s="3" t="s">
        <v>3392</v>
      </c>
      <c r="H1041" s="3">
        <v>0</v>
      </c>
      <c r="I1041" s="3" t="s">
        <v>3391</v>
      </c>
      <c r="J1041" s="3">
        <v>2</v>
      </c>
      <c r="K1041" s="3">
        <v>2</v>
      </c>
      <c r="L1041" s="3">
        <v>0</v>
      </c>
      <c r="M1041" s="3">
        <v>0</v>
      </c>
      <c r="N1041" s="3">
        <v>2</v>
      </c>
      <c r="O1041" s="3">
        <v>0.05</v>
      </c>
      <c r="P1041" s="3">
        <v>0</v>
      </c>
      <c r="Q1041" s="3">
        <v>0</v>
      </c>
      <c r="R1041" s="3">
        <v>0</v>
      </c>
    </row>
    <row r="1042" spans="1:18">
      <c r="A1042" s="3" t="s">
        <v>4854</v>
      </c>
      <c r="B1042" s="3" t="s">
        <v>4855</v>
      </c>
      <c r="C1042" s="3" t="s">
        <v>4855</v>
      </c>
      <c r="D1042" s="3" t="s">
        <v>4856</v>
      </c>
      <c r="E1042" s="3" t="s">
        <v>867</v>
      </c>
      <c r="F1042" s="3">
        <v>35.98</v>
      </c>
      <c r="G1042" s="3" t="s">
        <v>3391</v>
      </c>
      <c r="H1042" s="3"/>
      <c r="I1042" s="3" t="s">
        <v>3392</v>
      </c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>
        <v>0.05</v>
      </c>
      <c r="P1042" s="3">
        <v>0</v>
      </c>
      <c r="Q1042" s="3">
        <v>0</v>
      </c>
      <c r="R1042" s="3">
        <v>0</v>
      </c>
    </row>
    <row r="1043" spans="1:18">
      <c r="A1043" s="3" t="s">
        <v>2155</v>
      </c>
      <c r="B1043" s="3" t="s">
        <v>2156</v>
      </c>
      <c r="C1043" s="3" t="s">
        <v>2156</v>
      </c>
      <c r="D1043" s="3" t="s">
        <v>2157</v>
      </c>
      <c r="E1043" s="3" t="s">
        <v>867</v>
      </c>
      <c r="F1043" s="3">
        <v>22.98</v>
      </c>
      <c r="G1043" s="3" t="s">
        <v>3392</v>
      </c>
      <c r="H1043" s="3">
        <v>0</v>
      </c>
      <c r="I1043" s="3" t="s">
        <v>3391</v>
      </c>
      <c r="J1043" s="3">
        <v>1</v>
      </c>
      <c r="K1043" s="3">
        <v>1</v>
      </c>
      <c r="L1043" s="3">
        <v>0</v>
      </c>
      <c r="M1043" s="3">
        <v>0</v>
      </c>
      <c r="N1043" s="3">
        <v>1</v>
      </c>
      <c r="O1043" s="3">
        <v>0.05</v>
      </c>
      <c r="P1043" s="3">
        <v>0</v>
      </c>
      <c r="Q1043" s="3">
        <v>0</v>
      </c>
      <c r="R1043" s="3">
        <v>0</v>
      </c>
    </row>
    <row r="1044" spans="1:18">
      <c r="A1044" s="3" t="s">
        <v>4857</v>
      </c>
      <c r="B1044" s="3" t="s">
        <v>4858</v>
      </c>
      <c r="C1044" s="3" t="s">
        <v>4858</v>
      </c>
      <c r="D1044" s="3" t="s">
        <v>4859</v>
      </c>
      <c r="E1044" s="3" t="s">
        <v>867</v>
      </c>
      <c r="F1044" s="3">
        <v>24.98</v>
      </c>
      <c r="G1044" s="3" t="s">
        <v>3391</v>
      </c>
      <c r="H1044" s="3"/>
      <c r="I1044" s="3" t="s">
        <v>3392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0.05</v>
      </c>
      <c r="P1044" s="3">
        <v>0</v>
      </c>
      <c r="Q1044" s="3">
        <v>0</v>
      </c>
      <c r="R1044" s="3">
        <v>0</v>
      </c>
    </row>
    <row r="1045" spans="1:18">
      <c r="A1045" s="3" t="s">
        <v>4860</v>
      </c>
      <c r="B1045" s="3" t="s">
        <v>4861</v>
      </c>
      <c r="C1045" s="3" t="s">
        <v>4861</v>
      </c>
      <c r="D1045" s="3" t="s">
        <v>4862</v>
      </c>
      <c r="E1045" s="3" t="s">
        <v>3293</v>
      </c>
      <c r="F1045" s="3"/>
      <c r="G1045" s="3"/>
      <c r="H1045" s="3"/>
      <c r="I1045" s="3"/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0.05</v>
      </c>
      <c r="P1045" s="3">
        <v>0</v>
      </c>
      <c r="Q1045" s="3">
        <v>0</v>
      </c>
      <c r="R1045" s="3">
        <v>0</v>
      </c>
    </row>
    <row r="1046" spans="1:18">
      <c r="A1046" s="3" t="s">
        <v>4863</v>
      </c>
      <c r="B1046" s="3" t="s">
        <v>4864</v>
      </c>
      <c r="C1046" s="3" t="s">
        <v>4864</v>
      </c>
      <c r="D1046" s="3" t="s">
        <v>4865</v>
      </c>
      <c r="E1046" s="3" t="s">
        <v>867</v>
      </c>
      <c r="F1046" s="3">
        <v>19.98</v>
      </c>
      <c r="G1046" s="3" t="s">
        <v>3391</v>
      </c>
      <c r="H1046" s="3"/>
      <c r="I1046" s="3" t="s">
        <v>3392</v>
      </c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>
        <v>0.05</v>
      </c>
      <c r="P1046" s="3">
        <v>0</v>
      </c>
      <c r="Q1046" s="3">
        <v>0</v>
      </c>
      <c r="R1046" s="3">
        <v>0</v>
      </c>
    </row>
    <row r="1047" spans="1:18">
      <c r="A1047" s="3" t="s">
        <v>4866</v>
      </c>
      <c r="B1047" s="3" t="s">
        <v>4867</v>
      </c>
      <c r="C1047" s="3" t="s">
        <v>4867</v>
      </c>
      <c r="D1047" s="3" t="s">
        <v>584</v>
      </c>
      <c r="E1047" s="3" t="s">
        <v>867</v>
      </c>
      <c r="F1047" s="3">
        <v>22.98</v>
      </c>
      <c r="G1047" s="3" t="s">
        <v>3391</v>
      </c>
      <c r="H1047" s="3"/>
      <c r="I1047" s="3" t="s">
        <v>3392</v>
      </c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>
        <v>0.05</v>
      </c>
      <c r="P1047" s="3">
        <v>0</v>
      </c>
      <c r="Q1047" s="3">
        <v>0</v>
      </c>
      <c r="R1047" s="3">
        <v>0</v>
      </c>
    </row>
    <row r="1048" spans="1:18">
      <c r="A1048" s="3" t="s">
        <v>4868</v>
      </c>
      <c r="B1048" s="3" t="s">
        <v>4869</v>
      </c>
      <c r="C1048" s="3" t="s">
        <v>4869</v>
      </c>
      <c r="D1048" s="3" t="s">
        <v>4870</v>
      </c>
      <c r="E1048" s="3" t="s">
        <v>867</v>
      </c>
      <c r="F1048" s="3">
        <v>22.98</v>
      </c>
      <c r="G1048" s="3" t="s">
        <v>3391</v>
      </c>
      <c r="H1048" s="3"/>
      <c r="I1048" s="3" t="s">
        <v>3392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0.05</v>
      </c>
      <c r="P1048" s="3">
        <v>0</v>
      </c>
      <c r="Q1048" s="3">
        <v>0</v>
      </c>
      <c r="R1048" s="3">
        <v>0</v>
      </c>
    </row>
    <row r="1049" spans="1:18">
      <c r="A1049" s="3" t="s">
        <v>4871</v>
      </c>
      <c r="B1049" s="3" t="s">
        <v>4872</v>
      </c>
      <c r="C1049" s="3" t="s">
        <v>4872</v>
      </c>
      <c r="D1049" s="3" t="s">
        <v>4873</v>
      </c>
      <c r="E1049" s="3" t="s">
        <v>867</v>
      </c>
      <c r="F1049" s="3">
        <v>22.98</v>
      </c>
      <c r="G1049" s="3" t="s">
        <v>3391</v>
      </c>
      <c r="H1049" s="3"/>
      <c r="I1049" s="3" t="s">
        <v>3392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0.05</v>
      </c>
      <c r="P1049" s="3">
        <v>0</v>
      </c>
      <c r="Q1049" s="3">
        <v>0</v>
      </c>
      <c r="R1049" s="3">
        <v>0</v>
      </c>
    </row>
    <row r="1050" spans="1:18">
      <c r="A1050" s="3" t="s">
        <v>4874</v>
      </c>
      <c r="B1050" s="3" t="s">
        <v>4875</v>
      </c>
      <c r="C1050" s="3" t="s">
        <v>4875</v>
      </c>
      <c r="D1050" s="3" t="s">
        <v>4876</v>
      </c>
      <c r="E1050" s="3" t="s">
        <v>867</v>
      </c>
      <c r="F1050" s="3">
        <v>23.98</v>
      </c>
      <c r="G1050" s="3" t="s">
        <v>3391</v>
      </c>
      <c r="H1050" s="3"/>
      <c r="I1050" s="3" t="s">
        <v>3392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0.05</v>
      </c>
      <c r="P1050" s="3">
        <v>0</v>
      </c>
      <c r="Q1050" s="3">
        <v>0</v>
      </c>
      <c r="R1050" s="3">
        <v>0</v>
      </c>
    </row>
    <row r="1051" spans="1:18">
      <c r="A1051" s="3" t="s">
        <v>4877</v>
      </c>
      <c r="B1051" s="3" t="s">
        <v>287</v>
      </c>
      <c r="C1051" s="3" t="s">
        <v>287</v>
      </c>
      <c r="D1051" s="3" t="s">
        <v>288</v>
      </c>
      <c r="E1051" s="3" t="s">
        <v>867</v>
      </c>
      <c r="F1051" s="3">
        <v>22.98</v>
      </c>
      <c r="G1051" s="3" t="s">
        <v>3391</v>
      </c>
      <c r="H1051" s="3"/>
      <c r="I1051" s="3" t="s">
        <v>3392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0.05</v>
      </c>
      <c r="P1051" s="3">
        <v>0</v>
      </c>
      <c r="Q1051" s="3">
        <v>0</v>
      </c>
      <c r="R1051" s="3">
        <v>0</v>
      </c>
    </row>
    <row r="1052" spans="1:18">
      <c r="A1052" s="3" t="s">
        <v>1451</v>
      </c>
      <c r="B1052" s="3" t="s">
        <v>1452</v>
      </c>
      <c r="C1052" s="3" t="s">
        <v>1452</v>
      </c>
      <c r="D1052" s="3" t="s">
        <v>1453</v>
      </c>
      <c r="E1052" s="3" t="s">
        <v>867</v>
      </c>
      <c r="F1052" s="3">
        <v>24.98</v>
      </c>
      <c r="G1052" s="3" t="s">
        <v>3392</v>
      </c>
      <c r="H1052" s="3">
        <v>0</v>
      </c>
      <c r="I1052" s="3" t="s">
        <v>3391</v>
      </c>
      <c r="J1052" s="3">
        <v>1</v>
      </c>
      <c r="K1052" s="3">
        <v>1</v>
      </c>
      <c r="L1052" s="3">
        <v>0</v>
      </c>
      <c r="M1052" s="3">
        <v>0</v>
      </c>
      <c r="N1052" s="3">
        <v>1</v>
      </c>
      <c r="O1052" s="3">
        <v>0.05</v>
      </c>
      <c r="P1052" s="3">
        <v>0</v>
      </c>
      <c r="Q1052" s="3">
        <v>0</v>
      </c>
      <c r="R1052" s="3">
        <v>0</v>
      </c>
    </row>
    <row r="1053" spans="1:18">
      <c r="A1053" s="3" t="s">
        <v>4878</v>
      </c>
      <c r="B1053" s="3" t="s">
        <v>4879</v>
      </c>
      <c r="C1053" s="3" t="s">
        <v>4879</v>
      </c>
      <c r="D1053" s="3"/>
      <c r="E1053" s="3" t="s">
        <v>3293</v>
      </c>
      <c r="F1053" s="3"/>
      <c r="G1053" s="3"/>
      <c r="H1053" s="3"/>
      <c r="I1053" s="3"/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/>
      <c r="P1053" s="3">
        <v>0</v>
      </c>
      <c r="Q1053" s="3">
        <v>0</v>
      </c>
      <c r="R1053" s="3">
        <v>0</v>
      </c>
    </row>
    <row r="1054" spans="1:18">
      <c r="A1054" s="3" t="s">
        <v>2702</v>
      </c>
      <c r="B1054" s="3" t="s">
        <v>2703</v>
      </c>
      <c r="C1054" s="3" t="s">
        <v>2703</v>
      </c>
      <c r="D1054" s="3" t="s">
        <v>2704</v>
      </c>
      <c r="E1054" s="3" t="s">
        <v>867</v>
      </c>
      <c r="F1054" s="3">
        <v>19.98</v>
      </c>
      <c r="G1054" s="3" t="s">
        <v>3392</v>
      </c>
      <c r="H1054" s="3">
        <v>0</v>
      </c>
      <c r="I1054" s="3" t="s">
        <v>3391</v>
      </c>
      <c r="J1054" s="3">
        <v>1</v>
      </c>
      <c r="K1054" s="3">
        <v>1</v>
      </c>
      <c r="L1054" s="3">
        <v>0</v>
      </c>
      <c r="M1054" s="3">
        <v>0</v>
      </c>
      <c r="N1054" s="3">
        <v>1</v>
      </c>
      <c r="O1054" s="3">
        <v>0.05</v>
      </c>
      <c r="P1054" s="3">
        <v>0</v>
      </c>
      <c r="Q1054" s="3">
        <v>0</v>
      </c>
      <c r="R1054" s="3">
        <v>0</v>
      </c>
    </row>
    <row r="1055" spans="1:18">
      <c r="A1055" s="3" t="s">
        <v>4880</v>
      </c>
      <c r="B1055" s="3" t="s">
        <v>387</v>
      </c>
      <c r="C1055" s="3" t="s">
        <v>387</v>
      </c>
      <c r="D1055" s="3"/>
      <c r="E1055" s="3" t="s">
        <v>3293</v>
      </c>
      <c r="F1055" s="3"/>
      <c r="G1055" s="3"/>
      <c r="H1055" s="3"/>
      <c r="I1055" s="3"/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/>
      <c r="P1055" s="3">
        <v>0</v>
      </c>
      <c r="Q1055" s="3">
        <v>0</v>
      </c>
      <c r="R1055" s="3">
        <v>0</v>
      </c>
    </row>
    <row r="1056" spans="1:18">
      <c r="A1056" s="3" t="s">
        <v>4881</v>
      </c>
      <c r="B1056" s="3" t="s">
        <v>4882</v>
      </c>
      <c r="C1056" s="3" t="s">
        <v>4882</v>
      </c>
      <c r="D1056" s="3"/>
      <c r="E1056" s="3" t="s">
        <v>3293</v>
      </c>
      <c r="F1056" s="3"/>
      <c r="G1056" s="3"/>
      <c r="H1056" s="3"/>
      <c r="I1056" s="3"/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/>
      <c r="P1056" s="3">
        <v>0</v>
      </c>
      <c r="Q1056" s="3">
        <v>0</v>
      </c>
      <c r="R1056" s="3">
        <v>0</v>
      </c>
    </row>
    <row r="1057" spans="1:18">
      <c r="A1057" s="3" t="s">
        <v>4883</v>
      </c>
      <c r="B1057" s="3" t="s">
        <v>4884</v>
      </c>
      <c r="C1057" s="3" t="s">
        <v>4884</v>
      </c>
      <c r="D1057" s="3"/>
      <c r="E1057" s="3" t="s">
        <v>3293</v>
      </c>
      <c r="F1057" s="3"/>
      <c r="G1057" s="3"/>
      <c r="H1057" s="3"/>
      <c r="I1057" s="3"/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/>
      <c r="P1057" s="3">
        <v>0</v>
      </c>
      <c r="Q1057" s="3">
        <v>0</v>
      </c>
      <c r="R1057" s="3">
        <v>0</v>
      </c>
    </row>
    <row r="1058" spans="1:18">
      <c r="A1058" s="3" t="s">
        <v>1286</v>
      </c>
      <c r="B1058" s="3" t="s">
        <v>1287</v>
      </c>
      <c r="C1058" s="3" t="s">
        <v>1287</v>
      </c>
      <c r="D1058" s="3" t="s">
        <v>1288</v>
      </c>
      <c r="E1058" s="3" t="s">
        <v>867</v>
      </c>
      <c r="F1058" s="3">
        <v>21.99</v>
      </c>
      <c r="G1058" s="3" t="s">
        <v>3392</v>
      </c>
      <c r="H1058" s="3">
        <v>0</v>
      </c>
      <c r="I1058" s="3" t="s">
        <v>3391</v>
      </c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>
        <v>0.07</v>
      </c>
      <c r="P1058" s="3">
        <v>0</v>
      </c>
      <c r="Q1058" s="3">
        <v>0</v>
      </c>
      <c r="R1058" s="3">
        <v>0</v>
      </c>
    </row>
    <row r="1059" spans="1:18">
      <c r="A1059" s="3" t="s">
        <v>4885</v>
      </c>
      <c r="B1059" s="3" t="s">
        <v>4886</v>
      </c>
      <c r="C1059" s="3" t="s">
        <v>4886</v>
      </c>
      <c r="D1059" s="3" t="s">
        <v>4887</v>
      </c>
      <c r="E1059" s="3" t="s">
        <v>867</v>
      </c>
      <c r="F1059" s="3">
        <v>22.98</v>
      </c>
      <c r="G1059" s="3" t="s">
        <v>3391</v>
      </c>
      <c r="H1059" s="3"/>
      <c r="I1059" s="3" t="s">
        <v>3392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0.05</v>
      </c>
      <c r="P1059" s="3">
        <v>0</v>
      </c>
      <c r="Q1059" s="3">
        <v>0</v>
      </c>
      <c r="R1059" s="3">
        <v>0</v>
      </c>
    </row>
    <row r="1060" spans="1:18">
      <c r="A1060" s="3" t="s">
        <v>872</v>
      </c>
      <c r="B1060" s="3" t="s">
        <v>873</v>
      </c>
      <c r="C1060" s="3" t="s">
        <v>873</v>
      </c>
      <c r="D1060" s="3" t="s">
        <v>874</v>
      </c>
      <c r="E1060" s="3" t="s">
        <v>867</v>
      </c>
      <c r="F1060" s="3">
        <v>39.98</v>
      </c>
      <c r="G1060" s="3" t="s">
        <v>3391</v>
      </c>
      <c r="H1060" s="3"/>
      <c r="I1060" s="3" t="s">
        <v>3392</v>
      </c>
      <c r="J1060" s="3">
        <v>17</v>
      </c>
      <c r="K1060" s="3">
        <v>17</v>
      </c>
      <c r="L1060" s="3">
        <v>0</v>
      </c>
      <c r="M1060" s="3">
        <v>0</v>
      </c>
      <c r="N1060" s="3">
        <v>17</v>
      </c>
      <c r="O1060" s="3">
        <v>0.18</v>
      </c>
      <c r="P1060" s="3">
        <v>0</v>
      </c>
      <c r="Q1060" s="3">
        <v>0</v>
      </c>
      <c r="R1060" s="3">
        <v>0</v>
      </c>
    </row>
    <row r="1061" spans="1:18">
      <c r="A1061" s="3" t="s">
        <v>2717</v>
      </c>
      <c r="B1061" s="3" t="s">
        <v>2718</v>
      </c>
      <c r="C1061" s="3" t="s">
        <v>2718</v>
      </c>
      <c r="D1061" s="3" t="s">
        <v>2719</v>
      </c>
      <c r="E1061" s="3" t="s">
        <v>867</v>
      </c>
      <c r="F1061" s="3">
        <v>39.98</v>
      </c>
      <c r="G1061" s="3" t="s">
        <v>3391</v>
      </c>
      <c r="H1061" s="3"/>
      <c r="I1061" s="3" t="s">
        <v>3392</v>
      </c>
      <c r="J1061" s="3">
        <v>3</v>
      </c>
      <c r="K1061" s="3">
        <v>3</v>
      </c>
      <c r="L1061" s="3">
        <v>0</v>
      </c>
      <c r="M1061" s="3">
        <v>0</v>
      </c>
      <c r="N1061" s="3">
        <v>3</v>
      </c>
      <c r="O1061" s="3">
        <v>0.11</v>
      </c>
      <c r="P1061" s="3">
        <v>0</v>
      </c>
      <c r="Q1061" s="3">
        <v>0</v>
      </c>
      <c r="R1061" s="3">
        <v>0</v>
      </c>
    </row>
    <row r="1062" spans="1:18">
      <c r="A1062" s="3" t="s">
        <v>401</v>
      </c>
      <c r="B1062" s="3" t="s">
        <v>24</v>
      </c>
      <c r="C1062" s="3" t="s">
        <v>24</v>
      </c>
      <c r="D1062" s="3" t="s">
        <v>25</v>
      </c>
      <c r="E1062" s="3" t="s">
        <v>867</v>
      </c>
      <c r="F1062" s="3">
        <v>39.98</v>
      </c>
      <c r="G1062" s="3" t="s">
        <v>3391</v>
      </c>
      <c r="H1062" s="3"/>
      <c r="I1062" s="3" t="s">
        <v>3392</v>
      </c>
      <c r="J1062" s="3">
        <v>2</v>
      </c>
      <c r="K1062" s="3">
        <v>1</v>
      </c>
      <c r="L1062" s="3">
        <v>0</v>
      </c>
      <c r="M1062" s="3">
        <v>1</v>
      </c>
      <c r="N1062" s="3">
        <v>2</v>
      </c>
      <c r="O1062" s="3">
        <v>0.17</v>
      </c>
      <c r="P1062" s="3">
        <v>0</v>
      </c>
      <c r="Q1062" s="3">
        <v>0</v>
      </c>
      <c r="R1062" s="3">
        <v>0</v>
      </c>
    </row>
    <row r="1063" spans="1:18">
      <c r="A1063" s="3" t="s">
        <v>400</v>
      </c>
      <c r="B1063" s="3" t="s">
        <v>9</v>
      </c>
      <c r="C1063" s="3" t="s">
        <v>9</v>
      </c>
      <c r="D1063" s="3" t="s">
        <v>10</v>
      </c>
      <c r="E1063" s="3" t="s">
        <v>867</v>
      </c>
      <c r="F1063" s="3">
        <v>39.98</v>
      </c>
      <c r="G1063" s="3" t="s">
        <v>3391</v>
      </c>
      <c r="H1063" s="3"/>
      <c r="I1063" s="3" t="s">
        <v>3392</v>
      </c>
      <c r="J1063" s="3">
        <v>8</v>
      </c>
      <c r="K1063" s="3">
        <v>7</v>
      </c>
      <c r="L1063" s="3">
        <v>0</v>
      </c>
      <c r="M1063" s="3">
        <v>1</v>
      </c>
      <c r="N1063" s="3">
        <v>8</v>
      </c>
      <c r="O1063" s="3">
        <v>0.14</v>
      </c>
      <c r="P1063" s="3">
        <v>0</v>
      </c>
      <c r="Q1063" s="3">
        <v>0</v>
      </c>
      <c r="R1063" s="3">
        <v>0</v>
      </c>
    </row>
    <row r="1064" spans="1:18">
      <c r="A1064" s="3" t="s">
        <v>4888</v>
      </c>
      <c r="B1064" s="3" t="s">
        <v>3344</v>
      </c>
      <c r="C1064" s="3" t="s">
        <v>3344</v>
      </c>
      <c r="D1064" s="3"/>
      <c r="E1064" s="3" t="s">
        <v>3293</v>
      </c>
      <c r="F1064" s="3"/>
      <c r="G1064" s="3"/>
      <c r="H1064" s="3"/>
      <c r="I1064" s="3"/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/>
      <c r="P1064" s="3">
        <v>0</v>
      </c>
      <c r="Q1064" s="3">
        <v>0</v>
      </c>
      <c r="R1064" s="3">
        <v>0</v>
      </c>
    </row>
    <row r="1065" spans="1:18">
      <c r="A1065" s="3" t="s">
        <v>2918</v>
      </c>
      <c r="B1065" s="3" t="s">
        <v>2919</v>
      </c>
      <c r="C1065" s="3" t="s">
        <v>2919</v>
      </c>
      <c r="D1065" s="3" t="s">
        <v>2920</v>
      </c>
      <c r="E1065" s="3" t="s">
        <v>867</v>
      </c>
      <c r="F1065" s="3">
        <v>39.98</v>
      </c>
      <c r="G1065" s="3" t="s">
        <v>3391</v>
      </c>
      <c r="H1065" s="3"/>
      <c r="I1065" s="3" t="s">
        <v>3392</v>
      </c>
      <c r="J1065" s="3">
        <v>4</v>
      </c>
      <c r="K1065" s="3">
        <v>4</v>
      </c>
      <c r="L1065" s="3">
        <v>0</v>
      </c>
      <c r="M1065" s="3">
        <v>0</v>
      </c>
      <c r="N1065" s="3">
        <v>4</v>
      </c>
      <c r="O1065" s="3">
        <v>0.18</v>
      </c>
      <c r="P1065" s="3">
        <v>0</v>
      </c>
      <c r="Q1065" s="3">
        <v>0</v>
      </c>
      <c r="R1065" s="3">
        <v>0</v>
      </c>
    </row>
    <row r="1066" spans="1:18">
      <c r="A1066" s="3" t="s">
        <v>4889</v>
      </c>
      <c r="B1066" s="3" t="s">
        <v>3347</v>
      </c>
      <c r="C1066" s="3" t="s">
        <v>3347</v>
      </c>
      <c r="D1066" s="3" t="s">
        <v>4890</v>
      </c>
      <c r="E1066" s="3" t="s">
        <v>867</v>
      </c>
      <c r="F1066" s="3">
        <v>39.98</v>
      </c>
      <c r="G1066" s="3" t="s">
        <v>3391</v>
      </c>
      <c r="H1066" s="3"/>
      <c r="I1066" s="3" t="s">
        <v>3392</v>
      </c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>
        <v>0.18</v>
      </c>
      <c r="P1066" s="3">
        <v>0</v>
      </c>
      <c r="Q1066" s="3">
        <v>0</v>
      </c>
      <c r="R1066" s="3">
        <v>0</v>
      </c>
    </row>
    <row r="1067" spans="1:18">
      <c r="A1067" s="3" t="s">
        <v>4891</v>
      </c>
      <c r="B1067" s="3" t="s">
        <v>3349</v>
      </c>
      <c r="C1067" s="3" t="s">
        <v>3349</v>
      </c>
      <c r="D1067" s="3" t="s">
        <v>4892</v>
      </c>
      <c r="E1067" s="3" t="s">
        <v>867</v>
      </c>
      <c r="F1067" s="3">
        <v>39.98</v>
      </c>
      <c r="G1067" s="3" t="s">
        <v>3391</v>
      </c>
      <c r="H1067" s="3"/>
      <c r="I1067" s="3" t="s">
        <v>3392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0.13</v>
      </c>
      <c r="P1067" s="3">
        <v>0</v>
      </c>
      <c r="Q1067" s="3">
        <v>0</v>
      </c>
      <c r="R1067" s="3">
        <v>0</v>
      </c>
    </row>
    <row r="1068" spans="1:18">
      <c r="A1068" s="3" t="s">
        <v>4893</v>
      </c>
      <c r="B1068" s="3" t="s">
        <v>3351</v>
      </c>
      <c r="C1068" s="3" t="s">
        <v>3351</v>
      </c>
      <c r="D1068" s="3" t="s">
        <v>4894</v>
      </c>
      <c r="E1068" s="3" t="s">
        <v>867</v>
      </c>
      <c r="F1068" s="3">
        <v>39.98</v>
      </c>
      <c r="G1068" s="3" t="s">
        <v>3391</v>
      </c>
      <c r="H1068" s="3"/>
      <c r="I1068" s="3" t="s">
        <v>3392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0.09</v>
      </c>
      <c r="P1068" s="3">
        <v>0</v>
      </c>
      <c r="Q1068" s="3">
        <v>0</v>
      </c>
      <c r="R1068" s="3">
        <v>0</v>
      </c>
    </row>
    <row r="1069" spans="1:18">
      <c r="A1069" s="3" t="s">
        <v>4895</v>
      </c>
      <c r="B1069" s="3" t="s">
        <v>3353</v>
      </c>
      <c r="C1069" s="3" t="s">
        <v>3353</v>
      </c>
      <c r="D1069" s="3"/>
      <c r="E1069" s="3" t="s">
        <v>3293</v>
      </c>
      <c r="F1069" s="3"/>
      <c r="G1069" s="3"/>
      <c r="H1069" s="3"/>
      <c r="I1069" s="3"/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1527</v>
      </c>
      <c r="B1070" s="3" t="s">
        <v>1528</v>
      </c>
      <c r="C1070" s="3" t="s">
        <v>1528</v>
      </c>
      <c r="D1070" s="3" t="s">
        <v>1529</v>
      </c>
      <c r="E1070" s="3" t="s">
        <v>867</v>
      </c>
      <c r="F1070" s="3">
        <v>39.98</v>
      </c>
      <c r="G1070" s="3" t="s">
        <v>3391</v>
      </c>
      <c r="H1070" s="3"/>
      <c r="I1070" s="3" t="s">
        <v>3392</v>
      </c>
      <c r="J1070" s="3">
        <v>1</v>
      </c>
      <c r="K1070" s="3">
        <v>0</v>
      </c>
      <c r="L1070" s="3">
        <v>1</v>
      </c>
      <c r="M1070" s="3">
        <v>0</v>
      </c>
      <c r="N1070" s="3">
        <v>1</v>
      </c>
      <c r="O1070" s="3">
        <v>0.17</v>
      </c>
      <c r="P1070" s="3">
        <v>0</v>
      </c>
      <c r="Q1070" s="3">
        <v>0</v>
      </c>
      <c r="R1070" s="3">
        <v>0</v>
      </c>
    </row>
    <row r="1071" spans="1:18">
      <c r="A1071" s="3" t="s">
        <v>4896</v>
      </c>
      <c r="B1071" s="3" t="s">
        <v>3356</v>
      </c>
      <c r="C1071" s="3" t="s">
        <v>3356</v>
      </c>
      <c r="D1071" s="3" t="s">
        <v>4897</v>
      </c>
      <c r="E1071" s="3" t="s">
        <v>3293</v>
      </c>
      <c r="F1071" s="3"/>
      <c r="G1071" s="3"/>
      <c r="H1071" s="3"/>
      <c r="I1071" s="3"/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0.11</v>
      </c>
      <c r="P1071" s="3">
        <v>0</v>
      </c>
      <c r="Q1071" s="3">
        <v>0</v>
      </c>
      <c r="R1071" s="3">
        <v>0</v>
      </c>
    </row>
    <row r="1072" spans="1:18">
      <c r="A1072" s="3" t="s">
        <v>4898</v>
      </c>
      <c r="B1072" s="3" t="s">
        <v>3358</v>
      </c>
      <c r="C1072" s="3" t="s">
        <v>3358</v>
      </c>
      <c r="D1072" s="3" t="s">
        <v>4899</v>
      </c>
      <c r="E1072" s="3" t="s">
        <v>3293</v>
      </c>
      <c r="F1072" s="3"/>
      <c r="G1072" s="3"/>
      <c r="H1072" s="3"/>
      <c r="I1072" s="3"/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>
        <v>0.06</v>
      </c>
      <c r="P1072" s="3">
        <v>0</v>
      </c>
      <c r="Q1072" s="3">
        <v>0</v>
      </c>
      <c r="R1072" s="3">
        <v>0</v>
      </c>
    </row>
    <row r="1073" spans="1:18">
      <c r="A1073" s="3" t="s">
        <v>2228</v>
      </c>
      <c r="B1073" s="3" t="s">
        <v>2229</v>
      </c>
      <c r="C1073" s="3" t="s">
        <v>2229</v>
      </c>
      <c r="D1073" s="3" t="s">
        <v>2230</v>
      </c>
      <c r="E1073" s="3" t="s">
        <v>867</v>
      </c>
      <c r="F1073" s="3">
        <v>39.98</v>
      </c>
      <c r="G1073" s="3" t="s">
        <v>3391</v>
      </c>
      <c r="H1073" s="3"/>
      <c r="I1073" s="3" t="s">
        <v>3392</v>
      </c>
      <c r="J1073" s="3">
        <v>1</v>
      </c>
      <c r="K1073" s="3">
        <v>1</v>
      </c>
      <c r="L1073" s="3">
        <v>0</v>
      </c>
      <c r="M1073" s="3">
        <v>0</v>
      </c>
      <c r="N1073" s="3">
        <v>1</v>
      </c>
      <c r="O1073" s="3">
        <v>0.17</v>
      </c>
      <c r="P1073" s="3">
        <v>0</v>
      </c>
      <c r="Q1073" s="3">
        <v>0</v>
      </c>
      <c r="R1073" s="3">
        <v>0</v>
      </c>
    </row>
    <row r="1074" spans="1:18">
      <c r="A1074" s="3" t="s">
        <v>4900</v>
      </c>
      <c r="B1074" s="3" t="s">
        <v>3361</v>
      </c>
      <c r="C1074" s="3" t="s">
        <v>3361</v>
      </c>
      <c r="D1074" s="3" t="s">
        <v>4901</v>
      </c>
      <c r="E1074" s="3" t="s">
        <v>3293</v>
      </c>
      <c r="F1074" s="3"/>
      <c r="G1074" s="3"/>
      <c r="H1074" s="3"/>
      <c r="I1074" s="3"/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>
        <v>0.08</v>
      </c>
      <c r="P1074" s="3">
        <v>0</v>
      </c>
      <c r="Q1074" s="3">
        <v>0</v>
      </c>
      <c r="R1074" s="3">
        <v>0</v>
      </c>
    </row>
    <row r="1075" spans="1:18">
      <c r="A1075" s="3" t="s">
        <v>4902</v>
      </c>
      <c r="B1075" s="3" t="s">
        <v>3363</v>
      </c>
      <c r="C1075" s="3" t="s">
        <v>3363</v>
      </c>
      <c r="D1075" s="3" t="s">
        <v>4903</v>
      </c>
      <c r="E1075" s="3" t="s">
        <v>867</v>
      </c>
      <c r="F1075" s="3">
        <v>39.98</v>
      </c>
      <c r="G1075" s="3" t="s">
        <v>3391</v>
      </c>
      <c r="H1075" s="3"/>
      <c r="I1075" s="3" t="s">
        <v>3392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0.17</v>
      </c>
      <c r="P1075" s="3">
        <v>0</v>
      </c>
      <c r="Q1075" s="3">
        <v>0</v>
      </c>
      <c r="R1075" s="3">
        <v>0</v>
      </c>
    </row>
    <row r="1076" spans="1:18">
      <c r="A1076" s="3" t="s">
        <v>4904</v>
      </c>
      <c r="B1076" s="3" t="s">
        <v>3365</v>
      </c>
      <c r="C1076" s="3" t="s">
        <v>3365</v>
      </c>
      <c r="D1076" s="3" t="s">
        <v>4905</v>
      </c>
      <c r="E1076" s="3" t="s">
        <v>867</v>
      </c>
      <c r="F1076" s="3">
        <v>39.98</v>
      </c>
      <c r="G1076" s="3" t="s">
        <v>3391</v>
      </c>
      <c r="H1076" s="3"/>
      <c r="I1076" s="3" t="s">
        <v>3392</v>
      </c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>
        <v>0.17</v>
      </c>
      <c r="P1076" s="3">
        <v>0</v>
      </c>
      <c r="Q1076" s="3">
        <v>0</v>
      </c>
      <c r="R1076" s="3">
        <v>0</v>
      </c>
    </row>
    <row r="1077" spans="1:18">
      <c r="A1077" s="3" t="s">
        <v>4906</v>
      </c>
      <c r="B1077" s="3" t="s">
        <v>3367</v>
      </c>
      <c r="C1077" s="3" t="s">
        <v>3367</v>
      </c>
      <c r="D1077" s="3" t="s">
        <v>4907</v>
      </c>
      <c r="E1077" s="3" t="s">
        <v>867</v>
      </c>
      <c r="F1077" s="3">
        <v>39.98</v>
      </c>
      <c r="G1077" s="3" t="s">
        <v>3391</v>
      </c>
      <c r="H1077" s="3"/>
      <c r="I1077" s="3" t="s">
        <v>3392</v>
      </c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>
        <v>0.17</v>
      </c>
      <c r="P1077" s="3">
        <v>0</v>
      </c>
      <c r="Q1077" s="3">
        <v>0</v>
      </c>
      <c r="R1077" s="3">
        <v>0</v>
      </c>
    </row>
    <row r="1078" spans="1:18">
      <c r="A1078" s="3" t="s">
        <v>1956</v>
      </c>
      <c r="B1078" s="3" t="s">
        <v>1957</v>
      </c>
      <c r="C1078" s="3" t="s">
        <v>1957</v>
      </c>
      <c r="D1078" s="3" t="s">
        <v>1958</v>
      </c>
      <c r="E1078" s="3" t="s">
        <v>867</v>
      </c>
      <c r="F1078" s="3">
        <v>39.98</v>
      </c>
      <c r="G1078" s="3" t="s">
        <v>3391</v>
      </c>
      <c r="H1078" s="3"/>
      <c r="I1078" s="3" t="s">
        <v>3392</v>
      </c>
      <c r="J1078" s="3">
        <v>1</v>
      </c>
      <c r="K1078" s="3">
        <v>1</v>
      </c>
      <c r="L1078" s="3">
        <v>0</v>
      </c>
      <c r="M1078" s="3">
        <v>0</v>
      </c>
      <c r="N1078" s="3">
        <v>1</v>
      </c>
      <c r="O1078" s="3">
        <v>0.17</v>
      </c>
      <c r="P1078" s="3">
        <v>0</v>
      </c>
      <c r="Q1078" s="3">
        <v>0</v>
      </c>
      <c r="R1078" s="3">
        <v>0</v>
      </c>
    </row>
    <row r="1079" spans="1:18">
      <c r="A1079" s="3" t="s">
        <v>1051</v>
      </c>
      <c r="B1079" s="3" t="s">
        <v>1052</v>
      </c>
      <c r="C1079" s="3" t="s">
        <v>1052</v>
      </c>
      <c r="D1079" s="3" t="s">
        <v>1053</v>
      </c>
      <c r="E1079" s="3" t="s">
        <v>867</v>
      </c>
      <c r="F1079" s="3">
        <v>39.98</v>
      </c>
      <c r="G1079" s="3" t="s">
        <v>3391</v>
      </c>
      <c r="H1079" s="3"/>
      <c r="I1079" s="3" t="s">
        <v>3392</v>
      </c>
      <c r="J1079" s="3">
        <v>4</v>
      </c>
      <c r="K1079" s="3">
        <v>4</v>
      </c>
      <c r="L1079" s="3">
        <v>0</v>
      </c>
      <c r="M1079" s="3">
        <v>0</v>
      </c>
      <c r="N1079" s="3">
        <v>4</v>
      </c>
      <c r="O1079" s="3">
        <v>0.12</v>
      </c>
      <c r="P1079" s="3">
        <v>0</v>
      </c>
      <c r="Q1079" s="3">
        <v>0</v>
      </c>
      <c r="R1079" s="3">
        <v>0</v>
      </c>
    </row>
    <row r="1080" spans="1:18">
      <c r="A1080" s="3" t="s">
        <v>4908</v>
      </c>
      <c r="B1080" s="3" t="s">
        <v>3371</v>
      </c>
      <c r="C1080" s="3" t="s">
        <v>3371</v>
      </c>
      <c r="D1080" s="3" t="s">
        <v>4909</v>
      </c>
      <c r="E1080" s="3" t="s">
        <v>867</v>
      </c>
      <c r="F1080" s="3">
        <v>39.98</v>
      </c>
      <c r="G1080" s="3" t="s">
        <v>3391</v>
      </c>
      <c r="H1080" s="3"/>
      <c r="I1080" s="3" t="s">
        <v>3392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0.17</v>
      </c>
      <c r="P1080" s="3">
        <v>0</v>
      </c>
      <c r="Q1080" s="3">
        <v>0</v>
      </c>
      <c r="R1080" s="3">
        <v>0</v>
      </c>
    </row>
    <row r="1081" spans="1:18">
      <c r="A1081" s="3" t="s">
        <v>1419</v>
      </c>
      <c r="B1081" s="3" t="s">
        <v>1420</v>
      </c>
      <c r="C1081" s="3" t="s">
        <v>1420</v>
      </c>
      <c r="D1081" s="3" t="s">
        <v>4910</v>
      </c>
      <c r="E1081" s="3" t="s">
        <v>867</v>
      </c>
      <c r="F1081" s="3">
        <v>39.98</v>
      </c>
      <c r="G1081" s="3" t="s">
        <v>3391</v>
      </c>
      <c r="H1081" s="3"/>
      <c r="I1081" s="3" t="s">
        <v>3392</v>
      </c>
      <c r="J1081" s="3">
        <v>1</v>
      </c>
      <c r="K1081" s="3">
        <v>1</v>
      </c>
      <c r="L1081" s="3">
        <v>0</v>
      </c>
      <c r="M1081" s="3">
        <v>0</v>
      </c>
      <c r="N1081" s="3">
        <v>1</v>
      </c>
      <c r="O1081" s="3">
        <v>0.17</v>
      </c>
      <c r="P1081" s="3">
        <v>0</v>
      </c>
      <c r="Q1081" s="3">
        <v>0</v>
      </c>
      <c r="R1081" s="3">
        <v>0</v>
      </c>
    </row>
    <row r="1082" spans="1:18">
      <c r="A1082" s="3" t="s">
        <v>4911</v>
      </c>
      <c r="B1082" s="3" t="s">
        <v>420</v>
      </c>
      <c r="C1082" s="3" t="s">
        <v>420</v>
      </c>
      <c r="D1082" s="3" t="s">
        <v>421</v>
      </c>
      <c r="E1082" s="3" t="s">
        <v>867</v>
      </c>
      <c r="F1082" s="3">
        <v>39.98</v>
      </c>
      <c r="G1082" s="3" t="s">
        <v>3391</v>
      </c>
      <c r="H1082" s="3"/>
      <c r="I1082" s="3" t="s">
        <v>3392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0.17</v>
      </c>
      <c r="P1082" s="3">
        <v>0</v>
      </c>
      <c r="Q1082" s="3">
        <v>0</v>
      </c>
      <c r="R1082" s="3">
        <v>0</v>
      </c>
    </row>
    <row r="1083" spans="1:18">
      <c r="A1083" s="3" t="s">
        <v>1155</v>
      </c>
      <c r="B1083" s="3" t="s">
        <v>1156</v>
      </c>
      <c r="C1083" s="3" t="s">
        <v>1156</v>
      </c>
      <c r="D1083" s="3" t="s">
        <v>4912</v>
      </c>
      <c r="E1083" s="3" t="s">
        <v>867</v>
      </c>
      <c r="F1083" s="3">
        <v>39.98</v>
      </c>
      <c r="G1083" s="3" t="s">
        <v>3391</v>
      </c>
      <c r="H1083" s="3"/>
      <c r="I1083" s="3" t="s">
        <v>3392</v>
      </c>
      <c r="J1083" s="3">
        <v>2</v>
      </c>
      <c r="K1083" s="3">
        <v>2</v>
      </c>
      <c r="L1083" s="3">
        <v>0</v>
      </c>
      <c r="M1083" s="3">
        <v>0</v>
      </c>
      <c r="N1083" s="3">
        <v>2</v>
      </c>
      <c r="O1083" s="3">
        <v>0.09</v>
      </c>
      <c r="P1083" s="3">
        <v>0</v>
      </c>
      <c r="Q1083" s="3">
        <v>0</v>
      </c>
      <c r="R1083" s="3">
        <v>0</v>
      </c>
    </row>
    <row r="1084" spans="1:18">
      <c r="A1084" s="3" t="s">
        <v>2329</v>
      </c>
      <c r="B1084" s="3" t="s">
        <v>2330</v>
      </c>
      <c r="C1084" s="3" t="s">
        <v>2330</v>
      </c>
      <c r="D1084" s="3" t="s">
        <v>4913</v>
      </c>
      <c r="E1084" s="3" t="s">
        <v>867</v>
      </c>
      <c r="F1084" s="3">
        <v>39.98</v>
      </c>
      <c r="G1084" s="3" t="s">
        <v>3391</v>
      </c>
      <c r="H1084" s="3"/>
      <c r="I1084" s="3" t="s">
        <v>3392</v>
      </c>
      <c r="J1084" s="3">
        <v>2</v>
      </c>
      <c r="K1084" s="3">
        <v>2</v>
      </c>
      <c r="L1084" s="3">
        <v>0</v>
      </c>
      <c r="M1084" s="3">
        <v>0</v>
      </c>
      <c r="N1084" s="3">
        <v>2</v>
      </c>
      <c r="O1084" s="3">
        <v>0.17</v>
      </c>
      <c r="P1084" s="3">
        <v>0</v>
      </c>
      <c r="Q1084" s="3">
        <v>0</v>
      </c>
      <c r="R1084" s="3">
        <v>0</v>
      </c>
    </row>
    <row r="1085" spans="1:18">
      <c r="A1085" s="3" t="s">
        <v>4914</v>
      </c>
      <c r="B1085" s="3" t="s">
        <v>3377</v>
      </c>
      <c r="C1085" s="3" t="s">
        <v>3377</v>
      </c>
      <c r="D1085" s="3"/>
      <c r="E1085" s="3" t="s">
        <v>3293</v>
      </c>
      <c r="F1085" s="3"/>
      <c r="G1085" s="3"/>
      <c r="H1085" s="3"/>
      <c r="I1085" s="3"/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4915</v>
      </c>
      <c r="B1086" s="3" t="s">
        <v>3379</v>
      </c>
      <c r="C1086" s="3" t="s">
        <v>3379</v>
      </c>
      <c r="D1086" s="3"/>
      <c r="E1086" s="3" t="s">
        <v>3293</v>
      </c>
      <c r="F1086" s="3"/>
      <c r="G1086" s="3"/>
      <c r="H1086" s="3"/>
      <c r="I1086" s="3"/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4916</v>
      </c>
      <c r="B1087" s="3" t="s">
        <v>3381</v>
      </c>
      <c r="C1087" s="3" t="s">
        <v>3381</v>
      </c>
      <c r="D1087" s="3" t="s">
        <v>4917</v>
      </c>
      <c r="E1087" s="3" t="s">
        <v>867</v>
      </c>
      <c r="F1087" s="3">
        <v>39.98</v>
      </c>
      <c r="G1087" s="3" t="s">
        <v>3391</v>
      </c>
      <c r="H1087" s="3"/>
      <c r="I1087" s="3" t="s">
        <v>3392</v>
      </c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>
        <v>0.17</v>
      </c>
      <c r="P1087" s="3">
        <v>0</v>
      </c>
      <c r="Q1087" s="3">
        <v>0</v>
      </c>
      <c r="R1087" s="3">
        <v>0</v>
      </c>
    </row>
    <row r="1088" spans="1:18">
      <c r="A1088" s="3" t="s">
        <v>4918</v>
      </c>
      <c r="B1088" s="3" t="s">
        <v>3383</v>
      </c>
      <c r="C1088" s="3" t="s">
        <v>3383</v>
      </c>
      <c r="D1088" s="3"/>
      <c r="E1088" s="3" t="s">
        <v>3293</v>
      </c>
      <c r="F1088" s="3"/>
      <c r="G1088" s="3"/>
      <c r="H1088" s="3"/>
      <c r="I1088" s="3"/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4919</v>
      </c>
      <c r="B1089" s="3" t="s">
        <v>3385</v>
      </c>
      <c r="C1089" s="3" t="s">
        <v>3385</v>
      </c>
      <c r="D1089" s="3"/>
      <c r="E1089" s="3" t="s">
        <v>3293</v>
      </c>
      <c r="F1089" s="3"/>
      <c r="G1089" s="3"/>
      <c r="H1089" s="3"/>
      <c r="I1089" s="3"/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1192</v>
      </c>
      <c r="B1090" s="3" t="s">
        <v>1193</v>
      </c>
      <c r="C1090" s="3" t="s">
        <v>1193</v>
      </c>
      <c r="D1090" s="3" t="s">
        <v>1194</v>
      </c>
      <c r="E1090" s="3" t="s">
        <v>867</v>
      </c>
      <c r="F1090" s="3">
        <v>39.98</v>
      </c>
      <c r="G1090" s="3" t="s">
        <v>3391</v>
      </c>
      <c r="H1090" s="3"/>
      <c r="I1090" s="3" t="s">
        <v>3392</v>
      </c>
      <c r="J1090" s="3">
        <v>2</v>
      </c>
      <c r="K1090" s="3">
        <v>2</v>
      </c>
      <c r="L1090" s="3">
        <v>0</v>
      </c>
      <c r="M1090" s="3">
        <v>0</v>
      </c>
      <c r="N1090" s="3">
        <v>2</v>
      </c>
      <c r="O1090" s="3">
        <v>0.03</v>
      </c>
      <c r="P1090" s="3">
        <v>0</v>
      </c>
      <c r="Q1090" s="3">
        <v>0</v>
      </c>
      <c r="R1090" s="3">
        <v>0</v>
      </c>
    </row>
    <row r="1091" spans="1:18">
      <c r="A1091" s="3" t="s">
        <v>4920</v>
      </c>
      <c r="B1091" s="3" t="s">
        <v>1827</v>
      </c>
      <c r="C1091" s="3" t="s">
        <v>1827</v>
      </c>
      <c r="D1091" s="3"/>
      <c r="E1091" s="3" t="s">
        <v>3293</v>
      </c>
      <c r="F1091" s="3"/>
      <c r="G1091" s="3"/>
      <c r="H1091" s="3"/>
      <c r="I1091" s="3"/>
      <c r="J1091" s="3">
        <v>5</v>
      </c>
      <c r="K1091" s="3">
        <v>5</v>
      </c>
      <c r="L1091" s="3">
        <v>0</v>
      </c>
      <c r="M1091" s="3">
        <v>0</v>
      </c>
      <c r="N1091" s="3">
        <v>5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1981</v>
      </c>
      <c r="B1092" s="3" t="s">
        <v>1982</v>
      </c>
      <c r="C1092" s="3" t="s">
        <v>1982</v>
      </c>
      <c r="D1092" s="3" t="s">
        <v>1983</v>
      </c>
      <c r="E1092" s="3" t="s">
        <v>867</v>
      </c>
      <c r="F1092" s="3">
        <v>23.98</v>
      </c>
      <c r="G1092" s="3" t="s">
        <v>3391</v>
      </c>
      <c r="H1092" s="3"/>
      <c r="I1092" s="3" t="s">
        <v>3392</v>
      </c>
      <c r="J1092" s="3">
        <v>30</v>
      </c>
      <c r="K1092" s="3">
        <v>30</v>
      </c>
      <c r="L1092" s="3">
        <v>0</v>
      </c>
      <c r="M1092" s="3">
        <v>0</v>
      </c>
      <c r="N1092" s="3">
        <v>30</v>
      </c>
      <c r="O1092" s="3">
        <v>0.17</v>
      </c>
      <c r="P1092" s="3">
        <v>0</v>
      </c>
      <c r="Q1092" s="3">
        <v>0</v>
      </c>
      <c r="R1092" s="3">
        <v>0</v>
      </c>
    </row>
    <row r="1093" spans="1:18">
      <c r="A1093" s="3" t="s">
        <v>422</v>
      </c>
      <c r="B1093" s="3" t="s">
        <v>21</v>
      </c>
      <c r="C1093" s="3" t="s">
        <v>21</v>
      </c>
      <c r="D1093" s="3" t="s">
        <v>22</v>
      </c>
      <c r="E1093" s="3" t="s">
        <v>867</v>
      </c>
      <c r="F1093" s="3">
        <v>39.98</v>
      </c>
      <c r="G1093" s="3" t="s">
        <v>3391</v>
      </c>
      <c r="H1093" s="3"/>
      <c r="I1093" s="3" t="s">
        <v>3392</v>
      </c>
      <c r="J1093" s="3">
        <v>1</v>
      </c>
      <c r="K1093" s="3">
        <v>0</v>
      </c>
      <c r="L1093" s="3">
        <v>0</v>
      </c>
      <c r="M1093" s="3">
        <v>1</v>
      </c>
      <c r="N1093" s="3">
        <v>1</v>
      </c>
      <c r="O1093" s="3">
        <v>0.17</v>
      </c>
      <c r="P1093" s="3">
        <v>0</v>
      </c>
      <c r="Q1093" s="3">
        <v>0</v>
      </c>
      <c r="R1093" s="3">
        <v>0</v>
      </c>
    </row>
    <row r="1094" spans="1:18">
      <c r="A1094" s="3" t="s">
        <v>4921</v>
      </c>
      <c r="B1094" s="3" t="s">
        <v>4614</v>
      </c>
      <c r="C1094" s="3" t="s">
        <v>4614</v>
      </c>
      <c r="D1094" s="3"/>
      <c r="E1094" s="3" t="s">
        <v>3293</v>
      </c>
      <c r="F1094" s="3"/>
      <c r="G1094" s="3"/>
      <c r="H1094" s="3"/>
      <c r="I1094" s="3"/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913</v>
      </c>
      <c r="B1095" s="3" t="s">
        <v>914</v>
      </c>
      <c r="C1095" s="3" t="s">
        <v>914</v>
      </c>
      <c r="D1095" s="3" t="s">
        <v>623</v>
      </c>
      <c r="E1095" s="3" t="s">
        <v>867</v>
      </c>
      <c r="F1095" s="3">
        <v>23.98</v>
      </c>
      <c r="G1095" s="3" t="s">
        <v>3392</v>
      </c>
      <c r="H1095" s="3">
        <v>0</v>
      </c>
      <c r="I1095" s="3" t="s">
        <v>3391</v>
      </c>
      <c r="J1095" s="3">
        <v>2</v>
      </c>
      <c r="K1095" s="3">
        <v>2</v>
      </c>
      <c r="L1095" s="3">
        <v>0</v>
      </c>
      <c r="M1095" s="3">
        <v>0</v>
      </c>
      <c r="N1095" s="3">
        <v>2</v>
      </c>
      <c r="O1095" s="3">
        <v>0.09</v>
      </c>
      <c r="P1095" s="3">
        <v>0</v>
      </c>
      <c r="Q1095" s="3">
        <v>0</v>
      </c>
      <c r="R1095" s="3">
        <v>0</v>
      </c>
    </row>
    <row r="1096" spans="1:18">
      <c r="A1096" s="3" t="s">
        <v>1896</v>
      </c>
      <c r="B1096" s="3" t="s">
        <v>1897</v>
      </c>
      <c r="C1096" s="3" t="s">
        <v>1897</v>
      </c>
      <c r="D1096" s="3" t="s">
        <v>1898</v>
      </c>
      <c r="E1096" s="3" t="s">
        <v>867</v>
      </c>
      <c r="F1096" s="3">
        <v>12.98</v>
      </c>
      <c r="G1096" s="3" t="s">
        <v>3391</v>
      </c>
      <c r="H1096" s="3"/>
      <c r="I1096" s="3" t="s">
        <v>3392</v>
      </c>
      <c r="J1096" s="3">
        <v>5</v>
      </c>
      <c r="K1096" s="3">
        <v>5</v>
      </c>
      <c r="L1096" s="3">
        <v>0</v>
      </c>
      <c r="M1096" s="3">
        <v>0</v>
      </c>
      <c r="N1096" s="3">
        <v>5</v>
      </c>
      <c r="O1096" s="3">
        <v>0.11</v>
      </c>
      <c r="P1096" s="3">
        <v>0</v>
      </c>
      <c r="Q1096" s="3">
        <v>0</v>
      </c>
      <c r="R1096" s="3">
        <v>0</v>
      </c>
    </row>
    <row r="1097" spans="1:18">
      <c r="A1097" s="3" t="s">
        <v>2827</v>
      </c>
      <c r="B1097" s="3" t="s">
        <v>2828</v>
      </c>
      <c r="C1097" s="3" t="s">
        <v>2828</v>
      </c>
      <c r="D1097" s="3" t="s">
        <v>1329</v>
      </c>
      <c r="E1097" s="3" t="s">
        <v>867</v>
      </c>
      <c r="F1097" s="3">
        <v>22.98</v>
      </c>
      <c r="G1097" s="3" t="s">
        <v>3392</v>
      </c>
      <c r="H1097" s="3">
        <v>0</v>
      </c>
      <c r="I1097" s="3" t="s">
        <v>3391</v>
      </c>
      <c r="J1097" s="3">
        <v>1</v>
      </c>
      <c r="K1097" s="3">
        <v>1</v>
      </c>
      <c r="L1097" s="3">
        <v>0</v>
      </c>
      <c r="M1097" s="3">
        <v>0</v>
      </c>
      <c r="N1097" s="3">
        <v>1</v>
      </c>
      <c r="O1097" s="3">
        <v>0.16</v>
      </c>
      <c r="P1097" s="3">
        <v>0</v>
      </c>
      <c r="Q1097" s="3">
        <v>0</v>
      </c>
      <c r="R1097" s="3">
        <v>0</v>
      </c>
    </row>
    <row r="1098" spans="1:18">
      <c r="A1098" s="3" t="s">
        <v>1863</v>
      </c>
      <c r="B1098" s="3" t="s">
        <v>1864</v>
      </c>
      <c r="C1098" s="3" t="s">
        <v>1864</v>
      </c>
      <c r="D1098" s="3" t="s">
        <v>1865</v>
      </c>
      <c r="E1098" s="3" t="s">
        <v>867</v>
      </c>
      <c r="F1098" s="3">
        <v>23.98</v>
      </c>
      <c r="G1098" s="3" t="s">
        <v>3391</v>
      </c>
      <c r="H1098" s="3"/>
      <c r="I1098" s="3" t="s">
        <v>3392</v>
      </c>
      <c r="J1098" s="3">
        <v>5</v>
      </c>
      <c r="K1098" s="3">
        <v>5</v>
      </c>
      <c r="L1098" s="3">
        <v>0</v>
      </c>
      <c r="M1098" s="3">
        <v>0</v>
      </c>
      <c r="N1098" s="3">
        <v>5</v>
      </c>
      <c r="O1098" s="3">
        <v>0.09</v>
      </c>
      <c r="P1098" s="3">
        <v>0</v>
      </c>
      <c r="Q1098" s="3">
        <v>0</v>
      </c>
      <c r="R1098" s="3">
        <v>0</v>
      </c>
    </row>
    <row r="1099" spans="1:18">
      <c r="A1099" s="3" t="s">
        <v>1454</v>
      </c>
      <c r="B1099" s="3" t="s">
        <v>1455</v>
      </c>
      <c r="C1099" s="3" t="s">
        <v>1455</v>
      </c>
      <c r="D1099" s="3" t="s">
        <v>1456</v>
      </c>
      <c r="E1099" s="3" t="s">
        <v>867</v>
      </c>
      <c r="F1099" s="3">
        <v>23.98</v>
      </c>
      <c r="G1099" s="3" t="s">
        <v>3391</v>
      </c>
      <c r="H1099" s="3"/>
      <c r="I1099" s="3" t="s">
        <v>3392</v>
      </c>
      <c r="J1099" s="3">
        <v>8</v>
      </c>
      <c r="K1099" s="3">
        <v>8</v>
      </c>
      <c r="L1099" s="3">
        <v>0</v>
      </c>
      <c r="M1099" s="3">
        <v>0</v>
      </c>
      <c r="N1099" s="3">
        <v>8</v>
      </c>
      <c r="O1099" s="3">
        <v>0.11</v>
      </c>
      <c r="P1099" s="3">
        <v>0</v>
      </c>
      <c r="Q1099" s="3">
        <v>0</v>
      </c>
      <c r="R1099" s="3">
        <v>0</v>
      </c>
    </row>
    <row r="1100" spans="1:18">
      <c r="A1100" s="3" t="s">
        <v>1289</v>
      </c>
      <c r="B1100" s="3" t="s">
        <v>1290</v>
      </c>
      <c r="C1100" s="3" t="s">
        <v>1290</v>
      </c>
      <c r="D1100" s="3" t="s">
        <v>1291</v>
      </c>
      <c r="E1100" s="3" t="s">
        <v>867</v>
      </c>
      <c r="F1100" s="3">
        <v>23.98</v>
      </c>
      <c r="G1100" s="3" t="s">
        <v>3391</v>
      </c>
      <c r="H1100" s="3"/>
      <c r="I1100" s="3" t="s">
        <v>3392</v>
      </c>
      <c r="J1100" s="3">
        <v>5</v>
      </c>
      <c r="K1100" s="3">
        <v>5</v>
      </c>
      <c r="L1100" s="3">
        <v>0</v>
      </c>
      <c r="M1100" s="3">
        <v>0</v>
      </c>
      <c r="N1100" s="3">
        <v>5</v>
      </c>
      <c r="O1100" s="3">
        <v>0.1</v>
      </c>
      <c r="P1100" s="3">
        <v>0</v>
      </c>
      <c r="Q1100" s="3">
        <v>0</v>
      </c>
      <c r="R1100" s="3">
        <v>0</v>
      </c>
    </row>
    <row r="1101" spans="1:18">
      <c r="A1101" s="3" t="s">
        <v>2174</v>
      </c>
      <c r="B1101" s="3" t="s">
        <v>2175</v>
      </c>
      <c r="C1101" s="3" t="s">
        <v>2175</v>
      </c>
      <c r="D1101" s="3" t="s">
        <v>2176</v>
      </c>
      <c r="E1101" s="3" t="s">
        <v>867</v>
      </c>
      <c r="F1101" s="3">
        <v>23.98</v>
      </c>
      <c r="G1101" s="3" t="s">
        <v>3391</v>
      </c>
      <c r="H1101" s="3"/>
      <c r="I1101" s="3" t="s">
        <v>3392</v>
      </c>
      <c r="J1101" s="3">
        <v>5</v>
      </c>
      <c r="K1101" s="3">
        <v>5</v>
      </c>
      <c r="L1101" s="3">
        <v>0</v>
      </c>
      <c r="M1101" s="3">
        <v>0</v>
      </c>
      <c r="N1101" s="3">
        <v>5</v>
      </c>
      <c r="O1101" s="3">
        <v>0.17</v>
      </c>
      <c r="P1101" s="3">
        <v>0</v>
      </c>
      <c r="Q1101" s="3">
        <v>0</v>
      </c>
      <c r="R1101" s="3">
        <v>0</v>
      </c>
    </row>
    <row r="1102" spans="1:18">
      <c r="A1102" s="3" t="s">
        <v>2158</v>
      </c>
      <c r="B1102" s="3" t="s">
        <v>2159</v>
      </c>
      <c r="C1102" s="3" t="s">
        <v>2159</v>
      </c>
      <c r="D1102" s="3" t="s">
        <v>2160</v>
      </c>
      <c r="E1102" s="3" t="s">
        <v>867</v>
      </c>
      <c r="F1102" s="3">
        <v>23.98</v>
      </c>
      <c r="G1102" s="3" t="s">
        <v>3391</v>
      </c>
      <c r="H1102" s="3"/>
      <c r="I1102" s="3" t="s">
        <v>3392</v>
      </c>
      <c r="J1102" s="3">
        <v>23</v>
      </c>
      <c r="K1102" s="3">
        <v>22</v>
      </c>
      <c r="L1102" s="3">
        <v>1</v>
      </c>
      <c r="M1102" s="3">
        <v>0</v>
      </c>
      <c r="N1102" s="3">
        <v>23</v>
      </c>
      <c r="O1102" s="3">
        <v>0.08</v>
      </c>
      <c r="P1102" s="3">
        <v>0</v>
      </c>
      <c r="Q1102" s="3">
        <v>0</v>
      </c>
      <c r="R1102" s="3">
        <v>0</v>
      </c>
    </row>
    <row r="1103" spans="1:18">
      <c r="A1103" s="3" t="s">
        <v>1133</v>
      </c>
      <c r="B1103" s="3" t="s">
        <v>427</v>
      </c>
      <c r="C1103" s="3" t="s">
        <v>427</v>
      </c>
      <c r="D1103" s="3" t="s">
        <v>428</v>
      </c>
      <c r="E1103" s="3" t="s">
        <v>867</v>
      </c>
      <c r="F1103" s="3">
        <v>39.98</v>
      </c>
      <c r="G1103" s="3" t="s">
        <v>3391</v>
      </c>
      <c r="H1103" s="3"/>
      <c r="I1103" s="3" t="s">
        <v>3392</v>
      </c>
      <c r="J1103" s="3">
        <v>8</v>
      </c>
      <c r="K1103" s="3">
        <v>4</v>
      </c>
      <c r="L1103" s="3">
        <v>0</v>
      </c>
      <c r="M1103" s="3">
        <v>4</v>
      </c>
      <c r="N1103" s="3">
        <v>8</v>
      </c>
      <c r="O1103" s="3">
        <v>0.07</v>
      </c>
      <c r="P1103" s="3">
        <v>0</v>
      </c>
      <c r="Q1103" s="3">
        <v>0</v>
      </c>
      <c r="R1103" s="3">
        <v>0</v>
      </c>
    </row>
    <row r="1104" spans="1:18">
      <c r="A1104" s="3" t="s">
        <v>1963</v>
      </c>
      <c r="B1104" s="3" t="s">
        <v>1964</v>
      </c>
      <c r="C1104" s="3" t="s">
        <v>1964</v>
      </c>
      <c r="D1104" s="3" t="s">
        <v>474</v>
      </c>
      <c r="E1104" s="3" t="s">
        <v>867</v>
      </c>
      <c r="F1104" s="3">
        <v>22.98</v>
      </c>
      <c r="G1104" s="3" t="s">
        <v>3392</v>
      </c>
      <c r="H1104" s="3">
        <v>0</v>
      </c>
      <c r="I1104" s="3" t="s">
        <v>3391</v>
      </c>
      <c r="J1104" s="3">
        <v>1</v>
      </c>
      <c r="K1104" s="3">
        <v>1</v>
      </c>
      <c r="L1104" s="3">
        <v>0</v>
      </c>
      <c r="M1104" s="3">
        <v>0</v>
      </c>
      <c r="N1104" s="3">
        <v>1</v>
      </c>
      <c r="O1104" s="3">
        <v>0.16</v>
      </c>
      <c r="P1104" s="3">
        <v>0</v>
      </c>
      <c r="Q1104" s="3">
        <v>0</v>
      </c>
      <c r="R1104" s="3">
        <v>0</v>
      </c>
    </row>
    <row r="1105" spans="1:18">
      <c r="A1105" s="3" t="s">
        <v>426</v>
      </c>
      <c r="B1105" s="3" t="s">
        <v>427</v>
      </c>
      <c r="C1105" s="3" t="s">
        <v>427</v>
      </c>
      <c r="D1105" s="3" t="s">
        <v>428</v>
      </c>
      <c r="E1105" s="3" t="s">
        <v>867</v>
      </c>
      <c r="F1105" s="3">
        <v>23.98</v>
      </c>
      <c r="G1105" s="3" t="s">
        <v>3391</v>
      </c>
      <c r="H1105" s="3"/>
      <c r="I1105" s="3" t="s">
        <v>3392</v>
      </c>
      <c r="J1105" s="3">
        <v>8</v>
      </c>
      <c r="K1105" s="3">
        <v>4</v>
      </c>
      <c r="L1105" s="3">
        <v>0</v>
      </c>
      <c r="M1105" s="3">
        <v>4</v>
      </c>
      <c r="N1105" s="3">
        <v>8</v>
      </c>
      <c r="O1105" s="3">
        <v>0.07</v>
      </c>
      <c r="P1105" s="3">
        <v>0</v>
      </c>
      <c r="Q1105" s="3">
        <v>0</v>
      </c>
      <c r="R1105" s="3">
        <v>0</v>
      </c>
    </row>
    <row r="1106" spans="1:18">
      <c r="A1106" s="3" t="s">
        <v>1318</v>
      </c>
      <c r="B1106" s="3" t="s">
        <v>449</v>
      </c>
      <c r="C1106" s="3" t="s">
        <v>449</v>
      </c>
      <c r="D1106" s="3" t="s">
        <v>450</v>
      </c>
      <c r="E1106" s="3" t="s">
        <v>867</v>
      </c>
      <c r="F1106" s="3">
        <v>23.98</v>
      </c>
      <c r="G1106" s="3" t="s">
        <v>3391</v>
      </c>
      <c r="H1106" s="3"/>
      <c r="I1106" s="3" t="s">
        <v>3392</v>
      </c>
      <c r="J1106" s="3">
        <v>3</v>
      </c>
      <c r="K1106" s="3">
        <v>3</v>
      </c>
      <c r="L1106" s="3">
        <v>0</v>
      </c>
      <c r="M1106" s="3">
        <v>0</v>
      </c>
      <c r="N1106" s="3">
        <v>3</v>
      </c>
      <c r="O1106" s="3">
        <v>0.03</v>
      </c>
      <c r="P1106" s="3">
        <v>0</v>
      </c>
      <c r="Q1106" s="3">
        <v>0</v>
      </c>
      <c r="R1106" s="3">
        <v>0</v>
      </c>
    </row>
    <row r="1107" spans="1:18">
      <c r="A1107" s="3" t="s">
        <v>4922</v>
      </c>
      <c r="B1107" s="3" t="s">
        <v>4643</v>
      </c>
      <c r="C1107" s="3" t="s">
        <v>4643</v>
      </c>
      <c r="D1107" s="3"/>
      <c r="E1107" s="3" t="s">
        <v>3293</v>
      </c>
      <c r="F1107" s="3"/>
      <c r="G1107" s="3"/>
      <c r="H1107" s="3"/>
      <c r="I1107" s="3"/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/>
      <c r="P1107" s="3">
        <v>0</v>
      </c>
      <c r="Q1107" s="3">
        <v>0</v>
      </c>
      <c r="R1107" s="3">
        <v>0</v>
      </c>
    </row>
    <row r="1108" spans="1:18">
      <c r="A1108" s="3" t="s">
        <v>4923</v>
      </c>
      <c r="B1108" s="3" t="s">
        <v>4649</v>
      </c>
      <c r="C1108" s="3" t="s">
        <v>4649</v>
      </c>
      <c r="D1108" s="3" t="s">
        <v>4924</v>
      </c>
      <c r="E1108" s="3" t="s">
        <v>867</v>
      </c>
      <c r="F1108" s="3">
        <v>23.98</v>
      </c>
      <c r="G1108" s="3" t="s">
        <v>3391</v>
      </c>
      <c r="H1108" s="3"/>
      <c r="I1108" s="3" t="s">
        <v>3392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0.12</v>
      </c>
      <c r="P1108" s="3">
        <v>0</v>
      </c>
      <c r="Q1108" s="3">
        <v>0</v>
      </c>
      <c r="R1108" s="3">
        <v>0</v>
      </c>
    </row>
    <row r="1109" spans="1:18">
      <c r="A1109" s="3" t="s">
        <v>2851</v>
      </c>
      <c r="B1109" s="3" t="s">
        <v>2852</v>
      </c>
      <c r="C1109" s="3" t="s">
        <v>2852</v>
      </c>
      <c r="D1109" s="3" t="s">
        <v>2853</v>
      </c>
      <c r="E1109" s="3" t="s">
        <v>867</v>
      </c>
      <c r="F1109" s="3">
        <v>23.98</v>
      </c>
      <c r="G1109" s="3" t="s">
        <v>3391</v>
      </c>
      <c r="H1109" s="3"/>
      <c r="I1109" s="3" t="s">
        <v>3392</v>
      </c>
      <c r="J1109" s="3">
        <v>16</v>
      </c>
      <c r="K1109" s="3">
        <v>16</v>
      </c>
      <c r="L1109" s="3">
        <v>0</v>
      </c>
      <c r="M1109" s="3">
        <v>0</v>
      </c>
      <c r="N1109" s="3">
        <v>16</v>
      </c>
      <c r="O1109" s="3">
        <v>0.11</v>
      </c>
      <c r="P1109" s="3">
        <v>0</v>
      </c>
      <c r="Q1109" s="3">
        <v>0</v>
      </c>
      <c r="R1109" s="3">
        <v>0</v>
      </c>
    </row>
    <row r="1110" spans="1:18">
      <c r="A1110" s="3" t="s">
        <v>4925</v>
      </c>
      <c r="B1110" s="3" t="s">
        <v>4654</v>
      </c>
      <c r="C1110" s="3" t="s">
        <v>4654</v>
      </c>
      <c r="D1110" s="3" t="s">
        <v>4926</v>
      </c>
      <c r="E1110" s="3" t="s">
        <v>867</v>
      </c>
      <c r="F1110" s="3">
        <v>23.98</v>
      </c>
      <c r="G1110" s="3" t="s">
        <v>3391</v>
      </c>
      <c r="H1110" s="3"/>
      <c r="I1110" s="3" t="s">
        <v>3392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0.14</v>
      </c>
      <c r="P1110" s="3">
        <v>0</v>
      </c>
      <c r="Q1110" s="3">
        <v>0</v>
      </c>
      <c r="R1110" s="3">
        <v>0</v>
      </c>
    </row>
    <row r="1111" spans="1:18">
      <c r="A1111" s="3" t="s">
        <v>1628</v>
      </c>
      <c r="B1111" s="3" t="s">
        <v>1629</v>
      </c>
      <c r="C1111" s="3" t="s">
        <v>1629</v>
      </c>
      <c r="D1111" s="3" t="s">
        <v>1630</v>
      </c>
      <c r="E1111" s="3" t="s">
        <v>867</v>
      </c>
      <c r="F1111" s="3">
        <v>20.98</v>
      </c>
      <c r="G1111" s="3" t="s">
        <v>3391</v>
      </c>
      <c r="H1111" s="3"/>
      <c r="I1111" s="3" t="s">
        <v>3392</v>
      </c>
      <c r="J1111" s="3">
        <v>3</v>
      </c>
      <c r="K1111" s="3">
        <v>3</v>
      </c>
      <c r="L1111" s="3">
        <v>0</v>
      </c>
      <c r="M1111" s="3">
        <v>0</v>
      </c>
      <c r="N1111" s="3">
        <v>3</v>
      </c>
      <c r="O1111" s="3">
        <v>0.1</v>
      </c>
      <c r="P1111" s="3">
        <v>0</v>
      </c>
      <c r="Q1111" s="3">
        <v>0</v>
      </c>
      <c r="R1111" s="3">
        <v>0</v>
      </c>
    </row>
    <row r="1112" spans="1:18">
      <c r="A1112" s="3" t="s">
        <v>993</v>
      </c>
      <c r="B1112" s="3" t="s">
        <v>994</v>
      </c>
      <c r="C1112" s="3" t="s">
        <v>994</v>
      </c>
      <c r="D1112" s="3" t="s">
        <v>995</v>
      </c>
      <c r="E1112" s="3" t="s">
        <v>867</v>
      </c>
      <c r="F1112" s="3">
        <v>23.98</v>
      </c>
      <c r="G1112" s="3" t="s">
        <v>3391</v>
      </c>
      <c r="H1112" s="3"/>
      <c r="I1112" s="3" t="s">
        <v>3392</v>
      </c>
      <c r="J1112" s="3">
        <v>8</v>
      </c>
      <c r="K1112" s="3">
        <v>8</v>
      </c>
      <c r="L1112" s="3">
        <v>0</v>
      </c>
      <c r="M1112" s="3">
        <v>0</v>
      </c>
      <c r="N1112" s="3">
        <v>8</v>
      </c>
      <c r="O1112" s="3">
        <v>0.08</v>
      </c>
      <c r="P1112" s="3">
        <v>0</v>
      </c>
      <c r="Q1112" s="3">
        <v>0</v>
      </c>
      <c r="R1112" s="3">
        <v>0</v>
      </c>
    </row>
    <row r="1113" spans="1:18">
      <c r="A1113" s="3" t="s">
        <v>3243</v>
      </c>
      <c r="B1113" s="3" t="s">
        <v>3244</v>
      </c>
      <c r="C1113" s="3" t="s">
        <v>3244</v>
      </c>
      <c r="D1113" s="3" t="s">
        <v>3245</v>
      </c>
      <c r="E1113" s="3" t="s">
        <v>867</v>
      </c>
      <c r="F1113" s="3">
        <v>23.98</v>
      </c>
      <c r="G1113" s="3" t="s">
        <v>3391</v>
      </c>
      <c r="H1113" s="3"/>
      <c r="I1113" s="3" t="s">
        <v>3392</v>
      </c>
      <c r="J1113" s="3">
        <v>1</v>
      </c>
      <c r="K1113" s="3">
        <v>1</v>
      </c>
      <c r="L1113" s="3">
        <v>0</v>
      </c>
      <c r="M1113" s="3">
        <v>0</v>
      </c>
      <c r="N1113" s="3">
        <v>1</v>
      </c>
      <c r="O1113" s="3">
        <v>0.16</v>
      </c>
      <c r="P1113" s="3">
        <v>0</v>
      </c>
      <c r="Q1113" s="3">
        <v>0</v>
      </c>
      <c r="R1113" s="3">
        <v>0</v>
      </c>
    </row>
    <row r="1114" spans="1:18">
      <c r="A1114" s="3" t="s">
        <v>423</v>
      </c>
      <c r="B1114" s="3" t="s">
        <v>424</v>
      </c>
      <c r="C1114" s="3" t="s">
        <v>424</v>
      </c>
      <c r="D1114" s="3" t="s">
        <v>425</v>
      </c>
      <c r="E1114" s="3" t="s">
        <v>867</v>
      </c>
      <c r="F1114" s="3">
        <v>23.98</v>
      </c>
      <c r="G1114" s="3" t="s">
        <v>3391</v>
      </c>
      <c r="H1114" s="3"/>
      <c r="I1114" s="3" t="s">
        <v>3392</v>
      </c>
      <c r="J1114" s="3">
        <v>4</v>
      </c>
      <c r="K1114" s="3">
        <v>3</v>
      </c>
      <c r="L1114" s="3">
        <v>0</v>
      </c>
      <c r="M1114" s="3">
        <v>1</v>
      </c>
      <c r="N1114" s="3">
        <v>4</v>
      </c>
      <c r="O1114" s="3">
        <v>0.22</v>
      </c>
      <c r="P1114" s="3">
        <v>0</v>
      </c>
      <c r="Q1114" s="3">
        <v>0</v>
      </c>
      <c r="R1114" s="3">
        <v>0</v>
      </c>
    </row>
    <row r="1115" spans="1:18">
      <c r="A1115" s="3" t="s">
        <v>409</v>
      </c>
      <c r="B1115" s="3" t="s">
        <v>410</v>
      </c>
      <c r="C1115" s="3" t="s">
        <v>410</v>
      </c>
      <c r="D1115" s="3" t="s">
        <v>411</v>
      </c>
      <c r="E1115" s="3" t="s">
        <v>867</v>
      </c>
      <c r="F1115" s="3">
        <v>12.98</v>
      </c>
      <c r="G1115" s="3" t="s">
        <v>3391</v>
      </c>
      <c r="H1115" s="3"/>
      <c r="I1115" s="3" t="s">
        <v>3392</v>
      </c>
      <c r="J1115" s="3">
        <v>1</v>
      </c>
      <c r="K1115" s="3">
        <v>0</v>
      </c>
      <c r="L1115" s="3">
        <v>0</v>
      </c>
      <c r="M1115" s="3">
        <v>1</v>
      </c>
      <c r="N1115" s="3">
        <v>1</v>
      </c>
      <c r="O1115" s="3">
        <v>0.19</v>
      </c>
      <c r="P1115" s="3">
        <v>0</v>
      </c>
      <c r="Q1115" s="3">
        <v>0</v>
      </c>
      <c r="R1115" s="3">
        <v>0</v>
      </c>
    </row>
    <row r="1116" spans="1:18">
      <c r="A1116" s="3" t="s">
        <v>1703</v>
      </c>
      <c r="B1116" s="3" t="s">
        <v>1704</v>
      </c>
      <c r="C1116" s="3" t="s">
        <v>1704</v>
      </c>
      <c r="D1116" s="3" t="s">
        <v>1705</v>
      </c>
      <c r="E1116" s="3" t="s">
        <v>867</v>
      </c>
      <c r="F1116" s="3">
        <v>23.98</v>
      </c>
      <c r="G1116" s="3" t="s">
        <v>3391</v>
      </c>
      <c r="H1116" s="3"/>
      <c r="I1116" s="3" t="s">
        <v>3392</v>
      </c>
      <c r="J1116" s="3">
        <v>2</v>
      </c>
      <c r="K1116" s="3">
        <v>2</v>
      </c>
      <c r="L1116" s="3">
        <v>0</v>
      </c>
      <c r="M1116" s="3">
        <v>0</v>
      </c>
      <c r="N1116" s="3">
        <v>2</v>
      </c>
      <c r="O1116" s="3">
        <v>0.14</v>
      </c>
      <c r="P1116" s="3">
        <v>0</v>
      </c>
      <c r="Q1116" s="3">
        <v>0</v>
      </c>
      <c r="R1116" s="3">
        <v>0</v>
      </c>
    </row>
    <row r="1117" spans="1:18">
      <c r="A1117" s="3" t="s">
        <v>972</v>
      </c>
      <c r="B1117" s="3" t="s">
        <v>973</v>
      </c>
      <c r="C1117" s="3" t="s">
        <v>973</v>
      </c>
      <c r="D1117" s="3" t="s">
        <v>974</v>
      </c>
      <c r="E1117" s="3" t="s">
        <v>867</v>
      </c>
      <c r="F1117" s="3">
        <v>23.98</v>
      </c>
      <c r="G1117" s="3" t="s">
        <v>3391</v>
      </c>
      <c r="H1117" s="3"/>
      <c r="I1117" s="3" t="s">
        <v>3392</v>
      </c>
      <c r="J1117" s="3">
        <v>4</v>
      </c>
      <c r="K1117" s="3">
        <v>4</v>
      </c>
      <c r="L1117" s="3">
        <v>0</v>
      </c>
      <c r="M1117" s="3">
        <v>0</v>
      </c>
      <c r="N1117" s="3">
        <v>4</v>
      </c>
      <c r="O1117" s="3">
        <v>0.12</v>
      </c>
      <c r="P1117" s="3">
        <v>0</v>
      </c>
      <c r="Q1117" s="3">
        <v>0</v>
      </c>
      <c r="R1117" s="3">
        <v>0</v>
      </c>
    </row>
    <row r="1118" spans="1:18">
      <c r="A1118" s="3" t="s">
        <v>402</v>
      </c>
      <c r="B1118" s="3" t="s">
        <v>403</v>
      </c>
      <c r="C1118" s="3" t="s">
        <v>403</v>
      </c>
      <c r="D1118" s="3" t="s">
        <v>404</v>
      </c>
      <c r="E1118" s="3" t="s">
        <v>867</v>
      </c>
      <c r="F1118" s="3">
        <v>23.98</v>
      </c>
      <c r="G1118" s="3" t="s">
        <v>3391</v>
      </c>
      <c r="H1118" s="3"/>
      <c r="I1118" s="3" t="s">
        <v>3392</v>
      </c>
      <c r="J1118" s="3">
        <v>29</v>
      </c>
      <c r="K1118" s="3">
        <v>27</v>
      </c>
      <c r="L1118" s="3">
        <v>0</v>
      </c>
      <c r="M1118" s="3">
        <v>2</v>
      </c>
      <c r="N1118" s="3">
        <v>29</v>
      </c>
      <c r="O1118" s="3">
        <v>0.13</v>
      </c>
      <c r="P1118" s="3">
        <v>0</v>
      </c>
      <c r="Q1118" s="3">
        <v>0</v>
      </c>
      <c r="R1118" s="3">
        <v>0</v>
      </c>
    </row>
    <row r="1119" spans="1:18">
      <c r="A1119" s="3" t="s">
        <v>2395</v>
      </c>
      <c r="B1119" s="3" t="s">
        <v>2396</v>
      </c>
      <c r="C1119" s="3" t="s">
        <v>2396</v>
      </c>
      <c r="D1119" s="3" t="s">
        <v>2397</v>
      </c>
      <c r="E1119" s="3" t="s">
        <v>867</v>
      </c>
      <c r="F1119" s="3">
        <v>23.98</v>
      </c>
      <c r="G1119" s="3" t="s">
        <v>3392</v>
      </c>
      <c r="H1119" s="3">
        <v>0</v>
      </c>
      <c r="I1119" s="3" t="s">
        <v>3391</v>
      </c>
      <c r="J1119" s="3">
        <v>6</v>
      </c>
      <c r="K1119" s="3">
        <v>6</v>
      </c>
      <c r="L1119" s="3">
        <v>0</v>
      </c>
      <c r="M1119" s="3">
        <v>0</v>
      </c>
      <c r="N1119" s="3">
        <v>6</v>
      </c>
      <c r="O1119" s="3">
        <v>0.12</v>
      </c>
      <c r="P1119" s="3">
        <v>0</v>
      </c>
      <c r="Q1119" s="3">
        <v>0</v>
      </c>
      <c r="R1119" s="3">
        <v>0</v>
      </c>
    </row>
    <row r="1120" spans="1:18">
      <c r="A1120" s="3" t="s">
        <v>412</v>
      </c>
      <c r="B1120" s="3" t="s">
        <v>413</v>
      </c>
      <c r="C1120" s="3" t="s">
        <v>413</v>
      </c>
      <c r="D1120" s="3" t="s">
        <v>414</v>
      </c>
      <c r="E1120" s="3" t="s">
        <v>867</v>
      </c>
      <c r="F1120" s="3">
        <v>18.98</v>
      </c>
      <c r="G1120" s="3" t="s">
        <v>3391</v>
      </c>
      <c r="H1120" s="3"/>
      <c r="I1120" s="3" t="s">
        <v>3392</v>
      </c>
      <c r="J1120" s="3">
        <v>16</v>
      </c>
      <c r="K1120" s="3">
        <v>13</v>
      </c>
      <c r="L1120" s="3">
        <v>1</v>
      </c>
      <c r="M1120" s="3">
        <v>2</v>
      </c>
      <c r="N1120" s="3">
        <v>16</v>
      </c>
      <c r="O1120" s="3">
        <v>0.1</v>
      </c>
      <c r="P1120" s="3">
        <v>0</v>
      </c>
      <c r="Q1120" s="3">
        <v>0</v>
      </c>
      <c r="R1120" s="3">
        <v>0</v>
      </c>
    </row>
    <row r="1121" spans="1:18">
      <c r="A1121" s="3" t="s">
        <v>4927</v>
      </c>
      <c r="B1121" s="3" t="s">
        <v>4928</v>
      </c>
      <c r="C1121" s="3" t="s">
        <v>4928</v>
      </c>
      <c r="D1121" s="3" t="s">
        <v>4929</v>
      </c>
      <c r="E1121" s="3" t="s">
        <v>867</v>
      </c>
      <c r="F1121" s="3">
        <v>23.98</v>
      </c>
      <c r="G1121" s="3" t="s">
        <v>3391</v>
      </c>
      <c r="H1121" s="3"/>
      <c r="I1121" s="3" t="s">
        <v>3392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0.11</v>
      </c>
      <c r="P1121" s="3">
        <v>0</v>
      </c>
      <c r="Q1121" s="3">
        <v>0</v>
      </c>
      <c r="R1121" s="3">
        <v>0</v>
      </c>
    </row>
    <row r="1122" spans="1:18">
      <c r="A1122" s="3" t="s">
        <v>4930</v>
      </c>
      <c r="B1122" s="3" t="s">
        <v>4931</v>
      </c>
      <c r="C1122" s="3" t="s">
        <v>4931</v>
      </c>
      <c r="D1122" s="3" t="s">
        <v>4932</v>
      </c>
      <c r="E1122" s="3" t="s">
        <v>867</v>
      </c>
      <c r="F1122" s="3">
        <v>23.98</v>
      </c>
      <c r="G1122" s="3" t="s">
        <v>3391</v>
      </c>
      <c r="H1122" s="3"/>
      <c r="I1122" s="3" t="s">
        <v>3392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0.13</v>
      </c>
      <c r="P1122" s="3">
        <v>0</v>
      </c>
      <c r="Q1122" s="3">
        <v>0</v>
      </c>
      <c r="R1122" s="3">
        <v>0</v>
      </c>
    </row>
    <row r="1123" spans="1:18">
      <c r="A1123" s="3" t="s">
        <v>4933</v>
      </c>
      <c r="B1123" s="3" t="s">
        <v>4683</v>
      </c>
      <c r="C1123" s="3" t="s">
        <v>4683</v>
      </c>
      <c r="D1123" s="3" t="s">
        <v>633</v>
      </c>
      <c r="E1123" s="3" t="s">
        <v>867</v>
      </c>
      <c r="F1123" s="3">
        <v>23.98</v>
      </c>
      <c r="G1123" s="3" t="s">
        <v>3391</v>
      </c>
      <c r="H1123" s="3"/>
      <c r="I1123" s="3" t="s">
        <v>3392</v>
      </c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>
        <v>0.16</v>
      </c>
      <c r="P1123" s="3">
        <v>0</v>
      </c>
      <c r="Q1123" s="3">
        <v>0</v>
      </c>
      <c r="R1123" s="3">
        <v>0</v>
      </c>
    </row>
    <row r="1124" spans="1:18">
      <c r="A1124" s="3" t="s">
        <v>4934</v>
      </c>
      <c r="B1124" s="3" t="s">
        <v>4686</v>
      </c>
      <c r="C1124" s="3" t="s">
        <v>4686</v>
      </c>
      <c r="D1124" s="3"/>
      <c r="E1124" s="3" t="s">
        <v>3293</v>
      </c>
      <c r="F1124" s="3"/>
      <c r="G1124" s="3"/>
      <c r="H1124" s="3"/>
      <c r="I1124" s="3"/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/>
      <c r="P1124" s="3">
        <v>0</v>
      </c>
      <c r="Q1124" s="3">
        <v>0</v>
      </c>
      <c r="R1124" s="3">
        <v>0</v>
      </c>
    </row>
    <row r="1125" spans="1:18">
      <c r="A1125" s="3" t="s">
        <v>4935</v>
      </c>
      <c r="B1125" s="3" t="s">
        <v>4689</v>
      </c>
      <c r="C1125" s="3" t="s">
        <v>4689</v>
      </c>
      <c r="D1125" s="3"/>
      <c r="E1125" s="3" t="s">
        <v>3293</v>
      </c>
      <c r="F1125" s="3"/>
      <c r="G1125" s="3"/>
      <c r="H1125" s="3"/>
      <c r="I1125" s="3"/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/>
      <c r="P1125" s="3">
        <v>0</v>
      </c>
      <c r="Q1125" s="3">
        <v>0</v>
      </c>
      <c r="R1125" s="3">
        <v>0</v>
      </c>
    </row>
    <row r="1126" spans="1:18">
      <c r="A1126" s="3" t="s">
        <v>4936</v>
      </c>
      <c r="B1126" s="3" t="s">
        <v>4695</v>
      </c>
      <c r="C1126" s="3" t="s">
        <v>4695</v>
      </c>
      <c r="D1126" s="3" t="s">
        <v>1751</v>
      </c>
      <c r="E1126" s="3" t="s">
        <v>867</v>
      </c>
      <c r="F1126" s="3">
        <v>23.98</v>
      </c>
      <c r="G1126" s="3" t="s">
        <v>3391</v>
      </c>
      <c r="H1126" s="3"/>
      <c r="I1126" s="3" t="s">
        <v>3392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0.16</v>
      </c>
      <c r="P1126" s="3">
        <v>0</v>
      </c>
      <c r="Q1126" s="3">
        <v>0</v>
      </c>
      <c r="R1126" s="3">
        <v>0</v>
      </c>
    </row>
    <row r="1127" spans="1:18">
      <c r="A1127" s="3" t="s">
        <v>3062</v>
      </c>
      <c r="B1127" s="3" t="s">
        <v>3063</v>
      </c>
      <c r="C1127" s="3" t="s">
        <v>3063</v>
      </c>
      <c r="D1127" s="3" t="s">
        <v>3064</v>
      </c>
      <c r="E1127" s="3" t="s">
        <v>867</v>
      </c>
      <c r="F1127" s="3">
        <v>23.98</v>
      </c>
      <c r="G1127" s="3" t="s">
        <v>3392</v>
      </c>
      <c r="H1127" s="3">
        <v>0</v>
      </c>
      <c r="I1127" s="3" t="s">
        <v>3391</v>
      </c>
      <c r="J1127" s="3">
        <v>3</v>
      </c>
      <c r="K1127" s="3">
        <v>3</v>
      </c>
      <c r="L1127" s="3">
        <v>0</v>
      </c>
      <c r="M1127" s="3">
        <v>0</v>
      </c>
      <c r="N1127" s="3">
        <v>3</v>
      </c>
      <c r="O1127" s="3">
        <v>0.08</v>
      </c>
      <c r="P1127" s="3">
        <v>0</v>
      </c>
      <c r="Q1127" s="3">
        <v>0</v>
      </c>
      <c r="R1127" s="3">
        <v>0</v>
      </c>
    </row>
    <row r="1128" spans="1:18">
      <c r="A1128" s="3" t="s">
        <v>2083</v>
      </c>
      <c r="B1128" s="3" t="s">
        <v>2084</v>
      </c>
      <c r="C1128" s="3" t="s">
        <v>2084</v>
      </c>
      <c r="D1128" s="3" t="s">
        <v>2085</v>
      </c>
      <c r="E1128" s="3" t="s">
        <v>867</v>
      </c>
      <c r="F1128" s="3">
        <v>23.98</v>
      </c>
      <c r="G1128" s="3" t="s">
        <v>3391</v>
      </c>
      <c r="H1128" s="3"/>
      <c r="I1128" s="3" t="s">
        <v>3392</v>
      </c>
      <c r="J1128" s="3">
        <v>10</v>
      </c>
      <c r="K1128" s="3">
        <v>10</v>
      </c>
      <c r="L1128" s="3">
        <v>0</v>
      </c>
      <c r="M1128" s="3">
        <v>0</v>
      </c>
      <c r="N1128" s="3">
        <v>10</v>
      </c>
      <c r="O1128" s="3">
        <v>0.11</v>
      </c>
      <c r="P1128" s="3">
        <v>0</v>
      </c>
      <c r="Q1128" s="3">
        <v>0</v>
      </c>
      <c r="R1128" s="3">
        <v>0</v>
      </c>
    </row>
    <row r="1129" spans="1:18">
      <c r="A1129" s="3" t="s">
        <v>415</v>
      </c>
      <c r="B1129" s="3" t="s">
        <v>416</v>
      </c>
      <c r="C1129" s="3" t="s">
        <v>416</v>
      </c>
      <c r="D1129" s="3" t="s">
        <v>417</v>
      </c>
      <c r="E1129" s="3" t="s">
        <v>867</v>
      </c>
      <c r="F1129" s="3">
        <v>23.98</v>
      </c>
      <c r="G1129" s="3" t="s">
        <v>3391</v>
      </c>
      <c r="H1129" s="3"/>
      <c r="I1129" s="3" t="s">
        <v>3392</v>
      </c>
      <c r="J1129" s="3">
        <v>13</v>
      </c>
      <c r="K1129" s="3">
        <v>12</v>
      </c>
      <c r="L1129" s="3">
        <v>0</v>
      </c>
      <c r="M1129" s="3">
        <v>1</v>
      </c>
      <c r="N1129" s="3">
        <v>13</v>
      </c>
      <c r="O1129" s="3">
        <v>0.12</v>
      </c>
      <c r="P1129" s="3">
        <v>0</v>
      </c>
      <c r="Q1129" s="3">
        <v>0</v>
      </c>
      <c r="R1129" s="3">
        <v>0</v>
      </c>
    </row>
    <row r="1130" spans="1:18">
      <c r="A1130" s="3" t="s">
        <v>4937</v>
      </c>
      <c r="B1130" s="3" t="s">
        <v>4938</v>
      </c>
      <c r="C1130" s="3" t="s">
        <v>4938</v>
      </c>
      <c r="D1130" s="3" t="s">
        <v>4939</v>
      </c>
      <c r="E1130" s="3" t="s">
        <v>867</v>
      </c>
      <c r="F1130" s="3">
        <v>23.98</v>
      </c>
      <c r="G1130" s="3" t="s">
        <v>3391</v>
      </c>
      <c r="H1130" s="3"/>
      <c r="I1130" s="3" t="s">
        <v>3392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0.07</v>
      </c>
      <c r="P1130" s="3">
        <v>0</v>
      </c>
      <c r="Q1130" s="3">
        <v>0</v>
      </c>
      <c r="R1130" s="3">
        <v>0</v>
      </c>
    </row>
    <row r="1131" spans="1:18">
      <c r="A1131" s="3" t="s">
        <v>4940</v>
      </c>
      <c r="B1131" s="3" t="s">
        <v>4941</v>
      </c>
      <c r="C1131" s="3" t="s">
        <v>4942</v>
      </c>
      <c r="D1131" s="3" t="s">
        <v>4943</v>
      </c>
      <c r="E1131" s="3" t="s">
        <v>867</v>
      </c>
      <c r="F1131" s="3">
        <v>23.98</v>
      </c>
      <c r="G1131" s="3" t="s">
        <v>3391</v>
      </c>
      <c r="H1131" s="3"/>
      <c r="I1131" s="3" t="s">
        <v>3392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</row>
    <row r="1132" spans="1:18">
      <c r="A1132" s="3" t="s">
        <v>4944</v>
      </c>
      <c r="B1132" s="3" t="s">
        <v>4945</v>
      </c>
      <c r="C1132" s="3" t="s">
        <v>4946</v>
      </c>
      <c r="D1132" s="3" t="s">
        <v>4947</v>
      </c>
      <c r="E1132" s="3" t="s">
        <v>867</v>
      </c>
      <c r="F1132" s="3">
        <v>23.98</v>
      </c>
      <c r="G1132" s="3" t="s">
        <v>3391</v>
      </c>
      <c r="H1132" s="3"/>
      <c r="I1132" s="3" t="s">
        <v>3392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</row>
    <row r="1133" spans="1:18">
      <c r="A1133" s="3" t="s">
        <v>4948</v>
      </c>
      <c r="B1133" s="3" t="s">
        <v>4949</v>
      </c>
      <c r="C1133" s="3" t="s">
        <v>4950</v>
      </c>
      <c r="D1133" s="3" t="s">
        <v>4951</v>
      </c>
      <c r="E1133" s="3" t="s">
        <v>867</v>
      </c>
      <c r="F1133" s="3">
        <v>23.98</v>
      </c>
      <c r="G1133" s="3" t="s">
        <v>3391</v>
      </c>
      <c r="H1133" s="3"/>
      <c r="I1133" s="3" t="s">
        <v>3392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</row>
    <row r="1134" spans="1:18">
      <c r="A1134" s="3" t="s">
        <v>4952</v>
      </c>
      <c r="B1134" s="3" t="s">
        <v>4953</v>
      </c>
      <c r="C1134" s="3" t="s">
        <v>4954</v>
      </c>
      <c r="D1134" s="3" t="s">
        <v>4955</v>
      </c>
      <c r="E1134" s="3" t="s">
        <v>867</v>
      </c>
      <c r="F1134" s="3">
        <v>23.98</v>
      </c>
      <c r="G1134" s="3" t="s">
        <v>3391</v>
      </c>
      <c r="H1134" s="3"/>
      <c r="I1134" s="3" t="s">
        <v>3392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</row>
    <row r="1135" spans="1:18">
      <c r="A1135" s="3" t="s">
        <v>4956</v>
      </c>
      <c r="B1135" s="3" t="s">
        <v>4957</v>
      </c>
      <c r="C1135" s="3" t="s">
        <v>4958</v>
      </c>
      <c r="D1135" s="3" t="s">
        <v>4959</v>
      </c>
      <c r="E1135" s="3" t="s">
        <v>867</v>
      </c>
      <c r="F1135" s="3">
        <v>23.98</v>
      </c>
      <c r="G1135" s="3" t="s">
        <v>3391</v>
      </c>
      <c r="H1135" s="3"/>
      <c r="I1135" s="3" t="s">
        <v>3392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0</v>
      </c>
      <c r="P1135" s="3">
        <v>0</v>
      </c>
      <c r="Q1135" s="3">
        <v>0</v>
      </c>
      <c r="R1135" s="3">
        <v>0</v>
      </c>
    </row>
    <row r="1136" spans="1:18">
      <c r="A1136" s="3" t="s">
        <v>4960</v>
      </c>
      <c r="B1136" s="3" t="s">
        <v>4961</v>
      </c>
      <c r="C1136" s="3" t="s">
        <v>4962</v>
      </c>
      <c r="D1136" s="3" t="s">
        <v>4963</v>
      </c>
      <c r="E1136" s="3" t="s">
        <v>867</v>
      </c>
      <c r="F1136" s="3">
        <v>23.98</v>
      </c>
      <c r="G1136" s="3" t="s">
        <v>3391</v>
      </c>
      <c r="H1136" s="3"/>
      <c r="I1136" s="3" t="s">
        <v>3392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</row>
    <row r="1137" spans="1:18">
      <c r="A1137" s="3" t="s">
        <v>4964</v>
      </c>
      <c r="B1137" s="3" t="s">
        <v>4965</v>
      </c>
      <c r="C1137" s="3" t="s">
        <v>4966</v>
      </c>
      <c r="D1137" s="3" t="s">
        <v>4967</v>
      </c>
      <c r="E1137" s="3" t="s">
        <v>867</v>
      </c>
      <c r="F1137" s="3">
        <v>23.98</v>
      </c>
      <c r="G1137" s="3" t="s">
        <v>3391</v>
      </c>
      <c r="H1137" s="3"/>
      <c r="I1137" s="3" t="s">
        <v>3392</v>
      </c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</row>
    <row r="1138" spans="1:18">
      <c r="A1138" s="3" t="s">
        <v>4968</v>
      </c>
      <c r="B1138" s="3" t="s">
        <v>4969</v>
      </c>
      <c r="C1138" s="3" t="s">
        <v>4970</v>
      </c>
      <c r="D1138" s="3" t="s">
        <v>4971</v>
      </c>
      <c r="E1138" s="3" t="s">
        <v>867</v>
      </c>
      <c r="F1138" s="3">
        <v>23.98</v>
      </c>
      <c r="G1138" s="3" t="s">
        <v>3391</v>
      </c>
      <c r="H1138" s="3"/>
      <c r="I1138" s="3" t="s">
        <v>3392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</row>
    <row r="1139" spans="1:18">
      <c r="A1139" s="3" t="s">
        <v>4972</v>
      </c>
      <c r="B1139" s="3" t="s">
        <v>4973</v>
      </c>
      <c r="C1139" s="3" t="s">
        <v>4974</v>
      </c>
      <c r="D1139" s="3" t="s">
        <v>4975</v>
      </c>
      <c r="E1139" s="3" t="s">
        <v>867</v>
      </c>
      <c r="F1139" s="3">
        <v>23.98</v>
      </c>
      <c r="G1139" s="3" t="s">
        <v>3391</v>
      </c>
      <c r="H1139" s="3"/>
      <c r="I1139" s="3" t="s">
        <v>3392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</row>
    <row r="1140" spans="1:18">
      <c r="A1140" s="3" t="s">
        <v>4976</v>
      </c>
      <c r="B1140" s="3" t="s">
        <v>4977</v>
      </c>
      <c r="C1140" s="3" t="s">
        <v>4978</v>
      </c>
      <c r="D1140" s="3" t="s">
        <v>4979</v>
      </c>
      <c r="E1140" s="3" t="s">
        <v>867</v>
      </c>
      <c r="F1140" s="3">
        <v>23.98</v>
      </c>
      <c r="G1140" s="3" t="s">
        <v>3391</v>
      </c>
      <c r="H1140" s="3"/>
      <c r="I1140" s="3" t="s">
        <v>3392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</row>
    <row r="1141" spans="1:18">
      <c r="A1141" s="3" t="s">
        <v>4980</v>
      </c>
      <c r="B1141" s="3" t="s">
        <v>4981</v>
      </c>
      <c r="C1141" s="3" t="s">
        <v>4982</v>
      </c>
      <c r="D1141" s="3" t="s">
        <v>4983</v>
      </c>
      <c r="E1141" s="3" t="s">
        <v>867</v>
      </c>
      <c r="F1141" s="3">
        <v>23.98</v>
      </c>
      <c r="G1141" s="3" t="s">
        <v>3391</v>
      </c>
      <c r="H1141" s="3"/>
      <c r="I1141" s="3" t="s">
        <v>3392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</row>
    <row r="1142" spans="1:18">
      <c r="A1142" s="3" t="s">
        <v>4984</v>
      </c>
      <c r="B1142" s="3" t="s">
        <v>4985</v>
      </c>
      <c r="C1142" s="3" t="s">
        <v>4986</v>
      </c>
      <c r="D1142" s="3" t="s">
        <v>4987</v>
      </c>
      <c r="E1142" s="3" t="s">
        <v>867</v>
      </c>
      <c r="F1142" s="3">
        <v>23.98</v>
      </c>
      <c r="G1142" s="3" t="s">
        <v>3391</v>
      </c>
      <c r="H1142" s="3"/>
      <c r="I1142" s="3" t="s">
        <v>3392</v>
      </c>
      <c r="J1142" s="3">
        <v>0</v>
      </c>
      <c r="K1142" s="3">
        <v>0</v>
      </c>
      <c r="L1142" s="3">
        <v>0</v>
      </c>
      <c r="M1142" s="3">
        <v>0</v>
      </c>
      <c r="N1142" s="3">
        <v>5</v>
      </c>
      <c r="O1142" s="3">
        <v>0.1</v>
      </c>
      <c r="P1142" s="3">
        <v>0</v>
      </c>
      <c r="Q1142" s="3">
        <v>5</v>
      </c>
      <c r="R1142" s="3">
        <v>0</v>
      </c>
    </row>
    <row r="1143" spans="1:18">
      <c r="A1143" s="3" t="s">
        <v>4988</v>
      </c>
      <c r="B1143" s="3" t="s">
        <v>4989</v>
      </c>
      <c r="C1143" s="3" t="s">
        <v>4990</v>
      </c>
      <c r="D1143" s="3" t="s">
        <v>4991</v>
      </c>
      <c r="E1143" s="3" t="s">
        <v>867</v>
      </c>
      <c r="F1143" s="3">
        <v>23.98</v>
      </c>
      <c r="G1143" s="3" t="s">
        <v>3391</v>
      </c>
      <c r="H1143" s="3"/>
      <c r="I1143" s="3" t="s">
        <v>3392</v>
      </c>
      <c r="J1143" s="3">
        <v>0</v>
      </c>
      <c r="K1143" s="3">
        <v>0</v>
      </c>
      <c r="L1143" s="3">
        <v>0</v>
      </c>
      <c r="M1143" s="3">
        <v>0</v>
      </c>
      <c r="N1143" s="3">
        <v>5</v>
      </c>
      <c r="O1143" s="3">
        <v>0.1</v>
      </c>
      <c r="P1143" s="3">
        <v>0</v>
      </c>
      <c r="Q1143" s="3">
        <v>5</v>
      </c>
      <c r="R1143" s="3">
        <v>0</v>
      </c>
    </row>
    <row r="1144" spans="1:18">
      <c r="A1144" s="3" t="s">
        <v>4992</v>
      </c>
      <c r="B1144" s="3" t="s">
        <v>4993</v>
      </c>
      <c r="C1144" s="3" t="s">
        <v>594</v>
      </c>
      <c r="D1144" s="3" t="s">
        <v>595</v>
      </c>
      <c r="E1144" s="3" t="s">
        <v>867</v>
      </c>
      <c r="F1144" s="3">
        <v>23.98</v>
      </c>
      <c r="G1144" s="3" t="s">
        <v>3391</v>
      </c>
      <c r="H1144" s="3"/>
      <c r="I1144" s="3" t="s">
        <v>3392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0.13</v>
      </c>
      <c r="P1144" s="3">
        <v>0</v>
      </c>
      <c r="Q1144" s="3">
        <v>0</v>
      </c>
      <c r="R1144" s="3">
        <v>0</v>
      </c>
    </row>
    <row r="1145" spans="1:18">
      <c r="A1145" s="3" t="s">
        <v>4994</v>
      </c>
      <c r="B1145" s="3" t="s">
        <v>4995</v>
      </c>
      <c r="C1145" s="3" t="s">
        <v>4996</v>
      </c>
      <c r="D1145" s="3" t="s">
        <v>4997</v>
      </c>
      <c r="E1145" s="3" t="s">
        <v>867</v>
      </c>
      <c r="F1145" s="3">
        <v>23.98</v>
      </c>
      <c r="G1145" s="3" t="s">
        <v>3391</v>
      </c>
      <c r="H1145" s="3"/>
      <c r="I1145" s="3" t="s">
        <v>3392</v>
      </c>
      <c r="J1145" s="3">
        <v>0</v>
      </c>
      <c r="K1145" s="3">
        <v>0</v>
      </c>
      <c r="L1145" s="3">
        <v>0</v>
      </c>
      <c r="M1145" s="3">
        <v>0</v>
      </c>
      <c r="N1145" s="3">
        <v>5</v>
      </c>
      <c r="O1145" s="3">
        <v>0.1</v>
      </c>
      <c r="P1145" s="3">
        <v>0</v>
      </c>
      <c r="Q1145" s="3">
        <v>5</v>
      </c>
      <c r="R1145" s="3">
        <v>0</v>
      </c>
    </row>
    <row r="1146" spans="1:18">
      <c r="A1146" s="3" t="s">
        <v>4998</v>
      </c>
      <c r="B1146" s="3" t="s">
        <v>4999</v>
      </c>
      <c r="C1146" s="3" t="s">
        <v>1787</v>
      </c>
      <c r="D1146" s="3" t="s">
        <v>5000</v>
      </c>
      <c r="E1146" s="3" t="s">
        <v>867</v>
      </c>
      <c r="F1146" s="3">
        <v>23.98</v>
      </c>
      <c r="G1146" s="3" t="s">
        <v>3391</v>
      </c>
      <c r="H1146" s="3"/>
      <c r="I1146" s="3" t="s">
        <v>3392</v>
      </c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>
        <v>0.15</v>
      </c>
      <c r="P1146" s="3">
        <v>0</v>
      </c>
      <c r="Q1146" s="3">
        <v>0</v>
      </c>
      <c r="R1146" s="3">
        <v>0</v>
      </c>
    </row>
    <row r="1147" spans="1:18">
      <c r="A1147" s="3" t="s">
        <v>5001</v>
      </c>
      <c r="B1147" s="3" t="s">
        <v>5002</v>
      </c>
      <c r="C1147" s="3" t="s">
        <v>4554</v>
      </c>
      <c r="D1147" s="3" t="s">
        <v>5003</v>
      </c>
      <c r="E1147" s="3" t="s">
        <v>867</v>
      </c>
      <c r="F1147" s="3">
        <v>23.98</v>
      </c>
      <c r="G1147" s="3" t="s">
        <v>3391</v>
      </c>
      <c r="H1147" s="3"/>
      <c r="I1147" s="3" t="s">
        <v>3392</v>
      </c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>
        <v>0.19</v>
      </c>
      <c r="P1147" s="3">
        <v>0</v>
      </c>
      <c r="Q1147" s="3">
        <v>0</v>
      </c>
      <c r="R1147" s="3">
        <v>0</v>
      </c>
    </row>
    <row r="1148" spans="1:18">
      <c r="A1148" s="3" t="s">
        <v>5004</v>
      </c>
      <c r="B1148" s="3" t="s">
        <v>5005</v>
      </c>
      <c r="C1148" s="3" t="s">
        <v>576</v>
      </c>
      <c r="D1148" s="3" t="s">
        <v>577</v>
      </c>
      <c r="E1148" s="3" t="s">
        <v>867</v>
      </c>
      <c r="F1148" s="3">
        <v>23.98</v>
      </c>
      <c r="G1148" s="3" t="s">
        <v>3391</v>
      </c>
      <c r="H1148" s="3"/>
      <c r="I1148" s="3" t="s">
        <v>3392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0.23</v>
      </c>
      <c r="P1148" s="3">
        <v>0</v>
      </c>
      <c r="Q1148" s="3">
        <v>0</v>
      </c>
      <c r="R1148" s="3">
        <v>0</v>
      </c>
    </row>
    <row r="1149" spans="1:18">
      <c r="A1149" s="3" t="s">
        <v>5006</v>
      </c>
      <c r="B1149" s="3" t="s">
        <v>5007</v>
      </c>
      <c r="C1149" s="3" t="s">
        <v>1074</v>
      </c>
      <c r="D1149" s="3" t="s">
        <v>5008</v>
      </c>
      <c r="E1149" s="3" t="s">
        <v>867</v>
      </c>
      <c r="F1149" s="3">
        <v>23.98</v>
      </c>
      <c r="G1149" s="3" t="s">
        <v>3391</v>
      </c>
      <c r="H1149" s="3"/>
      <c r="I1149" s="3" t="s">
        <v>3392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0.21</v>
      </c>
      <c r="P1149" s="3">
        <v>0</v>
      </c>
      <c r="Q1149" s="3">
        <v>0</v>
      </c>
      <c r="R1149" s="3">
        <v>0</v>
      </c>
    </row>
    <row r="1150" spans="1:18">
      <c r="A1150" s="3" t="s">
        <v>5009</v>
      </c>
      <c r="B1150" s="3" t="s">
        <v>5010</v>
      </c>
      <c r="C1150" s="3" t="s">
        <v>2741</v>
      </c>
      <c r="D1150" s="3" t="s">
        <v>5011</v>
      </c>
      <c r="E1150" s="3" t="s">
        <v>867</v>
      </c>
      <c r="F1150" s="3">
        <v>23.98</v>
      </c>
      <c r="G1150" s="3" t="s">
        <v>3391</v>
      </c>
      <c r="H1150" s="3"/>
      <c r="I1150" s="3" t="s">
        <v>3392</v>
      </c>
      <c r="J1150" s="3">
        <v>0</v>
      </c>
      <c r="K1150" s="3">
        <v>0</v>
      </c>
      <c r="L1150" s="3">
        <v>0</v>
      </c>
      <c r="M1150" s="3">
        <v>0</v>
      </c>
      <c r="N1150" s="3">
        <v>0</v>
      </c>
      <c r="O1150" s="3">
        <v>0.22</v>
      </c>
      <c r="P1150" s="3">
        <v>0</v>
      </c>
      <c r="Q1150" s="3">
        <v>0</v>
      </c>
      <c r="R1150" s="3">
        <v>0</v>
      </c>
    </row>
    <row r="1151" spans="1:18">
      <c r="A1151" s="3" t="s">
        <v>5012</v>
      </c>
      <c r="B1151" s="3" t="s">
        <v>5013</v>
      </c>
      <c r="C1151" s="3" t="s">
        <v>3371</v>
      </c>
      <c r="D1151" s="3" t="s">
        <v>4909</v>
      </c>
      <c r="E1151" s="3" t="s">
        <v>867</v>
      </c>
      <c r="F1151" s="3">
        <v>22.98</v>
      </c>
      <c r="G1151" s="3" t="s">
        <v>3391</v>
      </c>
      <c r="H1151" s="3"/>
      <c r="I1151" s="3" t="s">
        <v>3392</v>
      </c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>
        <v>0.17</v>
      </c>
      <c r="P1151" s="3">
        <v>0</v>
      </c>
      <c r="Q1151" s="3">
        <v>0</v>
      </c>
      <c r="R1151" s="3">
        <v>0</v>
      </c>
    </row>
    <row r="1152" spans="1:18">
      <c r="A1152" s="3" t="s">
        <v>5014</v>
      </c>
      <c r="B1152" s="3" t="s">
        <v>5015</v>
      </c>
      <c r="C1152" s="3" t="s">
        <v>1420</v>
      </c>
      <c r="D1152" s="3" t="s">
        <v>4910</v>
      </c>
      <c r="E1152" s="3" t="s">
        <v>867</v>
      </c>
      <c r="F1152" s="3">
        <v>22.98</v>
      </c>
      <c r="G1152" s="3" t="s">
        <v>3391</v>
      </c>
      <c r="H1152" s="3"/>
      <c r="I1152" s="3" t="s">
        <v>3392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0.17</v>
      </c>
      <c r="P1152" s="3">
        <v>0</v>
      </c>
      <c r="Q1152" s="3">
        <v>0</v>
      </c>
      <c r="R1152" s="3">
        <v>0</v>
      </c>
    </row>
    <row r="1153" spans="1:18">
      <c r="A1153" s="3" t="s">
        <v>418</v>
      </c>
      <c r="B1153" s="3" t="s">
        <v>419</v>
      </c>
      <c r="C1153" s="3" t="s">
        <v>420</v>
      </c>
      <c r="D1153" s="3" t="s">
        <v>421</v>
      </c>
      <c r="E1153" s="3" t="s">
        <v>867</v>
      </c>
      <c r="F1153" s="3">
        <v>24.98</v>
      </c>
      <c r="G1153" s="3" t="s">
        <v>3391</v>
      </c>
      <c r="H1153" s="3"/>
      <c r="I1153" s="3" t="s">
        <v>3392</v>
      </c>
      <c r="J1153" s="3">
        <v>4</v>
      </c>
      <c r="K1153" s="3">
        <v>0</v>
      </c>
      <c r="L1153" s="3">
        <v>0</v>
      </c>
      <c r="M1153" s="3">
        <v>4</v>
      </c>
      <c r="N1153" s="3">
        <v>8</v>
      </c>
      <c r="O1153" s="3">
        <v>0.17</v>
      </c>
      <c r="P1153" s="3">
        <v>0</v>
      </c>
      <c r="Q1153" s="3">
        <v>4</v>
      </c>
      <c r="R1153" s="3">
        <v>0</v>
      </c>
    </row>
    <row r="1154" spans="1:18">
      <c r="A1154" s="3" t="s">
        <v>1567</v>
      </c>
      <c r="B1154" s="3" t="s">
        <v>1568</v>
      </c>
      <c r="C1154" s="3" t="s">
        <v>1156</v>
      </c>
      <c r="D1154" s="3" t="s">
        <v>4912</v>
      </c>
      <c r="E1154" s="3" t="s">
        <v>867</v>
      </c>
      <c r="F1154" s="3">
        <v>22.98</v>
      </c>
      <c r="G1154" s="3" t="s">
        <v>3391</v>
      </c>
      <c r="H1154" s="3"/>
      <c r="I1154" s="3" t="s">
        <v>3392</v>
      </c>
      <c r="J1154" s="3">
        <v>1</v>
      </c>
      <c r="K1154" s="3">
        <v>1</v>
      </c>
      <c r="L1154" s="3">
        <v>0</v>
      </c>
      <c r="M1154" s="3">
        <v>0</v>
      </c>
      <c r="N1154" s="3">
        <v>1</v>
      </c>
      <c r="O1154" s="3">
        <v>0.09</v>
      </c>
      <c r="P1154" s="3">
        <v>0</v>
      </c>
      <c r="Q1154" s="3">
        <v>0</v>
      </c>
      <c r="R1154" s="3">
        <v>0</v>
      </c>
    </row>
    <row r="1155" spans="1:18">
      <c r="A1155" s="3" t="s">
        <v>5016</v>
      </c>
      <c r="B1155" s="3" t="s">
        <v>5017</v>
      </c>
      <c r="C1155" s="3" t="s">
        <v>2330</v>
      </c>
      <c r="D1155" s="3" t="s">
        <v>4913</v>
      </c>
      <c r="E1155" s="3" t="s">
        <v>867</v>
      </c>
      <c r="F1155" s="3">
        <v>22.98</v>
      </c>
      <c r="G1155" s="3" t="s">
        <v>3391</v>
      </c>
      <c r="H1155" s="3"/>
      <c r="I1155" s="3" t="s">
        <v>3392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0.17</v>
      </c>
      <c r="P1155" s="3">
        <v>0</v>
      </c>
      <c r="Q1155" s="3">
        <v>0</v>
      </c>
      <c r="R1155" s="3">
        <v>0</v>
      </c>
    </row>
    <row r="1156" spans="1:18">
      <c r="A1156" s="3" t="s">
        <v>5018</v>
      </c>
      <c r="B1156" s="3" t="s">
        <v>5019</v>
      </c>
      <c r="C1156" s="3" t="s">
        <v>5020</v>
      </c>
      <c r="D1156" s="3" t="s">
        <v>5021</v>
      </c>
      <c r="E1156" s="3" t="s">
        <v>867</v>
      </c>
      <c r="F1156" s="3">
        <v>23.98</v>
      </c>
      <c r="G1156" s="3" t="s">
        <v>3391</v>
      </c>
      <c r="H1156" s="3"/>
      <c r="I1156" s="3" t="s">
        <v>3392</v>
      </c>
      <c r="J1156" s="3">
        <v>0</v>
      </c>
      <c r="K1156" s="3">
        <v>0</v>
      </c>
      <c r="L1156" s="3">
        <v>0</v>
      </c>
      <c r="M1156" s="3">
        <v>0</v>
      </c>
      <c r="N1156" s="3">
        <v>27</v>
      </c>
      <c r="O1156" s="3">
        <v>0.11</v>
      </c>
      <c r="P1156" s="3">
        <v>0</v>
      </c>
      <c r="Q1156" s="3">
        <v>27</v>
      </c>
      <c r="R1156" s="3">
        <v>0</v>
      </c>
    </row>
    <row r="1157" spans="1:18">
      <c r="A1157" s="3" t="s">
        <v>5022</v>
      </c>
      <c r="B1157" s="3" t="s">
        <v>5023</v>
      </c>
      <c r="C1157" s="3" t="s">
        <v>1842</v>
      </c>
      <c r="D1157" s="3" t="s">
        <v>1843</v>
      </c>
      <c r="E1157" s="3" t="s">
        <v>867</v>
      </c>
      <c r="F1157" s="3">
        <v>23.98</v>
      </c>
      <c r="G1157" s="3" t="s">
        <v>3391</v>
      </c>
      <c r="H1157" s="3"/>
      <c r="I1157" s="3" t="s">
        <v>3392</v>
      </c>
      <c r="J1157" s="3">
        <v>0</v>
      </c>
      <c r="K1157" s="3">
        <v>0</v>
      </c>
      <c r="L1157" s="3">
        <v>0</v>
      </c>
      <c r="M1157" s="3">
        <v>0</v>
      </c>
      <c r="N1157" s="3">
        <v>4</v>
      </c>
      <c r="O1157" s="3">
        <v>0.06</v>
      </c>
      <c r="P1157" s="3">
        <v>0</v>
      </c>
      <c r="Q1157" s="3">
        <v>4</v>
      </c>
      <c r="R1157" s="3">
        <v>0</v>
      </c>
    </row>
    <row r="1158" spans="1:18">
      <c r="A1158" s="3" t="s">
        <v>5024</v>
      </c>
      <c r="B1158" s="3" t="s">
        <v>5025</v>
      </c>
      <c r="C1158" s="3" t="s">
        <v>5026</v>
      </c>
      <c r="D1158" s="3" t="s">
        <v>5027</v>
      </c>
      <c r="E1158" s="3" t="s">
        <v>867</v>
      </c>
      <c r="F1158" s="3">
        <v>23.98</v>
      </c>
      <c r="G1158" s="3" t="s">
        <v>3391</v>
      </c>
      <c r="H1158" s="3"/>
      <c r="I1158" s="3" t="s">
        <v>3392</v>
      </c>
      <c r="J1158" s="3">
        <v>0</v>
      </c>
      <c r="K1158" s="3">
        <v>0</v>
      </c>
      <c r="L1158" s="3">
        <v>0</v>
      </c>
      <c r="M1158" s="3">
        <v>0</v>
      </c>
      <c r="N1158" s="3">
        <v>10</v>
      </c>
      <c r="O1158" s="3">
        <v>0.1</v>
      </c>
      <c r="P1158" s="3">
        <v>0</v>
      </c>
      <c r="Q1158" s="3">
        <v>10</v>
      </c>
      <c r="R1158" s="3">
        <v>0</v>
      </c>
    </row>
    <row r="1159" spans="1:18">
      <c r="A1159" s="3" t="s">
        <v>5028</v>
      </c>
      <c r="B1159" s="3" t="s">
        <v>5029</v>
      </c>
      <c r="C1159" s="3" t="s">
        <v>610</v>
      </c>
      <c r="D1159" s="3" t="s">
        <v>611</v>
      </c>
      <c r="E1159" s="3" t="s">
        <v>867</v>
      </c>
      <c r="F1159" s="3">
        <v>23.98</v>
      </c>
      <c r="G1159" s="3" t="s">
        <v>3391</v>
      </c>
      <c r="H1159" s="3"/>
      <c r="I1159" s="3" t="s">
        <v>3392</v>
      </c>
      <c r="J1159" s="3">
        <v>0</v>
      </c>
      <c r="K1159" s="3">
        <v>0</v>
      </c>
      <c r="L1159" s="3">
        <v>0</v>
      </c>
      <c r="M1159" s="3">
        <v>0</v>
      </c>
      <c r="N1159" s="3">
        <v>14</v>
      </c>
      <c r="O1159" s="3">
        <v>0.15</v>
      </c>
      <c r="P1159" s="3">
        <v>0</v>
      </c>
      <c r="Q1159" s="3">
        <v>14</v>
      </c>
      <c r="R1159" s="3">
        <v>0</v>
      </c>
    </row>
    <row r="1160" spans="1:18">
      <c r="A1160" s="3" t="s">
        <v>5030</v>
      </c>
      <c r="B1160" s="3" t="s">
        <v>5031</v>
      </c>
      <c r="C1160" s="3" t="s">
        <v>5032</v>
      </c>
      <c r="D1160" s="3" t="s">
        <v>5033</v>
      </c>
      <c r="E1160" s="3" t="s">
        <v>867</v>
      </c>
      <c r="F1160" s="3">
        <v>23.98</v>
      </c>
      <c r="G1160" s="3" t="s">
        <v>3391</v>
      </c>
      <c r="H1160" s="3"/>
      <c r="I1160" s="3" t="s">
        <v>3392</v>
      </c>
      <c r="J1160" s="3">
        <v>0</v>
      </c>
      <c r="K1160" s="3">
        <v>0</v>
      </c>
      <c r="L1160" s="3">
        <v>0</v>
      </c>
      <c r="M1160" s="3">
        <v>0</v>
      </c>
      <c r="N1160" s="3">
        <v>5</v>
      </c>
      <c r="O1160" s="3">
        <v>0.11</v>
      </c>
      <c r="P1160" s="3">
        <v>0</v>
      </c>
      <c r="Q1160" s="3">
        <v>5</v>
      </c>
      <c r="R1160" s="3">
        <v>0</v>
      </c>
    </row>
    <row r="1161" spans="1:18">
      <c r="A1161" s="3" t="s">
        <v>5034</v>
      </c>
      <c r="B1161" s="3" t="s">
        <v>5035</v>
      </c>
      <c r="C1161" s="3" t="s">
        <v>604</v>
      </c>
      <c r="D1161" s="3" t="s">
        <v>605</v>
      </c>
      <c r="E1161" s="3" t="s">
        <v>867</v>
      </c>
      <c r="F1161" s="3">
        <v>23.98</v>
      </c>
      <c r="G1161" s="3" t="s">
        <v>3391</v>
      </c>
      <c r="H1161" s="3"/>
      <c r="I1161" s="3" t="s">
        <v>3392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0.05</v>
      </c>
      <c r="P1161" s="3">
        <v>0</v>
      </c>
      <c r="Q1161" s="3">
        <v>0</v>
      </c>
      <c r="R1161" s="3">
        <v>0</v>
      </c>
    </row>
    <row r="1162" spans="1:18">
      <c r="A1162" s="3" t="s">
        <v>5036</v>
      </c>
      <c r="B1162" s="3" t="s">
        <v>5037</v>
      </c>
      <c r="C1162" s="3" t="s">
        <v>1274</v>
      </c>
      <c r="D1162" s="3" t="s">
        <v>5038</v>
      </c>
      <c r="E1162" s="3" t="s">
        <v>867</v>
      </c>
      <c r="F1162" s="3">
        <v>23.98</v>
      </c>
      <c r="G1162" s="3" t="s">
        <v>3391</v>
      </c>
      <c r="H1162" s="3"/>
      <c r="I1162" s="3" t="s">
        <v>3392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0.11</v>
      </c>
      <c r="P1162" s="3">
        <v>0</v>
      </c>
      <c r="Q1162" s="3">
        <v>0</v>
      </c>
      <c r="R1162" s="3">
        <v>0</v>
      </c>
    </row>
    <row r="1163" spans="1:18">
      <c r="A1163" s="3" t="s">
        <v>5039</v>
      </c>
      <c r="B1163" s="3" t="s">
        <v>5040</v>
      </c>
      <c r="C1163" s="3" t="s">
        <v>3000</v>
      </c>
      <c r="D1163" s="3" t="s">
        <v>3001</v>
      </c>
      <c r="E1163" s="3" t="s">
        <v>867</v>
      </c>
      <c r="F1163" s="3">
        <v>23.98</v>
      </c>
      <c r="G1163" s="3" t="s">
        <v>3391</v>
      </c>
      <c r="H1163" s="3"/>
      <c r="I1163" s="3" t="s">
        <v>3392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0.1</v>
      </c>
      <c r="P1163" s="3">
        <v>0</v>
      </c>
      <c r="Q1163" s="3">
        <v>0</v>
      </c>
      <c r="R1163" s="3">
        <v>0</v>
      </c>
    </row>
    <row r="1164" spans="1:18">
      <c r="A1164" s="3" t="s">
        <v>5041</v>
      </c>
      <c r="B1164" s="3" t="s">
        <v>5042</v>
      </c>
      <c r="C1164" s="3" t="s">
        <v>5043</v>
      </c>
      <c r="D1164" s="3" t="s">
        <v>5044</v>
      </c>
      <c r="E1164" s="3" t="s">
        <v>867</v>
      </c>
      <c r="F1164" s="3">
        <v>23.98</v>
      </c>
      <c r="G1164" s="3" t="s">
        <v>3391</v>
      </c>
      <c r="H1164" s="3"/>
      <c r="I1164" s="3" t="s">
        <v>3392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</row>
    <row r="1165" spans="1:18">
      <c r="A1165" s="3" t="s">
        <v>5045</v>
      </c>
      <c r="B1165" s="3" t="s">
        <v>5046</v>
      </c>
      <c r="C1165" s="3" t="s">
        <v>613</v>
      </c>
      <c r="D1165" s="3" t="s">
        <v>614</v>
      </c>
      <c r="E1165" s="3" t="s">
        <v>867</v>
      </c>
      <c r="F1165" s="3">
        <v>23.98</v>
      </c>
      <c r="G1165" s="3" t="s">
        <v>3391</v>
      </c>
      <c r="H1165" s="3"/>
      <c r="I1165" s="3" t="s">
        <v>3392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0.21</v>
      </c>
      <c r="P1165" s="3">
        <v>0</v>
      </c>
      <c r="Q1165" s="3">
        <v>0</v>
      </c>
      <c r="R1165" s="3">
        <v>0</v>
      </c>
    </row>
    <row r="1166" spans="1:18">
      <c r="A1166" s="3" t="s">
        <v>5047</v>
      </c>
      <c r="B1166" s="3" t="s">
        <v>5048</v>
      </c>
      <c r="C1166" s="3" t="s">
        <v>607</v>
      </c>
      <c r="D1166" s="3" t="s">
        <v>5049</v>
      </c>
      <c r="E1166" s="3" t="s">
        <v>867</v>
      </c>
      <c r="F1166" s="3">
        <v>23.98</v>
      </c>
      <c r="G1166" s="3" t="s">
        <v>3391</v>
      </c>
      <c r="H1166" s="3"/>
      <c r="I1166" s="3" t="s">
        <v>3392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0.18</v>
      </c>
      <c r="P1166" s="3">
        <v>0</v>
      </c>
      <c r="Q1166" s="3">
        <v>0</v>
      </c>
      <c r="R1166" s="3">
        <v>0</v>
      </c>
    </row>
    <row r="1167" spans="1:18">
      <c r="A1167" s="3" t="s">
        <v>5050</v>
      </c>
      <c r="B1167" s="3" t="s">
        <v>5051</v>
      </c>
      <c r="C1167" s="3" t="s">
        <v>4587</v>
      </c>
      <c r="D1167" s="3" t="s">
        <v>5052</v>
      </c>
      <c r="E1167" s="3" t="s">
        <v>867</v>
      </c>
      <c r="F1167" s="3">
        <v>23.98</v>
      </c>
      <c r="G1167" s="3" t="s">
        <v>3391</v>
      </c>
      <c r="H1167" s="3"/>
      <c r="I1167" s="3" t="s">
        <v>3392</v>
      </c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>
        <v>0.1</v>
      </c>
      <c r="P1167" s="3">
        <v>0</v>
      </c>
      <c r="Q1167" s="3">
        <v>0</v>
      </c>
      <c r="R1167" s="3">
        <v>0</v>
      </c>
    </row>
    <row r="1168" spans="1:18">
      <c r="A1168" s="3" t="s">
        <v>5053</v>
      </c>
      <c r="B1168" s="3" t="s">
        <v>5054</v>
      </c>
      <c r="C1168" s="3" t="s">
        <v>5055</v>
      </c>
      <c r="D1168" s="3" t="s">
        <v>5056</v>
      </c>
      <c r="E1168" s="3" t="s">
        <v>867</v>
      </c>
      <c r="F1168" s="3">
        <v>23.98</v>
      </c>
      <c r="G1168" s="3" t="s">
        <v>3391</v>
      </c>
      <c r="H1168" s="3"/>
      <c r="I1168" s="3" t="s">
        <v>3392</v>
      </c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</row>
    <row r="1169" spans="1:18">
      <c r="A1169" s="3" t="s">
        <v>405</v>
      </c>
      <c r="B1169" s="3" t="s">
        <v>406</v>
      </c>
      <c r="C1169" s="3" t="s">
        <v>407</v>
      </c>
      <c r="D1169" s="3" t="s">
        <v>408</v>
      </c>
      <c r="E1169" s="3" t="s">
        <v>867</v>
      </c>
      <c r="F1169" s="3">
        <v>23.99</v>
      </c>
      <c r="G1169" s="3" t="s">
        <v>3391</v>
      </c>
      <c r="H1169" s="3"/>
      <c r="I1169" s="3" t="s">
        <v>3392</v>
      </c>
      <c r="J1169" s="3">
        <v>10</v>
      </c>
      <c r="K1169" s="3">
        <v>5</v>
      </c>
      <c r="L1169" s="3">
        <v>0</v>
      </c>
      <c r="M1169" s="3">
        <v>5</v>
      </c>
      <c r="N1169" s="3">
        <v>25</v>
      </c>
      <c r="O1169" s="3">
        <v>0.11</v>
      </c>
      <c r="P1169" s="3">
        <v>0</v>
      </c>
      <c r="Q1169" s="3">
        <v>15</v>
      </c>
      <c r="R1169" s="3">
        <v>0</v>
      </c>
    </row>
    <row r="1170" spans="1:18">
      <c r="A1170" s="3" t="s">
        <v>2866</v>
      </c>
      <c r="B1170" s="3" t="s">
        <v>2867</v>
      </c>
      <c r="C1170" s="3" t="s">
        <v>2868</v>
      </c>
      <c r="D1170" s="3" t="s">
        <v>5057</v>
      </c>
      <c r="E1170" s="3" t="s">
        <v>867</v>
      </c>
      <c r="F1170" s="3">
        <v>23.98</v>
      </c>
      <c r="G1170" s="3" t="s">
        <v>3391</v>
      </c>
      <c r="H1170" s="3"/>
      <c r="I1170" s="3" t="s">
        <v>3392</v>
      </c>
      <c r="J1170" s="3">
        <v>14</v>
      </c>
      <c r="K1170" s="3">
        <v>14</v>
      </c>
      <c r="L1170" s="3">
        <v>0</v>
      </c>
      <c r="M1170" s="3">
        <v>0</v>
      </c>
      <c r="N1170" s="3">
        <v>22</v>
      </c>
      <c r="O1170" s="3">
        <v>0.09</v>
      </c>
      <c r="P1170" s="3">
        <v>0</v>
      </c>
      <c r="Q1170" s="3">
        <v>8</v>
      </c>
      <c r="R1170" s="3">
        <v>0</v>
      </c>
    </row>
    <row r="1171" spans="1:18">
      <c r="A1171" s="3" t="s">
        <v>5058</v>
      </c>
      <c r="B1171" s="3" t="s">
        <v>5059</v>
      </c>
      <c r="C1171" s="3" t="s">
        <v>629</v>
      </c>
      <c r="D1171" s="3" t="s">
        <v>630</v>
      </c>
      <c r="E1171" s="3" t="s">
        <v>867</v>
      </c>
      <c r="F1171" s="3">
        <v>39.98</v>
      </c>
      <c r="G1171" s="3" t="s">
        <v>3391</v>
      </c>
      <c r="H1171" s="3"/>
      <c r="I1171" s="3" t="s">
        <v>3392</v>
      </c>
      <c r="J1171" s="3">
        <v>0</v>
      </c>
      <c r="K1171" s="3">
        <v>0</v>
      </c>
      <c r="L1171" s="3">
        <v>0</v>
      </c>
      <c r="M1171" s="3">
        <v>0</v>
      </c>
      <c r="N1171" s="3">
        <v>2</v>
      </c>
      <c r="O1171" s="3">
        <v>0.18</v>
      </c>
      <c r="P1171" s="3">
        <v>0</v>
      </c>
      <c r="Q1171" s="3">
        <v>2</v>
      </c>
      <c r="R1171" s="3">
        <v>0</v>
      </c>
    </row>
    <row r="1172" spans="1:18">
      <c r="A1172" s="3" t="s">
        <v>5060</v>
      </c>
      <c r="B1172" s="3" t="s">
        <v>5061</v>
      </c>
      <c r="C1172" s="3" t="s">
        <v>622</v>
      </c>
      <c r="D1172" s="3" t="s">
        <v>623</v>
      </c>
      <c r="E1172" s="3" t="s">
        <v>867</v>
      </c>
      <c r="F1172" s="3">
        <v>19.98</v>
      </c>
      <c r="G1172" s="3" t="s">
        <v>3391</v>
      </c>
      <c r="H1172" s="3"/>
      <c r="I1172" s="3" t="s">
        <v>3392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0.1</v>
      </c>
      <c r="P1172" s="3">
        <v>0</v>
      </c>
      <c r="Q1172" s="3">
        <v>0</v>
      </c>
      <c r="R1172" s="3">
        <v>0</v>
      </c>
    </row>
    <row r="1173" spans="1:18">
      <c r="A1173" s="3" t="s">
        <v>5062</v>
      </c>
      <c r="B1173" s="3" t="s">
        <v>5063</v>
      </c>
      <c r="C1173" s="3" t="s">
        <v>5064</v>
      </c>
      <c r="D1173" s="3" t="s">
        <v>5065</v>
      </c>
      <c r="E1173" s="3" t="s">
        <v>867</v>
      </c>
      <c r="F1173" s="3">
        <v>39.98</v>
      </c>
      <c r="G1173" s="3" t="s">
        <v>3391</v>
      </c>
      <c r="H1173" s="3"/>
      <c r="I1173" s="3" t="s">
        <v>3392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</row>
    <row r="1174" spans="1:18">
      <c r="A1174" s="3" t="s">
        <v>5066</v>
      </c>
      <c r="B1174" s="3" t="s">
        <v>5067</v>
      </c>
      <c r="C1174" s="3" t="s">
        <v>619</v>
      </c>
      <c r="D1174" s="3" t="s">
        <v>620</v>
      </c>
      <c r="E1174" s="3" t="s">
        <v>867</v>
      </c>
      <c r="F1174" s="3">
        <v>39.98</v>
      </c>
      <c r="G1174" s="3" t="s">
        <v>3391</v>
      </c>
      <c r="H1174" s="3"/>
      <c r="I1174" s="3" t="s">
        <v>3392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0.09</v>
      </c>
      <c r="P1174" s="3">
        <v>0</v>
      </c>
      <c r="Q1174" s="3">
        <v>0</v>
      </c>
      <c r="R1174" s="3">
        <v>0</v>
      </c>
    </row>
    <row r="1175" spans="1:18">
      <c r="A1175" s="3" t="s">
        <v>5068</v>
      </c>
      <c r="B1175" s="3" t="s">
        <v>5069</v>
      </c>
      <c r="C1175" s="3" t="s">
        <v>1328</v>
      </c>
      <c r="D1175" s="3" t="s">
        <v>5070</v>
      </c>
      <c r="E1175" s="3" t="s">
        <v>867</v>
      </c>
      <c r="F1175" s="3">
        <v>39.98</v>
      </c>
      <c r="G1175" s="3" t="s">
        <v>3391</v>
      </c>
      <c r="H1175" s="3"/>
      <c r="I1175" s="3" t="s">
        <v>3392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0.21</v>
      </c>
      <c r="P1175" s="3">
        <v>0</v>
      </c>
      <c r="Q1175" s="3">
        <v>0</v>
      </c>
      <c r="R1175" s="3">
        <v>0</v>
      </c>
    </row>
    <row r="1176" spans="1:18">
      <c r="A1176" s="3" t="s">
        <v>5071</v>
      </c>
      <c r="B1176" s="3" t="s">
        <v>5072</v>
      </c>
      <c r="C1176" s="3" t="s">
        <v>5073</v>
      </c>
      <c r="D1176" s="3" t="s">
        <v>5074</v>
      </c>
      <c r="E1176" s="3" t="s">
        <v>867</v>
      </c>
      <c r="F1176" s="3">
        <v>39.98</v>
      </c>
      <c r="G1176" s="3" t="s">
        <v>3391</v>
      </c>
      <c r="H1176" s="3"/>
      <c r="I1176" s="3" t="s">
        <v>3392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</row>
    <row r="1177" spans="1:18">
      <c r="A1177" s="3" t="s">
        <v>5075</v>
      </c>
      <c r="B1177" s="3" t="s">
        <v>5076</v>
      </c>
      <c r="C1177" s="3" t="s">
        <v>5077</v>
      </c>
      <c r="D1177" s="3" t="s">
        <v>5078</v>
      </c>
      <c r="E1177" s="3" t="s">
        <v>867</v>
      </c>
      <c r="F1177" s="3">
        <v>39.98</v>
      </c>
      <c r="G1177" s="3" t="s">
        <v>3391</v>
      </c>
      <c r="H1177" s="3"/>
      <c r="I1177" s="3" t="s">
        <v>3392</v>
      </c>
      <c r="J1177" s="3">
        <v>0</v>
      </c>
      <c r="K1177" s="3">
        <v>0</v>
      </c>
      <c r="L1177" s="3">
        <v>0</v>
      </c>
      <c r="M1177" s="3">
        <v>0</v>
      </c>
      <c r="N1177" s="3">
        <v>10</v>
      </c>
      <c r="O1177" s="3">
        <v>0.21</v>
      </c>
      <c r="P1177" s="3">
        <v>0</v>
      </c>
      <c r="Q1177" s="3">
        <v>10</v>
      </c>
      <c r="R1177" s="3">
        <v>0</v>
      </c>
    </row>
    <row r="1178" spans="1:18">
      <c r="A1178" s="3" t="s">
        <v>5079</v>
      </c>
      <c r="B1178" s="3" t="s">
        <v>5080</v>
      </c>
      <c r="C1178" s="3" t="s">
        <v>5081</v>
      </c>
      <c r="D1178" s="3" t="s">
        <v>5082</v>
      </c>
      <c r="E1178" s="3" t="s">
        <v>867</v>
      </c>
      <c r="F1178" s="3">
        <v>39.98</v>
      </c>
      <c r="G1178" s="3" t="s">
        <v>3391</v>
      </c>
      <c r="H1178" s="3"/>
      <c r="I1178" s="3" t="s">
        <v>3392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</row>
    <row r="1179" spans="1:18">
      <c r="A1179" s="3" t="s">
        <v>5083</v>
      </c>
      <c r="B1179" s="3" t="s">
        <v>5084</v>
      </c>
      <c r="C1179" s="3" t="s">
        <v>5085</v>
      </c>
      <c r="D1179" s="3" t="s">
        <v>5086</v>
      </c>
      <c r="E1179" s="3" t="s">
        <v>867</v>
      </c>
      <c r="F1179" s="3">
        <v>39.98</v>
      </c>
      <c r="G1179" s="3" t="s">
        <v>3391</v>
      </c>
      <c r="H1179" s="3"/>
      <c r="I1179" s="3" t="s">
        <v>3392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</row>
    <row r="1180" spans="1:18">
      <c r="A1180" s="3" t="s">
        <v>5087</v>
      </c>
      <c r="B1180" s="3" t="s">
        <v>5088</v>
      </c>
      <c r="C1180" s="3" t="s">
        <v>2861</v>
      </c>
      <c r="D1180" s="3" t="s">
        <v>2160</v>
      </c>
      <c r="E1180" s="3" t="s">
        <v>867</v>
      </c>
      <c r="F1180" s="3">
        <v>39.98</v>
      </c>
      <c r="G1180" s="3" t="s">
        <v>3391</v>
      </c>
      <c r="H1180" s="3"/>
      <c r="I1180" s="3" t="s">
        <v>3392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0.1</v>
      </c>
      <c r="P1180" s="3">
        <v>0</v>
      </c>
      <c r="Q1180" s="3">
        <v>0</v>
      </c>
      <c r="R1180" s="3">
        <v>0</v>
      </c>
    </row>
    <row r="1181" spans="1:18">
      <c r="A1181" s="3" t="s">
        <v>471</v>
      </c>
      <c r="B1181" s="3" t="s">
        <v>472</v>
      </c>
      <c r="C1181" s="3" t="s">
        <v>473</v>
      </c>
      <c r="D1181" s="3" t="s">
        <v>474</v>
      </c>
      <c r="E1181" s="3" t="s">
        <v>867</v>
      </c>
      <c r="F1181" s="3">
        <v>39.98</v>
      </c>
      <c r="G1181" s="3" t="s">
        <v>3391</v>
      </c>
      <c r="H1181" s="3"/>
      <c r="I1181" s="3" t="s">
        <v>3392</v>
      </c>
      <c r="J1181" s="3">
        <v>8</v>
      </c>
      <c r="K1181" s="3">
        <v>0</v>
      </c>
      <c r="L1181" s="3">
        <v>0</v>
      </c>
      <c r="M1181" s="3">
        <v>8</v>
      </c>
      <c r="N1181" s="3">
        <v>45</v>
      </c>
      <c r="O1181" s="3">
        <v>0.09</v>
      </c>
      <c r="P1181" s="3">
        <v>0</v>
      </c>
      <c r="Q1181" s="3">
        <v>37</v>
      </c>
      <c r="R1181" s="3">
        <v>0</v>
      </c>
    </row>
    <row r="1182" spans="1:18">
      <c r="A1182" s="3" t="s">
        <v>5089</v>
      </c>
      <c r="B1182" s="3" t="s">
        <v>5090</v>
      </c>
      <c r="C1182" s="3" t="s">
        <v>427</v>
      </c>
      <c r="D1182" s="3" t="s">
        <v>428</v>
      </c>
      <c r="E1182" s="3" t="s">
        <v>867</v>
      </c>
      <c r="F1182" s="3">
        <v>39.98</v>
      </c>
      <c r="G1182" s="3" t="s">
        <v>3391</v>
      </c>
      <c r="H1182" s="3"/>
      <c r="I1182" s="3" t="s">
        <v>3392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0.07</v>
      </c>
      <c r="P1182" s="3">
        <v>0</v>
      </c>
      <c r="Q1182" s="3">
        <v>0</v>
      </c>
      <c r="R1182" s="3">
        <v>0</v>
      </c>
    </row>
    <row r="1183" spans="1:18">
      <c r="A1183" s="3" t="s">
        <v>447</v>
      </c>
      <c r="B1183" s="3" t="s">
        <v>448</v>
      </c>
      <c r="C1183" s="3" t="s">
        <v>449</v>
      </c>
      <c r="D1183" s="3" t="s">
        <v>450</v>
      </c>
      <c r="E1183" s="3" t="s">
        <v>867</v>
      </c>
      <c r="F1183" s="3">
        <v>39.98</v>
      </c>
      <c r="G1183" s="3" t="s">
        <v>3391</v>
      </c>
      <c r="H1183" s="3"/>
      <c r="I1183" s="3" t="s">
        <v>3392</v>
      </c>
      <c r="J1183" s="3">
        <v>12</v>
      </c>
      <c r="K1183" s="3">
        <v>1</v>
      </c>
      <c r="L1183" s="3">
        <v>0</v>
      </c>
      <c r="M1183" s="3">
        <v>11</v>
      </c>
      <c r="N1183" s="3">
        <v>31</v>
      </c>
      <c r="O1183" s="3">
        <v>0.03</v>
      </c>
      <c r="P1183" s="3">
        <v>0</v>
      </c>
      <c r="Q1183" s="3">
        <v>19</v>
      </c>
      <c r="R1183" s="3">
        <v>0</v>
      </c>
    </row>
    <row r="1184" spans="1:18">
      <c r="A1184" s="3" t="s">
        <v>463</v>
      </c>
      <c r="B1184" s="3" t="s">
        <v>464</v>
      </c>
      <c r="C1184" s="3" t="s">
        <v>465</v>
      </c>
      <c r="D1184" s="3" t="s">
        <v>466</v>
      </c>
      <c r="E1184" s="3" t="s">
        <v>867</v>
      </c>
      <c r="F1184" s="3">
        <v>39.98</v>
      </c>
      <c r="G1184" s="3" t="s">
        <v>3391</v>
      </c>
      <c r="H1184" s="3"/>
      <c r="I1184" s="3" t="s">
        <v>3392</v>
      </c>
      <c r="J1184" s="3">
        <v>11</v>
      </c>
      <c r="K1184" s="3">
        <v>0</v>
      </c>
      <c r="L1184" s="3">
        <v>0</v>
      </c>
      <c r="M1184" s="3">
        <v>11</v>
      </c>
      <c r="N1184" s="3">
        <v>47</v>
      </c>
      <c r="O1184" s="3">
        <v>0.11</v>
      </c>
      <c r="P1184" s="3">
        <v>0</v>
      </c>
      <c r="Q1184" s="3">
        <v>36</v>
      </c>
      <c r="R1184" s="3">
        <v>0</v>
      </c>
    </row>
    <row r="1185" spans="1:18">
      <c r="A1185" s="3" t="s">
        <v>459</v>
      </c>
      <c r="B1185" s="3" t="s">
        <v>460</v>
      </c>
      <c r="C1185" s="3" t="s">
        <v>461</v>
      </c>
      <c r="D1185" s="3" t="s">
        <v>462</v>
      </c>
      <c r="E1185" s="3" t="s">
        <v>867</v>
      </c>
      <c r="F1185" s="3">
        <v>39.98</v>
      </c>
      <c r="G1185" s="3" t="s">
        <v>3391</v>
      </c>
      <c r="H1185" s="3"/>
      <c r="I1185" s="3" t="s">
        <v>3392</v>
      </c>
      <c r="J1185" s="3">
        <v>19</v>
      </c>
      <c r="K1185" s="3">
        <v>3</v>
      </c>
      <c r="L1185" s="3">
        <v>0</v>
      </c>
      <c r="M1185" s="3">
        <v>16</v>
      </c>
      <c r="N1185" s="3">
        <v>38</v>
      </c>
      <c r="O1185" s="3">
        <v>0.21</v>
      </c>
      <c r="P1185" s="3">
        <v>0</v>
      </c>
      <c r="Q1185" s="3">
        <v>19</v>
      </c>
      <c r="R1185" s="3">
        <v>0</v>
      </c>
    </row>
    <row r="1186" spans="1:18">
      <c r="A1186" s="3" t="s">
        <v>5091</v>
      </c>
      <c r="B1186" s="3" t="s">
        <v>5092</v>
      </c>
      <c r="C1186" s="3" t="s">
        <v>5093</v>
      </c>
      <c r="D1186" s="3" t="s">
        <v>5094</v>
      </c>
      <c r="E1186" s="3" t="s">
        <v>867</v>
      </c>
      <c r="F1186" s="3">
        <v>39.98</v>
      </c>
      <c r="G1186" s="3" t="s">
        <v>3391</v>
      </c>
      <c r="H1186" s="3"/>
      <c r="I1186" s="3" t="s">
        <v>3392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0.1</v>
      </c>
      <c r="P1186" s="3">
        <v>0</v>
      </c>
      <c r="Q1186" s="3">
        <v>0</v>
      </c>
      <c r="R1186" s="3">
        <v>0</v>
      </c>
    </row>
    <row r="1187" spans="1:18">
      <c r="A1187" s="3" t="s">
        <v>5095</v>
      </c>
      <c r="B1187" s="3" t="s">
        <v>5096</v>
      </c>
      <c r="C1187" s="3" t="s">
        <v>2852</v>
      </c>
      <c r="D1187" s="3" t="s">
        <v>2853</v>
      </c>
      <c r="E1187" s="3" t="s">
        <v>867</v>
      </c>
      <c r="F1187" s="3">
        <v>39.98</v>
      </c>
      <c r="G1187" s="3" t="s">
        <v>3391</v>
      </c>
      <c r="H1187" s="3"/>
      <c r="I1187" s="3" t="s">
        <v>3392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0.11</v>
      </c>
      <c r="P1187" s="3">
        <v>0</v>
      </c>
      <c r="Q1187" s="3">
        <v>0</v>
      </c>
      <c r="R1187" s="3">
        <v>0</v>
      </c>
    </row>
    <row r="1188" spans="1:18">
      <c r="A1188" s="3" t="s">
        <v>5097</v>
      </c>
      <c r="B1188" s="3" t="s">
        <v>5098</v>
      </c>
      <c r="C1188" s="3" t="s">
        <v>4654</v>
      </c>
      <c r="D1188" s="3" t="s">
        <v>4926</v>
      </c>
      <c r="E1188" s="3" t="s">
        <v>867</v>
      </c>
      <c r="F1188" s="3">
        <v>39.98</v>
      </c>
      <c r="G1188" s="3" t="s">
        <v>3391</v>
      </c>
      <c r="H1188" s="3"/>
      <c r="I1188" s="3" t="s">
        <v>3392</v>
      </c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>
        <v>0.14</v>
      </c>
      <c r="P1188" s="3">
        <v>0</v>
      </c>
      <c r="Q1188" s="3">
        <v>0</v>
      </c>
      <c r="R1188" s="3">
        <v>0</v>
      </c>
    </row>
    <row r="1189" spans="1:18">
      <c r="A1189" s="3" t="s">
        <v>5099</v>
      </c>
      <c r="B1189" s="3" t="s">
        <v>5100</v>
      </c>
      <c r="C1189" s="3" t="s">
        <v>1629</v>
      </c>
      <c r="D1189" s="3" t="s">
        <v>1630</v>
      </c>
      <c r="E1189" s="3" t="s">
        <v>867</v>
      </c>
      <c r="F1189" s="3">
        <v>39.98</v>
      </c>
      <c r="G1189" s="3" t="s">
        <v>3391</v>
      </c>
      <c r="H1189" s="3"/>
      <c r="I1189" s="3" t="s">
        <v>3392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0.1</v>
      </c>
      <c r="P1189" s="3">
        <v>0</v>
      </c>
      <c r="Q1189" s="3">
        <v>0</v>
      </c>
      <c r="R1189" s="3">
        <v>0</v>
      </c>
    </row>
    <row r="1190" spans="1:18">
      <c r="A1190" s="3" t="s">
        <v>5101</v>
      </c>
      <c r="B1190" s="3" t="s">
        <v>5102</v>
      </c>
      <c r="C1190" s="3" t="s">
        <v>994</v>
      </c>
      <c r="D1190" s="3" t="s">
        <v>995</v>
      </c>
      <c r="E1190" s="3" t="s">
        <v>867</v>
      </c>
      <c r="F1190" s="3">
        <v>39.98</v>
      </c>
      <c r="G1190" s="3" t="s">
        <v>3391</v>
      </c>
      <c r="H1190" s="3"/>
      <c r="I1190" s="3" t="s">
        <v>3392</v>
      </c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>
        <v>0.08</v>
      </c>
      <c r="P1190" s="3">
        <v>0</v>
      </c>
      <c r="Q1190" s="3">
        <v>0</v>
      </c>
      <c r="R1190" s="3">
        <v>0</v>
      </c>
    </row>
    <row r="1191" spans="1:18">
      <c r="A1191" s="3" t="s">
        <v>5103</v>
      </c>
      <c r="B1191" s="3" t="s">
        <v>5104</v>
      </c>
      <c r="C1191" s="3" t="s">
        <v>5105</v>
      </c>
      <c r="D1191" s="3" t="s">
        <v>5106</v>
      </c>
      <c r="E1191" s="3" t="s">
        <v>867</v>
      </c>
      <c r="F1191" s="3">
        <v>39.98</v>
      </c>
      <c r="G1191" s="3" t="s">
        <v>3391</v>
      </c>
      <c r="H1191" s="3"/>
      <c r="I1191" s="3" t="s">
        <v>3392</v>
      </c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</row>
    <row r="1192" spans="1:18">
      <c r="A1192" s="3" t="s">
        <v>5107</v>
      </c>
      <c r="B1192" s="3" t="s">
        <v>5108</v>
      </c>
      <c r="C1192" s="3" t="s">
        <v>5109</v>
      </c>
      <c r="D1192" s="3" t="s">
        <v>5110</v>
      </c>
      <c r="E1192" s="3" t="s">
        <v>867</v>
      </c>
      <c r="F1192" s="3">
        <v>39.98</v>
      </c>
      <c r="G1192" s="3" t="s">
        <v>3391</v>
      </c>
      <c r="H1192" s="3"/>
      <c r="I1192" s="3" t="s">
        <v>3392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</row>
    <row r="1193" spans="1:18">
      <c r="A1193" s="3" t="s">
        <v>2705</v>
      </c>
      <c r="B1193" s="3" t="s">
        <v>2706</v>
      </c>
      <c r="C1193" s="3" t="s">
        <v>2707</v>
      </c>
      <c r="D1193" s="3" t="s">
        <v>411</v>
      </c>
      <c r="E1193" s="3" t="s">
        <v>867</v>
      </c>
      <c r="F1193" s="3">
        <v>39.98</v>
      </c>
      <c r="G1193" s="3" t="s">
        <v>3391</v>
      </c>
      <c r="H1193" s="3"/>
      <c r="I1193" s="3" t="s">
        <v>3392</v>
      </c>
      <c r="J1193" s="3">
        <v>2</v>
      </c>
      <c r="K1193" s="3">
        <v>2</v>
      </c>
      <c r="L1193" s="3">
        <v>0</v>
      </c>
      <c r="M1193" s="3">
        <v>0</v>
      </c>
      <c r="N1193" s="3">
        <v>2</v>
      </c>
      <c r="O1193" s="3">
        <v>0.21</v>
      </c>
      <c r="P1193" s="3">
        <v>0</v>
      </c>
      <c r="Q1193" s="3">
        <v>0</v>
      </c>
      <c r="R1193" s="3">
        <v>0</v>
      </c>
    </row>
    <row r="1194" spans="1:18">
      <c r="A1194" s="3" t="s">
        <v>5111</v>
      </c>
      <c r="B1194" s="3" t="s">
        <v>5112</v>
      </c>
      <c r="C1194" s="3" t="s">
        <v>5113</v>
      </c>
      <c r="D1194" s="3" t="s">
        <v>5114</v>
      </c>
      <c r="E1194" s="3" t="s">
        <v>867</v>
      </c>
      <c r="F1194" s="3">
        <v>39.98</v>
      </c>
      <c r="G1194" s="3" t="s">
        <v>3391</v>
      </c>
      <c r="H1194" s="3"/>
      <c r="I1194" s="3" t="s">
        <v>3392</v>
      </c>
      <c r="J1194" s="3">
        <v>0</v>
      </c>
      <c r="K1194" s="3">
        <v>0</v>
      </c>
      <c r="L1194" s="3">
        <v>0</v>
      </c>
      <c r="M1194" s="3">
        <v>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</row>
    <row r="1195" spans="1:18">
      <c r="A1195" s="3" t="s">
        <v>5115</v>
      </c>
      <c r="B1195" s="3" t="s">
        <v>5116</v>
      </c>
      <c r="C1195" s="3" t="s">
        <v>1553</v>
      </c>
      <c r="D1195" s="3" t="s">
        <v>1554</v>
      </c>
      <c r="E1195" s="3" t="s">
        <v>867</v>
      </c>
      <c r="F1195" s="3">
        <v>39.98</v>
      </c>
      <c r="G1195" s="3" t="s">
        <v>3391</v>
      </c>
      <c r="H1195" s="3"/>
      <c r="I1195" s="3" t="s">
        <v>3392</v>
      </c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>
        <v>0.1</v>
      </c>
      <c r="P1195" s="3">
        <v>0</v>
      </c>
      <c r="Q1195" s="3">
        <v>0</v>
      </c>
      <c r="R1195" s="3">
        <v>0</v>
      </c>
    </row>
    <row r="1196" spans="1:18">
      <c r="A1196" s="3" t="s">
        <v>5117</v>
      </c>
      <c r="B1196" s="3" t="s">
        <v>5118</v>
      </c>
      <c r="C1196" s="3" t="s">
        <v>403</v>
      </c>
      <c r="D1196" s="3" t="s">
        <v>404</v>
      </c>
      <c r="E1196" s="3" t="s">
        <v>867</v>
      </c>
      <c r="F1196" s="3">
        <v>39.98</v>
      </c>
      <c r="G1196" s="3" t="s">
        <v>3391</v>
      </c>
      <c r="H1196" s="3"/>
      <c r="I1196" s="3" t="s">
        <v>3392</v>
      </c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>
        <v>0.13</v>
      </c>
      <c r="P1196" s="3">
        <v>0</v>
      </c>
      <c r="Q1196" s="3">
        <v>0</v>
      </c>
      <c r="R1196" s="3">
        <v>0</v>
      </c>
    </row>
    <row r="1197" spans="1:18">
      <c r="A1197" s="3" t="s">
        <v>5119</v>
      </c>
      <c r="B1197" s="3" t="s">
        <v>5120</v>
      </c>
      <c r="C1197" s="3" t="s">
        <v>2396</v>
      </c>
      <c r="D1197" s="3" t="s">
        <v>2397</v>
      </c>
      <c r="E1197" s="3" t="s">
        <v>867</v>
      </c>
      <c r="F1197" s="3">
        <v>39.98</v>
      </c>
      <c r="G1197" s="3" t="s">
        <v>3391</v>
      </c>
      <c r="H1197" s="3"/>
      <c r="I1197" s="3" t="s">
        <v>3392</v>
      </c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>
        <v>0.12</v>
      </c>
      <c r="P1197" s="3">
        <v>0</v>
      </c>
      <c r="Q1197" s="3">
        <v>0</v>
      </c>
      <c r="R1197" s="3">
        <v>0</v>
      </c>
    </row>
    <row r="1198" spans="1:18">
      <c r="A1198" s="3" t="s">
        <v>5121</v>
      </c>
      <c r="B1198" s="3" t="s">
        <v>5122</v>
      </c>
      <c r="C1198" s="3" t="s">
        <v>413</v>
      </c>
      <c r="D1198" s="3" t="s">
        <v>414</v>
      </c>
      <c r="E1198" s="3" t="s">
        <v>867</v>
      </c>
      <c r="F1198" s="3">
        <v>39.98</v>
      </c>
      <c r="G1198" s="3" t="s">
        <v>3391</v>
      </c>
      <c r="H1198" s="3"/>
      <c r="I1198" s="3" t="s">
        <v>3392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0.1</v>
      </c>
      <c r="P1198" s="3">
        <v>0</v>
      </c>
      <c r="Q1198" s="3">
        <v>0</v>
      </c>
      <c r="R1198" s="3">
        <v>0</v>
      </c>
    </row>
    <row r="1199" spans="1:18">
      <c r="A1199" s="3" t="s">
        <v>478</v>
      </c>
      <c r="B1199" s="3" t="s">
        <v>479</v>
      </c>
      <c r="C1199" s="3" t="s">
        <v>480</v>
      </c>
      <c r="D1199" s="3" t="s">
        <v>481</v>
      </c>
      <c r="E1199" s="3" t="s">
        <v>867</v>
      </c>
      <c r="F1199" s="3">
        <v>23.99</v>
      </c>
      <c r="G1199" s="3" t="s">
        <v>3391</v>
      </c>
      <c r="H1199" s="3"/>
      <c r="I1199" s="3" t="s">
        <v>3392</v>
      </c>
      <c r="J1199" s="3">
        <v>24</v>
      </c>
      <c r="K1199" s="3">
        <v>0</v>
      </c>
      <c r="L1199" s="3">
        <v>0</v>
      </c>
      <c r="M1199" s="3">
        <v>24</v>
      </c>
      <c r="N1199" s="3">
        <v>34</v>
      </c>
      <c r="O1199" s="3">
        <v>0.1</v>
      </c>
      <c r="P1199" s="3">
        <v>0</v>
      </c>
      <c r="Q1199" s="3">
        <v>10</v>
      </c>
      <c r="R1199" s="3">
        <v>0</v>
      </c>
    </row>
    <row r="1200" spans="1:18">
      <c r="A1200" s="3" t="s">
        <v>429</v>
      </c>
      <c r="B1200" s="3" t="s">
        <v>430</v>
      </c>
      <c r="C1200" s="3" t="s">
        <v>431</v>
      </c>
      <c r="D1200" s="3" t="s">
        <v>432</v>
      </c>
      <c r="E1200" s="3" t="s">
        <v>867</v>
      </c>
      <c r="F1200" s="3">
        <v>23.99</v>
      </c>
      <c r="G1200" s="3" t="s">
        <v>3391</v>
      </c>
      <c r="H1200" s="3"/>
      <c r="I1200" s="3" t="s">
        <v>3392</v>
      </c>
      <c r="J1200" s="3">
        <v>10</v>
      </c>
      <c r="K1200" s="3">
        <v>5</v>
      </c>
      <c r="L1200" s="3">
        <v>0</v>
      </c>
      <c r="M1200" s="3">
        <v>5</v>
      </c>
      <c r="N1200" s="3">
        <v>10</v>
      </c>
      <c r="O1200" s="3">
        <v>0.21</v>
      </c>
      <c r="P1200" s="3">
        <v>0</v>
      </c>
      <c r="Q1200" s="3">
        <v>0</v>
      </c>
      <c r="R1200" s="3">
        <v>0</v>
      </c>
    </row>
    <row r="1201" spans="1:18">
      <c r="A1201" s="3" t="s">
        <v>5123</v>
      </c>
      <c r="B1201" s="3" t="s">
        <v>5124</v>
      </c>
      <c r="C1201" s="3" t="s">
        <v>632</v>
      </c>
      <c r="D1201" s="3" t="s">
        <v>633</v>
      </c>
      <c r="E1201" s="3" t="s">
        <v>867</v>
      </c>
      <c r="F1201" s="3">
        <v>39.98</v>
      </c>
      <c r="G1201" s="3" t="s">
        <v>3391</v>
      </c>
      <c r="H1201" s="3"/>
      <c r="I1201" s="3" t="s">
        <v>3392</v>
      </c>
      <c r="J1201" s="3">
        <v>0</v>
      </c>
      <c r="K1201" s="3">
        <v>0</v>
      </c>
      <c r="L1201" s="3">
        <v>0</v>
      </c>
      <c r="M1201" s="3">
        <v>0</v>
      </c>
      <c r="N1201" s="3">
        <v>18</v>
      </c>
      <c r="O1201" s="3">
        <v>0.09</v>
      </c>
      <c r="P1201" s="3">
        <v>0</v>
      </c>
      <c r="Q1201" s="3">
        <v>18</v>
      </c>
      <c r="R1201" s="3">
        <v>0</v>
      </c>
    </row>
    <row r="1202" spans="1:18">
      <c r="A1202" s="3" t="s">
        <v>467</v>
      </c>
      <c r="B1202" s="3" t="s">
        <v>468</v>
      </c>
      <c r="C1202" s="3" t="s">
        <v>469</v>
      </c>
      <c r="D1202" s="3" t="s">
        <v>470</v>
      </c>
      <c r="E1202" s="3" t="s">
        <v>867</v>
      </c>
      <c r="F1202" s="3">
        <v>39.98</v>
      </c>
      <c r="G1202" s="3" t="s">
        <v>3391</v>
      </c>
      <c r="H1202" s="3"/>
      <c r="I1202" s="3" t="s">
        <v>3392</v>
      </c>
      <c r="J1202" s="3">
        <v>12</v>
      </c>
      <c r="K1202" s="3">
        <v>10</v>
      </c>
      <c r="L1202" s="3">
        <v>0</v>
      </c>
      <c r="M1202" s="3">
        <v>2</v>
      </c>
      <c r="N1202" s="3">
        <v>23</v>
      </c>
      <c r="O1202" s="3">
        <v>0.11</v>
      </c>
      <c r="P1202" s="3">
        <v>0</v>
      </c>
      <c r="Q1202" s="3">
        <v>11</v>
      </c>
      <c r="R1202" s="3">
        <v>0</v>
      </c>
    </row>
    <row r="1203" spans="1:18">
      <c r="A1203" s="3" t="s">
        <v>455</v>
      </c>
      <c r="B1203" s="3" t="s">
        <v>456</v>
      </c>
      <c r="C1203" s="3" t="s">
        <v>457</v>
      </c>
      <c r="D1203" s="3" t="s">
        <v>458</v>
      </c>
      <c r="E1203" s="3" t="s">
        <v>867</v>
      </c>
      <c r="F1203" s="3">
        <v>22.99</v>
      </c>
      <c r="G1203" s="3" t="s">
        <v>3391</v>
      </c>
      <c r="H1203" s="3"/>
      <c r="I1203" s="3" t="s">
        <v>3392</v>
      </c>
      <c r="J1203" s="3">
        <v>10</v>
      </c>
      <c r="K1203" s="3">
        <v>5</v>
      </c>
      <c r="L1203" s="3">
        <v>0</v>
      </c>
      <c r="M1203" s="3">
        <v>5</v>
      </c>
      <c r="N1203" s="3">
        <v>12</v>
      </c>
      <c r="O1203" s="3">
        <v>0.11</v>
      </c>
      <c r="P1203" s="3">
        <v>0</v>
      </c>
      <c r="Q1203" s="3">
        <v>2</v>
      </c>
      <c r="R1203" s="3">
        <v>0</v>
      </c>
    </row>
    <row r="1204" spans="1:18">
      <c r="A1204" s="3" t="s">
        <v>436</v>
      </c>
      <c r="B1204" s="3" t="s">
        <v>437</v>
      </c>
      <c r="C1204" s="3" t="s">
        <v>438</v>
      </c>
      <c r="D1204" s="3" t="s">
        <v>439</v>
      </c>
      <c r="E1204" s="3" t="s">
        <v>867</v>
      </c>
      <c r="F1204" s="3">
        <v>39.98</v>
      </c>
      <c r="G1204" s="3" t="s">
        <v>3391</v>
      </c>
      <c r="H1204" s="3"/>
      <c r="I1204" s="3" t="s">
        <v>3392</v>
      </c>
      <c r="J1204" s="3">
        <v>15</v>
      </c>
      <c r="K1204" s="3">
        <v>14</v>
      </c>
      <c r="L1204" s="3">
        <v>0</v>
      </c>
      <c r="M1204" s="3">
        <v>1</v>
      </c>
      <c r="N1204" s="3">
        <v>39</v>
      </c>
      <c r="O1204" s="3">
        <v>0.08</v>
      </c>
      <c r="P1204" s="3">
        <v>0</v>
      </c>
      <c r="Q1204" s="3">
        <v>24</v>
      </c>
      <c r="R1204" s="3">
        <v>0</v>
      </c>
    </row>
    <row r="1205" spans="1:18">
      <c r="A1205" s="3" t="s">
        <v>451</v>
      </c>
      <c r="B1205" s="3" t="s">
        <v>452</v>
      </c>
      <c r="C1205" s="3" t="s">
        <v>453</v>
      </c>
      <c r="D1205" s="3" t="s">
        <v>454</v>
      </c>
      <c r="E1205" s="3" t="s">
        <v>867</v>
      </c>
      <c r="F1205" s="3">
        <v>39.98</v>
      </c>
      <c r="G1205" s="3" t="s">
        <v>3391</v>
      </c>
      <c r="H1205" s="3"/>
      <c r="I1205" s="3" t="s">
        <v>3392</v>
      </c>
      <c r="J1205" s="3">
        <v>10</v>
      </c>
      <c r="K1205" s="3">
        <v>5</v>
      </c>
      <c r="L1205" s="3">
        <v>0</v>
      </c>
      <c r="M1205" s="3">
        <v>5</v>
      </c>
      <c r="N1205" s="3">
        <v>25</v>
      </c>
      <c r="O1205" s="3">
        <v>0.08</v>
      </c>
      <c r="P1205" s="3">
        <v>0</v>
      </c>
      <c r="Q1205" s="3">
        <v>15</v>
      </c>
      <c r="R1205" s="3">
        <v>0</v>
      </c>
    </row>
    <row r="1206" spans="1:18">
      <c r="A1206" s="3" t="s">
        <v>5125</v>
      </c>
      <c r="B1206" s="3" t="s">
        <v>5126</v>
      </c>
      <c r="C1206" s="3" t="s">
        <v>2928</v>
      </c>
      <c r="D1206" s="3" t="s">
        <v>3064</v>
      </c>
      <c r="E1206" s="3" t="s">
        <v>867</v>
      </c>
      <c r="F1206" s="3">
        <v>39.98</v>
      </c>
      <c r="G1206" s="3" t="s">
        <v>3391</v>
      </c>
      <c r="H1206" s="3"/>
      <c r="I1206" s="3" t="s">
        <v>3392</v>
      </c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>
        <v>0.21</v>
      </c>
      <c r="P1206" s="3">
        <v>0</v>
      </c>
      <c r="Q1206" s="3">
        <v>0</v>
      </c>
      <c r="R1206" s="3">
        <v>0</v>
      </c>
    </row>
    <row r="1207" spans="1:18">
      <c r="A1207" s="3" t="s">
        <v>5127</v>
      </c>
      <c r="B1207" s="3" t="s">
        <v>5128</v>
      </c>
      <c r="C1207" s="3" t="s">
        <v>2084</v>
      </c>
      <c r="D1207" s="3" t="s">
        <v>2085</v>
      </c>
      <c r="E1207" s="3" t="s">
        <v>867</v>
      </c>
      <c r="F1207" s="3">
        <v>39.98</v>
      </c>
      <c r="G1207" s="3" t="s">
        <v>3391</v>
      </c>
      <c r="H1207" s="3"/>
      <c r="I1207" s="3" t="s">
        <v>3392</v>
      </c>
      <c r="J1207" s="3">
        <v>0</v>
      </c>
      <c r="K1207" s="3">
        <v>0</v>
      </c>
      <c r="L1207" s="3">
        <v>0</v>
      </c>
      <c r="M1207" s="3">
        <v>0</v>
      </c>
      <c r="N1207" s="3">
        <v>5</v>
      </c>
      <c r="O1207" s="3">
        <v>0.11</v>
      </c>
      <c r="P1207" s="3">
        <v>0</v>
      </c>
      <c r="Q1207" s="3">
        <v>5</v>
      </c>
      <c r="R1207" s="3">
        <v>0</v>
      </c>
    </row>
    <row r="1208" spans="1:18">
      <c r="A1208" s="3" t="s">
        <v>5129</v>
      </c>
      <c r="B1208" s="3" t="s">
        <v>5130</v>
      </c>
      <c r="C1208" s="3" t="s">
        <v>416</v>
      </c>
      <c r="D1208" s="3" t="s">
        <v>417</v>
      </c>
      <c r="E1208" s="3" t="s">
        <v>867</v>
      </c>
      <c r="F1208" s="3">
        <v>39.98</v>
      </c>
      <c r="G1208" s="3" t="s">
        <v>3391</v>
      </c>
      <c r="H1208" s="3"/>
      <c r="I1208" s="3" t="s">
        <v>3392</v>
      </c>
      <c r="J1208" s="3">
        <v>0</v>
      </c>
      <c r="K1208" s="3">
        <v>0</v>
      </c>
      <c r="L1208" s="3">
        <v>0</v>
      </c>
      <c r="M1208" s="3">
        <v>0</v>
      </c>
      <c r="N1208" s="3">
        <v>5</v>
      </c>
      <c r="O1208" s="3">
        <v>0.12</v>
      </c>
      <c r="P1208" s="3">
        <v>0</v>
      </c>
      <c r="Q1208" s="3">
        <v>5</v>
      </c>
      <c r="R1208" s="3">
        <v>0</v>
      </c>
    </row>
    <row r="1209" spans="1:18">
      <c r="A1209" s="3" t="s">
        <v>440</v>
      </c>
      <c r="B1209" s="3" t="s">
        <v>441</v>
      </c>
      <c r="C1209" s="3" t="s">
        <v>442</v>
      </c>
      <c r="D1209" s="3" t="s">
        <v>443</v>
      </c>
      <c r="E1209" s="3" t="s">
        <v>867</v>
      </c>
      <c r="F1209" s="3">
        <v>39.98</v>
      </c>
      <c r="G1209" s="3" t="s">
        <v>3391</v>
      </c>
      <c r="H1209" s="3"/>
      <c r="I1209" s="3" t="s">
        <v>3392</v>
      </c>
      <c r="J1209" s="3">
        <v>24</v>
      </c>
      <c r="K1209" s="3">
        <v>20</v>
      </c>
      <c r="L1209" s="3">
        <v>0</v>
      </c>
      <c r="M1209" s="3">
        <v>4</v>
      </c>
      <c r="N1209" s="3">
        <v>34</v>
      </c>
      <c r="O1209" s="3">
        <v>0.21</v>
      </c>
      <c r="P1209" s="3">
        <v>0</v>
      </c>
      <c r="Q1209" s="3">
        <v>10</v>
      </c>
      <c r="R1209" s="3">
        <v>0</v>
      </c>
    </row>
    <row r="1210" spans="1:18">
      <c r="A1210" s="3" t="s">
        <v>2431</v>
      </c>
      <c r="B1210" s="3" t="s">
        <v>2432</v>
      </c>
      <c r="C1210" s="3" t="s">
        <v>2433</v>
      </c>
      <c r="D1210" s="3" t="s">
        <v>4939</v>
      </c>
      <c r="E1210" s="3" t="s">
        <v>867</v>
      </c>
      <c r="F1210" s="3">
        <v>39.98</v>
      </c>
      <c r="G1210" s="3" t="s">
        <v>3391</v>
      </c>
      <c r="H1210" s="3"/>
      <c r="I1210" s="3" t="s">
        <v>3392</v>
      </c>
      <c r="J1210" s="3">
        <v>26</v>
      </c>
      <c r="K1210" s="3">
        <v>26</v>
      </c>
      <c r="L1210" s="3">
        <v>0</v>
      </c>
      <c r="M1210" s="3">
        <v>0</v>
      </c>
      <c r="N1210" s="3">
        <v>30</v>
      </c>
      <c r="O1210" s="3">
        <v>0.11</v>
      </c>
      <c r="P1210" s="3">
        <v>0</v>
      </c>
      <c r="Q1210" s="3">
        <v>4</v>
      </c>
      <c r="R1210" s="3">
        <v>0</v>
      </c>
    </row>
    <row r="1211" spans="1:18">
      <c r="A1211" s="3" t="s">
        <v>444</v>
      </c>
      <c r="B1211" s="3" t="s">
        <v>445</v>
      </c>
      <c r="C1211" s="3" t="s">
        <v>445</v>
      </c>
      <c r="D1211" s="3" t="s">
        <v>446</v>
      </c>
      <c r="E1211" s="3" t="s">
        <v>867</v>
      </c>
      <c r="F1211" s="3">
        <v>22.98</v>
      </c>
      <c r="G1211" s="3" t="s">
        <v>3391</v>
      </c>
      <c r="H1211" s="3"/>
      <c r="I1211" s="3" t="s">
        <v>3392</v>
      </c>
      <c r="J1211" s="3">
        <v>10</v>
      </c>
      <c r="K1211" s="3">
        <v>9</v>
      </c>
      <c r="L1211" s="3">
        <v>0</v>
      </c>
      <c r="M1211" s="3">
        <v>1</v>
      </c>
      <c r="N1211" s="3">
        <v>10</v>
      </c>
      <c r="O1211" s="3">
        <v>0.14</v>
      </c>
      <c r="P1211" s="3">
        <v>0</v>
      </c>
      <c r="Q1211" s="3">
        <v>0</v>
      </c>
      <c r="R1211" s="3">
        <v>0</v>
      </c>
    </row>
    <row r="1212" spans="1:18">
      <c r="A1212" s="3" t="s">
        <v>1152</v>
      </c>
      <c r="B1212" s="3" t="s">
        <v>1153</v>
      </c>
      <c r="C1212" s="3" t="s">
        <v>1153</v>
      </c>
      <c r="D1212" s="3" t="s">
        <v>1154</v>
      </c>
      <c r="E1212" s="3" t="s">
        <v>867</v>
      </c>
      <c r="F1212" s="3">
        <v>22.98</v>
      </c>
      <c r="G1212" s="3" t="s">
        <v>3391</v>
      </c>
      <c r="H1212" s="3"/>
      <c r="I1212" s="3" t="s">
        <v>3392</v>
      </c>
      <c r="J1212" s="3">
        <v>26</v>
      </c>
      <c r="K1212" s="3">
        <v>26</v>
      </c>
      <c r="L1212" s="3">
        <v>0</v>
      </c>
      <c r="M1212" s="3">
        <v>0</v>
      </c>
      <c r="N1212" s="3">
        <v>26</v>
      </c>
      <c r="O1212" s="3">
        <v>0.14</v>
      </c>
      <c r="P1212" s="3">
        <v>0</v>
      </c>
      <c r="Q1212" s="3">
        <v>0</v>
      </c>
      <c r="R1212" s="3">
        <v>0</v>
      </c>
    </row>
    <row r="1213" spans="1:18">
      <c r="A1213" s="3" t="s">
        <v>5131</v>
      </c>
      <c r="B1213" s="3" t="s">
        <v>3925</v>
      </c>
      <c r="C1213" s="3" t="s">
        <v>3925</v>
      </c>
      <c r="D1213" s="3" t="s">
        <v>3926</v>
      </c>
      <c r="E1213" s="3" t="s">
        <v>867</v>
      </c>
      <c r="F1213" s="3">
        <v>22.98</v>
      </c>
      <c r="G1213" s="3" t="s">
        <v>3391</v>
      </c>
      <c r="H1213" s="3"/>
      <c r="I1213" s="3" t="s">
        <v>3392</v>
      </c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>
        <v>0.14</v>
      </c>
      <c r="P1213" s="3">
        <v>0</v>
      </c>
      <c r="Q1213" s="3">
        <v>0</v>
      </c>
      <c r="R1213" s="3">
        <v>0</v>
      </c>
    </row>
    <row r="1214" spans="1:18">
      <c r="A1214" s="3" t="s">
        <v>5132</v>
      </c>
      <c r="B1214" s="3" t="s">
        <v>90</v>
      </c>
      <c r="C1214" s="3" t="s">
        <v>90</v>
      </c>
      <c r="D1214" s="3" t="s">
        <v>91</v>
      </c>
      <c r="E1214" s="3" t="s">
        <v>867</v>
      </c>
      <c r="F1214" s="3">
        <v>22.98</v>
      </c>
      <c r="G1214" s="3" t="s">
        <v>3391</v>
      </c>
      <c r="H1214" s="3"/>
      <c r="I1214" s="3" t="s">
        <v>3392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0.14</v>
      </c>
      <c r="P1214" s="3">
        <v>0</v>
      </c>
      <c r="Q1214" s="3">
        <v>0</v>
      </c>
      <c r="R1214" s="3">
        <v>0</v>
      </c>
    </row>
    <row r="1215" spans="1:18">
      <c r="A1215" s="3" t="s">
        <v>3065</v>
      </c>
      <c r="B1215" s="3" t="s">
        <v>3066</v>
      </c>
      <c r="C1215" s="3" t="s">
        <v>3066</v>
      </c>
      <c r="D1215" s="3" t="s">
        <v>3067</v>
      </c>
      <c r="E1215" s="3" t="s">
        <v>867</v>
      </c>
      <c r="F1215" s="3">
        <v>22.98</v>
      </c>
      <c r="G1215" s="3" t="s">
        <v>3391</v>
      </c>
      <c r="H1215" s="3"/>
      <c r="I1215" s="3" t="s">
        <v>3392</v>
      </c>
      <c r="J1215" s="3">
        <v>9</v>
      </c>
      <c r="K1215" s="3">
        <v>9</v>
      </c>
      <c r="L1215" s="3">
        <v>0</v>
      </c>
      <c r="M1215" s="3">
        <v>0</v>
      </c>
      <c r="N1215" s="3">
        <v>9</v>
      </c>
      <c r="O1215" s="3">
        <v>0.14</v>
      </c>
      <c r="P1215" s="3">
        <v>0</v>
      </c>
      <c r="Q1215" s="3">
        <v>0</v>
      </c>
      <c r="R1215" s="3">
        <v>0</v>
      </c>
    </row>
    <row r="1216" spans="1:18">
      <c r="A1216" s="3" t="s">
        <v>2322</v>
      </c>
      <c r="B1216" s="3" t="s">
        <v>2323</v>
      </c>
      <c r="C1216" s="3" t="s">
        <v>2323</v>
      </c>
      <c r="D1216" s="3" t="s">
        <v>2324</v>
      </c>
      <c r="E1216" s="3" t="s">
        <v>867</v>
      </c>
      <c r="F1216" s="3">
        <v>22.98</v>
      </c>
      <c r="G1216" s="3" t="s">
        <v>3391</v>
      </c>
      <c r="H1216" s="3"/>
      <c r="I1216" s="3" t="s">
        <v>3392</v>
      </c>
      <c r="J1216" s="3">
        <v>1</v>
      </c>
      <c r="K1216" s="3">
        <v>1</v>
      </c>
      <c r="L1216" s="3">
        <v>0</v>
      </c>
      <c r="M1216" s="3">
        <v>0</v>
      </c>
      <c r="N1216" s="3">
        <v>1</v>
      </c>
      <c r="O1216" s="3">
        <v>0.14</v>
      </c>
      <c r="P1216" s="3">
        <v>0</v>
      </c>
      <c r="Q1216" s="3">
        <v>0</v>
      </c>
      <c r="R1216" s="3">
        <v>0</v>
      </c>
    </row>
    <row r="1217" spans="1:18">
      <c r="A1217" s="3" t="s">
        <v>2996</v>
      </c>
      <c r="B1217" s="3" t="s">
        <v>2997</v>
      </c>
      <c r="C1217" s="3" t="s">
        <v>2997</v>
      </c>
      <c r="D1217" s="3" t="s">
        <v>2998</v>
      </c>
      <c r="E1217" s="3" t="s">
        <v>867</v>
      </c>
      <c r="F1217" s="3">
        <v>22.98</v>
      </c>
      <c r="G1217" s="3" t="s">
        <v>3391</v>
      </c>
      <c r="H1217" s="3"/>
      <c r="I1217" s="3" t="s">
        <v>3392</v>
      </c>
      <c r="J1217" s="3">
        <v>6</v>
      </c>
      <c r="K1217" s="3">
        <v>6</v>
      </c>
      <c r="L1217" s="3">
        <v>0</v>
      </c>
      <c r="M1217" s="3">
        <v>0</v>
      </c>
      <c r="N1217" s="3">
        <v>6</v>
      </c>
      <c r="O1217" s="3">
        <v>0.14</v>
      </c>
      <c r="P1217" s="3">
        <v>0</v>
      </c>
      <c r="Q1217" s="3">
        <v>0</v>
      </c>
      <c r="R1217" s="3">
        <v>0</v>
      </c>
    </row>
    <row r="1218" spans="1:18">
      <c r="A1218" s="3" t="s">
        <v>1416</v>
      </c>
      <c r="B1218" s="3" t="s">
        <v>1417</v>
      </c>
      <c r="C1218" s="3" t="s">
        <v>1417</v>
      </c>
      <c r="D1218" s="3" t="s">
        <v>1418</v>
      </c>
      <c r="E1218" s="3" t="s">
        <v>867</v>
      </c>
      <c r="F1218" s="3">
        <v>22.98</v>
      </c>
      <c r="G1218" s="3" t="s">
        <v>3391</v>
      </c>
      <c r="H1218" s="3"/>
      <c r="I1218" s="3" t="s">
        <v>3392</v>
      </c>
      <c r="J1218" s="3">
        <v>1</v>
      </c>
      <c r="K1218" s="3">
        <v>1</v>
      </c>
      <c r="L1218" s="3">
        <v>0</v>
      </c>
      <c r="M1218" s="3">
        <v>0</v>
      </c>
      <c r="N1218" s="3">
        <v>1</v>
      </c>
      <c r="O1218" s="3">
        <v>0.14</v>
      </c>
      <c r="P1218" s="3">
        <v>0</v>
      </c>
      <c r="Q1218" s="3">
        <v>0</v>
      </c>
      <c r="R1218" s="3">
        <v>0</v>
      </c>
    </row>
    <row r="1219" spans="1:18">
      <c r="A1219" s="3" t="s">
        <v>1738</v>
      </c>
      <c r="B1219" s="3" t="s">
        <v>1739</v>
      </c>
      <c r="C1219" s="3" t="s">
        <v>1739</v>
      </c>
      <c r="D1219" s="3" t="s">
        <v>1740</v>
      </c>
      <c r="E1219" s="3" t="s">
        <v>867</v>
      </c>
      <c r="F1219" s="3">
        <v>22.98</v>
      </c>
      <c r="G1219" s="3" t="s">
        <v>3391</v>
      </c>
      <c r="H1219" s="3"/>
      <c r="I1219" s="3" t="s">
        <v>3392</v>
      </c>
      <c r="J1219" s="3">
        <v>16</v>
      </c>
      <c r="K1219" s="3">
        <v>16</v>
      </c>
      <c r="L1219" s="3">
        <v>0</v>
      </c>
      <c r="M1219" s="3">
        <v>0</v>
      </c>
      <c r="N1219" s="3">
        <v>16</v>
      </c>
      <c r="O1219" s="3">
        <v>0.14</v>
      </c>
      <c r="P1219" s="3">
        <v>0</v>
      </c>
      <c r="Q1219" s="3">
        <v>0</v>
      </c>
      <c r="R1219" s="3">
        <v>0</v>
      </c>
    </row>
    <row r="1220" spans="1:18">
      <c r="A1220" s="3" t="s">
        <v>2915</v>
      </c>
      <c r="B1220" s="3" t="s">
        <v>2916</v>
      </c>
      <c r="C1220" s="3" t="s">
        <v>2916</v>
      </c>
      <c r="D1220" s="3" t="s">
        <v>2917</v>
      </c>
      <c r="E1220" s="3" t="s">
        <v>867</v>
      </c>
      <c r="F1220" s="3">
        <v>22.98</v>
      </c>
      <c r="G1220" s="3" t="s">
        <v>3391</v>
      </c>
      <c r="H1220" s="3"/>
      <c r="I1220" s="3" t="s">
        <v>3392</v>
      </c>
      <c r="J1220" s="3">
        <v>2</v>
      </c>
      <c r="K1220" s="3">
        <v>2</v>
      </c>
      <c r="L1220" s="3">
        <v>0</v>
      </c>
      <c r="M1220" s="3">
        <v>0</v>
      </c>
      <c r="N1220" s="3">
        <v>2</v>
      </c>
      <c r="O1220" s="3">
        <v>0.14</v>
      </c>
      <c r="P1220" s="3">
        <v>0</v>
      </c>
      <c r="Q1220" s="3">
        <v>0</v>
      </c>
      <c r="R1220" s="3">
        <v>0</v>
      </c>
    </row>
    <row r="1221" spans="1:18">
      <c r="A1221" s="3" t="s">
        <v>5133</v>
      </c>
      <c r="B1221" s="3" t="s">
        <v>3943</v>
      </c>
      <c r="C1221" s="3" t="s">
        <v>3943</v>
      </c>
      <c r="D1221" s="3" t="s">
        <v>3944</v>
      </c>
      <c r="E1221" s="3" t="s">
        <v>867</v>
      </c>
      <c r="F1221" s="3">
        <v>22.98</v>
      </c>
      <c r="G1221" s="3" t="s">
        <v>3391</v>
      </c>
      <c r="H1221" s="3"/>
      <c r="I1221" s="3" t="s">
        <v>3392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0.14</v>
      </c>
      <c r="P1221" s="3">
        <v>0</v>
      </c>
      <c r="Q1221" s="3">
        <v>0</v>
      </c>
      <c r="R1221" s="3">
        <v>0</v>
      </c>
    </row>
    <row r="1222" spans="1:18">
      <c r="A1222" s="3" t="s">
        <v>1663</v>
      </c>
      <c r="B1222" s="3" t="s">
        <v>1108</v>
      </c>
      <c r="C1222" s="3" t="s">
        <v>1108</v>
      </c>
      <c r="D1222" s="3" t="s">
        <v>1109</v>
      </c>
      <c r="E1222" s="3" t="s">
        <v>867</v>
      </c>
      <c r="F1222" s="3">
        <v>22.98</v>
      </c>
      <c r="G1222" s="3" t="s">
        <v>3391</v>
      </c>
      <c r="H1222" s="3"/>
      <c r="I1222" s="3" t="s">
        <v>3392</v>
      </c>
      <c r="J1222" s="3">
        <v>3</v>
      </c>
      <c r="K1222" s="3">
        <v>3</v>
      </c>
      <c r="L1222" s="3">
        <v>0</v>
      </c>
      <c r="M1222" s="3">
        <v>0</v>
      </c>
      <c r="N1222" s="3">
        <v>3</v>
      </c>
      <c r="O1222" s="3">
        <v>0.14</v>
      </c>
      <c r="P1222" s="3">
        <v>0</v>
      </c>
      <c r="Q1222" s="3">
        <v>0</v>
      </c>
      <c r="R1222" s="3">
        <v>0</v>
      </c>
    </row>
    <row r="1223" spans="1:18">
      <c r="A1223" s="3" t="s">
        <v>3181</v>
      </c>
      <c r="B1223" s="3" t="s">
        <v>3182</v>
      </c>
      <c r="C1223" s="3" t="s">
        <v>3182</v>
      </c>
      <c r="D1223" s="3" t="s">
        <v>3183</v>
      </c>
      <c r="E1223" s="3" t="s">
        <v>867</v>
      </c>
      <c r="F1223" s="3">
        <v>22.98</v>
      </c>
      <c r="G1223" s="3" t="s">
        <v>3391</v>
      </c>
      <c r="H1223" s="3"/>
      <c r="I1223" s="3" t="s">
        <v>3392</v>
      </c>
      <c r="J1223" s="3">
        <v>20</v>
      </c>
      <c r="K1223" s="3">
        <v>20</v>
      </c>
      <c r="L1223" s="3">
        <v>0</v>
      </c>
      <c r="M1223" s="3">
        <v>0</v>
      </c>
      <c r="N1223" s="3">
        <v>20</v>
      </c>
      <c r="O1223" s="3">
        <v>0.14</v>
      </c>
      <c r="P1223" s="3">
        <v>0</v>
      </c>
      <c r="Q1223" s="3">
        <v>0</v>
      </c>
      <c r="R1223" s="3">
        <v>0</v>
      </c>
    </row>
    <row r="1224" spans="1:18">
      <c r="A1224" s="3" t="s">
        <v>2785</v>
      </c>
      <c r="B1224" s="3" t="s">
        <v>2786</v>
      </c>
      <c r="C1224" s="3" t="s">
        <v>2786</v>
      </c>
      <c r="D1224" s="3" t="s">
        <v>2787</v>
      </c>
      <c r="E1224" s="3" t="s">
        <v>867</v>
      </c>
      <c r="F1224" s="3">
        <v>22.98</v>
      </c>
      <c r="G1224" s="3" t="s">
        <v>3391</v>
      </c>
      <c r="H1224" s="3"/>
      <c r="I1224" s="3" t="s">
        <v>3392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0.14</v>
      </c>
      <c r="P1224" s="3">
        <v>0</v>
      </c>
      <c r="Q1224" s="3">
        <v>0</v>
      </c>
      <c r="R1224" s="3">
        <v>0</v>
      </c>
    </row>
    <row r="1225" spans="1:18">
      <c r="A1225" s="3" t="s">
        <v>5134</v>
      </c>
      <c r="B1225" s="3" t="s">
        <v>94</v>
      </c>
      <c r="C1225" s="3" t="s">
        <v>94</v>
      </c>
      <c r="D1225" s="3" t="s">
        <v>95</v>
      </c>
      <c r="E1225" s="3" t="s">
        <v>867</v>
      </c>
      <c r="F1225" s="3">
        <v>22.98</v>
      </c>
      <c r="G1225" s="3" t="s">
        <v>3391</v>
      </c>
      <c r="H1225" s="3"/>
      <c r="I1225" s="3" t="s">
        <v>3392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0.14</v>
      </c>
      <c r="P1225" s="3">
        <v>0</v>
      </c>
      <c r="Q1225" s="3">
        <v>0</v>
      </c>
      <c r="R1225" s="3">
        <v>0</v>
      </c>
    </row>
    <row r="1226" spans="1:18">
      <c r="A1226" s="3" t="s">
        <v>2750</v>
      </c>
      <c r="B1226" s="3" t="s">
        <v>2751</v>
      </c>
      <c r="C1226" s="3" t="s">
        <v>2751</v>
      </c>
      <c r="D1226" s="3" t="s">
        <v>2752</v>
      </c>
      <c r="E1226" s="3" t="s">
        <v>867</v>
      </c>
      <c r="F1226" s="3">
        <v>22.98</v>
      </c>
      <c r="G1226" s="3" t="s">
        <v>3391</v>
      </c>
      <c r="H1226" s="3"/>
      <c r="I1226" s="3" t="s">
        <v>3392</v>
      </c>
      <c r="J1226" s="3">
        <v>5</v>
      </c>
      <c r="K1226" s="3">
        <v>5</v>
      </c>
      <c r="L1226" s="3">
        <v>0</v>
      </c>
      <c r="M1226" s="3">
        <v>0</v>
      </c>
      <c r="N1226" s="3">
        <v>5</v>
      </c>
      <c r="O1226" s="3">
        <v>0.14</v>
      </c>
      <c r="P1226" s="3">
        <v>0</v>
      </c>
      <c r="Q1226" s="3">
        <v>0</v>
      </c>
      <c r="R1226" s="3">
        <v>0</v>
      </c>
    </row>
    <row r="1227" spans="1:18">
      <c r="A1227" s="3" t="s">
        <v>945</v>
      </c>
      <c r="B1227" s="3" t="s">
        <v>946</v>
      </c>
      <c r="C1227" s="3" t="s">
        <v>946</v>
      </c>
      <c r="D1227" s="3" t="s">
        <v>947</v>
      </c>
      <c r="E1227" s="3" t="s">
        <v>867</v>
      </c>
      <c r="F1227" s="3">
        <v>22.98</v>
      </c>
      <c r="G1227" s="3" t="s">
        <v>3391</v>
      </c>
      <c r="H1227" s="3"/>
      <c r="I1227" s="3" t="s">
        <v>3392</v>
      </c>
      <c r="J1227" s="3">
        <v>17</v>
      </c>
      <c r="K1227" s="3">
        <v>17</v>
      </c>
      <c r="L1227" s="3">
        <v>0</v>
      </c>
      <c r="M1227" s="3">
        <v>0</v>
      </c>
      <c r="N1227" s="3">
        <v>17</v>
      </c>
      <c r="O1227" s="3">
        <v>0.14</v>
      </c>
      <c r="P1227" s="3">
        <v>0</v>
      </c>
      <c r="Q1227" s="3">
        <v>0</v>
      </c>
      <c r="R1227" s="3">
        <v>0</v>
      </c>
    </row>
    <row r="1228" spans="1:18">
      <c r="A1228" s="3" t="s">
        <v>1448</v>
      </c>
      <c r="B1228" s="3" t="s">
        <v>1449</v>
      </c>
      <c r="C1228" s="3" t="s">
        <v>1449</v>
      </c>
      <c r="D1228" s="3" t="s">
        <v>1450</v>
      </c>
      <c r="E1228" s="3" t="s">
        <v>867</v>
      </c>
      <c r="F1228" s="3">
        <v>22.98</v>
      </c>
      <c r="G1228" s="3" t="s">
        <v>3391</v>
      </c>
      <c r="H1228" s="3"/>
      <c r="I1228" s="3" t="s">
        <v>3392</v>
      </c>
      <c r="J1228" s="3">
        <v>7</v>
      </c>
      <c r="K1228" s="3">
        <v>7</v>
      </c>
      <c r="L1228" s="3">
        <v>0</v>
      </c>
      <c r="M1228" s="3">
        <v>0</v>
      </c>
      <c r="N1228" s="3">
        <v>7</v>
      </c>
      <c r="O1228" s="3">
        <v>0.14</v>
      </c>
      <c r="P1228" s="3">
        <v>0</v>
      </c>
      <c r="Q1228" s="3">
        <v>0</v>
      </c>
      <c r="R1228" s="3">
        <v>0</v>
      </c>
    </row>
    <row r="1229" spans="1:18">
      <c r="A1229" s="3" t="s">
        <v>948</v>
      </c>
      <c r="B1229" s="3" t="s">
        <v>949</v>
      </c>
      <c r="C1229" s="3" t="s">
        <v>949</v>
      </c>
      <c r="D1229" s="3" t="s">
        <v>950</v>
      </c>
      <c r="E1229" s="3" t="s">
        <v>867</v>
      </c>
      <c r="F1229" s="3">
        <v>22.98</v>
      </c>
      <c r="G1229" s="3" t="s">
        <v>3391</v>
      </c>
      <c r="H1229" s="3"/>
      <c r="I1229" s="3" t="s">
        <v>3392</v>
      </c>
      <c r="J1229" s="3">
        <v>16</v>
      </c>
      <c r="K1229" s="3">
        <v>16</v>
      </c>
      <c r="L1229" s="3">
        <v>0</v>
      </c>
      <c r="M1229" s="3">
        <v>0</v>
      </c>
      <c r="N1229" s="3">
        <v>16</v>
      </c>
      <c r="O1229" s="3">
        <v>0.06</v>
      </c>
      <c r="P1229" s="3">
        <v>0</v>
      </c>
      <c r="Q1229" s="3">
        <v>0</v>
      </c>
      <c r="R1229" s="3">
        <v>0</v>
      </c>
    </row>
    <row r="1230" spans="1:18">
      <c r="A1230" s="3" t="s">
        <v>3230</v>
      </c>
      <c r="B1230" s="3" t="s">
        <v>3231</v>
      </c>
      <c r="C1230" s="3" t="s">
        <v>3231</v>
      </c>
      <c r="D1230" s="3" t="s">
        <v>3232</v>
      </c>
      <c r="E1230" s="3" t="s">
        <v>867</v>
      </c>
      <c r="F1230" s="3">
        <v>22.98</v>
      </c>
      <c r="G1230" s="3" t="s">
        <v>3391</v>
      </c>
      <c r="H1230" s="3"/>
      <c r="I1230" s="3" t="s">
        <v>3392</v>
      </c>
      <c r="J1230" s="3">
        <v>2</v>
      </c>
      <c r="K1230" s="3">
        <v>2</v>
      </c>
      <c r="L1230" s="3">
        <v>0</v>
      </c>
      <c r="M1230" s="3">
        <v>0</v>
      </c>
      <c r="N1230" s="3">
        <v>2</v>
      </c>
      <c r="O1230" s="3">
        <v>0.14</v>
      </c>
      <c r="P1230" s="3">
        <v>0</v>
      </c>
      <c r="Q1230" s="3">
        <v>0</v>
      </c>
      <c r="R1230" s="3">
        <v>0</v>
      </c>
    </row>
    <row r="1231" spans="1:18">
      <c r="A1231" s="3" t="s">
        <v>482</v>
      </c>
      <c r="B1231" s="3" t="s">
        <v>483</v>
      </c>
      <c r="C1231" s="3" t="s">
        <v>483</v>
      </c>
      <c r="D1231" s="3" t="s">
        <v>484</v>
      </c>
      <c r="E1231" s="3" t="s">
        <v>867</v>
      </c>
      <c r="F1231" s="3">
        <v>22.98</v>
      </c>
      <c r="G1231" s="3" t="s">
        <v>3391</v>
      </c>
      <c r="H1231" s="3"/>
      <c r="I1231" s="3" t="s">
        <v>3392</v>
      </c>
      <c r="J1231" s="3">
        <v>4</v>
      </c>
      <c r="K1231" s="3">
        <v>3</v>
      </c>
      <c r="L1231" s="3">
        <v>0</v>
      </c>
      <c r="M1231" s="3">
        <v>1</v>
      </c>
      <c r="N1231" s="3">
        <v>4</v>
      </c>
      <c r="O1231" s="3">
        <v>0.14</v>
      </c>
      <c r="P1231" s="3">
        <v>0</v>
      </c>
      <c r="Q1231" s="3">
        <v>0</v>
      </c>
      <c r="R1231" s="3">
        <v>0</v>
      </c>
    </row>
    <row r="1232" spans="1:18">
      <c r="A1232" s="3" t="s">
        <v>1054</v>
      </c>
      <c r="B1232" s="3" t="s">
        <v>1055</v>
      </c>
      <c r="C1232" s="3" t="s">
        <v>1055</v>
      </c>
      <c r="D1232" s="3" t="s">
        <v>1056</v>
      </c>
      <c r="E1232" s="3" t="s">
        <v>867</v>
      </c>
      <c r="F1232" s="3">
        <v>22.98</v>
      </c>
      <c r="G1232" s="3" t="s">
        <v>3391</v>
      </c>
      <c r="H1232" s="3"/>
      <c r="I1232" s="3" t="s">
        <v>3392</v>
      </c>
      <c r="J1232" s="3">
        <v>7</v>
      </c>
      <c r="K1232" s="3">
        <v>7</v>
      </c>
      <c r="L1232" s="3">
        <v>0</v>
      </c>
      <c r="M1232" s="3">
        <v>0</v>
      </c>
      <c r="N1232" s="3">
        <v>7</v>
      </c>
      <c r="O1232" s="3">
        <v>0.14</v>
      </c>
      <c r="P1232" s="3">
        <v>0</v>
      </c>
      <c r="Q1232" s="3">
        <v>0</v>
      </c>
      <c r="R1232" s="3">
        <v>0</v>
      </c>
    </row>
    <row r="1233" spans="1:18">
      <c r="A1233" s="3" t="s">
        <v>3091</v>
      </c>
      <c r="B1233" s="3" t="s">
        <v>3092</v>
      </c>
      <c r="C1233" s="3" t="s">
        <v>3092</v>
      </c>
      <c r="D1233" s="3" t="s">
        <v>3093</v>
      </c>
      <c r="E1233" s="3" t="s">
        <v>867</v>
      </c>
      <c r="F1233" s="3">
        <v>22.98</v>
      </c>
      <c r="G1233" s="3" t="s">
        <v>3391</v>
      </c>
      <c r="H1233" s="3"/>
      <c r="I1233" s="3" t="s">
        <v>3392</v>
      </c>
      <c r="J1233" s="3">
        <v>4</v>
      </c>
      <c r="K1233" s="3">
        <v>4</v>
      </c>
      <c r="L1233" s="3">
        <v>0</v>
      </c>
      <c r="M1233" s="3">
        <v>0</v>
      </c>
      <c r="N1233" s="3">
        <v>4</v>
      </c>
      <c r="O1233" s="3">
        <v>0.14</v>
      </c>
      <c r="P1233" s="3">
        <v>0</v>
      </c>
      <c r="Q1233" s="3">
        <v>0</v>
      </c>
      <c r="R1233" s="3">
        <v>0</v>
      </c>
    </row>
    <row r="1234" spans="1:18">
      <c r="A1234" s="3" t="s">
        <v>3246</v>
      </c>
      <c r="B1234" s="3" t="s">
        <v>3247</v>
      </c>
      <c r="C1234" s="3" t="s">
        <v>3247</v>
      </c>
      <c r="D1234" s="3" t="s">
        <v>3248</v>
      </c>
      <c r="E1234" s="3" t="s">
        <v>867</v>
      </c>
      <c r="F1234" s="3">
        <v>22.98</v>
      </c>
      <c r="G1234" s="3" t="s">
        <v>3391</v>
      </c>
      <c r="H1234" s="3"/>
      <c r="I1234" s="3" t="s">
        <v>3392</v>
      </c>
      <c r="J1234" s="3">
        <v>13</v>
      </c>
      <c r="K1234" s="3">
        <v>13</v>
      </c>
      <c r="L1234" s="3">
        <v>0</v>
      </c>
      <c r="M1234" s="3">
        <v>0</v>
      </c>
      <c r="N1234" s="3">
        <v>13</v>
      </c>
      <c r="O1234" s="3">
        <v>0.14</v>
      </c>
      <c r="P1234" s="3">
        <v>0</v>
      </c>
      <c r="Q1234" s="3">
        <v>0</v>
      </c>
      <c r="R1234" s="3">
        <v>0</v>
      </c>
    </row>
    <row r="1235" spans="1:18">
      <c r="A1235" s="3" t="s">
        <v>2456</v>
      </c>
      <c r="B1235" s="3" t="s">
        <v>2457</v>
      </c>
      <c r="C1235" s="3" t="s">
        <v>2457</v>
      </c>
      <c r="D1235" s="3" t="s">
        <v>2458</v>
      </c>
      <c r="E1235" s="3" t="s">
        <v>867</v>
      </c>
      <c r="F1235" s="3">
        <v>22.98</v>
      </c>
      <c r="G1235" s="3" t="s">
        <v>3391</v>
      </c>
      <c r="H1235" s="3"/>
      <c r="I1235" s="3" t="s">
        <v>3392</v>
      </c>
      <c r="J1235" s="3">
        <v>1</v>
      </c>
      <c r="K1235" s="3">
        <v>1</v>
      </c>
      <c r="L1235" s="3">
        <v>0</v>
      </c>
      <c r="M1235" s="3">
        <v>0</v>
      </c>
      <c r="N1235" s="3">
        <v>1</v>
      </c>
      <c r="O1235" s="3">
        <v>0.14</v>
      </c>
      <c r="P1235" s="3">
        <v>0</v>
      </c>
      <c r="Q1235" s="3">
        <v>0</v>
      </c>
      <c r="R1235" s="3">
        <v>0</v>
      </c>
    </row>
    <row r="1236" spans="1:18">
      <c r="A1236" s="3" t="s">
        <v>2358</v>
      </c>
      <c r="B1236" s="3" t="s">
        <v>2359</v>
      </c>
      <c r="C1236" s="3" t="s">
        <v>2359</v>
      </c>
      <c r="D1236" s="3" t="s">
        <v>2360</v>
      </c>
      <c r="E1236" s="3" t="s">
        <v>867</v>
      </c>
      <c r="F1236" s="3">
        <v>22.98</v>
      </c>
      <c r="G1236" s="3" t="s">
        <v>3391</v>
      </c>
      <c r="H1236" s="3"/>
      <c r="I1236" s="3" t="s">
        <v>3392</v>
      </c>
      <c r="J1236" s="3">
        <v>13</v>
      </c>
      <c r="K1236" s="3">
        <v>13</v>
      </c>
      <c r="L1236" s="3">
        <v>0</v>
      </c>
      <c r="M1236" s="3">
        <v>0</v>
      </c>
      <c r="N1236" s="3">
        <v>13</v>
      </c>
      <c r="O1236" s="3">
        <v>0.14</v>
      </c>
      <c r="P1236" s="3">
        <v>0</v>
      </c>
      <c r="Q1236" s="3">
        <v>0</v>
      </c>
      <c r="R1236" s="3">
        <v>0</v>
      </c>
    </row>
    <row r="1237" spans="1:18">
      <c r="A1237" s="3" t="s">
        <v>433</v>
      </c>
      <c r="B1237" s="3" t="s">
        <v>434</v>
      </c>
      <c r="C1237" s="3" t="s">
        <v>434</v>
      </c>
      <c r="D1237" s="3" t="s">
        <v>435</v>
      </c>
      <c r="E1237" s="3" t="s">
        <v>867</v>
      </c>
      <c r="F1237" s="3">
        <v>22.98</v>
      </c>
      <c r="G1237" s="3" t="s">
        <v>3391</v>
      </c>
      <c r="H1237" s="3"/>
      <c r="I1237" s="3" t="s">
        <v>3392</v>
      </c>
      <c r="J1237" s="3">
        <v>10</v>
      </c>
      <c r="K1237" s="3">
        <v>7</v>
      </c>
      <c r="L1237" s="3">
        <v>0</v>
      </c>
      <c r="M1237" s="3">
        <v>3</v>
      </c>
      <c r="N1237" s="3">
        <v>10</v>
      </c>
      <c r="O1237" s="3">
        <v>0.14</v>
      </c>
      <c r="P1237" s="3">
        <v>0</v>
      </c>
      <c r="Q1237" s="3">
        <v>0</v>
      </c>
      <c r="R1237" s="3">
        <v>0</v>
      </c>
    </row>
    <row r="1238" spans="1:18">
      <c r="A1238" s="3" t="s">
        <v>1829</v>
      </c>
      <c r="B1238" s="3" t="s">
        <v>1830</v>
      </c>
      <c r="C1238" s="3" t="s">
        <v>1830</v>
      </c>
      <c r="D1238" s="3" t="s">
        <v>1831</v>
      </c>
      <c r="E1238" s="3" t="s">
        <v>867</v>
      </c>
      <c r="F1238" s="3">
        <v>22.98</v>
      </c>
      <c r="G1238" s="3" t="s">
        <v>3391</v>
      </c>
      <c r="H1238" s="3"/>
      <c r="I1238" s="3" t="s">
        <v>3392</v>
      </c>
      <c r="J1238" s="3">
        <v>21</v>
      </c>
      <c r="K1238" s="3">
        <v>21</v>
      </c>
      <c r="L1238" s="3">
        <v>0</v>
      </c>
      <c r="M1238" s="3">
        <v>0</v>
      </c>
      <c r="N1238" s="3">
        <v>21</v>
      </c>
      <c r="O1238" s="3">
        <v>0.14</v>
      </c>
      <c r="P1238" s="3">
        <v>0</v>
      </c>
      <c r="Q1238" s="3">
        <v>0</v>
      </c>
      <c r="R1238" s="3">
        <v>0</v>
      </c>
    </row>
    <row r="1239" spans="1:18">
      <c r="A1239" s="3" t="s">
        <v>1767</v>
      </c>
      <c r="B1239" s="3" t="s">
        <v>1768</v>
      </c>
      <c r="C1239" s="3" t="s">
        <v>1768</v>
      </c>
      <c r="D1239" s="3" t="s">
        <v>1769</v>
      </c>
      <c r="E1239" s="3" t="s">
        <v>867</v>
      </c>
      <c r="F1239" s="3">
        <v>22.98</v>
      </c>
      <c r="G1239" s="3" t="s">
        <v>3391</v>
      </c>
      <c r="H1239" s="3"/>
      <c r="I1239" s="3" t="s">
        <v>3392</v>
      </c>
      <c r="J1239" s="3">
        <v>11</v>
      </c>
      <c r="K1239" s="3">
        <v>11</v>
      </c>
      <c r="L1239" s="3">
        <v>0</v>
      </c>
      <c r="M1239" s="3">
        <v>0</v>
      </c>
      <c r="N1239" s="3">
        <v>11</v>
      </c>
      <c r="O1239" s="3">
        <v>0.14</v>
      </c>
      <c r="P1239" s="3">
        <v>0</v>
      </c>
      <c r="Q1239" s="3">
        <v>0</v>
      </c>
      <c r="R1239" s="3">
        <v>0</v>
      </c>
    </row>
    <row r="1240" spans="1:18">
      <c r="A1240" s="3" t="s">
        <v>5135</v>
      </c>
      <c r="B1240" s="3" t="s">
        <v>3979</v>
      </c>
      <c r="C1240" s="3" t="s">
        <v>3979</v>
      </c>
      <c r="D1240" s="3" t="s">
        <v>3980</v>
      </c>
      <c r="E1240" s="3" t="s">
        <v>867</v>
      </c>
      <c r="F1240" s="3">
        <v>22.98</v>
      </c>
      <c r="G1240" s="3" t="s">
        <v>3391</v>
      </c>
      <c r="H1240" s="3"/>
      <c r="I1240" s="3" t="s">
        <v>3392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0.14</v>
      </c>
      <c r="P1240" s="3">
        <v>0</v>
      </c>
      <c r="Q1240" s="3">
        <v>0</v>
      </c>
      <c r="R1240" s="3">
        <v>0</v>
      </c>
    </row>
    <row r="1241" spans="1:18">
      <c r="A1241" s="3" t="s">
        <v>1357</v>
      </c>
      <c r="B1241" s="3" t="s">
        <v>1358</v>
      </c>
      <c r="C1241" s="3" t="s">
        <v>1358</v>
      </c>
      <c r="D1241" s="3" t="s">
        <v>1359</v>
      </c>
      <c r="E1241" s="3" t="s">
        <v>867</v>
      </c>
      <c r="F1241" s="3">
        <v>22.98</v>
      </c>
      <c r="G1241" s="3" t="s">
        <v>3391</v>
      </c>
      <c r="H1241" s="3"/>
      <c r="I1241" s="3" t="s">
        <v>3392</v>
      </c>
      <c r="J1241" s="3">
        <v>11</v>
      </c>
      <c r="K1241" s="3">
        <v>11</v>
      </c>
      <c r="L1241" s="3">
        <v>0</v>
      </c>
      <c r="M1241" s="3">
        <v>0</v>
      </c>
      <c r="N1241" s="3">
        <v>11</v>
      </c>
      <c r="O1241" s="3">
        <v>0.14</v>
      </c>
      <c r="P1241" s="3">
        <v>0</v>
      </c>
      <c r="Q1241" s="3">
        <v>0</v>
      </c>
      <c r="R1241" s="3">
        <v>0</v>
      </c>
    </row>
    <row r="1242" spans="1:18">
      <c r="A1242" s="3" t="s">
        <v>475</v>
      </c>
      <c r="B1242" s="3" t="s">
        <v>476</v>
      </c>
      <c r="C1242" s="3" t="s">
        <v>476</v>
      </c>
      <c r="D1242" s="3" t="s">
        <v>477</v>
      </c>
      <c r="E1242" s="3" t="s">
        <v>867</v>
      </c>
      <c r="F1242" s="3">
        <v>39.98</v>
      </c>
      <c r="G1242" s="3" t="s">
        <v>3391</v>
      </c>
      <c r="H1242" s="3"/>
      <c r="I1242" s="3" t="s">
        <v>3392</v>
      </c>
      <c r="J1242" s="3">
        <v>3</v>
      </c>
      <c r="K1242" s="3">
        <v>1</v>
      </c>
      <c r="L1242" s="3">
        <v>1</v>
      </c>
      <c r="M1242" s="3">
        <v>1</v>
      </c>
      <c r="N1242" s="3">
        <v>3</v>
      </c>
      <c r="O1242" s="3">
        <v>0.1</v>
      </c>
      <c r="P1242" s="3">
        <v>0</v>
      </c>
      <c r="Q1242" s="3">
        <v>0</v>
      </c>
      <c r="R1242" s="3">
        <v>0</v>
      </c>
    </row>
    <row r="1243" spans="1:18">
      <c r="A1243" s="3" t="s">
        <v>1555</v>
      </c>
      <c r="B1243" s="3" t="s">
        <v>1556</v>
      </c>
      <c r="C1243" s="3" t="s">
        <v>1556</v>
      </c>
      <c r="D1243" s="3" t="s">
        <v>1557</v>
      </c>
      <c r="E1243" s="3" t="s">
        <v>867</v>
      </c>
      <c r="F1243" s="3">
        <v>39.98</v>
      </c>
      <c r="G1243" s="3" t="s">
        <v>3391</v>
      </c>
      <c r="H1243" s="3"/>
      <c r="I1243" s="3" t="s">
        <v>3392</v>
      </c>
      <c r="J1243" s="3">
        <v>3</v>
      </c>
      <c r="K1243" s="3">
        <v>3</v>
      </c>
      <c r="L1243" s="3">
        <v>0</v>
      </c>
      <c r="M1243" s="3">
        <v>0</v>
      </c>
      <c r="N1243" s="3">
        <v>3</v>
      </c>
      <c r="O1243" s="3">
        <v>0.1</v>
      </c>
      <c r="P1243" s="3">
        <v>0</v>
      </c>
      <c r="Q1243" s="3">
        <v>0</v>
      </c>
      <c r="R1243" s="3">
        <v>0</v>
      </c>
    </row>
    <row r="1244" spans="1:18">
      <c r="A1244" s="3" t="s">
        <v>5136</v>
      </c>
      <c r="B1244" s="3" t="s">
        <v>5137</v>
      </c>
      <c r="C1244" s="3" t="s">
        <v>5137</v>
      </c>
      <c r="D1244" s="3" t="s">
        <v>5138</v>
      </c>
      <c r="E1244" s="3" t="s">
        <v>867</v>
      </c>
      <c r="F1244" s="3">
        <v>39.98</v>
      </c>
      <c r="G1244" s="3" t="s">
        <v>3391</v>
      </c>
      <c r="H1244" s="3"/>
      <c r="I1244" s="3" t="s">
        <v>3392</v>
      </c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>
        <v>0.1</v>
      </c>
      <c r="P1244" s="3">
        <v>0</v>
      </c>
      <c r="Q1244" s="3">
        <v>0</v>
      </c>
      <c r="R1244" s="3">
        <v>0</v>
      </c>
    </row>
    <row r="1245" spans="1:18">
      <c r="A1245" s="3" t="s">
        <v>5139</v>
      </c>
      <c r="B1245" s="3" t="s">
        <v>5140</v>
      </c>
      <c r="C1245" s="3" t="s">
        <v>5140</v>
      </c>
      <c r="D1245" s="3"/>
      <c r="E1245" s="3" t="s">
        <v>3293</v>
      </c>
      <c r="F1245" s="3"/>
      <c r="G1245" s="3"/>
      <c r="H1245" s="3"/>
      <c r="I1245" s="3"/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/>
      <c r="P1245" s="3">
        <v>0</v>
      </c>
      <c r="Q1245" s="3">
        <v>0</v>
      </c>
      <c r="R1245" s="3">
        <v>0</v>
      </c>
    </row>
    <row r="1246" spans="1:18">
      <c r="A1246" s="3" t="s">
        <v>5141</v>
      </c>
      <c r="B1246" s="3" t="s">
        <v>5142</v>
      </c>
      <c r="C1246" s="3" t="s">
        <v>5142</v>
      </c>
      <c r="D1246" s="3"/>
      <c r="E1246" s="3" t="s">
        <v>3293</v>
      </c>
      <c r="F1246" s="3"/>
      <c r="G1246" s="3"/>
      <c r="H1246" s="3"/>
      <c r="I1246" s="3"/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/>
      <c r="P1246" s="3">
        <v>0</v>
      </c>
      <c r="Q1246" s="3">
        <v>0</v>
      </c>
      <c r="R1246" s="3">
        <v>0</v>
      </c>
    </row>
    <row r="1247" spans="1:18">
      <c r="A1247" s="3" t="s">
        <v>1572</v>
      </c>
      <c r="B1247" s="3" t="s">
        <v>1573</v>
      </c>
      <c r="C1247" s="3" t="s">
        <v>1573</v>
      </c>
      <c r="D1247" s="3" t="s">
        <v>1574</v>
      </c>
      <c r="E1247" s="3" t="s">
        <v>867</v>
      </c>
      <c r="F1247" s="3">
        <v>24.98</v>
      </c>
      <c r="G1247" s="3" t="s">
        <v>3391</v>
      </c>
      <c r="H1247" s="3"/>
      <c r="I1247" s="3" t="s">
        <v>3392</v>
      </c>
      <c r="J1247" s="3">
        <v>1</v>
      </c>
      <c r="K1247" s="3">
        <v>1</v>
      </c>
      <c r="L1247" s="3">
        <v>0</v>
      </c>
      <c r="M1247" s="3">
        <v>0</v>
      </c>
      <c r="N1247" s="3">
        <v>1</v>
      </c>
      <c r="O1247" s="3">
        <v>0.15</v>
      </c>
      <c r="P1247" s="3">
        <v>0</v>
      </c>
      <c r="Q1247" s="3">
        <v>0</v>
      </c>
      <c r="R1247" s="3">
        <v>0</v>
      </c>
    </row>
    <row r="1248" spans="1:18">
      <c r="A1248" s="3" t="s">
        <v>1899</v>
      </c>
      <c r="B1248" s="3" t="s">
        <v>1900</v>
      </c>
      <c r="C1248" s="3" t="s">
        <v>1900</v>
      </c>
      <c r="D1248" s="3" t="s">
        <v>1901</v>
      </c>
      <c r="E1248" s="3" t="s">
        <v>867</v>
      </c>
      <c r="F1248" s="3">
        <v>39.98</v>
      </c>
      <c r="G1248" s="3" t="s">
        <v>3391</v>
      </c>
      <c r="H1248" s="3"/>
      <c r="I1248" s="3" t="s">
        <v>3392</v>
      </c>
      <c r="J1248" s="3">
        <v>1</v>
      </c>
      <c r="K1248" s="3">
        <v>1</v>
      </c>
      <c r="L1248" s="3">
        <v>0</v>
      </c>
      <c r="M1248" s="3">
        <v>0</v>
      </c>
      <c r="N1248" s="3">
        <v>1</v>
      </c>
      <c r="O1248" s="3">
        <v>0.12</v>
      </c>
      <c r="P1248" s="3">
        <v>0</v>
      </c>
      <c r="Q1248" s="3">
        <v>0</v>
      </c>
      <c r="R1248" s="3">
        <v>0</v>
      </c>
    </row>
    <row r="1249" spans="1:18">
      <c r="A1249" s="3" t="s">
        <v>5143</v>
      </c>
      <c r="B1249" s="3" t="s">
        <v>2407</v>
      </c>
      <c r="C1249" s="3" t="s">
        <v>2407</v>
      </c>
      <c r="D1249" s="3" t="s">
        <v>2408</v>
      </c>
      <c r="E1249" s="3" t="s">
        <v>867</v>
      </c>
      <c r="F1249" s="3">
        <v>24.98</v>
      </c>
      <c r="G1249" s="3" t="s">
        <v>3391</v>
      </c>
      <c r="H1249" s="3"/>
      <c r="I1249" s="3" t="s">
        <v>3392</v>
      </c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>
        <v>0.1</v>
      </c>
      <c r="P1249" s="3">
        <v>0</v>
      </c>
      <c r="Q1249" s="3">
        <v>0</v>
      </c>
      <c r="R1249" s="3">
        <v>0</v>
      </c>
    </row>
    <row r="1250" spans="1:18">
      <c r="A1250" s="3" t="s">
        <v>5144</v>
      </c>
      <c r="B1250" s="3" t="s">
        <v>5145</v>
      </c>
      <c r="C1250" s="3" t="s">
        <v>5145</v>
      </c>
      <c r="D1250" s="3" t="s">
        <v>5146</v>
      </c>
      <c r="E1250" s="3" t="s">
        <v>867</v>
      </c>
      <c r="F1250" s="3">
        <v>24.98</v>
      </c>
      <c r="G1250" s="3" t="s">
        <v>3391</v>
      </c>
      <c r="H1250" s="3"/>
      <c r="I1250" s="3" t="s">
        <v>3392</v>
      </c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>
        <v>0.1</v>
      </c>
      <c r="P1250" s="3">
        <v>0</v>
      </c>
      <c r="Q1250" s="3">
        <v>0</v>
      </c>
      <c r="R1250" s="3">
        <v>0</v>
      </c>
    </row>
    <row r="1251" spans="1:18">
      <c r="A1251" s="3" t="s">
        <v>5147</v>
      </c>
      <c r="B1251" s="3" t="s">
        <v>114</v>
      </c>
      <c r="C1251" s="3" t="s">
        <v>114</v>
      </c>
      <c r="D1251" s="3" t="s">
        <v>115</v>
      </c>
      <c r="E1251" s="3" t="s">
        <v>867</v>
      </c>
      <c r="F1251" s="3">
        <v>24.98</v>
      </c>
      <c r="G1251" s="3" t="s">
        <v>3391</v>
      </c>
      <c r="H1251" s="3"/>
      <c r="I1251" s="3" t="s">
        <v>3392</v>
      </c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>
        <v>0.1</v>
      </c>
      <c r="P1251" s="3">
        <v>0</v>
      </c>
      <c r="Q1251" s="3">
        <v>0</v>
      </c>
      <c r="R1251" s="3">
        <v>0</v>
      </c>
    </row>
    <row r="1252" spans="1:18">
      <c r="A1252" s="3" t="s">
        <v>5148</v>
      </c>
      <c r="B1252" s="3" t="s">
        <v>5149</v>
      </c>
      <c r="C1252" s="3" t="s">
        <v>5149</v>
      </c>
      <c r="D1252" s="3"/>
      <c r="E1252" s="3" t="s">
        <v>3293</v>
      </c>
      <c r="F1252" s="3"/>
      <c r="G1252" s="3"/>
      <c r="H1252" s="3"/>
      <c r="I1252" s="3"/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/>
      <c r="P1252" s="3">
        <v>0</v>
      </c>
      <c r="Q1252" s="3">
        <v>0</v>
      </c>
      <c r="R1252" s="3">
        <v>0</v>
      </c>
    </row>
    <row r="1253" spans="1:18">
      <c r="A1253" s="3" t="s">
        <v>2964</v>
      </c>
      <c r="B1253" s="3" t="s">
        <v>2965</v>
      </c>
      <c r="C1253" s="3" t="s">
        <v>2965</v>
      </c>
      <c r="D1253" s="3" t="s">
        <v>2966</v>
      </c>
      <c r="E1253" s="3" t="s">
        <v>867</v>
      </c>
      <c r="F1253" s="3">
        <v>39.98</v>
      </c>
      <c r="G1253" s="3" t="s">
        <v>3391</v>
      </c>
      <c r="H1253" s="3"/>
      <c r="I1253" s="3" t="s">
        <v>3392</v>
      </c>
      <c r="J1253" s="3">
        <v>25</v>
      </c>
      <c r="K1253" s="3">
        <v>25</v>
      </c>
      <c r="L1253" s="3">
        <v>0</v>
      </c>
      <c r="M1253" s="3">
        <v>0</v>
      </c>
      <c r="N1253" s="3">
        <v>25</v>
      </c>
      <c r="O1253" s="3">
        <v>0.1</v>
      </c>
      <c r="P1253" s="3">
        <v>0</v>
      </c>
      <c r="Q1253" s="3">
        <v>0</v>
      </c>
      <c r="R1253" s="3">
        <v>0</v>
      </c>
    </row>
    <row r="1254" spans="1:18">
      <c r="A1254" s="3" t="s">
        <v>5150</v>
      </c>
      <c r="B1254" s="3" t="s">
        <v>5151</v>
      </c>
      <c r="C1254" s="3" t="s">
        <v>5151</v>
      </c>
      <c r="D1254" s="3" t="s">
        <v>5152</v>
      </c>
      <c r="E1254" s="3" t="s">
        <v>867</v>
      </c>
      <c r="F1254" s="3">
        <v>39.98</v>
      </c>
      <c r="G1254" s="3" t="s">
        <v>3391</v>
      </c>
      <c r="H1254" s="3"/>
      <c r="I1254" s="3" t="s">
        <v>3392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0.1</v>
      </c>
      <c r="P1254" s="3">
        <v>0</v>
      </c>
      <c r="Q1254" s="3">
        <v>0</v>
      </c>
      <c r="R1254" s="3">
        <v>0</v>
      </c>
    </row>
    <row r="1255" spans="1:18">
      <c r="A1255" s="3" t="s">
        <v>2612</v>
      </c>
      <c r="B1255" s="3" t="s">
        <v>2613</v>
      </c>
      <c r="C1255" s="3" t="s">
        <v>2613</v>
      </c>
      <c r="D1255" s="3" t="s">
        <v>2614</v>
      </c>
      <c r="E1255" s="3" t="s">
        <v>867</v>
      </c>
      <c r="F1255" s="3">
        <v>39.98</v>
      </c>
      <c r="G1255" s="3" t="s">
        <v>3391</v>
      </c>
      <c r="H1255" s="3"/>
      <c r="I1255" s="3" t="s">
        <v>3392</v>
      </c>
      <c r="J1255" s="3">
        <v>11</v>
      </c>
      <c r="K1255" s="3">
        <v>11</v>
      </c>
      <c r="L1255" s="3">
        <v>0</v>
      </c>
      <c r="M1255" s="3">
        <v>0</v>
      </c>
      <c r="N1255" s="3">
        <v>11</v>
      </c>
      <c r="O1255" s="3">
        <v>0.1</v>
      </c>
      <c r="P1255" s="3">
        <v>0</v>
      </c>
      <c r="Q1255" s="3">
        <v>0</v>
      </c>
      <c r="R1255" s="3">
        <v>0</v>
      </c>
    </row>
    <row r="1256" spans="1:18">
      <c r="A1256" s="3" t="s">
        <v>5153</v>
      </c>
      <c r="B1256" s="3" t="s">
        <v>5154</v>
      </c>
      <c r="C1256" s="3" t="s">
        <v>5154</v>
      </c>
      <c r="D1256" s="3" t="s">
        <v>5155</v>
      </c>
      <c r="E1256" s="3" t="s">
        <v>867</v>
      </c>
      <c r="F1256" s="3">
        <v>26.98</v>
      </c>
      <c r="G1256" s="3" t="s">
        <v>3391</v>
      </c>
      <c r="H1256" s="3"/>
      <c r="I1256" s="3" t="s">
        <v>3392</v>
      </c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>
        <v>0.1</v>
      </c>
      <c r="P1256" s="3">
        <v>0</v>
      </c>
      <c r="Q1256" s="3">
        <v>0</v>
      </c>
      <c r="R1256" s="3">
        <v>0</v>
      </c>
    </row>
    <row r="1257" spans="1:18">
      <c r="A1257" s="3" t="s">
        <v>5156</v>
      </c>
      <c r="B1257" s="3" t="s">
        <v>5157</v>
      </c>
      <c r="C1257" s="3" t="s">
        <v>5157</v>
      </c>
      <c r="D1257" s="3" t="s">
        <v>5158</v>
      </c>
      <c r="E1257" s="3" t="s">
        <v>867</v>
      </c>
      <c r="F1257" s="3">
        <v>23.98</v>
      </c>
      <c r="G1257" s="3" t="s">
        <v>3391</v>
      </c>
      <c r="H1257" s="3"/>
      <c r="I1257" s="3" t="s">
        <v>3392</v>
      </c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>
        <v>0.1</v>
      </c>
      <c r="P1257" s="3">
        <v>0</v>
      </c>
      <c r="Q1257" s="3">
        <v>0</v>
      </c>
      <c r="R1257" s="3">
        <v>0</v>
      </c>
    </row>
    <row r="1258" spans="1:18">
      <c r="A1258" s="3" t="s">
        <v>503</v>
      </c>
      <c r="B1258" s="3" t="s">
        <v>504</v>
      </c>
      <c r="C1258" s="3" t="s">
        <v>504</v>
      </c>
      <c r="D1258" s="3" t="s">
        <v>505</v>
      </c>
      <c r="E1258" s="3" t="s">
        <v>867</v>
      </c>
      <c r="F1258" s="3">
        <v>39.98</v>
      </c>
      <c r="G1258" s="3" t="s">
        <v>3391</v>
      </c>
      <c r="H1258" s="3"/>
      <c r="I1258" s="3" t="s">
        <v>3392</v>
      </c>
      <c r="J1258" s="3">
        <v>8</v>
      </c>
      <c r="K1258" s="3">
        <v>6</v>
      </c>
      <c r="L1258" s="3">
        <v>0</v>
      </c>
      <c r="M1258" s="3">
        <v>2</v>
      </c>
      <c r="N1258" s="3">
        <v>8</v>
      </c>
      <c r="O1258" s="3">
        <v>0.21</v>
      </c>
      <c r="P1258" s="3">
        <v>0</v>
      </c>
      <c r="Q1258" s="3">
        <v>0</v>
      </c>
      <c r="R1258" s="3">
        <v>0</v>
      </c>
    </row>
    <row r="1259" spans="1:18">
      <c r="A1259" s="3" t="s">
        <v>512</v>
      </c>
      <c r="B1259" s="3" t="s">
        <v>513</v>
      </c>
      <c r="C1259" s="3" t="s">
        <v>513</v>
      </c>
      <c r="D1259" s="3" t="s">
        <v>514</v>
      </c>
      <c r="E1259" s="3" t="s">
        <v>867</v>
      </c>
      <c r="F1259" s="3">
        <v>39.98</v>
      </c>
      <c r="G1259" s="3" t="s">
        <v>3391</v>
      </c>
      <c r="H1259" s="3"/>
      <c r="I1259" s="3" t="s">
        <v>3392</v>
      </c>
      <c r="J1259" s="3">
        <v>19</v>
      </c>
      <c r="K1259" s="3">
        <v>18</v>
      </c>
      <c r="L1259" s="3">
        <v>0</v>
      </c>
      <c r="M1259" s="3">
        <v>1</v>
      </c>
      <c r="N1259" s="3">
        <v>19</v>
      </c>
      <c r="O1259" s="3">
        <v>0.1</v>
      </c>
      <c r="P1259" s="3">
        <v>0</v>
      </c>
      <c r="Q1259" s="3">
        <v>0</v>
      </c>
      <c r="R1259" s="3">
        <v>0</v>
      </c>
    </row>
    <row r="1260" spans="1:18">
      <c r="A1260" s="3" t="s">
        <v>1298</v>
      </c>
      <c r="B1260" s="3" t="s">
        <v>1299</v>
      </c>
      <c r="C1260" s="3" t="s">
        <v>1299</v>
      </c>
      <c r="D1260" s="3" t="s">
        <v>1300</v>
      </c>
      <c r="E1260" s="3" t="s">
        <v>867</v>
      </c>
      <c r="F1260" s="3">
        <v>39.98</v>
      </c>
      <c r="G1260" s="3" t="s">
        <v>3391</v>
      </c>
      <c r="H1260" s="3"/>
      <c r="I1260" s="3" t="s">
        <v>3392</v>
      </c>
      <c r="J1260" s="3">
        <v>33</v>
      </c>
      <c r="K1260" s="3">
        <v>33</v>
      </c>
      <c r="L1260" s="3">
        <v>0</v>
      </c>
      <c r="M1260" s="3">
        <v>0</v>
      </c>
      <c r="N1260" s="3">
        <v>33</v>
      </c>
      <c r="O1260" s="3">
        <v>0.21</v>
      </c>
      <c r="P1260" s="3">
        <v>0</v>
      </c>
      <c r="Q1260" s="3">
        <v>0</v>
      </c>
      <c r="R1260" s="3">
        <v>0</v>
      </c>
    </row>
    <row r="1261" spans="1:18">
      <c r="A1261" s="3" t="s">
        <v>1226</v>
      </c>
      <c r="B1261" s="3" t="s">
        <v>1227</v>
      </c>
      <c r="C1261" s="3" t="s">
        <v>1227</v>
      </c>
      <c r="D1261" s="3" t="s">
        <v>1228</v>
      </c>
      <c r="E1261" s="3" t="s">
        <v>867</v>
      </c>
      <c r="F1261" s="3">
        <v>22.99</v>
      </c>
      <c r="G1261" s="3" t="s">
        <v>3391</v>
      </c>
      <c r="H1261" s="3"/>
      <c r="I1261" s="3" t="s">
        <v>3392</v>
      </c>
      <c r="J1261" s="3">
        <v>2</v>
      </c>
      <c r="K1261" s="3">
        <v>2</v>
      </c>
      <c r="L1261" s="3">
        <v>0</v>
      </c>
      <c r="M1261" s="3">
        <v>0</v>
      </c>
      <c r="N1261" s="3">
        <v>2</v>
      </c>
      <c r="O1261" s="3">
        <v>0.21</v>
      </c>
      <c r="P1261" s="3">
        <v>0</v>
      </c>
      <c r="Q1261" s="3">
        <v>0</v>
      </c>
      <c r="R1261" s="3">
        <v>0</v>
      </c>
    </row>
    <row r="1262" spans="1:18">
      <c r="A1262" s="3" t="s">
        <v>1432</v>
      </c>
      <c r="B1262" s="3" t="s">
        <v>1433</v>
      </c>
      <c r="C1262" s="3" t="s">
        <v>1433</v>
      </c>
      <c r="D1262" s="3" t="s">
        <v>1434</v>
      </c>
      <c r="E1262" s="3" t="s">
        <v>867</v>
      </c>
      <c r="F1262" s="3">
        <v>39.98</v>
      </c>
      <c r="G1262" s="3" t="s">
        <v>3391</v>
      </c>
      <c r="H1262" s="3"/>
      <c r="I1262" s="3" t="s">
        <v>3392</v>
      </c>
      <c r="J1262" s="3">
        <v>23</v>
      </c>
      <c r="K1262" s="3">
        <v>23</v>
      </c>
      <c r="L1262" s="3">
        <v>0</v>
      </c>
      <c r="M1262" s="3">
        <v>0</v>
      </c>
      <c r="N1262" s="3">
        <v>23</v>
      </c>
      <c r="O1262" s="3">
        <v>0.14</v>
      </c>
      <c r="P1262" s="3">
        <v>0</v>
      </c>
      <c r="Q1262" s="3">
        <v>0</v>
      </c>
      <c r="R1262" s="3">
        <v>0</v>
      </c>
    </row>
    <row r="1263" spans="1:18">
      <c r="A1263" s="3" t="s">
        <v>488</v>
      </c>
      <c r="B1263" s="3" t="s">
        <v>489</v>
      </c>
      <c r="C1263" s="3" t="s">
        <v>489</v>
      </c>
      <c r="D1263" s="3" t="s">
        <v>490</v>
      </c>
      <c r="E1263" s="3" t="s">
        <v>867</v>
      </c>
      <c r="F1263" s="3">
        <v>39.98</v>
      </c>
      <c r="G1263" s="3" t="s">
        <v>3391</v>
      </c>
      <c r="H1263" s="3"/>
      <c r="I1263" s="3" t="s">
        <v>3392</v>
      </c>
      <c r="J1263" s="3">
        <v>19</v>
      </c>
      <c r="K1263" s="3">
        <v>18</v>
      </c>
      <c r="L1263" s="3">
        <v>0</v>
      </c>
      <c r="M1263" s="3">
        <v>1</v>
      </c>
      <c r="N1263" s="3">
        <v>19</v>
      </c>
      <c r="O1263" s="3">
        <v>0.21</v>
      </c>
      <c r="P1263" s="3">
        <v>0</v>
      </c>
      <c r="Q1263" s="3">
        <v>0</v>
      </c>
      <c r="R1263" s="3">
        <v>0</v>
      </c>
    </row>
    <row r="1264" spans="1:18">
      <c r="A1264" s="3" t="s">
        <v>1024</v>
      </c>
      <c r="B1264" s="3" t="s">
        <v>1025</v>
      </c>
      <c r="C1264" s="3" t="s">
        <v>1025</v>
      </c>
      <c r="D1264" s="3" t="s">
        <v>1026</v>
      </c>
      <c r="E1264" s="3" t="s">
        <v>867</v>
      </c>
      <c r="F1264" s="3">
        <v>39.98</v>
      </c>
      <c r="G1264" s="3" t="s">
        <v>3391</v>
      </c>
      <c r="H1264" s="3"/>
      <c r="I1264" s="3" t="s">
        <v>3392</v>
      </c>
      <c r="J1264" s="3">
        <v>32</v>
      </c>
      <c r="K1264" s="3">
        <v>32</v>
      </c>
      <c r="L1264" s="3">
        <v>0</v>
      </c>
      <c r="M1264" s="3">
        <v>0</v>
      </c>
      <c r="N1264" s="3">
        <v>32</v>
      </c>
      <c r="O1264" s="3">
        <v>0.21</v>
      </c>
      <c r="P1264" s="3">
        <v>0</v>
      </c>
      <c r="Q1264" s="3">
        <v>0</v>
      </c>
      <c r="R1264" s="3">
        <v>0</v>
      </c>
    </row>
    <row r="1265" spans="1:18">
      <c r="A1265" s="3" t="s">
        <v>517</v>
      </c>
      <c r="B1265" s="3" t="s">
        <v>518</v>
      </c>
      <c r="C1265" s="3" t="s">
        <v>518</v>
      </c>
      <c r="D1265" s="3" t="s">
        <v>519</v>
      </c>
      <c r="E1265" s="3" t="s">
        <v>867</v>
      </c>
      <c r="F1265" s="3">
        <v>39.98</v>
      </c>
      <c r="G1265" s="3" t="s">
        <v>3391</v>
      </c>
      <c r="H1265" s="3"/>
      <c r="I1265" s="3" t="s">
        <v>3392</v>
      </c>
      <c r="J1265" s="3">
        <v>37</v>
      </c>
      <c r="K1265" s="3">
        <v>36</v>
      </c>
      <c r="L1265" s="3">
        <v>0</v>
      </c>
      <c r="M1265" s="3">
        <v>1</v>
      </c>
      <c r="N1265" s="3">
        <v>37</v>
      </c>
      <c r="O1265" s="3">
        <v>0.14</v>
      </c>
      <c r="P1265" s="3">
        <v>0</v>
      </c>
      <c r="Q1265" s="3">
        <v>0</v>
      </c>
      <c r="R1265" s="3">
        <v>0</v>
      </c>
    </row>
    <row r="1266" spans="1:18">
      <c r="A1266" s="3" t="s">
        <v>2389</v>
      </c>
      <c r="B1266" s="3" t="s">
        <v>2390</v>
      </c>
      <c r="C1266" s="3" t="s">
        <v>2390</v>
      </c>
      <c r="D1266" s="3" t="s">
        <v>2391</v>
      </c>
      <c r="E1266" s="3" t="s">
        <v>867</v>
      </c>
      <c r="F1266" s="3">
        <v>39.98</v>
      </c>
      <c r="G1266" s="3" t="s">
        <v>3391</v>
      </c>
      <c r="H1266" s="3"/>
      <c r="I1266" s="3" t="s">
        <v>3392</v>
      </c>
      <c r="J1266" s="3">
        <v>8</v>
      </c>
      <c r="K1266" s="3">
        <v>8</v>
      </c>
      <c r="L1266" s="3">
        <v>0</v>
      </c>
      <c r="M1266" s="3">
        <v>0</v>
      </c>
      <c r="N1266" s="3">
        <v>8</v>
      </c>
      <c r="O1266" s="3">
        <v>0.21</v>
      </c>
      <c r="P1266" s="3">
        <v>0</v>
      </c>
      <c r="Q1266" s="3">
        <v>0</v>
      </c>
      <c r="R1266" s="3">
        <v>0</v>
      </c>
    </row>
    <row r="1267" spans="1:18">
      <c r="A1267" s="3" t="s">
        <v>485</v>
      </c>
      <c r="B1267" s="3" t="s">
        <v>486</v>
      </c>
      <c r="C1267" s="3" t="s">
        <v>486</v>
      </c>
      <c r="D1267" s="3" t="s">
        <v>487</v>
      </c>
      <c r="E1267" s="3" t="s">
        <v>867</v>
      </c>
      <c r="F1267" s="3">
        <v>39.98</v>
      </c>
      <c r="G1267" s="3" t="s">
        <v>3391</v>
      </c>
      <c r="H1267" s="3"/>
      <c r="I1267" s="3" t="s">
        <v>3392</v>
      </c>
      <c r="J1267" s="3">
        <v>30</v>
      </c>
      <c r="K1267" s="3">
        <v>27</v>
      </c>
      <c r="L1267" s="3">
        <v>0</v>
      </c>
      <c r="M1267" s="3">
        <v>3</v>
      </c>
      <c r="N1267" s="3">
        <v>30</v>
      </c>
      <c r="O1267" s="3">
        <v>0.21</v>
      </c>
      <c r="P1267" s="3">
        <v>0</v>
      </c>
      <c r="Q1267" s="3">
        <v>0</v>
      </c>
      <c r="R1267" s="3">
        <v>0</v>
      </c>
    </row>
    <row r="1268" spans="1:18">
      <c r="A1268" s="3" t="s">
        <v>1558</v>
      </c>
      <c r="B1268" s="3" t="s">
        <v>1559</v>
      </c>
      <c r="C1268" s="3" t="s">
        <v>1559</v>
      </c>
      <c r="D1268" s="3" t="s">
        <v>1560</v>
      </c>
      <c r="E1268" s="3" t="s">
        <v>867</v>
      </c>
      <c r="F1268" s="3">
        <v>39.98</v>
      </c>
      <c r="G1268" s="3" t="s">
        <v>3391</v>
      </c>
      <c r="H1268" s="3"/>
      <c r="I1268" s="3" t="s">
        <v>3392</v>
      </c>
      <c r="J1268" s="3">
        <v>35</v>
      </c>
      <c r="K1268" s="3">
        <v>35</v>
      </c>
      <c r="L1268" s="3">
        <v>0</v>
      </c>
      <c r="M1268" s="3">
        <v>0</v>
      </c>
      <c r="N1268" s="3">
        <v>35</v>
      </c>
      <c r="O1268" s="3">
        <v>0.21</v>
      </c>
      <c r="P1268" s="3">
        <v>0</v>
      </c>
      <c r="Q1268" s="3">
        <v>0</v>
      </c>
      <c r="R1268" s="3">
        <v>0</v>
      </c>
    </row>
    <row r="1269" spans="1:18">
      <c r="A1269" s="3" t="s">
        <v>2902</v>
      </c>
      <c r="B1269" s="3" t="s">
        <v>2903</v>
      </c>
      <c r="C1269" s="3" t="s">
        <v>2903</v>
      </c>
      <c r="D1269" s="3" t="s">
        <v>2904</v>
      </c>
      <c r="E1269" s="3" t="s">
        <v>867</v>
      </c>
      <c r="F1269" s="3">
        <v>39.98</v>
      </c>
      <c r="G1269" s="3" t="s">
        <v>3391</v>
      </c>
      <c r="H1269" s="3"/>
      <c r="I1269" s="3" t="s">
        <v>3392</v>
      </c>
      <c r="J1269" s="3">
        <v>11</v>
      </c>
      <c r="K1269" s="3">
        <v>11</v>
      </c>
      <c r="L1269" s="3">
        <v>0</v>
      </c>
      <c r="M1269" s="3">
        <v>0</v>
      </c>
      <c r="N1269" s="3">
        <v>11</v>
      </c>
      <c r="O1269" s="3">
        <v>0.14</v>
      </c>
      <c r="P1269" s="3">
        <v>0</v>
      </c>
      <c r="Q1269" s="3">
        <v>0</v>
      </c>
      <c r="R1269" s="3">
        <v>0</v>
      </c>
    </row>
    <row r="1270" spans="1:18">
      <c r="A1270" s="3" t="s">
        <v>966</v>
      </c>
      <c r="B1270" s="3" t="s">
        <v>967</v>
      </c>
      <c r="C1270" s="3" t="s">
        <v>967</v>
      </c>
      <c r="D1270" s="3" t="s">
        <v>968</v>
      </c>
      <c r="E1270" s="3" t="s">
        <v>867</v>
      </c>
      <c r="F1270" s="3">
        <v>39.98</v>
      </c>
      <c r="G1270" s="3" t="s">
        <v>3391</v>
      </c>
      <c r="H1270" s="3"/>
      <c r="I1270" s="3" t="s">
        <v>3392</v>
      </c>
      <c r="J1270" s="3">
        <v>36</v>
      </c>
      <c r="K1270" s="3">
        <v>36</v>
      </c>
      <c r="L1270" s="3">
        <v>0</v>
      </c>
      <c r="M1270" s="3">
        <v>0</v>
      </c>
      <c r="N1270" s="3">
        <v>36</v>
      </c>
      <c r="O1270" s="3">
        <v>0.21</v>
      </c>
      <c r="P1270" s="3">
        <v>0</v>
      </c>
      <c r="Q1270" s="3">
        <v>0</v>
      </c>
      <c r="R1270" s="3">
        <v>0</v>
      </c>
    </row>
    <row r="1271" spans="1:18">
      <c r="A1271" s="3" t="s">
        <v>2339</v>
      </c>
      <c r="B1271" s="3" t="s">
        <v>2340</v>
      </c>
      <c r="C1271" s="3" t="s">
        <v>2340</v>
      </c>
      <c r="D1271" s="3" t="s">
        <v>2341</v>
      </c>
      <c r="E1271" s="3" t="s">
        <v>867</v>
      </c>
      <c r="F1271" s="3">
        <v>22.99</v>
      </c>
      <c r="G1271" s="3" t="s">
        <v>3391</v>
      </c>
      <c r="H1271" s="3"/>
      <c r="I1271" s="3" t="s">
        <v>3392</v>
      </c>
      <c r="J1271" s="3">
        <v>3</v>
      </c>
      <c r="K1271" s="3">
        <v>3</v>
      </c>
      <c r="L1271" s="3">
        <v>0</v>
      </c>
      <c r="M1271" s="3">
        <v>0</v>
      </c>
      <c r="N1271" s="3">
        <v>3</v>
      </c>
      <c r="O1271" s="3">
        <v>0.14</v>
      </c>
      <c r="P1271" s="3">
        <v>0</v>
      </c>
      <c r="Q1271" s="3">
        <v>0</v>
      </c>
      <c r="R1271" s="3">
        <v>0</v>
      </c>
    </row>
    <row r="1272" spans="1:18">
      <c r="A1272" s="3" t="s">
        <v>2691</v>
      </c>
      <c r="B1272" s="3" t="s">
        <v>2692</v>
      </c>
      <c r="C1272" s="3" t="s">
        <v>2692</v>
      </c>
      <c r="D1272" s="3" t="s">
        <v>2693</v>
      </c>
      <c r="E1272" s="3" t="s">
        <v>867</v>
      </c>
      <c r="F1272" s="3">
        <v>39.98</v>
      </c>
      <c r="G1272" s="3" t="s">
        <v>3391</v>
      </c>
      <c r="H1272" s="3"/>
      <c r="I1272" s="3" t="s">
        <v>3392</v>
      </c>
      <c r="J1272" s="3">
        <v>21</v>
      </c>
      <c r="K1272" s="3">
        <v>21</v>
      </c>
      <c r="L1272" s="3">
        <v>0</v>
      </c>
      <c r="M1272" s="3">
        <v>0</v>
      </c>
      <c r="N1272" s="3">
        <v>21</v>
      </c>
      <c r="O1272" s="3">
        <v>0.14</v>
      </c>
      <c r="P1272" s="3">
        <v>0</v>
      </c>
      <c r="Q1272" s="3">
        <v>0</v>
      </c>
      <c r="R1272" s="3">
        <v>0</v>
      </c>
    </row>
    <row r="1273" spans="1:18">
      <c r="A1273" s="3" t="s">
        <v>2162</v>
      </c>
      <c r="B1273" s="3" t="s">
        <v>2163</v>
      </c>
      <c r="C1273" s="3" t="s">
        <v>2163</v>
      </c>
      <c r="D1273" s="3" t="s">
        <v>2164</v>
      </c>
      <c r="E1273" s="3" t="s">
        <v>867</v>
      </c>
      <c r="F1273" s="3">
        <v>39.98</v>
      </c>
      <c r="G1273" s="3" t="s">
        <v>3391</v>
      </c>
      <c r="H1273" s="3"/>
      <c r="I1273" s="3" t="s">
        <v>3392</v>
      </c>
      <c r="J1273" s="3">
        <v>34</v>
      </c>
      <c r="K1273" s="3">
        <v>34</v>
      </c>
      <c r="L1273" s="3">
        <v>0</v>
      </c>
      <c r="M1273" s="3">
        <v>0</v>
      </c>
      <c r="N1273" s="3">
        <v>34</v>
      </c>
      <c r="O1273" s="3">
        <v>0.14</v>
      </c>
      <c r="P1273" s="3">
        <v>0</v>
      </c>
      <c r="Q1273" s="3">
        <v>0</v>
      </c>
      <c r="R1273" s="3">
        <v>0</v>
      </c>
    </row>
    <row r="1274" spans="1:18">
      <c r="A1274" s="3" t="s">
        <v>1748</v>
      </c>
      <c r="B1274" s="3" t="s">
        <v>1749</v>
      </c>
      <c r="C1274" s="3" t="s">
        <v>1749</v>
      </c>
      <c r="D1274" s="3" t="s">
        <v>1750</v>
      </c>
      <c r="E1274" s="3" t="s">
        <v>867</v>
      </c>
      <c r="F1274" s="3">
        <v>39.98</v>
      </c>
      <c r="G1274" s="3" t="s">
        <v>3391</v>
      </c>
      <c r="H1274" s="3"/>
      <c r="I1274" s="3" t="s">
        <v>3392</v>
      </c>
      <c r="J1274" s="3">
        <v>22</v>
      </c>
      <c r="K1274" s="3">
        <v>22</v>
      </c>
      <c r="L1274" s="3">
        <v>0</v>
      </c>
      <c r="M1274" s="3">
        <v>0</v>
      </c>
      <c r="N1274" s="3">
        <v>22</v>
      </c>
      <c r="O1274" s="3">
        <v>0.21</v>
      </c>
      <c r="P1274" s="3">
        <v>0</v>
      </c>
      <c r="Q1274" s="3">
        <v>0</v>
      </c>
      <c r="R1274" s="3">
        <v>0</v>
      </c>
    </row>
    <row r="1275" spans="1:18">
      <c r="A1275" s="3" t="s">
        <v>1509</v>
      </c>
      <c r="B1275" s="3" t="s">
        <v>1510</v>
      </c>
      <c r="C1275" s="3" t="s">
        <v>1510</v>
      </c>
      <c r="D1275" s="3" t="s">
        <v>1511</v>
      </c>
      <c r="E1275" s="3" t="s">
        <v>867</v>
      </c>
      <c r="F1275" s="3">
        <v>39.98</v>
      </c>
      <c r="G1275" s="3" t="s">
        <v>3391</v>
      </c>
      <c r="H1275" s="3"/>
      <c r="I1275" s="3" t="s">
        <v>3392</v>
      </c>
      <c r="J1275" s="3">
        <v>33</v>
      </c>
      <c r="K1275" s="3">
        <v>33</v>
      </c>
      <c r="L1275" s="3">
        <v>0</v>
      </c>
      <c r="M1275" s="3">
        <v>0</v>
      </c>
      <c r="N1275" s="3">
        <v>33</v>
      </c>
      <c r="O1275" s="3">
        <v>0.21</v>
      </c>
      <c r="P1275" s="3">
        <v>0</v>
      </c>
      <c r="Q1275" s="3">
        <v>0</v>
      </c>
      <c r="R1275" s="3">
        <v>0</v>
      </c>
    </row>
    <row r="1276" spans="1:18">
      <c r="A1276" s="3" t="s">
        <v>5159</v>
      </c>
      <c r="B1276" s="3" t="s">
        <v>4050</v>
      </c>
      <c r="C1276" s="3" t="s">
        <v>4050</v>
      </c>
      <c r="D1276" s="3" t="s">
        <v>4051</v>
      </c>
      <c r="E1276" s="3" t="s">
        <v>867</v>
      </c>
      <c r="F1276" s="3">
        <v>39.98</v>
      </c>
      <c r="G1276" s="3" t="s">
        <v>3391</v>
      </c>
      <c r="H1276" s="3"/>
      <c r="I1276" s="3" t="s">
        <v>3392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0.14</v>
      </c>
      <c r="P1276" s="3">
        <v>0</v>
      </c>
      <c r="Q1276" s="3">
        <v>0</v>
      </c>
      <c r="R1276" s="3">
        <v>0</v>
      </c>
    </row>
    <row r="1277" spans="1:18">
      <c r="A1277" s="3" t="s">
        <v>3144</v>
      </c>
      <c r="B1277" s="3" t="s">
        <v>3145</v>
      </c>
      <c r="C1277" s="3" t="s">
        <v>3145</v>
      </c>
      <c r="D1277" s="3" t="s">
        <v>3146</v>
      </c>
      <c r="E1277" s="3" t="s">
        <v>867</v>
      </c>
      <c r="F1277" s="3">
        <v>39.98</v>
      </c>
      <c r="G1277" s="3" t="s">
        <v>3391</v>
      </c>
      <c r="H1277" s="3"/>
      <c r="I1277" s="3" t="s">
        <v>3392</v>
      </c>
      <c r="J1277" s="3">
        <v>21</v>
      </c>
      <c r="K1277" s="3">
        <v>21</v>
      </c>
      <c r="L1277" s="3">
        <v>0</v>
      </c>
      <c r="M1277" s="3">
        <v>0</v>
      </c>
      <c r="N1277" s="3">
        <v>21</v>
      </c>
      <c r="O1277" s="3">
        <v>0.21</v>
      </c>
      <c r="P1277" s="3">
        <v>0</v>
      </c>
      <c r="Q1277" s="3">
        <v>0</v>
      </c>
      <c r="R1277" s="3">
        <v>0</v>
      </c>
    </row>
    <row r="1278" spans="1:18">
      <c r="A1278" s="3" t="s">
        <v>2114</v>
      </c>
      <c r="B1278" s="3" t="s">
        <v>2115</v>
      </c>
      <c r="C1278" s="3" t="s">
        <v>2115</v>
      </c>
      <c r="D1278" s="3" t="s">
        <v>2116</v>
      </c>
      <c r="E1278" s="3" t="s">
        <v>867</v>
      </c>
      <c r="F1278" s="3">
        <v>39.98</v>
      </c>
      <c r="G1278" s="3" t="s">
        <v>3391</v>
      </c>
      <c r="H1278" s="3"/>
      <c r="I1278" s="3" t="s">
        <v>3392</v>
      </c>
      <c r="J1278" s="3">
        <v>12</v>
      </c>
      <c r="K1278" s="3">
        <v>12</v>
      </c>
      <c r="L1278" s="3">
        <v>0</v>
      </c>
      <c r="M1278" s="3">
        <v>0</v>
      </c>
      <c r="N1278" s="3">
        <v>12</v>
      </c>
      <c r="O1278" s="3">
        <v>0.21</v>
      </c>
      <c r="P1278" s="3">
        <v>0</v>
      </c>
      <c r="Q1278" s="3">
        <v>0</v>
      </c>
      <c r="R1278" s="3">
        <v>0</v>
      </c>
    </row>
    <row r="1279" spans="1:18">
      <c r="A1279" s="3" t="s">
        <v>1681</v>
      </c>
      <c r="B1279" s="3" t="s">
        <v>1682</v>
      </c>
      <c r="C1279" s="3" t="s">
        <v>1682</v>
      </c>
      <c r="D1279" s="3" t="s">
        <v>1683</v>
      </c>
      <c r="E1279" s="3" t="s">
        <v>867</v>
      </c>
      <c r="F1279" s="3">
        <v>39.98</v>
      </c>
      <c r="G1279" s="3" t="s">
        <v>3391</v>
      </c>
      <c r="H1279" s="3"/>
      <c r="I1279" s="3" t="s">
        <v>3392</v>
      </c>
      <c r="J1279" s="3">
        <v>14</v>
      </c>
      <c r="K1279" s="3">
        <v>14</v>
      </c>
      <c r="L1279" s="3">
        <v>0</v>
      </c>
      <c r="M1279" s="3">
        <v>0</v>
      </c>
      <c r="N1279" s="3">
        <v>14</v>
      </c>
      <c r="O1279" s="3">
        <v>0.21</v>
      </c>
      <c r="P1279" s="3">
        <v>0</v>
      </c>
      <c r="Q1279" s="3">
        <v>0</v>
      </c>
      <c r="R1279" s="3">
        <v>0</v>
      </c>
    </row>
    <row r="1280" spans="1:18">
      <c r="A1280" s="3" t="s">
        <v>2171</v>
      </c>
      <c r="B1280" s="3" t="s">
        <v>2172</v>
      </c>
      <c r="C1280" s="3" t="s">
        <v>2172</v>
      </c>
      <c r="D1280" s="3" t="s">
        <v>2173</v>
      </c>
      <c r="E1280" s="3" t="s">
        <v>867</v>
      </c>
      <c r="F1280" s="3">
        <v>39.98</v>
      </c>
      <c r="G1280" s="3" t="s">
        <v>3391</v>
      </c>
      <c r="H1280" s="3"/>
      <c r="I1280" s="3" t="s">
        <v>3392</v>
      </c>
      <c r="J1280" s="3">
        <v>2</v>
      </c>
      <c r="K1280" s="3">
        <v>2</v>
      </c>
      <c r="L1280" s="3">
        <v>0</v>
      </c>
      <c r="M1280" s="3">
        <v>0</v>
      </c>
      <c r="N1280" s="3">
        <v>2</v>
      </c>
      <c r="O1280" s="3">
        <v>0.21</v>
      </c>
      <c r="P1280" s="3">
        <v>0</v>
      </c>
      <c r="Q1280" s="3">
        <v>0</v>
      </c>
      <c r="R1280" s="3">
        <v>0</v>
      </c>
    </row>
    <row r="1281" spans="1:18">
      <c r="A1281" s="3" t="s">
        <v>1350</v>
      </c>
      <c r="B1281" s="3" t="s">
        <v>1351</v>
      </c>
      <c r="C1281" s="3" t="s">
        <v>1351</v>
      </c>
      <c r="D1281" s="3" t="s">
        <v>1352</v>
      </c>
      <c r="E1281" s="3" t="s">
        <v>867</v>
      </c>
      <c r="F1281" s="3">
        <v>39.98</v>
      </c>
      <c r="G1281" s="3" t="s">
        <v>3391</v>
      </c>
      <c r="H1281" s="3"/>
      <c r="I1281" s="3" t="s">
        <v>3392</v>
      </c>
      <c r="J1281" s="3">
        <v>18</v>
      </c>
      <c r="K1281" s="3">
        <v>18</v>
      </c>
      <c r="L1281" s="3">
        <v>0</v>
      </c>
      <c r="M1281" s="3">
        <v>0</v>
      </c>
      <c r="N1281" s="3">
        <v>18</v>
      </c>
      <c r="O1281" s="3">
        <v>0.14</v>
      </c>
      <c r="P1281" s="3">
        <v>0</v>
      </c>
      <c r="Q1281" s="3">
        <v>0</v>
      </c>
      <c r="R1281" s="3">
        <v>0</v>
      </c>
    </row>
    <row r="1282" spans="1:18">
      <c r="A1282" s="3" t="s">
        <v>2409</v>
      </c>
      <c r="B1282" s="3" t="s">
        <v>2410</v>
      </c>
      <c r="C1282" s="3" t="s">
        <v>2410</v>
      </c>
      <c r="D1282" s="3" t="s">
        <v>2411</v>
      </c>
      <c r="E1282" s="3" t="s">
        <v>867</v>
      </c>
      <c r="F1282" s="3">
        <v>39.98</v>
      </c>
      <c r="G1282" s="3" t="s">
        <v>3391</v>
      </c>
      <c r="H1282" s="3"/>
      <c r="I1282" s="3" t="s">
        <v>3392</v>
      </c>
      <c r="J1282" s="3">
        <v>3</v>
      </c>
      <c r="K1282" s="3">
        <v>3</v>
      </c>
      <c r="L1282" s="3">
        <v>0</v>
      </c>
      <c r="M1282" s="3">
        <v>0</v>
      </c>
      <c r="N1282" s="3">
        <v>3</v>
      </c>
      <c r="O1282" s="3">
        <v>0.14</v>
      </c>
      <c r="P1282" s="3">
        <v>0</v>
      </c>
      <c r="Q1282" s="3">
        <v>0</v>
      </c>
      <c r="R1282" s="3">
        <v>0</v>
      </c>
    </row>
    <row r="1283" spans="1:18">
      <c r="A1283" s="3" t="s">
        <v>520</v>
      </c>
      <c r="B1283" s="3" t="s">
        <v>521</v>
      </c>
      <c r="C1283" s="3" t="s">
        <v>521</v>
      </c>
      <c r="D1283" s="3" t="s">
        <v>522</v>
      </c>
      <c r="E1283" s="3" t="s">
        <v>867</v>
      </c>
      <c r="F1283" s="3">
        <v>39.98</v>
      </c>
      <c r="G1283" s="3" t="s">
        <v>3391</v>
      </c>
      <c r="H1283" s="3"/>
      <c r="I1283" s="3" t="s">
        <v>3392</v>
      </c>
      <c r="J1283" s="3">
        <v>20</v>
      </c>
      <c r="K1283" s="3">
        <v>18</v>
      </c>
      <c r="L1283" s="3">
        <v>0</v>
      </c>
      <c r="M1283" s="3">
        <v>2</v>
      </c>
      <c r="N1283" s="3">
        <v>20</v>
      </c>
      <c r="O1283" s="3">
        <v>0.21</v>
      </c>
      <c r="P1283" s="3">
        <v>0</v>
      </c>
      <c r="Q1283" s="3">
        <v>0</v>
      </c>
      <c r="R1283" s="3">
        <v>0</v>
      </c>
    </row>
    <row r="1284" spans="1:18">
      <c r="A1284" s="3" t="s">
        <v>2763</v>
      </c>
      <c r="B1284" s="3" t="s">
        <v>2764</v>
      </c>
      <c r="C1284" s="3" t="s">
        <v>2764</v>
      </c>
      <c r="D1284" s="3" t="s">
        <v>2765</v>
      </c>
      <c r="E1284" s="3" t="s">
        <v>867</v>
      </c>
      <c r="F1284" s="3">
        <v>39.98</v>
      </c>
      <c r="G1284" s="3" t="s">
        <v>3391</v>
      </c>
      <c r="H1284" s="3"/>
      <c r="I1284" s="3" t="s">
        <v>3392</v>
      </c>
      <c r="J1284" s="3">
        <v>21</v>
      </c>
      <c r="K1284" s="3">
        <v>21</v>
      </c>
      <c r="L1284" s="3">
        <v>0</v>
      </c>
      <c r="M1284" s="3">
        <v>0</v>
      </c>
      <c r="N1284" s="3">
        <v>21</v>
      </c>
      <c r="O1284" s="3">
        <v>0.21</v>
      </c>
      <c r="P1284" s="3">
        <v>0</v>
      </c>
      <c r="Q1284" s="3">
        <v>0</v>
      </c>
      <c r="R1284" s="3">
        <v>0</v>
      </c>
    </row>
    <row r="1285" spans="1:18">
      <c r="A1285" s="3" t="s">
        <v>5160</v>
      </c>
      <c r="B1285" s="3" t="s">
        <v>4074</v>
      </c>
      <c r="C1285" s="3" t="s">
        <v>4074</v>
      </c>
      <c r="D1285" s="3" t="s">
        <v>4075</v>
      </c>
      <c r="E1285" s="3" t="s">
        <v>867</v>
      </c>
      <c r="F1285" s="3">
        <v>39.98</v>
      </c>
      <c r="G1285" s="3" t="s">
        <v>3391</v>
      </c>
      <c r="H1285" s="3"/>
      <c r="I1285" s="3" t="s">
        <v>3392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0.14</v>
      </c>
      <c r="P1285" s="3">
        <v>0</v>
      </c>
      <c r="Q1285" s="3">
        <v>0</v>
      </c>
      <c r="R1285" s="3">
        <v>0</v>
      </c>
    </row>
    <row r="1286" spans="1:18">
      <c r="A1286" s="3" t="s">
        <v>1882</v>
      </c>
      <c r="B1286" s="3" t="s">
        <v>1883</v>
      </c>
      <c r="C1286" s="3" t="s">
        <v>1883</v>
      </c>
      <c r="D1286" s="3" t="s">
        <v>1884</v>
      </c>
      <c r="E1286" s="3" t="s">
        <v>867</v>
      </c>
      <c r="F1286" s="3">
        <v>39.98</v>
      </c>
      <c r="G1286" s="3" t="s">
        <v>3391</v>
      </c>
      <c r="H1286" s="3"/>
      <c r="I1286" s="3" t="s">
        <v>3392</v>
      </c>
      <c r="J1286" s="3">
        <v>19</v>
      </c>
      <c r="K1286" s="3">
        <v>19</v>
      </c>
      <c r="L1286" s="3">
        <v>0</v>
      </c>
      <c r="M1286" s="3">
        <v>0</v>
      </c>
      <c r="N1286" s="3">
        <v>19</v>
      </c>
      <c r="O1286" s="3">
        <v>0.14</v>
      </c>
      <c r="P1286" s="3">
        <v>0</v>
      </c>
      <c r="Q1286" s="3">
        <v>0</v>
      </c>
      <c r="R1286" s="3">
        <v>0</v>
      </c>
    </row>
    <row r="1287" spans="1:18">
      <c r="A1287" s="3" t="s">
        <v>2180</v>
      </c>
      <c r="B1287" s="3" t="s">
        <v>2181</v>
      </c>
      <c r="C1287" s="3" t="s">
        <v>2181</v>
      </c>
      <c r="D1287" s="3" t="s">
        <v>2182</v>
      </c>
      <c r="E1287" s="3" t="s">
        <v>867</v>
      </c>
      <c r="F1287" s="3">
        <v>39.98</v>
      </c>
      <c r="G1287" s="3" t="s">
        <v>3391</v>
      </c>
      <c r="H1287" s="3"/>
      <c r="I1287" s="3" t="s">
        <v>3392</v>
      </c>
      <c r="J1287" s="3">
        <v>7</v>
      </c>
      <c r="K1287" s="3">
        <v>7</v>
      </c>
      <c r="L1287" s="3">
        <v>0</v>
      </c>
      <c r="M1287" s="3">
        <v>0</v>
      </c>
      <c r="N1287" s="3">
        <v>7</v>
      </c>
      <c r="O1287" s="3">
        <v>0.21</v>
      </c>
      <c r="P1287" s="3">
        <v>0</v>
      </c>
      <c r="Q1287" s="3">
        <v>0</v>
      </c>
      <c r="R1287" s="3">
        <v>0</v>
      </c>
    </row>
    <row r="1288" spans="1:18">
      <c r="A1288" s="3" t="s">
        <v>2685</v>
      </c>
      <c r="B1288" s="3" t="s">
        <v>2686</v>
      </c>
      <c r="C1288" s="3" t="s">
        <v>2686</v>
      </c>
      <c r="D1288" s="3" t="s">
        <v>2687</v>
      </c>
      <c r="E1288" s="3" t="s">
        <v>867</v>
      </c>
      <c r="F1288" s="3">
        <v>39.98</v>
      </c>
      <c r="G1288" s="3" t="s">
        <v>3391</v>
      </c>
      <c r="H1288" s="3"/>
      <c r="I1288" s="3" t="s">
        <v>3392</v>
      </c>
      <c r="J1288" s="3">
        <v>32</v>
      </c>
      <c r="K1288" s="3">
        <v>32</v>
      </c>
      <c r="L1288" s="3">
        <v>0</v>
      </c>
      <c r="M1288" s="3">
        <v>0</v>
      </c>
      <c r="N1288" s="3">
        <v>32</v>
      </c>
      <c r="O1288" s="3">
        <v>0.21</v>
      </c>
      <c r="P1288" s="3">
        <v>0</v>
      </c>
      <c r="Q1288" s="3">
        <v>0</v>
      </c>
      <c r="R1288" s="3">
        <v>0</v>
      </c>
    </row>
    <row r="1289" spans="1:18">
      <c r="A1289" s="3" t="s">
        <v>3176</v>
      </c>
      <c r="B1289" s="3" t="s">
        <v>3177</v>
      </c>
      <c r="C1289" s="3" t="s">
        <v>3177</v>
      </c>
      <c r="D1289" s="3" t="s">
        <v>3178</v>
      </c>
      <c r="E1289" s="3" t="s">
        <v>867</v>
      </c>
      <c r="F1289" s="3">
        <v>39.98</v>
      </c>
      <c r="G1289" s="3" t="s">
        <v>3391</v>
      </c>
      <c r="H1289" s="3"/>
      <c r="I1289" s="3" t="s">
        <v>3392</v>
      </c>
      <c r="J1289" s="3">
        <v>10</v>
      </c>
      <c r="K1289" s="3">
        <v>10</v>
      </c>
      <c r="L1289" s="3">
        <v>0</v>
      </c>
      <c r="M1289" s="3">
        <v>0</v>
      </c>
      <c r="N1289" s="3">
        <v>10</v>
      </c>
      <c r="O1289" s="3">
        <v>0.14</v>
      </c>
      <c r="P1289" s="3">
        <v>0</v>
      </c>
      <c r="Q1289" s="3">
        <v>0</v>
      </c>
      <c r="R1289" s="3">
        <v>0</v>
      </c>
    </row>
    <row r="1290" spans="1:18">
      <c r="A1290" s="3" t="s">
        <v>494</v>
      </c>
      <c r="B1290" s="3" t="s">
        <v>495</v>
      </c>
      <c r="C1290" s="3" t="s">
        <v>495</v>
      </c>
      <c r="D1290" s="3" t="s">
        <v>496</v>
      </c>
      <c r="E1290" s="3" t="s">
        <v>867</v>
      </c>
      <c r="F1290" s="3">
        <v>39.98</v>
      </c>
      <c r="G1290" s="3" t="s">
        <v>3391</v>
      </c>
      <c r="H1290" s="3"/>
      <c r="I1290" s="3" t="s">
        <v>3392</v>
      </c>
      <c r="J1290" s="3">
        <v>12</v>
      </c>
      <c r="K1290" s="3">
        <v>11</v>
      </c>
      <c r="L1290" s="3">
        <v>0</v>
      </c>
      <c r="M1290" s="3">
        <v>1</v>
      </c>
      <c r="N1290" s="3">
        <v>12</v>
      </c>
      <c r="O1290" s="3">
        <v>0.21</v>
      </c>
      <c r="P1290" s="3">
        <v>0</v>
      </c>
      <c r="Q1290" s="3">
        <v>0</v>
      </c>
      <c r="R1290" s="3">
        <v>0</v>
      </c>
    </row>
    <row r="1291" spans="1:18">
      <c r="A1291" s="3" t="s">
        <v>1752</v>
      </c>
      <c r="B1291" s="3" t="s">
        <v>1753</v>
      </c>
      <c r="C1291" s="3" t="s">
        <v>1753</v>
      </c>
      <c r="D1291" s="3" t="s">
        <v>1754</v>
      </c>
      <c r="E1291" s="3" t="s">
        <v>867</v>
      </c>
      <c r="F1291" s="3">
        <v>22.99</v>
      </c>
      <c r="G1291" s="3" t="s">
        <v>3391</v>
      </c>
      <c r="H1291" s="3"/>
      <c r="I1291" s="3" t="s">
        <v>3392</v>
      </c>
      <c r="J1291" s="3">
        <v>10</v>
      </c>
      <c r="K1291" s="3">
        <v>10</v>
      </c>
      <c r="L1291" s="3">
        <v>0</v>
      </c>
      <c r="M1291" s="3">
        <v>0</v>
      </c>
      <c r="N1291" s="3">
        <v>10</v>
      </c>
      <c r="O1291" s="3">
        <v>0.15</v>
      </c>
      <c r="P1291" s="3">
        <v>0</v>
      </c>
      <c r="Q1291" s="3">
        <v>0</v>
      </c>
      <c r="R1291" s="3">
        <v>0</v>
      </c>
    </row>
    <row r="1292" spans="1:18">
      <c r="A1292" s="3" t="s">
        <v>1780</v>
      </c>
      <c r="B1292" s="3" t="s">
        <v>1781</v>
      </c>
      <c r="C1292" s="3" t="s">
        <v>1781</v>
      </c>
      <c r="D1292" s="3" t="s">
        <v>1782</v>
      </c>
      <c r="E1292" s="3" t="s">
        <v>867</v>
      </c>
      <c r="F1292" s="3">
        <v>22.99</v>
      </c>
      <c r="G1292" s="3" t="s">
        <v>3391</v>
      </c>
      <c r="H1292" s="3"/>
      <c r="I1292" s="3" t="s">
        <v>3392</v>
      </c>
      <c r="J1292" s="3">
        <v>7</v>
      </c>
      <c r="K1292" s="3">
        <v>7</v>
      </c>
      <c r="L1292" s="3">
        <v>0</v>
      </c>
      <c r="M1292" s="3">
        <v>0</v>
      </c>
      <c r="N1292" s="3">
        <v>7</v>
      </c>
      <c r="O1292" s="3">
        <v>0.15</v>
      </c>
      <c r="P1292" s="3">
        <v>0</v>
      </c>
      <c r="Q1292" s="3">
        <v>0</v>
      </c>
      <c r="R1292" s="3">
        <v>0</v>
      </c>
    </row>
    <row r="1293" spans="1:18">
      <c r="A1293" s="3" t="s">
        <v>1463</v>
      </c>
      <c r="B1293" s="3" t="s">
        <v>1464</v>
      </c>
      <c r="C1293" s="3" t="s">
        <v>1464</v>
      </c>
      <c r="D1293" s="3" t="s">
        <v>1465</v>
      </c>
      <c r="E1293" s="3" t="s">
        <v>867</v>
      </c>
      <c r="F1293" s="3">
        <v>22.99</v>
      </c>
      <c r="G1293" s="3" t="s">
        <v>3391</v>
      </c>
      <c r="H1293" s="3"/>
      <c r="I1293" s="3" t="s">
        <v>3392</v>
      </c>
      <c r="J1293" s="3">
        <v>4</v>
      </c>
      <c r="K1293" s="3">
        <v>4</v>
      </c>
      <c r="L1293" s="3">
        <v>0</v>
      </c>
      <c r="M1293" s="3">
        <v>0</v>
      </c>
      <c r="N1293" s="3">
        <v>4</v>
      </c>
      <c r="O1293" s="3">
        <v>0.15</v>
      </c>
      <c r="P1293" s="3">
        <v>0</v>
      </c>
      <c r="Q1293" s="3">
        <v>0</v>
      </c>
      <c r="R1293" s="3">
        <v>0</v>
      </c>
    </row>
    <row r="1294" spans="1:18">
      <c r="A1294" s="3" t="s">
        <v>500</v>
      </c>
      <c r="B1294" s="3" t="s">
        <v>501</v>
      </c>
      <c r="C1294" s="3" t="s">
        <v>501</v>
      </c>
      <c r="D1294" s="3" t="s">
        <v>502</v>
      </c>
      <c r="E1294" s="3" t="s">
        <v>867</v>
      </c>
      <c r="F1294" s="3">
        <v>22.99</v>
      </c>
      <c r="G1294" s="3" t="s">
        <v>3391</v>
      </c>
      <c r="H1294" s="3"/>
      <c r="I1294" s="3" t="s">
        <v>3392</v>
      </c>
      <c r="J1294" s="3">
        <v>3</v>
      </c>
      <c r="K1294" s="3">
        <v>2</v>
      </c>
      <c r="L1294" s="3">
        <v>0</v>
      </c>
      <c r="M1294" s="3">
        <v>1</v>
      </c>
      <c r="N1294" s="3">
        <v>3</v>
      </c>
      <c r="O1294" s="3">
        <v>0.15</v>
      </c>
      <c r="P1294" s="3">
        <v>0</v>
      </c>
      <c r="Q1294" s="3">
        <v>0</v>
      </c>
      <c r="R1294" s="3">
        <v>0</v>
      </c>
    </row>
    <row r="1295" spans="1:18">
      <c r="A1295" s="3" t="s">
        <v>3263</v>
      </c>
      <c r="B1295" s="3" t="s">
        <v>3264</v>
      </c>
      <c r="C1295" s="3" t="s">
        <v>3264</v>
      </c>
      <c r="D1295" s="3" t="s">
        <v>3265</v>
      </c>
      <c r="E1295" s="3" t="s">
        <v>867</v>
      </c>
      <c r="F1295" s="3">
        <v>22.99</v>
      </c>
      <c r="G1295" s="3" t="s">
        <v>3391</v>
      </c>
      <c r="H1295" s="3"/>
      <c r="I1295" s="3" t="s">
        <v>3392</v>
      </c>
      <c r="J1295" s="3">
        <v>9</v>
      </c>
      <c r="K1295" s="3">
        <v>9</v>
      </c>
      <c r="L1295" s="3">
        <v>0</v>
      </c>
      <c r="M1295" s="3">
        <v>0</v>
      </c>
      <c r="N1295" s="3">
        <v>9</v>
      </c>
      <c r="O1295" s="3">
        <v>0.15</v>
      </c>
      <c r="P1295" s="3">
        <v>0</v>
      </c>
      <c r="Q1295" s="3">
        <v>0</v>
      </c>
      <c r="R1295" s="3">
        <v>0</v>
      </c>
    </row>
    <row r="1296" spans="1:18">
      <c r="A1296" s="3" t="s">
        <v>2822</v>
      </c>
      <c r="B1296" s="3" t="s">
        <v>2823</v>
      </c>
      <c r="C1296" s="3" t="s">
        <v>2823</v>
      </c>
      <c r="D1296" s="3" t="s">
        <v>2824</v>
      </c>
      <c r="E1296" s="3" t="s">
        <v>867</v>
      </c>
      <c r="F1296" s="3">
        <v>22.99</v>
      </c>
      <c r="G1296" s="3" t="s">
        <v>3391</v>
      </c>
      <c r="H1296" s="3"/>
      <c r="I1296" s="3" t="s">
        <v>3392</v>
      </c>
      <c r="J1296" s="3">
        <v>1</v>
      </c>
      <c r="K1296" s="3">
        <v>1</v>
      </c>
      <c r="L1296" s="3">
        <v>0</v>
      </c>
      <c r="M1296" s="3">
        <v>0</v>
      </c>
      <c r="N1296" s="3">
        <v>1</v>
      </c>
      <c r="O1296" s="3">
        <v>0.15</v>
      </c>
      <c r="P1296" s="3">
        <v>0</v>
      </c>
      <c r="Q1296" s="3">
        <v>0</v>
      </c>
      <c r="R1296" s="3">
        <v>0</v>
      </c>
    </row>
    <row r="1297" spans="1:18">
      <c r="A1297" s="3" t="s">
        <v>2138</v>
      </c>
      <c r="B1297" s="3" t="s">
        <v>2139</v>
      </c>
      <c r="C1297" s="3" t="s">
        <v>2139</v>
      </c>
      <c r="D1297" s="3" t="s">
        <v>2140</v>
      </c>
      <c r="E1297" s="3" t="s">
        <v>867</v>
      </c>
      <c r="F1297" s="3">
        <v>22.99</v>
      </c>
      <c r="G1297" s="3" t="s">
        <v>3391</v>
      </c>
      <c r="H1297" s="3"/>
      <c r="I1297" s="3" t="s">
        <v>3392</v>
      </c>
      <c r="J1297" s="3">
        <v>1</v>
      </c>
      <c r="K1297" s="3">
        <v>1</v>
      </c>
      <c r="L1297" s="3">
        <v>0</v>
      </c>
      <c r="M1297" s="3">
        <v>0</v>
      </c>
      <c r="N1297" s="3">
        <v>1</v>
      </c>
      <c r="O1297" s="3">
        <v>0.15</v>
      </c>
      <c r="P1297" s="3">
        <v>0</v>
      </c>
      <c r="Q1297" s="3">
        <v>0</v>
      </c>
      <c r="R1297" s="3">
        <v>0</v>
      </c>
    </row>
    <row r="1298" spans="1:18">
      <c r="A1298" s="3" t="s">
        <v>2895</v>
      </c>
      <c r="B1298" s="3" t="s">
        <v>2896</v>
      </c>
      <c r="C1298" s="3" t="s">
        <v>2896</v>
      </c>
      <c r="D1298" s="3" t="s">
        <v>2897</v>
      </c>
      <c r="E1298" s="3" t="s">
        <v>867</v>
      </c>
      <c r="F1298" s="3">
        <v>22.99</v>
      </c>
      <c r="G1298" s="3" t="s">
        <v>3391</v>
      </c>
      <c r="H1298" s="3"/>
      <c r="I1298" s="3" t="s">
        <v>3392</v>
      </c>
      <c r="J1298" s="3">
        <v>7</v>
      </c>
      <c r="K1298" s="3">
        <v>7</v>
      </c>
      <c r="L1298" s="3">
        <v>0</v>
      </c>
      <c r="M1298" s="3">
        <v>0</v>
      </c>
      <c r="N1298" s="3">
        <v>7</v>
      </c>
      <c r="O1298" s="3">
        <v>0.15</v>
      </c>
      <c r="P1298" s="3">
        <v>0</v>
      </c>
      <c r="Q1298" s="3">
        <v>0</v>
      </c>
      <c r="R1298" s="3">
        <v>0</v>
      </c>
    </row>
    <row r="1299" spans="1:18">
      <c r="A1299" s="3" t="s">
        <v>2489</v>
      </c>
      <c r="B1299" s="3" t="s">
        <v>2490</v>
      </c>
      <c r="C1299" s="3" t="s">
        <v>2490</v>
      </c>
      <c r="D1299" s="3" t="s">
        <v>2491</v>
      </c>
      <c r="E1299" s="3" t="s">
        <v>867</v>
      </c>
      <c r="F1299" s="3">
        <v>22.99</v>
      </c>
      <c r="G1299" s="3" t="s">
        <v>3391</v>
      </c>
      <c r="H1299" s="3"/>
      <c r="I1299" s="3" t="s">
        <v>3392</v>
      </c>
      <c r="J1299" s="3">
        <v>1</v>
      </c>
      <c r="K1299" s="3">
        <v>1</v>
      </c>
      <c r="L1299" s="3">
        <v>0</v>
      </c>
      <c r="M1299" s="3">
        <v>0</v>
      </c>
      <c r="N1299" s="3">
        <v>1</v>
      </c>
      <c r="O1299" s="3">
        <v>0.15</v>
      </c>
      <c r="P1299" s="3">
        <v>0</v>
      </c>
      <c r="Q1299" s="3">
        <v>0</v>
      </c>
      <c r="R1299" s="3">
        <v>0</v>
      </c>
    </row>
    <row r="1300" spans="1:18">
      <c r="A1300" s="3" t="s">
        <v>3077</v>
      </c>
      <c r="B1300" s="3" t="s">
        <v>3078</v>
      </c>
      <c r="C1300" s="3" t="s">
        <v>3078</v>
      </c>
      <c r="D1300" s="3" t="s">
        <v>3079</v>
      </c>
      <c r="E1300" s="3" t="s">
        <v>867</v>
      </c>
      <c r="F1300" s="3">
        <v>22.99</v>
      </c>
      <c r="G1300" s="3" t="s">
        <v>3391</v>
      </c>
      <c r="H1300" s="3"/>
      <c r="I1300" s="3" t="s">
        <v>3392</v>
      </c>
      <c r="J1300" s="3">
        <v>3</v>
      </c>
      <c r="K1300" s="3">
        <v>3</v>
      </c>
      <c r="L1300" s="3">
        <v>0</v>
      </c>
      <c r="M1300" s="3">
        <v>0</v>
      </c>
      <c r="N1300" s="3">
        <v>3</v>
      </c>
      <c r="O1300" s="3">
        <v>0.15</v>
      </c>
      <c r="P1300" s="3">
        <v>0</v>
      </c>
      <c r="Q1300" s="3">
        <v>0</v>
      </c>
      <c r="R1300" s="3">
        <v>0</v>
      </c>
    </row>
    <row r="1301" spans="1:18">
      <c r="A1301" s="3" t="s">
        <v>1406</v>
      </c>
      <c r="B1301" s="3" t="s">
        <v>1407</v>
      </c>
      <c r="C1301" s="3" t="s">
        <v>1407</v>
      </c>
      <c r="D1301" s="3" t="s">
        <v>1408</v>
      </c>
      <c r="E1301" s="3" t="s">
        <v>867</v>
      </c>
      <c r="F1301" s="3">
        <v>22.99</v>
      </c>
      <c r="G1301" s="3" t="s">
        <v>3391</v>
      </c>
      <c r="H1301" s="3"/>
      <c r="I1301" s="3" t="s">
        <v>3392</v>
      </c>
      <c r="J1301" s="3">
        <v>19</v>
      </c>
      <c r="K1301" s="3">
        <v>19</v>
      </c>
      <c r="L1301" s="3">
        <v>0</v>
      </c>
      <c r="M1301" s="3">
        <v>0</v>
      </c>
      <c r="N1301" s="3">
        <v>19</v>
      </c>
      <c r="O1301" s="3">
        <v>0.15</v>
      </c>
      <c r="P1301" s="3">
        <v>0</v>
      </c>
      <c r="Q1301" s="3">
        <v>0</v>
      </c>
      <c r="R1301" s="3">
        <v>0</v>
      </c>
    </row>
    <row r="1302" spans="1:18">
      <c r="A1302" s="3" t="s">
        <v>497</v>
      </c>
      <c r="B1302" s="3" t="s">
        <v>498</v>
      </c>
      <c r="C1302" s="3" t="s">
        <v>498</v>
      </c>
      <c r="D1302" s="3" t="s">
        <v>499</v>
      </c>
      <c r="E1302" s="3" t="s">
        <v>867</v>
      </c>
      <c r="F1302" s="3">
        <v>22.99</v>
      </c>
      <c r="G1302" s="3" t="s">
        <v>3391</v>
      </c>
      <c r="H1302" s="3"/>
      <c r="I1302" s="3" t="s">
        <v>3392</v>
      </c>
      <c r="J1302" s="3">
        <v>7</v>
      </c>
      <c r="K1302" s="3">
        <v>5</v>
      </c>
      <c r="L1302" s="3">
        <v>0</v>
      </c>
      <c r="M1302" s="3">
        <v>2</v>
      </c>
      <c r="N1302" s="3">
        <v>7</v>
      </c>
      <c r="O1302" s="3">
        <v>0.15</v>
      </c>
      <c r="P1302" s="3">
        <v>0</v>
      </c>
      <c r="Q1302" s="3">
        <v>0</v>
      </c>
      <c r="R1302" s="3">
        <v>0</v>
      </c>
    </row>
    <row r="1303" spans="1:18">
      <c r="A1303" s="3" t="s">
        <v>3266</v>
      </c>
      <c r="B1303" s="3" t="s">
        <v>3267</v>
      </c>
      <c r="C1303" s="3" t="s">
        <v>3267</v>
      </c>
      <c r="D1303" s="3" t="s">
        <v>3268</v>
      </c>
      <c r="E1303" s="3" t="s">
        <v>867</v>
      </c>
      <c r="F1303" s="3">
        <v>22.99</v>
      </c>
      <c r="G1303" s="3" t="s">
        <v>3391</v>
      </c>
      <c r="H1303" s="3"/>
      <c r="I1303" s="3" t="s">
        <v>3392</v>
      </c>
      <c r="J1303" s="3">
        <v>5</v>
      </c>
      <c r="K1303" s="3">
        <v>5</v>
      </c>
      <c r="L1303" s="3">
        <v>0</v>
      </c>
      <c r="M1303" s="3">
        <v>0</v>
      </c>
      <c r="N1303" s="3">
        <v>5</v>
      </c>
      <c r="O1303" s="3">
        <v>0.15</v>
      </c>
      <c r="P1303" s="3">
        <v>0</v>
      </c>
      <c r="Q1303" s="3">
        <v>0</v>
      </c>
      <c r="R1303" s="3">
        <v>0</v>
      </c>
    </row>
    <row r="1304" spans="1:18">
      <c r="A1304" s="3" t="s">
        <v>509</v>
      </c>
      <c r="B1304" s="3" t="s">
        <v>510</v>
      </c>
      <c r="C1304" s="3" t="s">
        <v>510</v>
      </c>
      <c r="D1304" s="3" t="s">
        <v>511</v>
      </c>
      <c r="E1304" s="3" t="s">
        <v>867</v>
      </c>
      <c r="F1304" s="3">
        <v>22.99</v>
      </c>
      <c r="G1304" s="3" t="s">
        <v>3391</v>
      </c>
      <c r="H1304" s="3"/>
      <c r="I1304" s="3" t="s">
        <v>3392</v>
      </c>
      <c r="J1304" s="3">
        <v>1</v>
      </c>
      <c r="K1304" s="3">
        <v>0</v>
      </c>
      <c r="L1304" s="3">
        <v>0</v>
      </c>
      <c r="M1304" s="3">
        <v>1</v>
      </c>
      <c r="N1304" s="3">
        <v>1</v>
      </c>
      <c r="O1304" s="3">
        <v>0.15</v>
      </c>
      <c r="P1304" s="3">
        <v>0</v>
      </c>
      <c r="Q1304" s="3">
        <v>0</v>
      </c>
      <c r="R1304" s="3">
        <v>0</v>
      </c>
    </row>
    <row r="1305" spans="1:18">
      <c r="A1305" s="3" t="s">
        <v>1333</v>
      </c>
      <c r="B1305" s="3" t="s">
        <v>1334</v>
      </c>
      <c r="C1305" s="3" t="s">
        <v>1334</v>
      </c>
      <c r="D1305" s="3" t="s">
        <v>1335</v>
      </c>
      <c r="E1305" s="3" t="s">
        <v>867</v>
      </c>
      <c r="F1305" s="3">
        <v>22.99</v>
      </c>
      <c r="G1305" s="3" t="s">
        <v>3391</v>
      </c>
      <c r="H1305" s="3"/>
      <c r="I1305" s="3" t="s">
        <v>3392</v>
      </c>
      <c r="J1305" s="3">
        <v>7</v>
      </c>
      <c r="K1305" s="3">
        <v>7</v>
      </c>
      <c r="L1305" s="3">
        <v>0</v>
      </c>
      <c r="M1305" s="3">
        <v>0</v>
      </c>
      <c r="N1305" s="3">
        <v>7</v>
      </c>
      <c r="O1305" s="3">
        <v>0.15</v>
      </c>
      <c r="P1305" s="3">
        <v>0</v>
      </c>
      <c r="Q1305" s="3">
        <v>0</v>
      </c>
      <c r="R1305" s="3">
        <v>0</v>
      </c>
    </row>
    <row r="1306" spans="1:18">
      <c r="A1306" s="3" t="s">
        <v>5161</v>
      </c>
      <c r="B1306" s="3" t="s">
        <v>4123</v>
      </c>
      <c r="C1306" s="3" t="s">
        <v>4123</v>
      </c>
      <c r="D1306" s="3" t="s">
        <v>4124</v>
      </c>
      <c r="E1306" s="3" t="s">
        <v>3293</v>
      </c>
      <c r="F1306" s="3"/>
      <c r="G1306" s="3"/>
      <c r="H1306" s="3"/>
      <c r="I1306" s="3"/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0.15</v>
      </c>
      <c r="P1306" s="3">
        <v>0</v>
      </c>
      <c r="Q1306" s="3">
        <v>0</v>
      </c>
      <c r="R1306" s="3">
        <v>0</v>
      </c>
    </row>
    <row r="1307" spans="1:18">
      <c r="A1307" s="3" t="s">
        <v>491</v>
      </c>
      <c r="B1307" s="3" t="s">
        <v>492</v>
      </c>
      <c r="C1307" s="3" t="s">
        <v>492</v>
      </c>
      <c r="D1307" s="3" t="s">
        <v>493</v>
      </c>
      <c r="E1307" s="3" t="s">
        <v>867</v>
      </c>
      <c r="F1307" s="3">
        <v>22.99</v>
      </c>
      <c r="G1307" s="3" t="s">
        <v>3391</v>
      </c>
      <c r="H1307" s="3"/>
      <c r="I1307" s="3" t="s">
        <v>3392</v>
      </c>
      <c r="J1307" s="3">
        <v>3</v>
      </c>
      <c r="K1307" s="3">
        <v>2</v>
      </c>
      <c r="L1307" s="3">
        <v>0</v>
      </c>
      <c r="M1307" s="3">
        <v>1</v>
      </c>
      <c r="N1307" s="3">
        <v>3</v>
      </c>
      <c r="O1307" s="3">
        <v>0.15</v>
      </c>
      <c r="P1307" s="3">
        <v>0</v>
      </c>
      <c r="Q1307" s="3">
        <v>0</v>
      </c>
      <c r="R1307" s="3">
        <v>0</v>
      </c>
    </row>
    <row r="1308" spans="1:18">
      <c r="A1308" s="3" t="s">
        <v>506</v>
      </c>
      <c r="B1308" s="3" t="s">
        <v>507</v>
      </c>
      <c r="C1308" s="3" t="s">
        <v>507</v>
      </c>
      <c r="D1308" s="3" t="s">
        <v>508</v>
      </c>
      <c r="E1308" s="3" t="s">
        <v>867</v>
      </c>
      <c r="F1308" s="3">
        <v>22.99</v>
      </c>
      <c r="G1308" s="3" t="s">
        <v>3391</v>
      </c>
      <c r="H1308" s="3"/>
      <c r="I1308" s="3" t="s">
        <v>3392</v>
      </c>
      <c r="J1308" s="3">
        <v>4</v>
      </c>
      <c r="K1308" s="3">
        <v>2</v>
      </c>
      <c r="L1308" s="3">
        <v>0</v>
      </c>
      <c r="M1308" s="3">
        <v>2</v>
      </c>
      <c r="N1308" s="3">
        <v>4</v>
      </c>
      <c r="O1308" s="3">
        <v>0.15</v>
      </c>
      <c r="P1308" s="3">
        <v>0</v>
      </c>
      <c r="Q1308" s="3">
        <v>0</v>
      </c>
      <c r="R1308" s="3">
        <v>0</v>
      </c>
    </row>
    <row r="1309" spans="1:18">
      <c r="A1309" s="3" t="s">
        <v>1835</v>
      </c>
      <c r="B1309" s="3" t="s">
        <v>1836</v>
      </c>
      <c r="C1309" s="3" t="s">
        <v>1836</v>
      </c>
      <c r="D1309" s="3" t="s">
        <v>1837</v>
      </c>
      <c r="E1309" s="3" t="s">
        <v>867</v>
      </c>
      <c r="F1309" s="3">
        <v>22.99</v>
      </c>
      <c r="G1309" s="3" t="s">
        <v>3391</v>
      </c>
      <c r="H1309" s="3"/>
      <c r="I1309" s="3" t="s">
        <v>3392</v>
      </c>
      <c r="J1309" s="3">
        <v>1</v>
      </c>
      <c r="K1309" s="3">
        <v>1</v>
      </c>
      <c r="L1309" s="3">
        <v>0</v>
      </c>
      <c r="M1309" s="3">
        <v>0</v>
      </c>
      <c r="N1309" s="3">
        <v>1</v>
      </c>
      <c r="O1309" s="3">
        <v>0.15</v>
      </c>
      <c r="P1309" s="3">
        <v>0</v>
      </c>
      <c r="Q1309" s="3">
        <v>0</v>
      </c>
      <c r="R1309" s="3">
        <v>0</v>
      </c>
    </row>
    <row r="1310" spans="1:18">
      <c r="A1310" s="3" t="s">
        <v>888</v>
      </c>
      <c r="B1310" s="3" t="s">
        <v>889</v>
      </c>
      <c r="C1310" s="3" t="s">
        <v>889</v>
      </c>
      <c r="D1310" s="3"/>
      <c r="E1310" s="3" t="s">
        <v>3293</v>
      </c>
      <c r="F1310" s="3"/>
      <c r="G1310" s="3"/>
      <c r="H1310" s="3"/>
      <c r="I1310" s="3"/>
      <c r="J1310" s="3">
        <v>1</v>
      </c>
      <c r="K1310" s="3">
        <v>1</v>
      </c>
      <c r="L1310" s="3">
        <v>0</v>
      </c>
      <c r="M1310" s="3">
        <v>0</v>
      </c>
      <c r="N1310" s="3">
        <v>1</v>
      </c>
      <c r="O1310" s="3"/>
      <c r="P1310" s="3">
        <v>0</v>
      </c>
      <c r="Q1310" s="3">
        <v>0</v>
      </c>
      <c r="R1310" s="3">
        <v>0</v>
      </c>
    </row>
    <row r="1311" spans="1:18">
      <c r="A1311" s="3" t="s">
        <v>1118</v>
      </c>
      <c r="B1311" s="3" t="s">
        <v>1119</v>
      </c>
      <c r="C1311" s="3" t="s">
        <v>1119</v>
      </c>
      <c r="D1311" s="3" t="s">
        <v>127</v>
      </c>
      <c r="E1311" s="3" t="s">
        <v>867</v>
      </c>
      <c r="F1311" s="3">
        <v>22.99</v>
      </c>
      <c r="G1311" s="3" t="s">
        <v>3391</v>
      </c>
      <c r="H1311" s="3"/>
      <c r="I1311" s="3" t="s">
        <v>3392</v>
      </c>
      <c r="J1311" s="3">
        <v>31</v>
      </c>
      <c r="K1311" s="3">
        <v>31</v>
      </c>
      <c r="L1311" s="3">
        <v>0</v>
      </c>
      <c r="M1311" s="3">
        <v>0</v>
      </c>
      <c r="N1311" s="3">
        <v>31</v>
      </c>
      <c r="O1311" s="3">
        <v>0.15</v>
      </c>
      <c r="P1311" s="3">
        <v>0</v>
      </c>
      <c r="Q1311" s="3">
        <v>0</v>
      </c>
      <c r="R1311" s="3">
        <v>0</v>
      </c>
    </row>
    <row r="1312" spans="1:18">
      <c r="A1312" s="3" t="s">
        <v>1264</v>
      </c>
      <c r="B1312" s="3" t="s">
        <v>1265</v>
      </c>
      <c r="C1312" s="3" t="s">
        <v>1265</v>
      </c>
      <c r="D1312" s="3" t="s">
        <v>1266</v>
      </c>
      <c r="E1312" s="3" t="s">
        <v>867</v>
      </c>
      <c r="F1312" s="3">
        <v>22.99</v>
      </c>
      <c r="G1312" s="3" t="s">
        <v>3391</v>
      </c>
      <c r="H1312" s="3"/>
      <c r="I1312" s="3" t="s">
        <v>3392</v>
      </c>
      <c r="J1312" s="3">
        <v>1</v>
      </c>
      <c r="K1312" s="3">
        <v>1</v>
      </c>
      <c r="L1312" s="3">
        <v>0</v>
      </c>
      <c r="M1312" s="3">
        <v>0</v>
      </c>
      <c r="N1312" s="3">
        <v>1</v>
      </c>
      <c r="O1312" s="3">
        <v>0.15</v>
      </c>
      <c r="P1312" s="3">
        <v>0</v>
      </c>
      <c r="Q1312" s="3">
        <v>0</v>
      </c>
      <c r="R1312" s="3">
        <v>0</v>
      </c>
    </row>
    <row r="1313" spans="1:18">
      <c r="A1313" s="3" t="s">
        <v>1613</v>
      </c>
      <c r="B1313" s="3" t="s">
        <v>1614</v>
      </c>
      <c r="C1313" s="3" t="s">
        <v>1614</v>
      </c>
      <c r="D1313" s="3" t="s">
        <v>1615</v>
      </c>
      <c r="E1313" s="3" t="s">
        <v>867</v>
      </c>
      <c r="F1313" s="3">
        <v>22.99</v>
      </c>
      <c r="G1313" s="3" t="s">
        <v>3391</v>
      </c>
      <c r="H1313" s="3"/>
      <c r="I1313" s="3" t="s">
        <v>3392</v>
      </c>
      <c r="J1313" s="3">
        <v>28</v>
      </c>
      <c r="K1313" s="3">
        <v>28</v>
      </c>
      <c r="L1313" s="3">
        <v>0</v>
      </c>
      <c r="M1313" s="3">
        <v>0</v>
      </c>
      <c r="N1313" s="3">
        <v>28</v>
      </c>
      <c r="O1313" s="3">
        <v>0.19</v>
      </c>
      <c r="P1313" s="3">
        <v>0</v>
      </c>
      <c r="Q1313" s="3">
        <v>0</v>
      </c>
      <c r="R1313" s="3">
        <v>0</v>
      </c>
    </row>
    <row r="1314" spans="1:18">
      <c r="A1314" s="3" t="s">
        <v>2646</v>
      </c>
      <c r="B1314" s="3" t="s">
        <v>2647</v>
      </c>
      <c r="C1314" s="3" t="s">
        <v>2647</v>
      </c>
      <c r="D1314" s="3" t="s">
        <v>2648</v>
      </c>
      <c r="E1314" s="3" t="s">
        <v>867</v>
      </c>
      <c r="F1314" s="3">
        <v>22.99</v>
      </c>
      <c r="G1314" s="3" t="s">
        <v>3391</v>
      </c>
      <c r="H1314" s="3"/>
      <c r="I1314" s="3" t="s">
        <v>3392</v>
      </c>
      <c r="J1314" s="3">
        <v>16</v>
      </c>
      <c r="K1314" s="3">
        <v>16</v>
      </c>
      <c r="L1314" s="3">
        <v>0</v>
      </c>
      <c r="M1314" s="3">
        <v>0</v>
      </c>
      <c r="N1314" s="3">
        <v>16</v>
      </c>
      <c r="O1314" s="3">
        <v>0.15</v>
      </c>
      <c r="P1314" s="3">
        <v>0</v>
      </c>
      <c r="Q1314" s="3">
        <v>0</v>
      </c>
      <c r="R1314" s="3">
        <v>0</v>
      </c>
    </row>
    <row r="1315" spans="1:18">
      <c r="A1315" s="3" t="s">
        <v>1844</v>
      </c>
      <c r="B1315" s="3" t="s">
        <v>1845</v>
      </c>
      <c r="C1315" s="3" t="s">
        <v>1845</v>
      </c>
      <c r="D1315" s="3" t="s">
        <v>1846</v>
      </c>
      <c r="E1315" s="3" t="s">
        <v>867</v>
      </c>
      <c r="F1315" s="3">
        <v>22.99</v>
      </c>
      <c r="G1315" s="3" t="s">
        <v>3391</v>
      </c>
      <c r="H1315" s="3"/>
      <c r="I1315" s="3" t="s">
        <v>3392</v>
      </c>
      <c r="J1315" s="3">
        <v>27</v>
      </c>
      <c r="K1315" s="3">
        <v>27</v>
      </c>
      <c r="L1315" s="3">
        <v>0</v>
      </c>
      <c r="M1315" s="3">
        <v>0</v>
      </c>
      <c r="N1315" s="3">
        <v>27</v>
      </c>
      <c r="O1315" s="3">
        <v>0.16</v>
      </c>
      <c r="P1315" s="3">
        <v>0</v>
      </c>
      <c r="Q1315" s="3">
        <v>0</v>
      </c>
      <c r="R1315" s="3">
        <v>0</v>
      </c>
    </row>
    <row r="1316" spans="1:18">
      <c r="A1316" s="3" t="s">
        <v>926</v>
      </c>
      <c r="B1316" s="3" t="s">
        <v>927</v>
      </c>
      <c r="C1316" s="3" t="s">
        <v>927</v>
      </c>
      <c r="D1316" s="3" t="s">
        <v>928</v>
      </c>
      <c r="E1316" s="3" t="s">
        <v>867</v>
      </c>
      <c r="F1316" s="3">
        <v>22.99</v>
      </c>
      <c r="G1316" s="3" t="s">
        <v>3391</v>
      </c>
      <c r="H1316" s="3"/>
      <c r="I1316" s="3" t="s">
        <v>3392</v>
      </c>
      <c r="J1316" s="3">
        <v>15</v>
      </c>
      <c r="K1316" s="3">
        <v>15</v>
      </c>
      <c r="L1316" s="3">
        <v>0</v>
      </c>
      <c r="M1316" s="3">
        <v>0</v>
      </c>
      <c r="N1316" s="3">
        <v>15</v>
      </c>
      <c r="O1316" s="3">
        <v>0.16</v>
      </c>
      <c r="P1316" s="3">
        <v>0</v>
      </c>
      <c r="Q1316" s="3">
        <v>0</v>
      </c>
      <c r="R1316" s="3">
        <v>0</v>
      </c>
    </row>
    <row r="1317" spans="1:18">
      <c r="A1317" s="3" t="s">
        <v>5162</v>
      </c>
      <c r="B1317" s="3" t="s">
        <v>4153</v>
      </c>
      <c r="C1317" s="3" t="s">
        <v>4153</v>
      </c>
      <c r="D1317" s="3" t="s">
        <v>4154</v>
      </c>
      <c r="E1317" s="3" t="s">
        <v>3293</v>
      </c>
      <c r="F1317" s="3"/>
      <c r="G1317" s="3"/>
      <c r="H1317" s="3"/>
      <c r="I1317" s="3"/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0.15</v>
      </c>
      <c r="P1317" s="3">
        <v>0</v>
      </c>
      <c r="Q1317" s="3">
        <v>0</v>
      </c>
      <c r="R1317" s="3">
        <v>0</v>
      </c>
    </row>
    <row r="1318" spans="1:18">
      <c r="A1318" s="3" t="s">
        <v>880</v>
      </c>
      <c r="B1318" s="3" t="s">
        <v>881</v>
      </c>
      <c r="C1318" s="3" t="s">
        <v>881</v>
      </c>
      <c r="D1318" s="3" t="s">
        <v>882</v>
      </c>
      <c r="E1318" s="3" t="s">
        <v>867</v>
      </c>
      <c r="F1318" s="3">
        <v>22.99</v>
      </c>
      <c r="G1318" s="3" t="s">
        <v>3391</v>
      </c>
      <c r="H1318" s="3"/>
      <c r="I1318" s="3" t="s">
        <v>3392</v>
      </c>
      <c r="J1318" s="3">
        <v>12</v>
      </c>
      <c r="K1318" s="3">
        <v>12</v>
      </c>
      <c r="L1318" s="3">
        <v>0</v>
      </c>
      <c r="M1318" s="3">
        <v>0</v>
      </c>
      <c r="N1318" s="3">
        <v>12</v>
      </c>
      <c r="O1318" s="3">
        <v>0.15</v>
      </c>
      <c r="P1318" s="3">
        <v>0</v>
      </c>
      <c r="Q1318" s="3">
        <v>0</v>
      </c>
      <c r="R1318" s="3">
        <v>0</v>
      </c>
    </row>
    <row r="1319" spans="1:18">
      <c r="A1319" s="3" t="s">
        <v>1093</v>
      </c>
      <c r="B1319" s="3" t="s">
        <v>1094</v>
      </c>
      <c r="C1319" s="3" t="s">
        <v>1094</v>
      </c>
      <c r="D1319" s="3" t="s">
        <v>1095</v>
      </c>
      <c r="E1319" s="3" t="s">
        <v>867</v>
      </c>
      <c r="F1319" s="3">
        <v>22.99</v>
      </c>
      <c r="G1319" s="3" t="s">
        <v>3391</v>
      </c>
      <c r="H1319" s="3"/>
      <c r="I1319" s="3" t="s">
        <v>3392</v>
      </c>
      <c r="J1319" s="3">
        <v>19</v>
      </c>
      <c r="K1319" s="3">
        <v>19</v>
      </c>
      <c r="L1319" s="3">
        <v>0</v>
      </c>
      <c r="M1319" s="3">
        <v>0</v>
      </c>
      <c r="N1319" s="3">
        <v>19</v>
      </c>
      <c r="O1319" s="3">
        <v>0.15</v>
      </c>
      <c r="P1319" s="3">
        <v>0</v>
      </c>
      <c r="Q1319" s="3">
        <v>0</v>
      </c>
      <c r="R1319" s="3">
        <v>0</v>
      </c>
    </row>
    <row r="1320" spans="1:18">
      <c r="A1320" s="3" t="s">
        <v>1037</v>
      </c>
      <c r="B1320" s="3" t="s">
        <v>1038</v>
      </c>
      <c r="C1320" s="3" t="s">
        <v>1038</v>
      </c>
      <c r="D1320" s="3" t="s">
        <v>1039</v>
      </c>
      <c r="E1320" s="3" t="s">
        <v>867</v>
      </c>
      <c r="F1320" s="3">
        <v>22.99</v>
      </c>
      <c r="G1320" s="3" t="s">
        <v>3391</v>
      </c>
      <c r="H1320" s="3"/>
      <c r="I1320" s="3" t="s">
        <v>3392</v>
      </c>
      <c r="J1320" s="3">
        <v>25</v>
      </c>
      <c r="K1320" s="3">
        <v>25</v>
      </c>
      <c r="L1320" s="3">
        <v>0</v>
      </c>
      <c r="M1320" s="3">
        <v>0</v>
      </c>
      <c r="N1320" s="3">
        <v>25</v>
      </c>
      <c r="O1320" s="3">
        <v>0.16</v>
      </c>
      <c r="P1320" s="3">
        <v>0</v>
      </c>
      <c r="Q1320" s="3">
        <v>0</v>
      </c>
      <c r="R1320" s="3">
        <v>0</v>
      </c>
    </row>
    <row r="1321" spans="1:18">
      <c r="A1321" s="3" t="s">
        <v>2768</v>
      </c>
      <c r="B1321" s="3" t="s">
        <v>2769</v>
      </c>
      <c r="C1321" s="3" t="s">
        <v>2769</v>
      </c>
      <c r="D1321" s="3" t="s">
        <v>2770</v>
      </c>
      <c r="E1321" s="3" t="s">
        <v>867</v>
      </c>
      <c r="F1321" s="3">
        <v>22.99</v>
      </c>
      <c r="G1321" s="3" t="s">
        <v>3391</v>
      </c>
      <c r="H1321" s="3"/>
      <c r="I1321" s="3" t="s">
        <v>3392</v>
      </c>
      <c r="J1321" s="3">
        <v>17</v>
      </c>
      <c r="K1321" s="3">
        <v>17</v>
      </c>
      <c r="L1321" s="3">
        <v>0</v>
      </c>
      <c r="M1321" s="3">
        <v>0</v>
      </c>
      <c r="N1321" s="3">
        <v>17</v>
      </c>
      <c r="O1321" s="3">
        <v>0.16</v>
      </c>
      <c r="P1321" s="3">
        <v>0</v>
      </c>
      <c r="Q1321" s="3">
        <v>0</v>
      </c>
      <c r="R1321" s="3">
        <v>0</v>
      </c>
    </row>
    <row r="1322" spans="1:18">
      <c r="A1322" s="3" t="s">
        <v>5163</v>
      </c>
      <c r="B1322" s="3" t="s">
        <v>1978</v>
      </c>
      <c r="C1322" s="3" t="s">
        <v>1978</v>
      </c>
      <c r="D1322" s="3" t="s">
        <v>1979</v>
      </c>
      <c r="E1322" s="3" t="s">
        <v>867</v>
      </c>
      <c r="F1322" s="3">
        <v>22.99</v>
      </c>
      <c r="G1322" s="3" t="s">
        <v>3391</v>
      </c>
      <c r="H1322" s="3"/>
      <c r="I1322" s="3" t="s">
        <v>3392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0.15</v>
      </c>
      <c r="P1322" s="3">
        <v>0</v>
      </c>
      <c r="Q1322" s="3">
        <v>0</v>
      </c>
      <c r="R1322" s="3">
        <v>0</v>
      </c>
    </row>
    <row r="1323" spans="1:18">
      <c r="A1323" s="3" t="s">
        <v>2186</v>
      </c>
      <c r="B1323" s="3" t="s">
        <v>2187</v>
      </c>
      <c r="C1323" s="3" t="s">
        <v>2187</v>
      </c>
      <c r="D1323" s="3" t="s">
        <v>2188</v>
      </c>
      <c r="E1323" s="3" t="s">
        <v>867</v>
      </c>
      <c r="F1323" s="3">
        <v>22.99</v>
      </c>
      <c r="G1323" s="3" t="s">
        <v>3391</v>
      </c>
      <c r="H1323" s="3"/>
      <c r="I1323" s="3" t="s">
        <v>3392</v>
      </c>
      <c r="J1323" s="3">
        <v>28</v>
      </c>
      <c r="K1323" s="3">
        <v>28</v>
      </c>
      <c r="L1323" s="3">
        <v>0</v>
      </c>
      <c r="M1323" s="3">
        <v>0</v>
      </c>
      <c r="N1323" s="3">
        <v>28</v>
      </c>
      <c r="O1323" s="3">
        <v>0.16</v>
      </c>
      <c r="P1323" s="3">
        <v>0</v>
      </c>
      <c r="Q1323" s="3">
        <v>0</v>
      </c>
      <c r="R1323" s="3">
        <v>0</v>
      </c>
    </row>
    <row r="1324" spans="1:18">
      <c r="A1324" s="3" t="s">
        <v>515</v>
      </c>
      <c r="B1324" s="3" t="s">
        <v>516</v>
      </c>
      <c r="C1324" s="3" t="s">
        <v>516</v>
      </c>
      <c r="D1324" s="3" t="s">
        <v>131</v>
      </c>
      <c r="E1324" s="3" t="s">
        <v>867</v>
      </c>
      <c r="F1324" s="3">
        <v>32.99</v>
      </c>
      <c r="G1324" s="3" t="s">
        <v>3391</v>
      </c>
      <c r="H1324" s="3"/>
      <c r="I1324" s="3" t="s">
        <v>3392</v>
      </c>
      <c r="J1324" s="3">
        <v>19</v>
      </c>
      <c r="K1324" s="3">
        <v>18</v>
      </c>
      <c r="L1324" s="3">
        <v>0</v>
      </c>
      <c r="M1324" s="3">
        <v>1</v>
      </c>
      <c r="N1324" s="3">
        <v>19</v>
      </c>
      <c r="O1324" s="3">
        <v>0.2</v>
      </c>
      <c r="P1324" s="3">
        <v>0</v>
      </c>
      <c r="Q1324" s="3">
        <v>0</v>
      </c>
      <c r="R1324" s="3">
        <v>0</v>
      </c>
    </row>
    <row r="1325" spans="1:18">
      <c r="A1325" s="3" t="s">
        <v>2002</v>
      </c>
      <c r="B1325" s="3" t="s">
        <v>2003</v>
      </c>
      <c r="C1325" s="3" t="s">
        <v>2003</v>
      </c>
      <c r="D1325" s="3" t="s">
        <v>131</v>
      </c>
      <c r="E1325" s="3" t="s">
        <v>867</v>
      </c>
      <c r="F1325" s="3">
        <v>32.99</v>
      </c>
      <c r="G1325" s="3" t="s">
        <v>3391</v>
      </c>
      <c r="H1325" s="3"/>
      <c r="I1325" s="3" t="s">
        <v>3392</v>
      </c>
      <c r="J1325" s="3">
        <v>10</v>
      </c>
      <c r="K1325" s="3">
        <v>10</v>
      </c>
      <c r="L1325" s="3">
        <v>0</v>
      </c>
      <c r="M1325" s="3">
        <v>0</v>
      </c>
      <c r="N1325" s="3">
        <v>10</v>
      </c>
      <c r="O1325" s="3">
        <v>0.2</v>
      </c>
      <c r="P1325" s="3">
        <v>0</v>
      </c>
      <c r="Q1325" s="3">
        <v>0</v>
      </c>
      <c r="R1325" s="3">
        <v>0</v>
      </c>
    </row>
    <row r="1326" spans="1:18">
      <c r="A1326" s="3" t="s">
        <v>1258</v>
      </c>
      <c r="B1326" s="3" t="s">
        <v>1259</v>
      </c>
      <c r="C1326" s="3" t="s">
        <v>1259</v>
      </c>
      <c r="D1326" s="3" t="s">
        <v>1260</v>
      </c>
      <c r="E1326" s="3" t="s">
        <v>867</v>
      </c>
      <c r="F1326" s="3">
        <v>19.98</v>
      </c>
      <c r="G1326" s="3" t="s">
        <v>3391</v>
      </c>
      <c r="H1326" s="3"/>
      <c r="I1326" s="3" t="s">
        <v>3392</v>
      </c>
      <c r="J1326" s="3">
        <v>1</v>
      </c>
      <c r="K1326" s="3">
        <v>1</v>
      </c>
      <c r="L1326" s="3">
        <v>0</v>
      </c>
      <c r="M1326" s="3">
        <v>0</v>
      </c>
      <c r="N1326" s="3">
        <v>1</v>
      </c>
      <c r="O1326" s="3">
        <v>0.2</v>
      </c>
      <c r="P1326" s="3">
        <v>0</v>
      </c>
      <c r="Q1326" s="3">
        <v>0</v>
      </c>
      <c r="R1326" s="3">
        <v>0</v>
      </c>
    </row>
    <row r="1327" spans="1:18">
      <c r="A1327" s="3" t="s">
        <v>3032</v>
      </c>
      <c r="B1327" s="3" t="s">
        <v>3033</v>
      </c>
      <c r="C1327" s="3" t="s">
        <v>3033</v>
      </c>
      <c r="D1327" s="3" t="s">
        <v>131</v>
      </c>
      <c r="E1327" s="3" t="s">
        <v>867</v>
      </c>
      <c r="F1327" s="3">
        <v>32.99</v>
      </c>
      <c r="G1327" s="3" t="s">
        <v>3391</v>
      </c>
      <c r="H1327" s="3"/>
      <c r="I1327" s="3" t="s">
        <v>3392</v>
      </c>
      <c r="J1327" s="3">
        <v>16</v>
      </c>
      <c r="K1327" s="3">
        <v>16</v>
      </c>
      <c r="L1327" s="3">
        <v>0</v>
      </c>
      <c r="M1327" s="3">
        <v>0</v>
      </c>
      <c r="N1327" s="3">
        <v>16</v>
      </c>
      <c r="O1327" s="3">
        <v>0.2</v>
      </c>
      <c r="P1327" s="3">
        <v>0</v>
      </c>
      <c r="Q1327" s="3">
        <v>0</v>
      </c>
      <c r="R1327" s="3">
        <v>0</v>
      </c>
    </row>
    <row r="1328" spans="1:18">
      <c r="A1328" s="3" t="s">
        <v>2461</v>
      </c>
      <c r="B1328" s="3" t="s">
        <v>2462</v>
      </c>
      <c r="C1328" s="3" t="s">
        <v>2462</v>
      </c>
      <c r="D1328" s="3" t="s">
        <v>131</v>
      </c>
      <c r="E1328" s="3" t="s">
        <v>867</v>
      </c>
      <c r="F1328" s="3">
        <v>32.99</v>
      </c>
      <c r="G1328" s="3" t="s">
        <v>3391</v>
      </c>
      <c r="H1328" s="3"/>
      <c r="I1328" s="3" t="s">
        <v>3392</v>
      </c>
      <c r="J1328" s="3">
        <v>4</v>
      </c>
      <c r="K1328" s="3">
        <v>4</v>
      </c>
      <c r="L1328" s="3">
        <v>0</v>
      </c>
      <c r="M1328" s="3">
        <v>0</v>
      </c>
      <c r="N1328" s="3">
        <v>4</v>
      </c>
      <c r="O1328" s="3">
        <v>0.2</v>
      </c>
      <c r="P1328" s="3">
        <v>0</v>
      </c>
      <c r="Q1328" s="3">
        <v>0</v>
      </c>
      <c r="R1328" s="3">
        <v>0</v>
      </c>
    </row>
    <row r="1329" spans="1:18">
      <c r="A1329" s="3" t="s">
        <v>1633</v>
      </c>
      <c r="B1329" s="3" t="s">
        <v>1634</v>
      </c>
      <c r="C1329" s="3" t="s">
        <v>1634</v>
      </c>
      <c r="D1329" s="3" t="s">
        <v>131</v>
      </c>
      <c r="E1329" s="3" t="s">
        <v>867</v>
      </c>
      <c r="F1329" s="3">
        <v>32.99</v>
      </c>
      <c r="G1329" s="3" t="s">
        <v>3391</v>
      </c>
      <c r="H1329" s="3"/>
      <c r="I1329" s="3" t="s">
        <v>3392</v>
      </c>
      <c r="J1329" s="3">
        <v>4</v>
      </c>
      <c r="K1329" s="3">
        <v>4</v>
      </c>
      <c r="L1329" s="3">
        <v>0</v>
      </c>
      <c r="M1329" s="3">
        <v>0</v>
      </c>
      <c r="N1329" s="3">
        <v>4</v>
      </c>
      <c r="O1329" s="3">
        <v>0.2</v>
      </c>
      <c r="P1329" s="3">
        <v>0</v>
      </c>
      <c r="Q1329" s="3">
        <v>0</v>
      </c>
      <c r="R1329" s="3">
        <v>0</v>
      </c>
    </row>
    <row r="1330" spans="1:18">
      <c r="A1330" s="3" t="s">
        <v>2417</v>
      </c>
      <c r="B1330" s="3" t="s">
        <v>2418</v>
      </c>
      <c r="C1330" s="3" t="s">
        <v>2418</v>
      </c>
      <c r="D1330" s="3" t="s">
        <v>131</v>
      </c>
      <c r="E1330" s="3" t="s">
        <v>867</v>
      </c>
      <c r="F1330" s="3">
        <v>32.99</v>
      </c>
      <c r="G1330" s="3" t="s">
        <v>3391</v>
      </c>
      <c r="H1330" s="3"/>
      <c r="I1330" s="3" t="s">
        <v>3392</v>
      </c>
      <c r="J1330" s="3">
        <v>14</v>
      </c>
      <c r="K1330" s="3">
        <v>14</v>
      </c>
      <c r="L1330" s="3">
        <v>0</v>
      </c>
      <c r="M1330" s="3">
        <v>0</v>
      </c>
      <c r="N1330" s="3">
        <v>14</v>
      </c>
      <c r="O1330" s="3">
        <v>0.2</v>
      </c>
      <c r="P1330" s="3">
        <v>0</v>
      </c>
      <c r="Q1330" s="3">
        <v>0</v>
      </c>
      <c r="R1330" s="3">
        <v>0</v>
      </c>
    </row>
    <row r="1331" spans="1:18">
      <c r="A1331" s="3" t="s">
        <v>5164</v>
      </c>
      <c r="B1331" s="3" t="s">
        <v>147</v>
      </c>
      <c r="C1331" s="3" t="s">
        <v>147</v>
      </c>
      <c r="D1331" s="3" t="s">
        <v>131</v>
      </c>
      <c r="E1331" s="3" t="s">
        <v>867</v>
      </c>
      <c r="F1331" s="3">
        <v>32.99</v>
      </c>
      <c r="G1331" s="3" t="s">
        <v>3391</v>
      </c>
      <c r="H1331" s="3"/>
      <c r="I1331" s="3" t="s">
        <v>3392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0.2</v>
      </c>
      <c r="P1331" s="3">
        <v>0</v>
      </c>
      <c r="Q1331" s="3">
        <v>0</v>
      </c>
      <c r="R1331" s="3">
        <v>0</v>
      </c>
    </row>
    <row r="1332" spans="1:18">
      <c r="A1332" s="3" t="s">
        <v>2017</v>
      </c>
      <c r="B1332" s="3" t="s">
        <v>2018</v>
      </c>
      <c r="C1332" s="3" t="s">
        <v>2018</v>
      </c>
      <c r="D1332" s="3" t="s">
        <v>131</v>
      </c>
      <c r="E1332" s="3" t="s">
        <v>867</v>
      </c>
      <c r="F1332" s="3">
        <v>32.99</v>
      </c>
      <c r="G1332" s="3" t="s">
        <v>3391</v>
      </c>
      <c r="H1332" s="3"/>
      <c r="I1332" s="3" t="s">
        <v>3392</v>
      </c>
      <c r="J1332" s="3">
        <v>17</v>
      </c>
      <c r="K1332" s="3">
        <v>17</v>
      </c>
      <c r="L1332" s="3">
        <v>0</v>
      </c>
      <c r="M1332" s="3">
        <v>0</v>
      </c>
      <c r="N1332" s="3">
        <v>17</v>
      </c>
      <c r="O1332" s="3">
        <v>0.2</v>
      </c>
      <c r="P1332" s="3">
        <v>0</v>
      </c>
      <c r="Q1332" s="3">
        <v>0</v>
      </c>
      <c r="R1332" s="3">
        <v>0</v>
      </c>
    </row>
    <row r="1333" spans="1:18">
      <c r="A1333" s="3" t="s">
        <v>1596</v>
      </c>
      <c r="B1333" s="3" t="s">
        <v>1597</v>
      </c>
      <c r="C1333" s="3" t="s">
        <v>1597</v>
      </c>
      <c r="D1333" s="3" t="s">
        <v>131</v>
      </c>
      <c r="E1333" s="3" t="s">
        <v>867</v>
      </c>
      <c r="F1333" s="3">
        <v>32.99</v>
      </c>
      <c r="G1333" s="3" t="s">
        <v>3391</v>
      </c>
      <c r="H1333" s="3"/>
      <c r="I1333" s="3" t="s">
        <v>3392</v>
      </c>
      <c r="J1333" s="3">
        <v>8</v>
      </c>
      <c r="K1333" s="3">
        <v>8</v>
      </c>
      <c r="L1333" s="3">
        <v>0</v>
      </c>
      <c r="M1333" s="3">
        <v>0</v>
      </c>
      <c r="N1333" s="3">
        <v>8</v>
      </c>
      <c r="O1333" s="3">
        <v>0.2</v>
      </c>
      <c r="P1333" s="3">
        <v>0</v>
      </c>
      <c r="Q1333" s="3">
        <v>0</v>
      </c>
      <c r="R1333" s="3">
        <v>0</v>
      </c>
    </row>
    <row r="1334" spans="1:18">
      <c r="A1334" s="3" t="s">
        <v>5165</v>
      </c>
      <c r="B1334" s="3" t="s">
        <v>1951</v>
      </c>
      <c r="C1334" s="3" t="s">
        <v>1951</v>
      </c>
      <c r="D1334" s="3" t="s">
        <v>1952</v>
      </c>
      <c r="E1334" s="3" t="s">
        <v>867</v>
      </c>
      <c r="F1334" s="3">
        <v>32.99</v>
      </c>
      <c r="G1334" s="3" t="s">
        <v>3391</v>
      </c>
      <c r="H1334" s="3"/>
      <c r="I1334" s="3" t="s">
        <v>3392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0.2</v>
      </c>
      <c r="P1334" s="3">
        <v>0</v>
      </c>
      <c r="Q1334" s="3">
        <v>0</v>
      </c>
      <c r="R1334" s="3">
        <v>0</v>
      </c>
    </row>
    <row r="1335" spans="1:18">
      <c r="A1335" s="3" t="s">
        <v>5166</v>
      </c>
      <c r="B1335" s="3" t="s">
        <v>1849</v>
      </c>
      <c r="C1335" s="3" t="s">
        <v>1849</v>
      </c>
      <c r="D1335" s="3" t="s">
        <v>1850</v>
      </c>
      <c r="E1335" s="3" t="s">
        <v>867</v>
      </c>
      <c r="F1335" s="3">
        <v>32.99</v>
      </c>
      <c r="G1335" s="3" t="s">
        <v>3391</v>
      </c>
      <c r="H1335" s="3"/>
      <c r="I1335" s="3" t="s">
        <v>3392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0.2</v>
      </c>
      <c r="P1335" s="3">
        <v>0</v>
      </c>
      <c r="Q1335" s="3">
        <v>0</v>
      </c>
      <c r="R1335" s="3">
        <v>0</v>
      </c>
    </row>
    <row r="1336" spans="1:18">
      <c r="A1336" s="3" t="s">
        <v>5167</v>
      </c>
      <c r="B1336" s="3" t="s">
        <v>1256</v>
      </c>
      <c r="C1336" s="3" t="s">
        <v>1256</v>
      </c>
      <c r="D1336" s="3" t="s">
        <v>1257</v>
      </c>
      <c r="E1336" s="3" t="s">
        <v>867</v>
      </c>
      <c r="F1336" s="3">
        <v>32.99</v>
      </c>
      <c r="G1336" s="3" t="s">
        <v>3391</v>
      </c>
      <c r="H1336" s="3"/>
      <c r="I1336" s="3" t="s">
        <v>3392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0.2</v>
      </c>
      <c r="P1336" s="3">
        <v>0</v>
      </c>
      <c r="Q1336" s="3">
        <v>0</v>
      </c>
      <c r="R1336" s="3">
        <v>0</v>
      </c>
    </row>
    <row r="1337" spans="1:18">
      <c r="A1337" s="3" t="s">
        <v>2682</v>
      </c>
      <c r="B1337" s="3" t="s">
        <v>2683</v>
      </c>
      <c r="C1337" s="3" t="s">
        <v>2683</v>
      </c>
      <c r="D1337" s="3" t="s">
        <v>2684</v>
      </c>
      <c r="E1337" s="3" t="s">
        <v>867</v>
      </c>
      <c r="F1337" s="3">
        <v>32.99</v>
      </c>
      <c r="G1337" s="3" t="s">
        <v>3391</v>
      </c>
      <c r="H1337" s="3"/>
      <c r="I1337" s="3" t="s">
        <v>3392</v>
      </c>
      <c r="J1337" s="3">
        <v>2</v>
      </c>
      <c r="K1337" s="3">
        <v>2</v>
      </c>
      <c r="L1337" s="3">
        <v>0</v>
      </c>
      <c r="M1337" s="3">
        <v>0</v>
      </c>
      <c r="N1337" s="3">
        <v>2</v>
      </c>
      <c r="O1337" s="3">
        <v>0.2</v>
      </c>
      <c r="P1337" s="3">
        <v>0</v>
      </c>
      <c r="Q1337" s="3">
        <v>0</v>
      </c>
      <c r="R1337" s="3">
        <v>0</v>
      </c>
    </row>
    <row r="1338" spans="1:18">
      <c r="A1338" s="3" t="s">
        <v>2618</v>
      </c>
      <c r="B1338" s="3" t="s">
        <v>134</v>
      </c>
      <c r="C1338" s="3" t="s">
        <v>134</v>
      </c>
      <c r="D1338" s="3" t="s">
        <v>135</v>
      </c>
      <c r="E1338" s="3" t="s">
        <v>867</v>
      </c>
      <c r="F1338" s="3">
        <v>32.99</v>
      </c>
      <c r="G1338" s="3" t="s">
        <v>3391</v>
      </c>
      <c r="H1338" s="3"/>
      <c r="I1338" s="3" t="s">
        <v>3392</v>
      </c>
      <c r="J1338" s="3">
        <v>2</v>
      </c>
      <c r="K1338" s="3">
        <v>2</v>
      </c>
      <c r="L1338" s="3">
        <v>0</v>
      </c>
      <c r="M1338" s="3">
        <v>0</v>
      </c>
      <c r="N1338" s="3">
        <v>2</v>
      </c>
      <c r="O1338" s="3">
        <v>0.2</v>
      </c>
      <c r="P1338" s="3">
        <v>0</v>
      </c>
      <c r="Q1338" s="3">
        <v>0</v>
      </c>
      <c r="R1338" s="3">
        <v>0</v>
      </c>
    </row>
    <row r="1339" spans="1:18">
      <c r="A1339" s="3" t="s">
        <v>5168</v>
      </c>
      <c r="B1339" s="3" t="s">
        <v>4190</v>
      </c>
      <c r="C1339" s="3" t="s">
        <v>4190</v>
      </c>
      <c r="D1339" s="3" t="s">
        <v>131</v>
      </c>
      <c r="E1339" s="3" t="s">
        <v>867</v>
      </c>
      <c r="F1339" s="3">
        <v>32.99</v>
      </c>
      <c r="G1339" s="3" t="s">
        <v>3391</v>
      </c>
      <c r="H1339" s="3"/>
      <c r="I1339" s="3" t="s">
        <v>3392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0.25</v>
      </c>
      <c r="P1339" s="3">
        <v>0</v>
      </c>
      <c r="Q1339" s="3">
        <v>0</v>
      </c>
      <c r="R1339" s="3">
        <v>0</v>
      </c>
    </row>
    <row r="1340" spans="1:18">
      <c r="A1340" s="3" t="s">
        <v>5169</v>
      </c>
      <c r="B1340" s="3" t="s">
        <v>3190</v>
      </c>
      <c r="C1340" s="3" t="s">
        <v>3190</v>
      </c>
      <c r="D1340" s="3" t="s">
        <v>131</v>
      </c>
      <c r="E1340" s="3" t="s">
        <v>867</v>
      </c>
      <c r="F1340" s="3">
        <v>32.99</v>
      </c>
      <c r="G1340" s="3" t="s">
        <v>3391</v>
      </c>
      <c r="H1340" s="3"/>
      <c r="I1340" s="3" t="s">
        <v>3392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0.2</v>
      </c>
      <c r="P1340" s="3">
        <v>0</v>
      </c>
      <c r="Q1340" s="3">
        <v>0</v>
      </c>
      <c r="R1340" s="3">
        <v>0</v>
      </c>
    </row>
    <row r="1341" spans="1:18">
      <c r="A1341" s="3" t="s">
        <v>5170</v>
      </c>
      <c r="B1341" s="3" t="s">
        <v>4196</v>
      </c>
      <c r="C1341" s="3" t="s">
        <v>4196</v>
      </c>
      <c r="D1341" s="3" t="s">
        <v>131</v>
      </c>
      <c r="E1341" s="3" t="s">
        <v>867</v>
      </c>
      <c r="F1341" s="3">
        <v>32.99</v>
      </c>
      <c r="G1341" s="3" t="s">
        <v>3391</v>
      </c>
      <c r="H1341" s="3"/>
      <c r="I1341" s="3" t="s">
        <v>3392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0.2</v>
      </c>
      <c r="P1341" s="3">
        <v>0</v>
      </c>
      <c r="Q1341" s="3">
        <v>0</v>
      </c>
      <c r="R1341" s="3">
        <v>0</v>
      </c>
    </row>
    <row r="1342" spans="1:18">
      <c r="A1342" s="3" t="s">
        <v>532</v>
      </c>
      <c r="B1342" s="3" t="s">
        <v>533</v>
      </c>
      <c r="C1342" s="3" t="s">
        <v>533</v>
      </c>
      <c r="D1342" s="3" t="s">
        <v>131</v>
      </c>
      <c r="E1342" s="3" t="s">
        <v>867</v>
      </c>
      <c r="F1342" s="3">
        <v>32.99</v>
      </c>
      <c r="G1342" s="3" t="s">
        <v>3391</v>
      </c>
      <c r="H1342" s="3"/>
      <c r="I1342" s="3" t="s">
        <v>3392</v>
      </c>
      <c r="J1342" s="3">
        <v>18</v>
      </c>
      <c r="K1342" s="3">
        <v>17</v>
      </c>
      <c r="L1342" s="3">
        <v>0</v>
      </c>
      <c r="M1342" s="3">
        <v>1</v>
      </c>
      <c r="N1342" s="3">
        <v>18</v>
      </c>
      <c r="O1342" s="3">
        <v>0.2</v>
      </c>
      <c r="P1342" s="3">
        <v>0</v>
      </c>
      <c r="Q1342" s="3">
        <v>0</v>
      </c>
      <c r="R1342" s="3">
        <v>0</v>
      </c>
    </row>
    <row r="1343" spans="1:18">
      <c r="A1343" s="3" t="s">
        <v>1616</v>
      </c>
      <c r="B1343" s="3" t="s">
        <v>138</v>
      </c>
      <c r="C1343" s="3" t="s">
        <v>138</v>
      </c>
      <c r="D1343" s="3" t="s">
        <v>131</v>
      </c>
      <c r="E1343" s="3" t="s">
        <v>867</v>
      </c>
      <c r="F1343" s="3">
        <v>32.99</v>
      </c>
      <c r="G1343" s="3" t="s">
        <v>3391</v>
      </c>
      <c r="H1343" s="3"/>
      <c r="I1343" s="3" t="s">
        <v>3392</v>
      </c>
      <c r="J1343" s="3">
        <v>1</v>
      </c>
      <c r="K1343" s="3">
        <v>1</v>
      </c>
      <c r="L1343" s="3">
        <v>0</v>
      </c>
      <c r="M1343" s="3">
        <v>0</v>
      </c>
      <c r="N1343" s="3">
        <v>1</v>
      </c>
      <c r="O1343" s="3">
        <v>0.2</v>
      </c>
      <c r="P1343" s="3">
        <v>0</v>
      </c>
      <c r="Q1343" s="3">
        <v>0</v>
      </c>
      <c r="R1343" s="3">
        <v>0</v>
      </c>
    </row>
    <row r="1344" spans="1:18">
      <c r="A1344" s="3" t="s">
        <v>5171</v>
      </c>
      <c r="B1344" s="3" t="s">
        <v>4201</v>
      </c>
      <c r="C1344" s="3" t="s">
        <v>4201</v>
      </c>
      <c r="D1344" s="3" t="s">
        <v>131</v>
      </c>
      <c r="E1344" s="3" t="s">
        <v>867</v>
      </c>
      <c r="F1344" s="3">
        <v>32.99</v>
      </c>
      <c r="G1344" s="3" t="s">
        <v>3391</v>
      </c>
      <c r="H1344" s="3"/>
      <c r="I1344" s="3" t="s">
        <v>3392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0.2</v>
      </c>
      <c r="P1344" s="3">
        <v>0</v>
      </c>
      <c r="Q1344" s="3">
        <v>0</v>
      </c>
      <c r="R1344" s="3">
        <v>0</v>
      </c>
    </row>
    <row r="1345" spans="1:18">
      <c r="A1345" s="3" t="s">
        <v>5172</v>
      </c>
      <c r="B1345" s="3" t="s">
        <v>1124</v>
      </c>
      <c r="C1345" s="3" t="s">
        <v>1124</v>
      </c>
      <c r="D1345" s="3" t="s">
        <v>131</v>
      </c>
      <c r="E1345" s="3" t="s">
        <v>867</v>
      </c>
      <c r="F1345" s="3">
        <v>32.99</v>
      </c>
      <c r="G1345" s="3" t="s">
        <v>3391</v>
      </c>
      <c r="H1345" s="3"/>
      <c r="I1345" s="3" t="s">
        <v>3392</v>
      </c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>
        <v>0.2</v>
      </c>
      <c r="P1345" s="3">
        <v>0</v>
      </c>
      <c r="Q1345" s="3">
        <v>0</v>
      </c>
      <c r="R1345" s="3">
        <v>0</v>
      </c>
    </row>
    <row r="1346" spans="1:18">
      <c r="A1346" s="3" t="s">
        <v>1851</v>
      </c>
      <c r="B1346" s="3" t="s">
        <v>1852</v>
      </c>
      <c r="C1346" s="3" t="s">
        <v>1852</v>
      </c>
      <c r="D1346" s="3" t="s">
        <v>131</v>
      </c>
      <c r="E1346" s="3" t="s">
        <v>867</v>
      </c>
      <c r="F1346" s="3">
        <v>32.99</v>
      </c>
      <c r="G1346" s="3" t="s">
        <v>3391</v>
      </c>
      <c r="H1346" s="3"/>
      <c r="I1346" s="3" t="s">
        <v>3392</v>
      </c>
      <c r="J1346" s="3">
        <v>16</v>
      </c>
      <c r="K1346" s="3">
        <v>16</v>
      </c>
      <c r="L1346" s="3">
        <v>0</v>
      </c>
      <c r="M1346" s="3">
        <v>0</v>
      </c>
      <c r="N1346" s="3">
        <v>16</v>
      </c>
      <c r="O1346" s="3">
        <v>0.2</v>
      </c>
      <c r="P1346" s="3">
        <v>0</v>
      </c>
      <c r="Q1346" s="3">
        <v>0</v>
      </c>
      <c r="R1346" s="3">
        <v>0</v>
      </c>
    </row>
    <row r="1347" spans="1:18">
      <c r="A1347" s="3" t="s">
        <v>2773</v>
      </c>
      <c r="B1347" s="3" t="s">
        <v>2774</v>
      </c>
      <c r="C1347" s="3" t="s">
        <v>2774</v>
      </c>
      <c r="D1347" s="3" t="s">
        <v>131</v>
      </c>
      <c r="E1347" s="3" t="s">
        <v>867</v>
      </c>
      <c r="F1347" s="3">
        <v>32.99</v>
      </c>
      <c r="G1347" s="3" t="s">
        <v>3391</v>
      </c>
      <c r="H1347" s="3"/>
      <c r="I1347" s="3" t="s">
        <v>3392</v>
      </c>
      <c r="J1347" s="3">
        <v>16</v>
      </c>
      <c r="K1347" s="3">
        <v>16</v>
      </c>
      <c r="L1347" s="3">
        <v>0</v>
      </c>
      <c r="M1347" s="3">
        <v>0</v>
      </c>
      <c r="N1347" s="3">
        <v>16</v>
      </c>
      <c r="O1347" s="3">
        <v>0.15</v>
      </c>
      <c r="P1347" s="3">
        <v>0</v>
      </c>
      <c r="Q1347" s="3">
        <v>0</v>
      </c>
      <c r="R1347" s="3">
        <v>0</v>
      </c>
    </row>
    <row r="1348" spans="1:18">
      <c r="A1348" s="3" t="s">
        <v>3137</v>
      </c>
      <c r="B1348" s="3" t="s">
        <v>3138</v>
      </c>
      <c r="C1348" s="3" t="s">
        <v>3138</v>
      </c>
      <c r="D1348" s="3" t="s">
        <v>131</v>
      </c>
      <c r="E1348" s="3" t="s">
        <v>867</v>
      </c>
      <c r="F1348" s="3">
        <v>32.99</v>
      </c>
      <c r="G1348" s="3" t="s">
        <v>3391</v>
      </c>
      <c r="H1348" s="3"/>
      <c r="I1348" s="3" t="s">
        <v>3392</v>
      </c>
      <c r="J1348" s="3">
        <v>27</v>
      </c>
      <c r="K1348" s="3">
        <v>27</v>
      </c>
      <c r="L1348" s="3">
        <v>0</v>
      </c>
      <c r="M1348" s="3">
        <v>0</v>
      </c>
      <c r="N1348" s="3">
        <v>27</v>
      </c>
      <c r="O1348" s="3">
        <v>0.16</v>
      </c>
      <c r="P1348" s="3">
        <v>0</v>
      </c>
      <c r="Q1348" s="3">
        <v>0</v>
      </c>
      <c r="R1348" s="3">
        <v>0</v>
      </c>
    </row>
    <row r="1349" spans="1:18">
      <c r="A1349" s="3" t="s">
        <v>5173</v>
      </c>
      <c r="B1349" s="3" t="s">
        <v>144</v>
      </c>
      <c r="C1349" s="3" t="s">
        <v>144</v>
      </c>
      <c r="D1349" s="3" t="s">
        <v>131</v>
      </c>
      <c r="E1349" s="3" t="s">
        <v>867</v>
      </c>
      <c r="F1349" s="3">
        <v>32.99</v>
      </c>
      <c r="G1349" s="3" t="s">
        <v>3391</v>
      </c>
      <c r="H1349" s="3"/>
      <c r="I1349" s="3" t="s">
        <v>3392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0.2</v>
      </c>
      <c r="P1349" s="3">
        <v>0</v>
      </c>
      <c r="Q1349" s="3">
        <v>0</v>
      </c>
      <c r="R1349" s="3">
        <v>0</v>
      </c>
    </row>
    <row r="1350" spans="1:18">
      <c r="A1350" s="3" t="s">
        <v>5174</v>
      </c>
      <c r="B1350" s="3" t="s">
        <v>141</v>
      </c>
      <c r="C1350" s="3" t="s">
        <v>141</v>
      </c>
      <c r="D1350" s="3" t="s">
        <v>131</v>
      </c>
      <c r="E1350" s="3" t="s">
        <v>867</v>
      </c>
      <c r="F1350" s="3">
        <v>32.99</v>
      </c>
      <c r="G1350" s="3" t="s">
        <v>3391</v>
      </c>
      <c r="H1350" s="3"/>
      <c r="I1350" s="3" t="s">
        <v>3392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0.2</v>
      </c>
      <c r="P1350" s="3">
        <v>0</v>
      </c>
      <c r="Q1350" s="3">
        <v>0</v>
      </c>
      <c r="R1350" s="3">
        <v>0</v>
      </c>
    </row>
    <row r="1351" spans="1:18">
      <c r="A1351" s="3" t="s">
        <v>1944</v>
      </c>
      <c r="B1351" s="3" t="s">
        <v>130</v>
      </c>
      <c r="C1351" s="3" t="s">
        <v>130</v>
      </c>
      <c r="D1351" s="3" t="s">
        <v>131</v>
      </c>
      <c r="E1351" s="3" t="s">
        <v>867</v>
      </c>
      <c r="F1351" s="3">
        <v>32.99</v>
      </c>
      <c r="G1351" s="3" t="s">
        <v>3391</v>
      </c>
      <c r="H1351" s="3"/>
      <c r="I1351" s="3" t="s">
        <v>3392</v>
      </c>
      <c r="J1351" s="3">
        <v>5</v>
      </c>
      <c r="K1351" s="3">
        <v>5</v>
      </c>
      <c r="L1351" s="3">
        <v>0</v>
      </c>
      <c r="M1351" s="3">
        <v>0</v>
      </c>
      <c r="N1351" s="3">
        <v>5</v>
      </c>
      <c r="O1351" s="3">
        <v>0.2</v>
      </c>
      <c r="P1351" s="3">
        <v>0</v>
      </c>
      <c r="Q1351" s="3">
        <v>0</v>
      </c>
      <c r="R1351" s="3">
        <v>0</v>
      </c>
    </row>
    <row r="1352" spans="1:18">
      <c r="A1352" s="3" t="s">
        <v>5175</v>
      </c>
      <c r="B1352" s="3" t="s">
        <v>5176</v>
      </c>
      <c r="C1352" s="3" t="s">
        <v>5176</v>
      </c>
      <c r="D1352" s="3" t="s">
        <v>546</v>
      </c>
      <c r="E1352" s="3" t="s">
        <v>867</v>
      </c>
      <c r="F1352" s="3">
        <v>24.98</v>
      </c>
      <c r="G1352" s="3" t="s">
        <v>3391</v>
      </c>
      <c r="H1352" s="3"/>
      <c r="I1352" s="3" t="s">
        <v>3392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0.09</v>
      </c>
      <c r="P1352" s="3">
        <v>0</v>
      </c>
      <c r="Q1352" s="3">
        <v>0</v>
      </c>
      <c r="R1352" s="3">
        <v>0</v>
      </c>
    </row>
    <row r="1353" spans="1:18">
      <c r="A1353" s="3" t="s">
        <v>5177</v>
      </c>
      <c r="B1353" s="3" t="s">
        <v>5178</v>
      </c>
      <c r="C1353" s="3" t="s">
        <v>5178</v>
      </c>
      <c r="D1353" s="3" t="s">
        <v>546</v>
      </c>
      <c r="E1353" s="3" t="s">
        <v>867</v>
      </c>
      <c r="F1353" s="3">
        <v>24.98</v>
      </c>
      <c r="G1353" s="3" t="s">
        <v>3391</v>
      </c>
      <c r="H1353" s="3"/>
      <c r="I1353" s="3" t="s">
        <v>3392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0.09</v>
      </c>
      <c r="P1353" s="3">
        <v>0</v>
      </c>
      <c r="Q1353" s="3">
        <v>0</v>
      </c>
      <c r="R1353" s="3">
        <v>0</v>
      </c>
    </row>
    <row r="1354" spans="1:18">
      <c r="A1354" s="3" t="s">
        <v>5179</v>
      </c>
      <c r="B1354" s="3" t="s">
        <v>5180</v>
      </c>
      <c r="C1354" s="3" t="s">
        <v>5180</v>
      </c>
      <c r="D1354" s="3" t="s">
        <v>546</v>
      </c>
      <c r="E1354" s="3" t="s">
        <v>867</v>
      </c>
      <c r="F1354" s="3">
        <v>22.98</v>
      </c>
      <c r="G1354" s="3" t="s">
        <v>3391</v>
      </c>
      <c r="H1354" s="3"/>
      <c r="I1354" s="3" t="s">
        <v>3392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0.09</v>
      </c>
      <c r="P1354" s="3">
        <v>0</v>
      </c>
      <c r="Q1354" s="3">
        <v>0</v>
      </c>
      <c r="R1354" s="3">
        <v>0</v>
      </c>
    </row>
    <row r="1355" spans="1:18">
      <c r="A1355" s="3" t="s">
        <v>5181</v>
      </c>
      <c r="B1355" s="3" t="s">
        <v>5182</v>
      </c>
      <c r="C1355" s="3" t="s">
        <v>5182</v>
      </c>
      <c r="D1355" s="3"/>
      <c r="E1355" s="3" t="s">
        <v>3293</v>
      </c>
      <c r="F1355" s="3"/>
      <c r="G1355" s="3"/>
      <c r="H1355" s="3"/>
      <c r="I1355" s="3"/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/>
      <c r="P1355" s="3">
        <v>0</v>
      </c>
      <c r="Q1355" s="3">
        <v>0</v>
      </c>
      <c r="R1355" s="3">
        <v>0</v>
      </c>
    </row>
    <row r="1356" spans="1:18">
      <c r="A1356" s="3" t="s">
        <v>534</v>
      </c>
      <c r="B1356" s="3" t="s">
        <v>535</v>
      </c>
      <c r="C1356" s="3" t="s">
        <v>535</v>
      </c>
      <c r="D1356" s="3" t="s">
        <v>536</v>
      </c>
      <c r="E1356" s="3" t="s">
        <v>867</v>
      </c>
      <c r="F1356" s="3">
        <v>23.99</v>
      </c>
      <c r="G1356" s="3" t="s">
        <v>3391</v>
      </c>
      <c r="H1356" s="3"/>
      <c r="I1356" s="3" t="s">
        <v>3392</v>
      </c>
      <c r="J1356" s="3">
        <v>30</v>
      </c>
      <c r="K1356" s="3">
        <v>29</v>
      </c>
      <c r="L1356" s="3">
        <v>0</v>
      </c>
      <c r="M1356" s="3">
        <v>1</v>
      </c>
      <c r="N1356" s="3">
        <v>30</v>
      </c>
      <c r="O1356" s="3">
        <v>0.15</v>
      </c>
      <c r="P1356" s="3">
        <v>0</v>
      </c>
      <c r="Q1356" s="3">
        <v>0</v>
      </c>
      <c r="R1356" s="3">
        <v>0</v>
      </c>
    </row>
    <row r="1357" spans="1:18">
      <c r="A1357" s="3" t="s">
        <v>2386</v>
      </c>
      <c r="B1357" s="3" t="s">
        <v>2387</v>
      </c>
      <c r="C1357" s="3" t="s">
        <v>2387</v>
      </c>
      <c r="D1357" s="3" t="s">
        <v>2388</v>
      </c>
      <c r="E1357" s="3" t="s">
        <v>867</v>
      </c>
      <c r="F1357" s="3">
        <v>23.99</v>
      </c>
      <c r="G1357" s="3" t="s">
        <v>3391</v>
      </c>
      <c r="H1357" s="3"/>
      <c r="I1357" s="3" t="s">
        <v>3392</v>
      </c>
      <c r="J1357" s="3">
        <v>11</v>
      </c>
      <c r="K1357" s="3">
        <v>11</v>
      </c>
      <c r="L1357" s="3">
        <v>0</v>
      </c>
      <c r="M1357" s="3">
        <v>0</v>
      </c>
      <c r="N1357" s="3">
        <v>11</v>
      </c>
      <c r="O1357" s="3">
        <v>0.15</v>
      </c>
      <c r="P1357" s="3">
        <v>0</v>
      </c>
      <c r="Q1357" s="3">
        <v>0</v>
      </c>
      <c r="R1357" s="3">
        <v>0</v>
      </c>
    </row>
    <row r="1358" spans="1:18">
      <c r="A1358" s="3" t="s">
        <v>5183</v>
      </c>
      <c r="B1358" s="3" t="s">
        <v>4213</v>
      </c>
      <c r="C1358" s="3" t="s">
        <v>4213</v>
      </c>
      <c r="D1358" s="3" t="s">
        <v>4214</v>
      </c>
      <c r="E1358" s="3" t="s">
        <v>867</v>
      </c>
      <c r="F1358" s="3">
        <v>23.99</v>
      </c>
      <c r="G1358" s="3" t="s">
        <v>3391</v>
      </c>
      <c r="H1358" s="3"/>
      <c r="I1358" s="3" t="s">
        <v>3392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0.15</v>
      </c>
      <c r="P1358" s="3">
        <v>0</v>
      </c>
      <c r="Q1358" s="3">
        <v>0</v>
      </c>
      <c r="R1358" s="3">
        <v>0</v>
      </c>
    </row>
    <row r="1359" spans="1:18">
      <c r="A1359" s="3" t="s">
        <v>5184</v>
      </c>
      <c r="B1359" s="3" t="s">
        <v>122</v>
      </c>
      <c r="C1359" s="3" t="s">
        <v>122</v>
      </c>
      <c r="D1359" s="3" t="s">
        <v>123</v>
      </c>
      <c r="E1359" s="3" t="s">
        <v>867</v>
      </c>
      <c r="F1359" s="3">
        <v>23.99</v>
      </c>
      <c r="G1359" s="3" t="s">
        <v>3391</v>
      </c>
      <c r="H1359" s="3"/>
      <c r="I1359" s="3" t="s">
        <v>3392</v>
      </c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>
        <v>0.15</v>
      </c>
      <c r="P1359" s="3">
        <v>0</v>
      </c>
      <c r="Q1359" s="3">
        <v>0</v>
      </c>
      <c r="R1359" s="3">
        <v>0</v>
      </c>
    </row>
    <row r="1360" spans="1:18">
      <c r="A1360" s="3" t="s">
        <v>5185</v>
      </c>
      <c r="B1360" s="3" t="s">
        <v>4217</v>
      </c>
      <c r="C1360" s="3" t="s">
        <v>4217</v>
      </c>
      <c r="D1360" s="3" t="s">
        <v>4218</v>
      </c>
      <c r="E1360" s="3" t="s">
        <v>867</v>
      </c>
      <c r="F1360" s="3">
        <v>23.99</v>
      </c>
      <c r="G1360" s="3" t="s">
        <v>3391</v>
      </c>
      <c r="H1360" s="3"/>
      <c r="I1360" s="3" t="s">
        <v>3392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0.12</v>
      </c>
      <c r="P1360" s="3">
        <v>0</v>
      </c>
      <c r="Q1360" s="3">
        <v>0</v>
      </c>
      <c r="R1360" s="3">
        <v>0</v>
      </c>
    </row>
    <row r="1361" spans="1:18">
      <c r="A1361" s="3" t="s">
        <v>5186</v>
      </c>
      <c r="B1361" s="3" t="s">
        <v>4221</v>
      </c>
      <c r="C1361" s="3" t="s">
        <v>4221</v>
      </c>
      <c r="D1361" s="3" t="s">
        <v>5187</v>
      </c>
      <c r="E1361" s="3" t="s">
        <v>867</v>
      </c>
      <c r="F1361" s="3">
        <v>23.99</v>
      </c>
      <c r="G1361" s="3" t="s">
        <v>3391</v>
      </c>
      <c r="H1361" s="3"/>
      <c r="I1361" s="3" t="s">
        <v>3392</v>
      </c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>
        <v>0.15</v>
      </c>
      <c r="P1361" s="3">
        <v>0</v>
      </c>
      <c r="Q1361" s="3">
        <v>0</v>
      </c>
      <c r="R1361" s="3">
        <v>0</v>
      </c>
    </row>
    <row r="1362" spans="1:18">
      <c r="A1362" s="3" t="s">
        <v>5188</v>
      </c>
      <c r="B1362" s="3" t="s">
        <v>901</v>
      </c>
      <c r="C1362" s="3" t="s">
        <v>901</v>
      </c>
      <c r="D1362" s="3" t="s">
        <v>902</v>
      </c>
      <c r="E1362" s="3" t="s">
        <v>867</v>
      </c>
      <c r="F1362" s="3">
        <v>23.99</v>
      </c>
      <c r="G1362" s="3" t="s">
        <v>3391</v>
      </c>
      <c r="H1362" s="3"/>
      <c r="I1362" s="3" t="s">
        <v>3392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0.15</v>
      </c>
      <c r="P1362" s="3">
        <v>0</v>
      </c>
      <c r="Q1362" s="3">
        <v>0</v>
      </c>
      <c r="R1362" s="3">
        <v>0</v>
      </c>
    </row>
    <row r="1363" spans="1:18">
      <c r="A1363" s="3" t="s">
        <v>5189</v>
      </c>
      <c r="B1363" s="3" t="s">
        <v>2378</v>
      </c>
      <c r="C1363" s="3" t="s">
        <v>2378</v>
      </c>
      <c r="D1363" s="3" t="s">
        <v>2379</v>
      </c>
      <c r="E1363" s="3" t="s">
        <v>867</v>
      </c>
      <c r="F1363" s="3">
        <v>23.99</v>
      </c>
      <c r="G1363" s="3" t="s">
        <v>3391</v>
      </c>
      <c r="H1363" s="3"/>
      <c r="I1363" s="3" t="s">
        <v>3392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0.15</v>
      </c>
      <c r="P1363" s="3">
        <v>0</v>
      </c>
      <c r="Q1363" s="3">
        <v>0</v>
      </c>
      <c r="R1363" s="3">
        <v>0</v>
      </c>
    </row>
    <row r="1364" spans="1:18">
      <c r="A1364" s="3" t="s">
        <v>5190</v>
      </c>
      <c r="B1364" s="3" t="s">
        <v>886</v>
      </c>
      <c r="C1364" s="3" t="s">
        <v>886</v>
      </c>
      <c r="D1364" s="3" t="s">
        <v>887</v>
      </c>
      <c r="E1364" s="3" t="s">
        <v>867</v>
      </c>
      <c r="F1364" s="3">
        <v>23.99</v>
      </c>
      <c r="G1364" s="3" t="s">
        <v>3391</v>
      </c>
      <c r="H1364" s="3"/>
      <c r="I1364" s="3" t="s">
        <v>3392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0.15</v>
      </c>
      <c r="P1364" s="3">
        <v>0</v>
      </c>
      <c r="Q1364" s="3">
        <v>0</v>
      </c>
      <c r="R1364" s="3">
        <v>0</v>
      </c>
    </row>
    <row r="1365" spans="1:18">
      <c r="A1365" s="3" t="s">
        <v>5191</v>
      </c>
      <c r="B1365" s="3" t="s">
        <v>538</v>
      </c>
      <c r="C1365" s="3" t="s">
        <v>538</v>
      </c>
      <c r="D1365" s="3"/>
      <c r="E1365" s="3" t="s">
        <v>3293</v>
      </c>
      <c r="F1365" s="3"/>
      <c r="G1365" s="3"/>
      <c r="H1365" s="3"/>
      <c r="I1365" s="3"/>
      <c r="J1365" s="3">
        <v>11</v>
      </c>
      <c r="K1365" s="3">
        <v>9</v>
      </c>
      <c r="L1365" s="3">
        <v>0</v>
      </c>
      <c r="M1365" s="3">
        <v>2</v>
      </c>
      <c r="N1365" s="3">
        <v>11</v>
      </c>
      <c r="O1365" s="3"/>
      <c r="P1365" s="3">
        <v>0</v>
      </c>
      <c r="Q1365" s="3">
        <v>0</v>
      </c>
      <c r="R1365" s="3">
        <v>0</v>
      </c>
    </row>
    <row r="1366" spans="1:18">
      <c r="A1366" s="3" t="s">
        <v>5192</v>
      </c>
      <c r="B1366" s="3" t="s">
        <v>1006</v>
      </c>
      <c r="C1366" s="3" t="s">
        <v>1006</v>
      </c>
      <c r="D1366" s="3"/>
      <c r="E1366" s="3" t="s">
        <v>3293</v>
      </c>
      <c r="F1366" s="3"/>
      <c r="G1366" s="3"/>
      <c r="H1366" s="3"/>
      <c r="I1366" s="3"/>
      <c r="J1366" s="3">
        <v>28</v>
      </c>
      <c r="K1366" s="3">
        <v>28</v>
      </c>
      <c r="L1366" s="3">
        <v>0</v>
      </c>
      <c r="M1366" s="3">
        <v>0</v>
      </c>
      <c r="N1366" s="3">
        <v>28</v>
      </c>
      <c r="O1366" s="3"/>
      <c r="P1366" s="3">
        <v>0</v>
      </c>
      <c r="Q1366" s="3">
        <v>0</v>
      </c>
      <c r="R1366" s="3">
        <v>0</v>
      </c>
    </row>
    <row r="1367" spans="1:18">
      <c r="A1367" s="3" t="s">
        <v>5193</v>
      </c>
      <c r="B1367" s="3" t="s">
        <v>154</v>
      </c>
      <c r="C1367" s="3" t="s">
        <v>154</v>
      </c>
      <c r="D1367" s="3"/>
      <c r="E1367" s="3" t="s">
        <v>3293</v>
      </c>
      <c r="F1367" s="3"/>
      <c r="G1367" s="3"/>
      <c r="H1367" s="3"/>
      <c r="I1367" s="3"/>
      <c r="J1367" s="3">
        <v>8</v>
      </c>
      <c r="K1367" s="3">
        <v>8</v>
      </c>
      <c r="L1367" s="3">
        <v>0</v>
      </c>
      <c r="M1367" s="3">
        <v>0</v>
      </c>
      <c r="N1367" s="3">
        <v>9</v>
      </c>
      <c r="O1367" s="3"/>
      <c r="P1367" s="3">
        <v>0</v>
      </c>
      <c r="Q1367" s="3">
        <v>0</v>
      </c>
      <c r="R1367" s="3">
        <v>1</v>
      </c>
    </row>
    <row r="1368" spans="1:18">
      <c r="A1368" s="3" t="s">
        <v>5194</v>
      </c>
      <c r="B1368" s="3" t="s">
        <v>4240</v>
      </c>
      <c r="C1368" s="3" t="s">
        <v>4240</v>
      </c>
      <c r="D1368" s="3"/>
      <c r="E1368" s="3" t="s">
        <v>3293</v>
      </c>
      <c r="F1368" s="3"/>
      <c r="G1368" s="3"/>
      <c r="H1368" s="3"/>
      <c r="I1368" s="3"/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/>
      <c r="P1368" s="3">
        <v>0</v>
      </c>
      <c r="Q1368" s="3">
        <v>0</v>
      </c>
      <c r="R1368" s="3">
        <v>0</v>
      </c>
    </row>
    <row r="1369" spans="1:18">
      <c r="A1369" s="3" t="s">
        <v>5195</v>
      </c>
      <c r="B1369" s="3" t="s">
        <v>530</v>
      </c>
      <c r="C1369" s="3" t="s">
        <v>530</v>
      </c>
      <c r="D1369" s="3"/>
      <c r="E1369" s="3" t="s">
        <v>3293</v>
      </c>
      <c r="F1369" s="3"/>
      <c r="G1369" s="3"/>
      <c r="H1369" s="3"/>
      <c r="I1369" s="3"/>
      <c r="J1369" s="3">
        <v>4</v>
      </c>
      <c r="K1369" s="3">
        <v>3</v>
      </c>
      <c r="L1369" s="3">
        <v>0</v>
      </c>
      <c r="M1369" s="3">
        <v>1</v>
      </c>
      <c r="N1369" s="3">
        <v>4</v>
      </c>
      <c r="O1369" s="3"/>
      <c r="P1369" s="3">
        <v>0</v>
      </c>
      <c r="Q1369" s="3">
        <v>0</v>
      </c>
      <c r="R1369" s="3">
        <v>0</v>
      </c>
    </row>
    <row r="1370" spans="1:18">
      <c r="A1370" s="3" t="s">
        <v>990</v>
      </c>
      <c r="B1370" s="3" t="s">
        <v>991</v>
      </c>
      <c r="C1370" s="3" t="s">
        <v>991</v>
      </c>
      <c r="D1370" s="3" t="s">
        <v>992</v>
      </c>
      <c r="E1370" s="3" t="s">
        <v>867</v>
      </c>
      <c r="F1370" s="3">
        <v>23.99</v>
      </c>
      <c r="G1370" s="3" t="s">
        <v>3391</v>
      </c>
      <c r="H1370" s="3"/>
      <c r="I1370" s="3" t="s">
        <v>3392</v>
      </c>
      <c r="J1370" s="3">
        <v>33</v>
      </c>
      <c r="K1370" s="3">
        <v>33</v>
      </c>
      <c r="L1370" s="3">
        <v>0</v>
      </c>
      <c r="M1370" s="3">
        <v>0</v>
      </c>
      <c r="N1370" s="3">
        <v>33</v>
      </c>
      <c r="O1370" s="3">
        <v>0.15</v>
      </c>
      <c r="P1370" s="3">
        <v>0</v>
      </c>
      <c r="Q1370" s="3">
        <v>0</v>
      </c>
      <c r="R1370" s="3">
        <v>0</v>
      </c>
    </row>
    <row r="1371" spans="1:18">
      <c r="A1371" s="3" t="s">
        <v>523</v>
      </c>
      <c r="B1371" s="3" t="s">
        <v>524</v>
      </c>
      <c r="C1371" s="3" t="s">
        <v>524</v>
      </c>
      <c r="D1371" s="3" t="s">
        <v>525</v>
      </c>
      <c r="E1371" s="3" t="s">
        <v>867</v>
      </c>
      <c r="F1371" s="3">
        <v>23.99</v>
      </c>
      <c r="G1371" s="3" t="s">
        <v>3391</v>
      </c>
      <c r="H1371" s="3"/>
      <c r="I1371" s="3" t="s">
        <v>3392</v>
      </c>
      <c r="J1371" s="3">
        <v>37</v>
      </c>
      <c r="K1371" s="3">
        <v>36</v>
      </c>
      <c r="L1371" s="3">
        <v>0</v>
      </c>
      <c r="M1371" s="3">
        <v>1</v>
      </c>
      <c r="N1371" s="3">
        <v>37</v>
      </c>
      <c r="O1371" s="3">
        <v>0.15</v>
      </c>
      <c r="P1371" s="3">
        <v>0</v>
      </c>
      <c r="Q1371" s="3">
        <v>0</v>
      </c>
      <c r="R1371" s="3">
        <v>0</v>
      </c>
    </row>
    <row r="1372" spans="1:18">
      <c r="A1372" s="3" t="s">
        <v>892</v>
      </c>
      <c r="B1372" s="3" t="s">
        <v>893</v>
      </c>
      <c r="C1372" s="3" t="s">
        <v>893</v>
      </c>
      <c r="D1372" s="3" t="s">
        <v>894</v>
      </c>
      <c r="E1372" s="3" t="s">
        <v>867</v>
      </c>
      <c r="F1372" s="3">
        <v>23.99</v>
      </c>
      <c r="G1372" s="3" t="s">
        <v>3391</v>
      </c>
      <c r="H1372" s="3"/>
      <c r="I1372" s="3" t="s">
        <v>3392</v>
      </c>
      <c r="J1372" s="3">
        <v>9</v>
      </c>
      <c r="K1372" s="3">
        <v>9</v>
      </c>
      <c r="L1372" s="3">
        <v>0</v>
      </c>
      <c r="M1372" s="3">
        <v>0</v>
      </c>
      <c r="N1372" s="3">
        <v>9</v>
      </c>
      <c r="O1372" s="3">
        <v>0.15</v>
      </c>
      <c r="P1372" s="3">
        <v>0</v>
      </c>
      <c r="Q1372" s="3">
        <v>0</v>
      </c>
      <c r="R1372" s="3">
        <v>0</v>
      </c>
    </row>
    <row r="1373" spans="1:18">
      <c r="A1373" s="3" t="s">
        <v>2486</v>
      </c>
      <c r="B1373" s="3" t="s">
        <v>2487</v>
      </c>
      <c r="C1373" s="3" t="s">
        <v>2487</v>
      </c>
      <c r="D1373" s="3" t="s">
        <v>2488</v>
      </c>
      <c r="E1373" s="3" t="s">
        <v>867</v>
      </c>
      <c r="F1373" s="3">
        <v>23.99</v>
      </c>
      <c r="G1373" s="3" t="s">
        <v>3391</v>
      </c>
      <c r="H1373" s="3"/>
      <c r="I1373" s="3" t="s">
        <v>3392</v>
      </c>
      <c r="J1373" s="3">
        <v>27</v>
      </c>
      <c r="K1373" s="3">
        <v>27</v>
      </c>
      <c r="L1373" s="3">
        <v>0</v>
      </c>
      <c r="M1373" s="3">
        <v>0</v>
      </c>
      <c r="N1373" s="3">
        <v>27</v>
      </c>
      <c r="O1373" s="3">
        <v>0.15</v>
      </c>
      <c r="P1373" s="3">
        <v>0</v>
      </c>
      <c r="Q1373" s="3">
        <v>0</v>
      </c>
      <c r="R1373" s="3">
        <v>0</v>
      </c>
    </row>
    <row r="1374" spans="1:18">
      <c r="A1374" s="3" t="s">
        <v>2308</v>
      </c>
      <c r="B1374" s="3" t="s">
        <v>2309</v>
      </c>
      <c r="C1374" s="3" t="s">
        <v>2309</v>
      </c>
      <c r="D1374" s="3" t="s">
        <v>2310</v>
      </c>
      <c r="E1374" s="3" t="s">
        <v>867</v>
      </c>
      <c r="F1374" s="3">
        <v>23.99</v>
      </c>
      <c r="G1374" s="3" t="s">
        <v>3391</v>
      </c>
      <c r="H1374" s="3"/>
      <c r="I1374" s="3" t="s">
        <v>3392</v>
      </c>
      <c r="J1374" s="3">
        <v>14</v>
      </c>
      <c r="K1374" s="3">
        <v>14</v>
      </c>
      <c r="L1374" s="3">
        <v>0</v>
      </c>
      <c r="M1374" s="3">
        <v>0</v>
      </c>
      <c r="N1374" s="3">
        <v>14</v>
      </c>
      <c r="O1374" s="3">
        <v>0.15</v>
      </c>
      <c r="P1374" s="3">
        <v>0</v>
      </c>
      <c r="Q1374" s="3">
        <v>0</v>
      </c>
      <c r="R1374" s="3">
        <v>0</v>
      </c>
    </row>
    <row r="1375" spans="1:18">
      <c r="A1375" s="3" t="s">
        <v>1561</v>
      </c>
      <c r="B1375" s="3" t="s">
        <v>1562</v>
      </c>
      <c r="C1375" s="3" t="s">
        <v>1562</v>
      </c>
      <c r="D1375" s="3" t="s">
        <v>1563</v>
      </c>
      <c r="E1375" s="3" t="s">
        <v>867</v>
      </c>
      <c r="F1375" s="3">
        <v>23.99</v>
      </c>
      <c r="G1375" s="3" t="s">
        <v>3391</v>
      </c>
      <c r="H1375" s="3"/>
      <c r="I1375" s="3" t="s">
        <v>3392</v>
      </c>
      <c r="J1375" s="3">
        <v>1</v>
      </c>
      <c r="K1375" s="3">
        <v>1</v>
      </c>
      <c r="L1375" s="3">
        <v>0</v>
      </c>
      <c r="M1375" s="3">
        <v>0</v>
      </c>
      <c r="N1375" s="3">
        <v>1</v>
      </c>
      <c r="O1375" s="3">
        <v>0.12</v>
      </c>
      <c r="P1375" s="3">
        <v>0</v>
      </c>
      <c r="Q1375" s="3">
        <v>0</v>
      </c>
      <c r="R1375" s="3">
        <v>0</v>
      </c>
    </row>
    <row r="1376" spans="1:18">
      <c r="A1376" s="3" t="s">
        <v>1580</v>
      </c>
      <c r="B1376" s="3" t="s">
        <v>1581</v>
      </c>
      <c r="C1376" s="3" t="s">
        <v>1581</v>
      </c>
      <c r="D1376" s="3" t="s">
        <v>1582</v>
      </c>
      <c r="E1376" s="3" t="s">
        <v>867</v>
      </c>
      <c r="F1376" s="3">
        <v>23.99</v>
      </c>
      <c r="G1376" s="3" t="s">
        <v>3391</v>
      </c>
      <c r="H1376" s="3"/>
      <c r="I1376" s="3" t="s">
        <v>3392</v>
      </c>
      <c r="J1376" s="3">
        <v>21</v>
      </c>
      <c r="K1376" s="3">
        <v>21</v>
      </c>
      <c r="L1376" s="3">
        <v>0</v>
      </c>
      <c r="M1376" s="3">
        <v>0</v>
      </c>
      <c r="N1376" s="3">
        <v>21</v>
      </c>
      <c r="O1376" s="3">
        <v>0.15</v>
      </c>
      <c r="P1376" s="3">
        <v>0</v>
      </c>
      <c r="Q1376" s="3">
        <v>0</v>
      </c>
      <c r="R1376" s="3">
        <v>0</v>
      </c>
    </row>
    <row r="1377" spans="1:18">
      <c r="A1377" s="3" t="s">
        <v>1179</v>
      </c>
      <c r="B1377" s="3" t="s">
        <v>1180</v>
      </c>
      <c r="C1377" s="3" t="s">
        <v>1180</v>
      </c>
      <c r="D1377" s="3" t="s">
        <v>1181</v>
      </c>
      <c r="E1377" s="3" t="s">
        <v>867</v>
      </c>
      <c r="F1377" s="3">
        <v>23.99</v>
      </c>
      <c r="G1377" s="3" t="s">
        <v>3391</v>
      </c>
      <c r="H1377" s="3"/>
      <c r="I1377" s="3" t="s">
        <v>3392</v>
      </c>
      <c r="J1377" s="3">
        <v>8</v>
      </c>
      <c r="K1377" s="3">
        <v>8</v>
      </c>
      <c r="L1377" s="3">
        <v>0</v>
      </c>
      <c r="M1377" s="3">
        <v>0</v>
      </c>
      <c r="N1377" s="3">
        <v>8</v>
      </c>
      <c r="O1377" s="3">
        <v>0.15</v>
      </c>
      <c r="P1377" s="3">
        <v>0</v>
      </c>
      <c r="Q1377" s="3">
        <v>0</v>
      </c>
      <c r="R1377" s="3">
        <v>0</v>
      </c>
    </row>
    <row r="1378" spans="1:18">
      <c r="A1378" s="3" t="s">
        <v>2183</v>
      </c>
      <c r="B1378" s="3" t="s">
        <v>2184</v>
      </c>
      <c r="C1378" s="3" t="s">
        <v>2184</v>
      </c>
      <c r="D1378" s="3" t="s">
        <v>2185</v>
      </c>
      <c r="E1378" s="3" t="s">
        <v>867</v>
      </c>
      <c r="F1378" s="3">
        <v>23.99</v>
      </c>
      <c r="G1378" s="3" t="s">
        <v>3391</v>
      </c>
      <c r="H1378" s="3"/>
      <c r="I1378" s="3" t="s">
        <v>3392</v>
      </c>
      <c r="J1378" s="3">
        <v>22</v>
      </c>
      <c r="K1378" s="3">
        <v>22</v>
      </c>
      <c r="L1378" s="3">
        <v>0</v>
      </c>
      <c r="M1378" s="3">
        <v>0</v>
      </c>
      <c r="N1378" s="3">
        <v>22</v>
      </c>
      <c r="O1378" s="3">
        <v>0.15</v>
      </c>
      <c r="P1378" s="3">
        <v>0</v>
      </c>
      <c r="Q1378" s="3">
        <v>0</v>
      </c>
      <c r="R1378" s="3">
        <v>0</v>
      </c>
    </row>
    <row r="1379" spans="1:18">
      <c r="A1379" s="3" t="s">
        <v>5196</v>
      </c>
      <c r="B1379" s="3" t="s">
        <v>1778</v>
      </c>
      <c r="C1379" s="3" t="s">
        <v>1778</v>
      </c>
      <c r="D1379" s="3" t="s">
        <v>1779</v>
      </c>
      <c r="E1379" s="3" t="s">
        <v>867</v>
      </c>
      <c r="F1379" s="3">
        <v>23.99</v>
      </c>
      <c r="G1379" s="3" t="s">
        <v>3391</v>
      </c>
      <c r="H1379" s="3"/>
      <c r="I1379" s="3" t="s">
        <v>3392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0.15</v>
      </c>
      <c r="P1379" s="3">
        <v>0</v>
      </c>
      <c r="Q1379" s="3">
        <v>0</v>
      </c>
      <c r="R1379" s="3">
        <v>0</v>
      </c>
    </row>
    <row r="1380" spans="1:18">
      <c r="A1380" s="3" t="s">
        <v>2995</v>
      </c>
      <c r="B1380" s="3" t="s">
        <v>1170</v>
      </c>
      <c r="C1380" s="3" t="s">
        <v>1170</v>
      </c>
      <c r="D1380" s="3" t="s">
        <v>1171</v>
      </c>
      <c r="E1380" s="3" t="s">
        <v>867</v>
      </c>
      <c r="F1380" s="3">
        <v>23.99</v>
      </c>
      <c r="G1380" s="3" t="s">
        <v>3391</v>
      </c>
      <c r="H1380" s="3"/>
      <c r="I1380" s="3" t="s">
        <v>3392</v>
      </c>
      <c r="J1380" s="3">
        <v>6</v>
      </c>
      <c r="K1380" s="3">
        <v>5</v>
      </c>
      <c r="L1380" s="3">
        <v>1</v>
      </c>
      <c r="M1380" s="3">
        <v>0</v>
      </c>
      <c r="N1380" s="3">
        <v>6</v>
      </c>
      <c r="O1380" s="3">
        <v>0.15</v>
      </c>
      <c r="P1380" s="3">
        <v>0</v>
      </c>
      <c r="Q1380" s="3">
        <v>0</v>
      </c>
      <c r="R1380" s="3">
        <v>0</v>
      </c>
    </row>
    <row r="1381" spans="1:18">
      <c r="A1381" s="3" t="s">
        <v>3272</v>
      </c>
      <c r="B1381" s="3" t="s">
        <v>3273</v>
      </c>
      <c r="C1381" s="3" t="s">
        <v>3273</v>
      </c>
      <c r="D1381" s="3" t="s">
        <v>3274</v>
      </c>
      <c r="E1381" s="3" t="s">
        <v>867</v>
      </c>
      <c r="F1381" s="3">
        <v>23.99</v>
      </c>
      <c r="G1381" s="3" t="s">
        <v>3391</v>
      </c>
      <c r="H1381" s="3"/>
      <c r="I1381" s="3" t="s">
        <v>3392</v>
      </c>
      <c r="J1381" s="3">
        <v>12</v>
      </c>
      <c r="K1381" s="3">
        <v>12</v>
      </c>
      <c r="L1381" s="3">
        <v>0</v>
      </c>
      <c r="M1381" s="3">
        <v>0</v>
      </c>
      <c r="N1381" s="3">
        <v>12</v>
      </c>
      <c r="O1381" s="3">
        <v>0.15</v>
      </c>
      <c r="P1381" s="3">
        <v>0</v>
      </c>
      <c r="Q1381" s="3">
        <v>0</v>
      </c>
      <c r="R1381" s="3">
        <v>0</v>
      </c>
    </row>
    <row r="1382" spans="1:18">
      <c r="A1382" s="3" t="s">
        <v>975</v>
      </c>
      <c r="B1382" s="3" t="s">
        <v>976</v>
      </c>
      <c r="C1382" s="3" t="s">
        <v>976</v>
      </c>
      <c r="D1382" s="3" t="s">
        <v>977</v>
      </c>
      <c r="E1382" s="3" t="s">
        <v>867</v>
      </c>
      <c r="F1382" s="3">
        <v>23.99</v>
      </c>
      <c r="G1382" s="3" t="s">
        <v>3391</v>
      </c>
      <c r="H1382" s="3"/>
      <c r="I1382" s="3" t="s">
        <v>3392</v>
      </c>
      <c r="J1382" s="3">
        <v>16</v>
      </c>
      <c r="K1382" s="3">
        <v>16</v>
      </c>
      <c r="L1382" s="3">
        <v>0</v>
      </c>
      <c r="M1382" s="3">
        <v>0</v>
      </c>
      <c r="N1382" s="3">
        <v>16</v>
      </c>
      <c r="O1382" s="3">
        <v>0.15</v>
      </c>
      <c r="P1382" s="3">
        <v>0</v>
      </c>
      <c r="Q1382" s="3">
        <v>0</v>
      </c>
      <c r="R1382" s="3">
        <v>0</v>
      </c>
    </row>
    <row r="1383" spans="1:18">
      <c r="A1383" s="3" t="s">
        <v>5197</v>
      </c>
      <c r="B1383" s="3" t="s">
        <v>4236</v>
      </c>
      <c r="C1383" s="3" t="s">
        <v>4236</v>
      </c>
      <c r="D1383" s="3" t="s">
        <v>4237</v>
      </c>
      <c r="E1383" s="3" t="s">
        <v>867</v>
      </c>
      <c r="F1383" s="3">
        <v>23.99</v>
      </c>
      <c r="G1383" s="3" t="s">
        <v>3391</v>
      </c>
      <c r="H1383" s="3"/>
      <c r="I1383" s="3" t="s">
        <v>3392</v>
      </c>
      <c r="J1383" s="3">
        <v>0</v>
      </c>
      <c r="K1383" s="3">
        <v>0</v>
      </c>
      <c r="L1383" s="3">
        <v>0</v>
      </c>
      <c r="M1383" s="3">
        <v>0</v>
      </c>
      <c r="N1383" s="3">
        <v>2</v>
      </c>
      <c r="O1383" s="3">
        <v>0.15</v>
      </c>
      <c r="P1383" s="3">
        <v>0</v>
      </c>
      <c r="Q1383" s="3">
        <v>0</v>
      </c>
      <c r="R1383" s="3">
        <v>2</v>
      </c>
    </row>
    <row r="1384" spans="1:18">
      <c r="A1384" s="3" t="s">
        <v>1806</v>
      </c>
      <c r="B1384" s="3" t="s">
        <v>1807</v>
      </c>
      <c r="C1384" s="3" t="s">
        <v>1807</v>
      </c>
      <c r="D1384" s="3" t="s">
        <v>1808</v>
      </c>
      <c r="E1384" s="3" t="s">
        <v>867</v>
      </c>
      <c r="F1384" s="3">
        <v>23.99</v>
      </c>
      <c r="G1384" s="3" t="s">
        <v>3391</v>
      </c>
      <c r="H1384" s="3"/>
      <c r="I1384" s="3" t="s">
        <v>3392</v>
      </c>
      <c r="J1384" s="3">
        <v>9</v>
      </c>
      <c r="K1384" s="3">
        <v>9</v>
      </c>
      <c r="L1384" s="3">
        <v>0</v>
      </c>
      <c r="M1384" s="3">
        <v>0</v>
      </c>
      <c r="N1384" s="3">
        <v>9</v>
      </c>
      <c r="O1384" s="3">
        <v>0.15</v>
      </c>
      <c r="P1384" s="3">
        <v>0</v>
      </c>
      <c r="Q1384" s="3">
        <v>0</v>
      </c>
      <c r="R1384" s="3">
        <v>0</v>
      </c>
    </row>
    <row r="1385" spans="1:18">
      <c r="A1385" s="3" t="s">
        <v>2328</v>
      </c>
      <c r="B1385" s="3" t="s">
        <v>154</v>
      </c>
      <c r="C1385" s="3" t="s">
        <v>154</v>
      </c>
      <c r="D1385" s="3" t="s">
        <v>155</v>
      </c>
      <c r="E1385" s="3" t="s">
        <v>867</v>
      </c>
      <c r="F1385" s="3">
        <v>23.99</v>
      </c>
      <c r="G1385" s="3" t="s">
        <v>3391</v>
      </c>
      <c r="H1385" s="3"/>
      <c r="I1385" s="3" t="s">
        <v>3392</v>
      </c>
      <c r="J1385" s="3">
        <v>8</v>
      </c>
      <c r="K1385" s="3">
        <v>8</v>
      </c>
      <c r="L1385" s="3">
        <v>0</v>
      </c>
      <c r="M1385" s="3">
        <v>0</v>
      </c>
      <c r="N1385" s="3">
        <v>9</v>
      </c>
      <c r="O1385" s="3">
        <v>0.15</v>
      </c>
      <c r="P1385" s="3">
        <v>0</v>
      </c>
      <c r="Q1385" s="3">
        <v>0</v>
      </c>
      <c r="R1385" s="3">
        <v>1</v>
      </c>
    </row>
    <row r="1386" spans="1:18">
      <c r="A1386" s="3" t="s">
        <v>1134</v>
      </c>
      <c r="B1386" s="3" t="s">
        <v>1006</v>
      </c>
      <c r="C1386" s="3" t="s">
        <v>1006</v>
      </c>
      <c r="D1386" s="3" t="s">
        <v>1007</v>
      </c>
      <c r="E1386" s="3" t="s">
        <v>867</v>
      </c>
      <c r="F1386" s="3">
        <v>23.99</v>
      </c>
      <c r="G1386" s="3" t="s">
        <v>3391</v>
      </c>
      <c r="H1386" s="3"/>
      <c r="I1386" s="3" t="s">
        <v>3392</v>
      </c>
      <c r="J1386" s="3">
        <v>28</v>
      </c>
      <c r="K1386" s="3">
        <v>28</v>
      </c>
      <c r="L1386" s="3">
        <v>0</v>
      </c>
      <c r="M1386" s="3">
        <v>0</v>
      </c>
      <c r="N1386" s="3">
        <v>28</v>
      </c>
      <c r="O1386" s="3">
        <v>0.15</v>
      </c>
      <c r="P1386" s="3">
        <v>0</v>
      </c>
      <c r="Q1386" s="3">
        <v>0</v>
      </c>
      <c r="R1386" s="3">
        <v>0</v>
      </c>
    </row>
    <row r="1387" spans="1:18">
      <c r="A1387" s="3" t="s">
        <v>537</v>
      </c>
      <c r="B1387" s="3" t="s">
        <v>538</v>
      </c>
      <c r="C1387" s="3" t="s">
        <v>538</v>
      </c>
      <c r="D1387" s="3" t="s">
        <v>539</v>
      </c>
      <c r="E1387" s="3" t="s">
        <v>867</v>
      </c>
      <c r="F1387" s="3">
        <v>23.99</v>
      </c>
      <c r="G1387" s="3" t="s">
        <v>3391</v>
      </c>
      <c r="H1387" s="3"/>
      <c r="I1387" s="3" t="s">
        <v>3392</v>
      </c>
      <c r="J1387" s="3">
        <v>11</v>
      </c>
      <c r="K1387" s="3">
        <v>9</v>
      </c>
      <c r="L1387" s="3">
        <v>0</v>
      </c>
      <c r="M1387" s="3">
        <v>2</v>
      </c>
      <c r="N1387" s="3">
        <v>11</v>
      </c>
      <c r="O1387" s="3">
        <v>0.15</v>
      </c>
      <c r="P1387" s="3">
        <v>0</v>
      </c>
      <c r="Q1387" s="3">
        <v>0</v>
      </c>
      <c r="R1387" s="3">
        <v>0</v>
      </c>
    </row>
    <row r="1388" spans="1:18">
      <c r="A1388" s="3" t="s">
        <v>5198</v>
      </c>
      <c r="B1388" s="3" t="s">
        <v>4240</v>
      </c>
      <c r="C1388" s="3" t="s">
        <v>4240</v>
      </c>
      <c r="D1388" s="3" t="s">
        <v>4241</v>
      </c>
      <c r="E1388" s="3" t="s">
        <v>867</v>
      </c>
      <c r="F1388" s="3">
        <v>23.99</v>
      </c>
      <c r="G1388" s="3" t="s">
        <v>3391</v>
      </c>
      <c r="H1388" s="3"/>
      <c r="I1388" s="3" t="s">
        <v>3392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0.14</v>
      </c>
      <c r="P1388" s="3">
        <v>0</v>
      </c>
      <c r="Q1388" s="3">
        <v>0</v>
      </c>
      <c r="R1388" s="3">
        <v>0</v>
      </c>
    </row>
    <row r="1389" spans="1:18">
      <c r="A1389" s="3" t="s">
        <v>529</v>
      </c>
      <c r="B1389" s="3" t="s">
        <v>530</v>
      </c>
      <c r="C1389" s="3" t="s">
        <v>530</v>
      </c>
      <c r="D1389" s="3" t="s">
        <v>531</v>
      </c>
      <c r="E1389" s="3" t="s">
        <v>867</v>
      </c>
      <c r="F1389" s="3">
        <v>23.99</v>
      </c>
      <c r="G1389" s="3" t="s">
        <v>3391</v>
      </c>
      <c r="H1389" s="3"/>
      <c r="I1389" s="3" t="s">
        <v>3392</v>
      </c>
      <c r="J1389" s="3">
        <v>4</v>
      </c>
      <c r="K1389" s="3">
        <v>3</v>
      </c>
      <c r="L1389" s="3">
        <v>0</v>
      </c>
      <c r="M1389" s="3">
        <v>1</v>
      </c>
      <c r="N1389" s="3">
        <v>4</v>
      </c>
      <c r="O1389" s="3">
        <v>0.14</v>
      </c>
      <c r="P1389" s="3">
        <v>0</v>
      </c>
      <c r="Q1389" s="3">
        <v>0</v>
      </c>
      <c r="R1389" s="3">
        <v>0</v>
      </c>
    </row>
    <row r="1390" spans="1:18">
      <c r="A1390" s="3" t="s">
        <v>540</v>
      </c>
      <c r="B1390" s="3" t="s">
        <v>541</v>
      </c>
      <c r="C1390" s="3" t="s">
        <v>541</v>
      </c>
      <c r="D1390" s="3" t="s">
        <v>542</v>
      </c>
      <c r="E1390" s="3" t="s">
        <v>867</v>
      </c>
      <c r="F1390" s="3">
        <v>23.99</v>
      </c>
      <c r="G1390" s="3" t="s">
        <v>3391</v>
      </c>
      <c r="H1390" s="3"/>
      <c r="I1390" s="3" t="s">
        <v>3392</v>
      </c>
      <c r="J1390" s="3">
        <v>7</v>
      </c>
      <c r="K1390" s="3">
        <v>6</v>
      </c>
      <c r="L1390" s="3">
        <v>0</v>
      </c>
      <c r="M1390" s="3">
        <v>1</v>
      </c>
      <c r="N1390" s="3">
        <v>7</v>
      </c>
      <c r="O1390" s="3">
        <v>0.15</v>
      </c>
      <c r="P1390" s="3">
        <v>0</v>
      </c>
      <c r="Q1390" s="3">
        <v>0</v>
      </c>
      <c r="R1390" s="3">
        <v>0</v>
      </c>
    </row>
    <row r="1391" spans="1:18">
      <c r="A1391" s="3" t="s">
        <v>1980</v>
      </c>
      <c r="B1391" s="3" t="s">
        <v>1224</v>
      </c>
      <c r="C1391" s="3" t="s">
        <v>1224</v>
      </c>
      <c r="D1391" s="3" t="s">
        <v>1225</v>
      </c>
      <c r="E1391" s="3" t="s">
        <v>867</v>
      </c>
      <c r="F1391" s="3">
        <v>23.99</v>
      </c>
      <c r="G1391" s="3" t="s">
        <v>3391</v>
      </c>
      <c r="H1391" s="3"/>
      <c r="I1391" s="3" t="s">
        <v>3392</v>
      </c>
      <c r="J1391" s="3">
        <v>1</v>
      </c>
      <c r="K1391" s="3">
        <v>1</v>
      </c>
      <c r="L1391" s="3">
        <v>0</v>
      </c>
      <c r="M1391" s="3">
        <v>0</v>
      </c>
      <c r="N1391" s="3">
        <v>1</v>
      </c>
      <c r="O1391" s="3">
        <v>0.15</v>
      </c>
      <c r="P1391" s="3">
        <v>0</v>
      </c>
      <c r="Q1391" s="3">
        <v>0</v>
      </c>
      <c r="R1391" s="3">
        <v>0</v>
      </c>
    </row>
    <row r="1392" spans="1:18">
      <c r="A1392" s="3" t="s">
        <v>5199</v>
      </c>
      <c r="B1392" s="3" t="s">
        <v>2191</v>
      </c>
      <c r="C1392" s="3" t="s">
        <v>2191</v>
      </c>
      <c r="D1392" s="3" t="s">
        <v>2192</v>
      </c>
      <c r="E1392" s="3" t="s">
        <v>867</v>
      </c>
      <c r="F1392" s="3">
        <v>23.99</v>
      </c>
      <c r="G1392" s="3" t="s">
        <v>3391</v>
      </c>
      <c r="H1392" s="3"/>
      <c r="I1392" s="3" t="s">
        <v>3392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0.15</v>
      </c>
      <c r="P1392" s="3">
        <v>0</v>
      </c>
      <c r="Q1392" s="3">
        <v>0</v>
      </c>
      <c r="R1392" s="3">
        <v>0</v>
      </c>
    </row>
    <row r="1393" spans="1:18">
      <c r="A1393" s="3" t="s">
        <v>1041</v>
      </c>
      <c r="B1393" s="3" t="s">
        <v>1042</v>
      </c>
      <c r="C1393" s="3" t="s">
        <v>1042</v>
      </c>
      <c r="D1393" s="3" t="s">
        <v>1043</v>
      </c>
      <c r="E1393" s="3" t="s">
        <v>867</v>
      </c>
      <c r="F1393" s="3">
        <v>23.99</v>
      </c>
      <c r="G1393" s="3" t="s">
        <v>3391</v>
      </c>
      <c r="H1393" s="3"/>
      <c r="I1393" s="3" t="s">
        <v>3392</v>
      </c>
      <c r="J1393" s="3">
        <v>18</v>
      </c>
      <c r="K1393" s="3">
        <v>18</v>
      </c>
      <c r="L1393" s="3">
        <v>0</v>
      </c>
      <c r="M1393" s="3">
        <v>0</v>
      </c>
      <c r="N1393" s="3">
        <v>18</v>
      </c>
      <c r="O1393" s="3">
        <v>0.15</v>
      </c>
      <c r="P1393" s="3">
        <v>0</v>
      </c>
      <c r="Q1393" s="3">
        <v>0</v>
      </c>
      <c r="R1393" s="3">
        <v>0</v>
      </c>
    </row>
    <row r="1394" spans="1:18">
      <c r="A1394" s="3" t="s">
        <v>5200</v>
      </c>
      <c r="B1394" s="3" t="s">
        <v>2574</v>
      </c>
      <c r="C1394" s="3" t="s">
        <v>2574</v>
      </c>
      <c r="D1394" s="3" t="s">
        <v>2575</v>
      </c>
      <c r="E1394" s="3" t="s">
        <v>867</v>
      </c>
      <c r="F1394" s="3">
        <v>23.99</v>
      </c>
      <c r="G1394" s="3" t="s">
        <v>3391</v>
      </c>
      <c r="H1394" s="3"/>
      <c r="I1394" s="3" t="s">
        <v>3392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0.15</v>
      </c>
      <c r="P1394" s="3">
        <v>0</v>
      </c>
      <c r="Q1394" s="3">
        <v>0</v>
      </c>
      <c r="R1394" s="3">
        <v>0</v>
      </c>
    </row>
    <row r="1395" spans="1:18">
      <c r="A1395" s="3" t="s">
        <v>2287</v>
      </c>
      <c r="B1395" s="3" t="s">
        <v>2288</v>
      </c>
      <c r="C1395" s="3" t="s">
        <v>2288</v>
      </c>
      <c r="D1395" s="3" t="s">
        <v>2289</v>
      </c>
      <c r="E1395" s="3" t="s">
        <v>867</v>
      </c>
      <c r="F1395" s="3">
        <v>23.99</v>
      </c>
      <c r="G1395" s="3" t="s">
        <v>3391</v>
      </c>
      <c r="H1395" s="3"/>
      <c r="I1395" s="3" t="s">
        <v>3392</v>
      </c>
      <c r="J1395" s="3">
        <v>5</v>
      </c>
      <c r="K1395" s="3">
        <v>5</v>
      </c>
      <c r="L1395" s="3">
        <v>0</v>
      </c>
      <c r="M1395" s="3">
        <v>0</v>
      </c>
      <c r="N1395" s="3">
        <v>5</v>
      </c>
      <c r="O1395" s="3">
        <v>0.15</v>
      </c>
      <c r="P1395" s="3">
        <v>0</v>
      </c>
      <c r="Q1395" s="3">
        <v>0</v>
      </c>
      <c r="R1395" s="3">
        <v>0</v>
      </c>
    </row>
    <row r="1396" spans="1:18">
      <c r="A1396" s="3" t="s">
        <v>1388</v>
      </c>
      <c r="B1396" s="3" t="s">
        <v>1389</v>
      </c>
      <c r="C1396" s="3" t="s">
        <v>1389</v>
      </c>
      <c r="D1396" s="3" t="s">
        <v>1390</v>
      </c>
      <c r="E1396" s="3" t="s">
        <v>867</v>
      </c>
      <c r="F1396" s="3">
        <v>23.99</v>
      </c>
      <c r="G1396" s="3" t="s">
        <v>3391</v>
      </c>
      <c r="H1396" s="3"/>
      <c r="I1396" s="3" t="s">
        <v>3392</v>
      </c>
      <c r="J1396" s="3">
        <v>12</v>
      </c>
      <c r="K1396" s="3">
        <v>12</v>
      </c>
      <c r="L1396" s="3">
        <v>0</v>
      </c>
      <c r="M1396" s="3">
        <v>0</v>
      </c>
      <c r="N1396" s="3">
        <v>12</v>
      </c>
      <c r="O1396" s="3">
        <v>0.15</v>
      </c>
      <c r="P1396" s="3">
        <v>0</v>
      </c>
      <c r="Q1396" s="3">
        <v>0</v>
      </c>
      <c r="R1396" s="3">
        <v>0</v>
      </c>
    </row>
    <row r="1397" spans="1:18">
      <c r="A1397" s="3" t="s">
        <v>2342</v>
      </c>
      <c r="B1397" s="3" t="s">
        <v>2343</v>
      </c>
      <c r="C1397" s="3" t="s">
        <v>2343</v>
      </c>
      <c r="D1397" s="3" t="s">
        <v>2344</v>
      </c>
      <c r="E1397" s="3" t="s">
        <v>867</v>
      </c>
      <c r="F1397" s="3">
        <v>23.99</v>
      </c>
      <c r="G1397" s="3" t="s">
        <v>3391</v>
      </c>
      <c r="H1397" s="3"/>
      <c r="I1397" s="3" t="s">
        <v>3392</v>
      </c>
      <c r="J1397" s="3">
        <v>12</v>
      </c>
      <c r="K1397" s="3">
        <v>12</v>
      </c>
      <c r="L1397" s="3">
        <v>0</v>
      </c>
      <c r="M1397" s="3">
        <v>0</v>
      </c>
      <c r="N1397" s="3">
        <v>12</v>
      </c>
      <c r="O1397" s="3">
        <v>0.15</v>
      </c>
      <c r="P1397" s="3">
        <v>0</v>
      </c>
      <c r="Q1397" s="3">
        <v>0</v>
      </c>
      <c r="R1397" s="3">
        <v>0</v>
      </c>
    </row>
    <row r="1398" spans="1:18">
      <c r="A1398" s="3" t="s">
        <v>1371</v>
      </c>
      <c r="B1398" s="3" t="s">
        <v>1372</v>
      </c>
      <c r="C1398" s="3" t="s">
        <v>1372</v>
      </c>
      <c r="D1398" s="3" t="s">
        <v>1373</v>
      </c>
      <c r="E1398" s="3" t="s">
        <v>867</v>
      </c>
      <c r="F1398" s="3">
        <v>23.99</v>
      </c>
      <c r="G1398" s="3" t="s">
        <v>3391</v>
      </c>
      <c r="H1398" s="3"/>
      <c r="I1398" s="3" t="s">
        <v>3392</v>
      </c>
      <c r="J1398" s="3">
        <v>17</v>
      </c>
      <c r="K1398" s="3">
        <v>17</v>
      </c>
      <c r="L1398" s="3">
        <v>0</v>
      </c>
      <c r="M1398" s="3">
        <v>0</v>
      </c>
      <c r="N1398" s="3">
        <v>17</v>
      </c>
      <c r="O1398" s="3">
        <v>0.15</v>
      </c>
      <c r="P1398" s="3">
        <v>0</v>
      </c>
      <c r="Q1398" s="3">
        <v>0</v>
      </c>
      <c r="R1398" s="3">
        <v>0</v>
      </c>
    </row>
    <row r="1399" spans="1:18">
      <c r="A1399" s="3" t="s">
        <v>2101</v>
      </c>
      <c r="B1399" s="3" t="s">
        <v>2102</v>
      </c>
      <c r="C1399" s="3" t="s">
        <v>2102</v>
      </c>
      <c r="D1399" s="3" t="s">
        <v>2103</v>
      </c>
      <c r="E1399" s="3" t="s">
        <v>867</v>
      </c>
      <c r="F1399" s="3">
        <v>23.99</v>
      </c>
      <c r="G1399" s="3" t="s">
        <v>3391</v>
      </c>
      <c r="H1399" s="3"/>
      <c r="I1399" s="3" t="s">
        <v>3392</v>
      </c>
      <c r="J1399" s="3">
        <v>13</v>
      </c>
      <c r="K1399" s="3">
        <v>13</v>
      </c>
      <c r="L1399" s="3">
        <v>0</v>
      </c>
      <c r="M1399" s="3">
        <v>0</v>
      </c>
      <c r="N1399" s="3">
        <v>13</v>
      </c>
      <c r="O1399" s="3">
        <v>0.15</v>
      </c>
      <c r="P1399" s="3">
        <v>0</v>
      </c>
      <c r="Q1399" s="3">
        <v>0</v>
      </c>
      <c r="R1399" s="3">
        <v>0</v>
      </c>
    </row>
    <row r="1400" spans="1:18">
      <c r="A1400" s="3" t="s">
        <v>3013</v>
      </c>
      <c r="B1400" s="3" t="s">
        <v>2437</v>
      </c>
      <c r="C1400" s="3" t="s">
        <v>2437</v>
      </c>
      <c r="D1400" s="3" t="s">
        <v>2438</v>
      </c>
      <c r="E1400" s="3" t="s">
        <v>867</v>
      </c>
      <c r="F1400" s="3">
        <v>23.99</v>
      </c>
      <c r="G1400" s="3" t="s">
        <v>3391</v>
      </c>
      <c r="H1400" s="3"/>
      <c r="I1400" s="3" t="s">
        <v>3392</v>
      </c>
      <c r="J1400" s="3">
        <v>15</v>
      </c>
      <c r="K1400" s="3">
        <v>15</v>
      </c>
      <c r="L1400" s="3">
        <v>0</v>
      </c>
      <c r="M1400" s="3">
        <v>0</v>
      </c>
      <c r="N1400" s="3">
        <v>15</v>
      </c>
      <c r="O1400" s="3">
        <v>0.15</v>
      </c>
      <c r="P1400" s="3">
        <v>0</v>
      </c>
      <c r="Q1400" s="3">
        <v>0</v>
      </c>
      <c r="R1400" s="3">
        <v>0</v>
      </c>
    </row>
    <row r="1401" spans="1:18">
      <c r="A1401" s="3" t="s">
        <v>526</v>
      </c>
      <c r="B1401" s="3" t="s">
        <v>527</v>
      </c>
      <c r="C1401" s="3" t="s">
        <v>527</v>
      </c>
      <c r="D1401" s="3" t="s">
        <v>528</v>
      </c>
      <c r="E1401" s="3" t="s">
        <v>867</v>
      </c>
      <c r="F1401" s="3">
        <v>23.99</v>
      </c>
      <c r="G1401" s="3" t="s">
        <v>3391</v>
      </c>
      <c r="H1401" s="3"/>
      <c r="I1401" s="3" t="s">
        <v>3392</v>
      </c>
      <c r="J1401" s="3">
        <v>6</v>
      </c>
      <c r="K1401" s="3">
        <v>5</v>
      </c>
      <c r="L1401" s="3">
        <v>0</v>
      </c>
      <c r="M1401" s="3">
        <v>1</v>
      </c>
      <c r="N1401" s="3">
        <v>6</v>
      </c>
      <c r="O1401" s="3">
        <v>0.15</v>
      </c>
      <c r="P1401" s="3">
        <v>0</v>
      </c>
      <c r="Q1401" s="3">
        <v>0</v>
      </c>
      <c r="R1401" s="3">
        <v>0</v>
      </c>
    </row>
    <row r="1402" spans="1:18">
      <c r="A1402" s="3" t="s">
        <v>3202</v>
      </c>
      <c r="B1402" s="3" t="s">
        <v>3203</v>
      </c>
      <c r="C1402" s="3" t="s">
        <v>3203</v>
      </c>
      <c r="D1402" s="3" t="s">
        <v>3204</v>
      </c>
      <c r="E1402" s="3" t="s">
        <v>867</v>
      </c>
      <c r="F1402" s="3">
        <v>23.99</v>
      </c>
      <c r="G1402" s="3" t="s">
        <v>3391</v>
      </c>
      <c r="H1402" s="3"/>
      <c r="I1402" s="3" t="s">
        <v>3392</v>
      </c>
      <c r="J1402" s="3">
        <v>10</v>
      </c>
      <c r="K1402" s="3">
        <v>10</v>
      </c>
      <c r="L1402" s="3">
        <v>0</v>
      </c>
      <c r="M1402" s="3">
        <v>0</v>
      </c>
      <c r="N1402" s="3">
        <v>10</v>
      </c>
      <c r="O1402" s="3">
        <v>0.15</v>
      </c>
      <c r="P1402" s="3">
        <v>0</v>
      </c>
      <c r="Q1402" s="3">
        <v>0</v>
      </c>
      <c r="R1402" s="3">
        <v>0</v>
      </c>
    </row>
    <row r="1403" spans="1:18">
      <c r="A1403" s="3" t="s">
        <v>5201</v>
      </c>
      <c r="B1403" s="3" t="s">
        <v>2454</v>
      </c>
      <c r="C1403" s="3" t="s">
        <v>2454</v>
      </c>
      <c r="D1403" s="3" t="s">
        <v>2455</v>
      </c>
      <c r="E1403" s="3" t="s">
        <v>867</v>
      </c>
      <c r="F1403" s="3">
        <v>23.99</v>
      </c>
      <c r="G1403" s="3" t="s">
        <v>3391</v>
      </c>
      <c r="H1403" s="3"/>
      <c r="I1403" s="3" t="s">
        <v>3392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0.15</v>
      </c>
      <c r="P1403" s="3">
        <v>0</v>
      </c>
      <c r="Q1403" s="3">
        <v>0</v>
      </c>
      <c r="R1403" s="3">
        <v>0</v>
      </c>
    </row>
    <row r="1404" spans="1:18">
      <c r="A1404" s="3" t="s">
        <v>2677</v>
      </c>
      <c r="B1404" s="3" t="s">
        <v>2678</v>
      </c>
      <c r="C1404" s="3" t="s">
        <v>2678</v>
      </c>
      <c r="D1404" s="3" t="s">
        <v>2679</v>
      </c>
      <c r="E1404" s="3" t="s">
        <v>867</v>
      </c>
      <c r="F1404" s="3">
        <v>23.99</v>
      </c>
      <c r="G1404" s="3" t="s">
        <v>3391</v>
      </c>
      <c r="H1404" s="3"/>
      <c r="I1404" s="3" t="s">
        <v>3392</v>
      </c>
      <c r="J1404" s="3">
        <v>16</v>
      </c>
      <c r="K1404" s="3">
        <v>16</v>
      </c>
      <c r="L1404" s="3">
        <v>0</v>
      </c>
      <c r="M1404" s="3">
        <v>0</v>
      </c>
      <c r="N1404" s="3">
        <v>16</v>
      </c>
      <c r="O1404" s="3">
        <v>0.15</v>
      </c>
      <c r="P1404" s="3">
        <v>0</v>
      </c>
      <c r="Q1404" s="3">
        <v>0</v>
      </c>
      <c r="R1404" s="3">
        <v>0</v>
      </c>
    </row>
    <row r="1405" spans="1:18">
      <c r="A1405" s="3" t="s">
        <v>5202</v>
      </c>
      <c r="B1405" s="3" t="s">
        <v>5203</v>
      </c>
      <c r="C1405" s="3" t="s">
        <v>5203</v>
      </c>
      <c r="D1405" s="3" t="s">
        <v>5204</v>
      </c>
      <c r="E1405" s="3" t="s">
        <v>867</v>
      </c>
      <c r="F1405" s="3">
        <v>69.98</v>
      </c>
      <c r="G1405" s="3" t="s">
        <v>3391</v>
      </c>
      <c r="H1405" s="3"/>
      <c r="I1405" s="3" t="s">
        <v>3392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0.15</v>
      </c>
      <c r="P1405" s="3">
        <v>0</v>
      </c>
      <c r="Q1405" s="3">
        <v>0</v>
      </c>
      <c r="R1405" s="3">
        <v>0</v>
      </c>
    </row>
    <row r="1406" spans="1:18">
      <c r="A1406" s="3" t="s">
        <v>5205</v>
      </c>
      <c r="B1406" s="3" t="s">
        <v>5206</v>
      </c>
      <c r="C1406" s="3" t="s">
        <v>5206</v>
      </c>
      <c r="D1406" s="3"/>
      <c r="E1406" s="3" t="s">
        <v>3293</v>
      </c>
      <c r="F1406" s="3"/>
      <c r="G1406" s="3"/>
      <c r="H1406" s="3"/>
      <c r="I1406" s="3"/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/>
      <c r="P1406" s="3">
        <v>0</v>
      </c>
      <c r="Q1406" s="3">
        <v>0</v>
      </c>
      <c r="R1406" s="3">
        <v>0</v>
      </c>
    </row>
    <row r="1407" spans="1:18">
      <c r="A1407" s="3" t="s">
        <v>5207</v>
      </c>
      <c r="B1407" s="3" t="s">
        <v>5208</v>
      </c>
      <c r="C1407" s="3" t="s">
        <v>5208</v>
      </c>
      <c r="D1407" s="3" t="s">
        <v>5209</v>
      </c>
      <c r="E1407" s="3" t="s">
        <v>867</v>
      </c>
      <c r="F1407" s="3">
        <v>69.98</v>
      </c>
      <c r="G1407" s="3" t="s">
        <v>3391</v>
      </c>
      <c r="H1407" s="3"/>
      <c r="I1407" s="3" t="s">
        <v>3392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0.15</v>
      </c>
      <c r="P1407" s="3">
        <v>0</v>
      </c>
      <c r="Q1407" s="3">
        <v>0</v>
      </c>
      <c r="R1407" s="3">
        <v>0</v>
      </c>
    </row>
    <row r="1408" spans="1:18">
      <c r="A1408" s="3" t="s">
        <v>2628</v>
      </c>
      <c r="B1408" s="3" t="s">
        <v>2629</v>
      </c>
      <c r="C1408" s="3" t="s">
        <v>2629</v>
      </c>
      <c r="D1408" s="3" t="s">
        <v>2630</v>
      </c>
      <c r="E1408" s="3" t="s">
        <v>867</v>
      </c>
      <c r="F1408" s="3">
        <v>69.98</v>
      </c>
      <c r="G1408" s="3" t="s">
        <v>3391</v>
      </c>
      <c r="H1408" s="3"/>
      <c r="I1408" s="3" t="s">
        <v>3392</v>
      </c>
      <c r="J1408" s="3">
        <v>1</v>
      </c>
      <c r="K1408" s="3">
        <v>1</v>
      </c>
      <c r="L1408" s="3">
        <v>0</v>
      </c>
      <c r="M1408" s="3">
        <v>0</v>
      </c>
      <c r="N1408" s="3">
        <v>1</v>
      </c>
      <c r="O1408" s="3">
        <v>0.14</v>
      </c>
      <c r="P1408" s="3">
        <v>0</v>
      </c>
      <c r="Q1408" s="3">
        <v>0</v>
      </c>
      <c r="R1408" s="3">
        <v>0</v>
      </c>
    </row>
    <row r="1409" spans="1:18">
      <c r="A1409" s="3" t="s">
        <v>1086</v>
      </c>
      <c r="B1409" s="3" t="s">
        <v>1087</v>
      </c>
      <c r="C1409" s="3" t="s">
        <v>1087</v>
      </c>
      <c r="D1409" s="3" t="s">
        <v>1088</v>
      </c>
      <c r="E1409" s="3" t="s">
        <v>867</v>
      </c>
      <c r="F1409" s="3">
        <v>69.98</v>
      </c>
      <c r="G1409" s="3" t="s">
        <v>3391</v>
      </c>
      <c r="H1409" s="3"/>
      <c r="I1409" s="3" t="s">
        <v>3392</v>
      </c>
      <c r="J1409" s="3">
        <v>2</v>
      </c>
      <c r="K1409" s="3">
        <v>2</v>
      </c>
      <c r="L1409" s="3">
        <v>0</v>
      </c>
      <c r="M1409" s="3">
        <v>0</v>
      </c>
      <c r="N1409" s="3">
        <v>2</v>
      </c>
      <c r="O1409" s="3">
        <v>0.15</v>
      </c>
      <c r="P1409" s="3">
        <v>0</v>
      </c>
      <c r="Q1409" s="3">
        <v>0</v>
      </c>
      <c r="R1409" s="3">
        <v>0</v>
      </c>
    </row>
    <row r="1410" spans="1:18">
      <c r="A1410" s="3" t="s">
        <v>5210</v>
      </c>
      <c r="B1410" s="3" t="s">
        <v>5211</v>
      </c>
      <c r="C1410" s="3" t="s">
        <v>5211</v>
      </c>
      <c r="D1410" s="3" t="s">
        <v>5212</v>
      </c>
      <c r="E1410" s="3" t="s">
        <v>867</v>
      </c>
      <c r="F1410" s="3">
        <v>26.98</v>
      </c>
      <c r="G1410" s="3" t="s">
        <v>3391</v>
      </c>
      <c r="H1410" s="3"/>
      <c r="I1410" s="3" t="s">
        <v>3392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0.15</v>
      </c>
      <c r="P1410" s="3">
        <v>0</v>
      </c>
      <c r="Q1410" s="3">
        <v>0</v>
      </c>
      <c r="R1410" s="3">
        <v>0</v>
      </c>
    </row>
    <row r="1411" spans="1:18">
      <c r="A1411" s="3" t="s">
        <v>2302</v>
      </c>
      <c r="B1411" s="3" t="s">
        <v>2303</v>
      </c>
      <c r="C1411" s="3" t="s">
        <v>2303</v>
      </c>
      <c r="D1411" s="3" t="s">
        <v>2304</v>
      </c>
      <c r="E1411" s="3" t="s">
        <v>867</v>
      </c>
      <c r="F1411" s="3">
        <v>69.98</v>
      </c>
      <c r="G1411" s="3" t="s">
        <v>3391</v>
      </c>
      <c r="H1411" s="3"/>
      <c r="I1411" s="3" t="s">
        <v>3392</v>
      </c>
      <c r="J1411" s="3">
        <v>4</v>
      </c>
      <c r="K1411" s="3">
        <v>4</v>
      </c>
      <c r="L1411" s="3">
        <v>0</v>
      </c>
      <c r="M1411" s="3">
        <v>0</v>
      </c>
      <c r="N1411" s="3">
        <v>4</v>
      </c>
      <c r="O1411" s="3">
        <v>0.15</v>
      </c>
      <c r="P1411" s="3">
        <v>0</v>
      </c>
      <c r="Q1411" s="3">
        <v>0</v>
      </c>
      <c r="R1411" s="3">
        <v>0</v>
      </c>
    </row>
    <row r="1412" spans="1:18">
      <c r="A1412" s="3" t="s">
        <v>2844</v>
      </c>
      <c r="B1412" s="3" t="s">
        <v>2845</v>
      </c>
      <c r="C1412" s="3" t="s">
        <v>2845</v>
      </c>
      <c r="D1412" s="3" t="s">
        <v>2846</v>
      </c>
      <c r="E1412" s="3" t="s">
        <v>867</v>
      </c>
      <c r="F1412" s="3">
        <v>69.98</v>
      </c>
      <c r="G1412" s="3" t="s">
        <v>3391</v>
      </c>
      <c r="H1412" s="3"/>
      <c r="I1412" s="3" t="s">
        <v>3392</v>
      </c>
      <c r="J1412" s="3">
        <v>2</v>
      </c>
      <c r="K1412" s="3">
        <v>2</v>
      </c>
      <c r="L1412" s="3">
        <v>0</v>
      </c>
      <c r="M1412" s="3">
        <v>0</v>
      </c>
      <c r="N1412" s="3">
        <v>2</v>
      </c>
      <c r="O1412" s="3">
        <v>0.15</v>
      </c>
      <c r="P1412" s="3">
        <v>0</v>
      </c>
      <c r="Q1412" s="3">
        <v>0</v>
      </c>
      <c r="R1412" s="3">
        <v>0</v>
      </c>
    </row>
    <row r="1413" spans="1:18">
      <c r="A1413" s="3" t="s">
        <v>2014</v>
      </c>
      <c r="B1413" s="3" t="s">
        <v>2015</v>
      </c>
      <c r="C1413" s="3" t="s">
        <v>2015</v>
      </c>
      <c r="D1413" s="3" t="s">
        <v>2016</v>
      </c>
      <c r="E1413" s="3" t="s">
        <v>867</v>
      </c>
      <c r="F1413" s="3">
        <v>69.98</v>
      </c>
      <c r="G1413" s="3" t="s">
        <v>3391</v>
      </c>
      <c r="H1413" s="3"/>
      <c r="I1413" s="3" t="s">
        <v>3392</v>
      </c>
      <c r="J1413" s="3">
        <v>1</v>
      </c>
      <c r="K1413" s="3">
        <v>1</v>
      </c>
      <c r="L1413" s="3">
        <v>0</v>
      </c>
      <c r="M1413" s="3">
        <v>0</v>
      </c>
      <c r="N1413" s="3">
        <v>1</v>
      </c>
      <c r="O1413" s="3">
        <v>0.15</v>
      </c>
      <c r="P1413" s="3">
        <v>0</v>
      </c>
      <c r="Q1413" s="3">
        <v>0</v>
      </c>
      <c r="R1413" s="3">
        <v>0</v>
      </c>
    </row>
    <row r="1414" spans="1:18">
      <c r="A1414" s="3" t="s">
        <v>5213</v>
      </c>
      <c r="B1414" s="3" t="s">
        <v>5214</v>
      </c>
      <c r="C1414" s="3" t="s">
        <v>5214</v>
      </c>
      <c r="D1414" s="3"/>
      <c r="E1414" s="3" t="s">
        <v>3293</v>
      </c>
      <c r="F1414" s="3"/>
      <c r="G1414" s="3"/>
      <c r="H1414" s="3"/>
      <c r="I1414" s="3"/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/>
      <c r="P1414" s="3">
        <v>0</v>
      </c>
      <c r="Q1414" s="3">
        <v>0</v>
      </c>
      <c r="R1414" s="3">
        <v>0</v>
      </c>
    </row>
    <row r="1415" spans="1:18">
      <c r="A1415" s="3" t="s">
        <v>954</v>
      </c>
      <c r="B1415" s="3" t="s">
        <v>955</v>
      </c>
      <c r="C1415" s="3" t="s">
        <v>955</v>
      </c>
      <c r="D1415" s="3" t="s">
        <v>956</v>
      </c>
      <c r="E1415" s="3" t="s">
        <v>867</v>
      </c>
      <c r="F1415" s="3">
        <v>49.98</v>
      </c>
      <c r="G1415" s="3" t="s">
        <v>3391</v>
      </c>
      <c r="H1415" s="3"/>
      <c r="I1415" s="3" t="s">
        <v>3392</v>
      </c>
      <c r="J1415" s="3">
        <v>4</v>
      </c>
      <c r="K1415" s="3">
        <v>4</v>
      </c>
      <c r="L1415" s="3">
        <v>0</v>
      </c>
      <c r="M1415" s="3">
        <v>0</v>
      </c>
      <c r="N1415" s="3">
        <v>4</v>
      </c>
      <c r="O1415" s="3">
        <v>0.21</v>
      </c>
      <c r="P1415" s="3">
        <v>0</v>
      </c>
      <c r="Q1415" s="3">
        <v>0</v>
      </c>
      <c r="R1415" s="3">
        <v>0</v>
      </c>
    </row>
    <row r="1416" spans="1:18">
      <c r="A1416" s="3" t="s">
        <v>5215</v>
      </c>
      <c r="B1416" s="3" t="s">
        <v>5216</v>
      </c>
      <c r="C1416" s="3" t="s">
        <v>5216</v>
      </c>
      <c r="D1416" s="3" t="s">
        <v>5217</v>
      </c>
      <c r="E1416" s="3" t="s">
        <v>867</v>
      </c>
      <c r="F1416" s="3">
        <v>26.98</v>
      </c>
      <c r="G1416" s="3" t="s">
        <v>3391</v>
      </c>
      <c r="H1416" s="3"/>
      <c r="I1416" s="3" t="s">
        <v>3392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0.21</v>
      </c>
      <c r="P1416" s="3">
        <v>0</v>
      </c>
      <c r="Q1416" s="3">
        <v>0</v>
      </c>
      <c r="R1416" s="3">
        <v>0</v>
      </c>
    </row>
    <row r="1417" spans="1:18">
      <c r="A1417" s="3" t="s">
        <v>2463</v>
      </c>
      <c r="B1417" s="3" t="s">
        <v>2464</v>
      </c>
      <c r="C1417" s="3" t="s">
        <v>2464</v>
      </c>
      <c r="D1417" s="3" t="s">
        <v>2465</v>
      </c>
      <c r="E1417" s="3" t="s">
        <v>867</v>
      </c>
      <c r="F1417" s="3">
        <v>49.98</v>
      </c>
      <c r="G1417" s="3" t="s">
        <v>3391</v>
      </c>
      <c r="H1417" s="3"/>
      <c r="I1417" s="3" t="s">
        <v>3392</v>
      </c>
      <c r="J1417" s="3">
        <v>9</v>
      </c>
      <c r="K1417" s="3">
        <v>9</v>
      </c>
      <c r="L1417" s="3">
        <v>0</v>
      </c>
      <c r="M1417" s="3">
        <v>0</v>
      </c>
      <c r="N1417" s="3">
        <v>9</v>
      </c>
      <c r="O1417" s="3">
        <v>0.21</v>
      </c>
      <c r="P1417" s="3">
        <v>0</v>
      </c>
      <c r="Q1417" s="3">
        <v>0</v>
      </c>
      <c r="R1417" s="3">
        <v>0</v>
      </c>
    </row>
    <row r="1418" spans="1:18">
      <c r="A1418" s="3" t="s">
        <v>2809</v>
      </c>
      <c r="B1418" s="3" t="s">
        <v>2810</v>
      </c>
      <c r="C1418" s="3" t="s">
        <v>2810</v>
      </c>
      <c r="D1418" s="3" t="s">
        <v>2811</v>
      </c>
      <c r="E1418" s="3" t="s">
        <v>867</v>
      </c>
      <c r="F1418" s="3">
        <v>26.98</v>
      </c>
      <c r="G1418" s="3" t="s">
        <v>3391</v>
      </c>
      <c r="H1418" s="3"/>
      <c r="I1418" s="3" t="s">
        <v>3392</v>
      </c>
      <c r="J1418" s="3">
        <v>12</v>
      </c>
      <c r="K1418" s="3">
        <v>12</v>
      </c>
      <c r="L1418" s="3">
        <v>0</v>
      </c>
      <c r="M1418" s="3">
        <v>0</v>
      </c>
      <c r="N1418" s="3">
        <v>12</v>
      </c>
      <c r="O1418" s="3">
        <v>0.21</v>
      </c>
      <c r="P1418" s="3">
        <v>0</v>
      </c>
      <c r="Q1418" s="3">
        <v>0</v>
      </c>
      <c r="R1418" s="3">
        <v>0</v>
      </c>
    </row>
    <row r="1419" spans="1:18">
      <c r="A1419" s="3" t="s">
        <v>5218</v>
      </c>
      <c r="B1419" s="3" t="s">
        <v>5219</v>
      </c>
      <c r="C1419" s="3" t="s">
        <v>5219</v>
      </c>
      <c r="D1419" s="3" t="s">
        <v>5220</v>
      </c>
      <c r="E1419" s="3" t="s">
        <v>867</v>
      </c>
      <c r="F1419" s="3">
        <v>49.98</v>
      </c>
      <c r="G1419" s="3" t="s">
        <v>3391</v>
      </c>
      <c r="H1419" s="3"/>
      <c r="I1419" s="3" t="s">
        <v>3392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0.21</v>
      </c>
      <c r="P1419" s="3">
        <v>0</v>
      </c>
      <c r="Q1419" s="3">
        <v>0</v>
      </c>
      <c r="R1419" s="3">
        <v>0</v>
      </c>
    </row>
    <row r="1420" spans="1:18">
      <c r="A1420" s="3" t="s">
        <v>1648</v>
      </c>
      <c r="B1420" s="3" t="s">
        <v>1649</v>
      </c>
      <c r="C1420" s="3" t="s">
        <v>1649</v>
      </c>
      <c r="D1420" s="3" t="s">
        <v>1246</v>
      </c>
      <c r="E1420" s="3" t="s">
        <v>867</v>
      </c>
      <c r="F1420" s="3">
        <v>49.98</v>
      </c>
      <c r="G1420" s="3" t="s">
        <v>3391</v>
      </c>
      <c r="H1420" s="3"/>
      <c r="I1420" s="3" t="s">
        <v>3392</v>
      </c>
      <c r="J1420" s="3">
        <v>4</v>
      </c>
      <c r="K1420" s="3">
        <v>4</v>
      </c>
      <c r="L1420" s="3">
        <v>0</v>
      </c>
      <c r="M1420" s="3">
        <v>0</v>
      </c>
      <c r="N1420" s="3">
        <v>4</v>
      </c>
      <c r="O1420" s="3">
        <v>0.23</v>
      </c>
      <c r="P1420" s="3">
        <v>0</v>
      </c>
      <c r="Q1420" s="3">
        <v>0</v>
      </c>
      <c r="R1420" s="3">
        <v>0</v>
      </c>
    </row>
    <row r="1421" spans="1:18">
      <c r="A1421" s="3" t="s">
        <v>2477</v>
      </c>
      <c r="B1421" s="3" t="s">
        <v>2478</v>
      </c>
      <c r="C1421" s="3" t="s">
        <v>2478</v>
      </c>
      <c r="D1421" s="3" t="s">
        <v>2479</v>
      </c>
      <c r="E1421" s="3" t="s">
        <v>867</v>
      </c>
      <c r="F1421" s="3">
        <v>26.98</v>
      </c>
      <c r="G1421" s="3" t="s">
        <v>3391</v>
      </c>
      <c r="H1421" s="3"/>
      <c r="I1421" s="3" t="s">
        <v>3392</v>
      </c>
      <c r="J1421" s="3">
        <v>2</v>
      </c>
      <c r="K1421" s="3">
        <v>2</v>
      </c>
      <c r="L1421" s="3">
        <v>0</v>
      </c>
      <c r="M1421" s="3">
        <v>0</v>
      </c>
      <c r="N1421" s="3">
        <v>2</v>
      </c>
      <c r="O1421" s="3">
        <v>0.21</v>
      </c>
      <c r="P1421" s="3">
        <v>0</v>
      </c>
      <c r="Q1421" s="3">
        <v>0</v>
      </c>
      <c r="R1421" s="3">
        <v>0</v>
      </c>
    </row>
    <row r="1422" spans="1:18">
      <c r="A1422" s="3" t="s">
        <v>2649</v>
      </c>
      <c r="B1422" s="3" t="s">
        <v>2650</v>
      </c>
      <c r="C1422" s="3" t="s">
        <v>2650</v>
      </c>
      <c r="D1422" s="3" t="s">
        <v>2651</v>
      </c>
      <c r="E1422" s="3" t="s">
        <v>867</v>
      </c>
      <c r="F1422" s="3">
        <v>26.98</v>
      </c>
      <c r="G1422" s="3" t="s">
        <v>3391</v>
      </c>
      <c r="H1422" s="3"/>
      <c r="I1422" s="3" t="s">
        <v>3392</v>
      </c>
      <c r="J1422" s="3">
        <v>4</v>
      </c>
      <c r="K1422" s="3">
        <v>4</v>
      </c>
      <c r="L1422" s="3">
        <v>0</v>
      </c>
      <c r="M1422" s="3">
        <v>0</v>
      </c>
      <c r="N1422" s="3">
        <v>4</v>
      </c>
      <c r="O1422" s="3">
        <v>0.21</v>
      </c>
      <c r="P1422" s="3">
        <v>0</v>
      </c>
      <c r="Q1422" s="3">
        <v>0</v>
      </c>
      <c r="R1422" s="3">
        <v>0</v>
      </c>
    </row>
    <row r="1423" spans="1:18">
      <c r="A1423" s="3" t="s">
        <v>1691</v>
      </c>
      <c r="B1423" s="3" t="s">
        <v>1692</v>
      </c>
      <c r="C1423" s="3" t="s">
        <v>1692</v>
      </c>
      <c r="D1423" s="3" t="s">
        <v>1693</v>
      </c>
      <c r="E1423" s="3" t="s">
        <v>867</v>
      </c>
      <c r="F1423" s="3">
        <v>26.98</v>
      </c>
      <c r="G1423" s="3" t="s">
        <v>3391</v>
      </c>
      <c r="H1423" s="3"/>
      <c r="I1423" s="3" t="s">
        <v>3392</v>
      </c>
      <c r="J1423" s="3">
        <v>1</v>
      </c>
      <c r="K1423" s="3">
        <v>1</v>
      </c>
      <c r="L1423" s="3">
        <v>0</v>
      </c>
      <c r="M1423" s="3">
        <v>0</v>
      </c>
      <c r="N1423" s="3">
        <v>1</v>
      </c>
      <c r="O1423" s="3">
        <v>0.24</v>
      </c>
      <c r="P1423" s="3">
        <v>0</v>
      </c>
      <c r="Q1423" s="3">
        <v>0</v>
      </c>
      <c r="R1423" s="3">
        <v>0</v>
      </c>
    </row>
    <row r="1424" spans="1:18">
      <c r="A1424" s="3" t="s">
        <v>5221</v>
      </c>
      <c r="B1424" s="3" t="s">
        <v>5222</v>
      </c>
      <c r="C1424" s="3" t="s">
        <v>5222</v>
      </c>
      <c r="D1424" s="3" t="s">
        <v>5223</v>
      </c>
      <c r="E1424" s="3" t="s">
        <v>867</v>
      </c>
      <c r="F1424" s="3">
        <v>26.98</v>
      </c>
      <c r="G1424" s="3" t="s">
        <v>3391</v>
      </c>
      <c r="H1424" s="3"/>
      <c r="I1424" s="3" t="s">
        <v>3392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0.21</v>
      </c>
      <c r="P1424" s="3">
        <v>0</v>
      </c>
      <c r="Q1424" s="3">
        <v>0</v>
      </c>
      <c r="R1424" s="3">
        <v>0</v>
      </c>
    </row>
    <row r="1425" spans="1:18">
      <c r="A1425" s="3" t="s">
        <v>5224</v>
      </c>
      <c r="B1425" s="3" t="s">
        <v>5225</v>
      </c>
      <c r="C1425" s="3" t="s">
        <v>5225</v>
      </c>
      <c r="D1425" s="3"/>
      <c r="E1425" s="3" t="s">
        <v>3293</v>
      </c>
      <c r="F1425" s="3"/>
      <c r="G1425" s="3"/>
      <c r="H1425" s="3"/>
      <c r="I1425" s="3"/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/>
      <c r="P1425" s="3">
        <v>0</v>
      </c>
      <c r="Q1425" s="3">
        <v>0</v>
      </c>
      <c r="R1425" s="3">
        <v>0</v>
      </c>
    </row>
    <row r="1426" spans="1:18">
      <c r="A1426" s="3" t="s">
        <v>5226</v>
      </c>
      <c r="B1426" s="3" t="s">
        <v>5227</v>
      </c>
      <c r="C1426" s="3" t="s">
        <v>5227</v>
      </c>
      <c r="D1426" s="3"/>
      <c r="E1426" s="3" t="s">
        <v>3293</v>
      </c>
      <c r="F1426" s="3"/>
      <c r="G1426" s="3"/>
      <c r="H1426" s="3"/>
      <c r="I1426" s="3"/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/>
      <c r="P1426" s="3">
        <v>0</v>
      </c>
      <c r="Q1426" s="3">
        <v>0</v>
      </c>
      <c r="R1426" s="3">
        <v>0</v>
      </c>
    </row>
    <row r="1427" spans="1:18">
      <c r="A1427" s="3" t="s">
        <v>5228</v>
      </c>
      <c r="B1427" s="3" t="s">
        <v>5229</v>
      </c>
      <c r="C1427" s="3" t="s">
        <v>5229</v>
      </c>
      <c r="D1427" s="3"/>
      <c r="E1427" s="3" t="s">
        <v>3293</v>
      </c>
      <c r="F1427" s="3"/>
      <c r="G1427" s="3"/>
      <c r="H1427" s="3"/>
      <c r="I1427" s="3"/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/>
      <c r="P1427" s="3">
        <v>0</v>
      </c>
      <c r="Q1427" s="3">
        <v>0</v>
      </c>
      <c r="R1427" s="3">
        <v>0</v>
      </c>
    </row>
    <row r="1428" spans="1:18">
      <c r="A1428" s="3" t="s">
        <v>5230</v>
      </c>
      <c r="B1428" s="3" t="s">
        <v>5231</v>
      </c>
      <c r="C1428" s="3" t="s">
        <v>5231</v>
      </c>
      <c r="D1428" s="3"/>
      <c r="E1428" s="3" t="s">
        <v>3293</v>
      </c>
      <c r="F1428" s="3"/>
      <c r="G1428" s="3"/>
      <c r="H1428" s="3"/>
      <c r="I1428" s="3"/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/>
      <c r="P1428" s="3">
        <v>0</v>
      </c>
      <c r="Q1428" s="3">
        <v>0</v>
      </c>
      <c r="R1428" s="3">
        <v>0</v>
      </c>
    </row>
    <row r="1429" spans="1:18">
      <c r="A1429" s="3" t="s">
        <v>1674</v>
      </c>
      <c r="B1429" s="3" t="s">
        <v>1675</v>
      </c>
      <c r="C1429" s="3" t="s">
        <v>1675</v>
      </c>
      <c r="D1429" s="3" t="s">
        <v>1676</v>
      </c>
      <c r="E1429" s="3" t="s">
        <v>867</v>
      </c>
      <c r="F1429" s="3">
        <v>26.98</v>
      </c>
      <c r="G1429" s="3" t="s">
        <v>3391</v>
      </c>
      <c r="H1429" s="3"/>
      <c r="I1429" s="3" t="s">
        <v>3392</v>
      </c>
      <c r="J1429" s="3">
        <v>10</v>
      </c>
      <c r="K1429" s="3">
        <v>10</v>
      </c>
      <c r="L1429" s="3">
        <v>0</v>
      </c>
      <c r="M1429" s="3">
        <v>0</v>
      </c>
      <c r="N1429" s="3">
        <v>10</v>
      </c>
      <c r="O1429" s="3">
        <v>0.21</v>
      </c>
      <c r="P1429" s="3">
        <v>0</v>
      </c>
      <c r="Q1429" s="3">
        <v>0</v>
      </c>
      <c r="R1429" s="3">
        <v>0</v>
      </c>
    </row>
    <row r="1430" spans="1:18">
      <c r="A1430" s="3" t="s">
        <v>2207</v>
      </c>
      <c r="B1430" s="3" t="s">
        <v>2208</v>
      </c>
      <c r="C1430" s="3" t="s">
        <v>2208</v>
      </c>
      <c r="D1430" s="3" t="s">
        <v>2209</v>
      </c>
      <c r="E1430" s="3" t="s">
        <v>867</v>
      </c>
      <c r="F1430" s="3">
        <v>26.98</v>
      </c>
      <c r="G1430" s="3" t="s">
        <v>3391</v>
      </c>
      <c r="H1430" s="3"/>
      <c r="I1430" s="3" t="s">
        <v>3392</v>
      </c>
      <c r="J1430" s="3">
        <v>12</v>
      </c>
      <c r="K1430" s="3">
        <v>12</v>
      </c>
      <c r="L1430" s="3">
        <v>0</v>
      </c>
      <c r="M1430" s="3">
        <v>0</v>
      </c>
      <c r="N1430" s="3">
        <v>12</v>
      </c>
      <c r="O1430" s="3">
        <v>0.21</v>
      </c>
      <c r="P1430" s="3">
        <v>0</v>
      </c>
      <c r="Q1430" s="3">
        <v>0</v>
      </c>
      <c r="R1430" s="3">
        <v>0</v>
      </c>
    </row>
    <row r="1431" spans="1:18">
      <c r="A1431" s="3" t="s">
        <v>5232</v>
      </c>
      <c r="B1431" s="3" t="s">
        <v>5233</v>
      </c>
      <c r="C1431" s="3" t="s">
        <v>5233</v>
      </c>
      <c r="D1431" s="3" t="s">
        <v>5234</v>
      </c>
      <c r="E1431" s="3" t="s">
        <v>867</v>
      </c>
      <c r="F1431" s="3">
        <v>26.98</v>
      </c>
      <c r="G1431" s="3" t="s">
        <v>3391</v>
      </c>
      <c r="H1431" s="3"/>
      <c r="I1431" s="3" t="s">
        <v>3392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0.21</v>
      </c>
      <c r="P1431" s="3">
        <v>0</v>
      </c>
      <c r="Q1431" s="3">
        <v>0</v>
      </c>
      <c r="R1431" s="3">
        <v>0</v>
      </c>
    </row>
    <row r="1432" spans="1:18">
      <c r="A1432" s="3" t="s">
        <v>1031</v>
      </c>
      <c r="B1432" s="3" t="s">
        <v>1032</v>
      </c>
      <c r="C1432" s="3" t="s">
        <v>1032</v>
      </c>
      <c r="D1432" s="3" t="s">
        <v>1033</v>
      </c>
      <c r="E1432" s="3" t="s">
        <v>867</v>
      </c>
      <c r="F1432" s="3">
        <v>26.98</v>
      </c>
      <c r="G1432" s="3" t="s">
        <v>3391</v>
      </c>
      <c r="H1432" s="3"/>
      <c r="I1432" s="3" t="s">
        <v>3392</v>
      </c>
      <c r="J1432" s="3">
        <v>13</v>
      </c>
      <c r="K1432" s="3">
        <v>13</v>
      </c>
      <c r="L1432" s="3">
        <v>0</v>
      </c>
      <c r="M1432" s="3">
        <v>0</v>
      </c>
      <c r="N1432" s="3">
        <v>13</v>
      </c>
      <c r="O1432" s="3">
        <v>0.21</v>
      </c>
      <c r="P1432" s="3">
        <v>0</v>
      </c>
      <c r="Q1432" s="3">
        <v>0</v>
      </c>
      <c r="R1432" s="3">
        <v>0</v>
      </c>
    </row>
    <row r="1433" spans="1:18">
      <c r="A1433" s="3" t="s">
        <v>2720</v>
      </c>
      <c r="B1433" s="3" t="s">
        <v>2721</v>
      </c>
      <c r="C1433" s="3" t="s">
        <v>2721</v>
      </c>
      <c r="D1433" s="3" t="s">
        <v>2722</v>
      </c>
      <c r="E1433" s="3" t="s">
        <v>867</v>
      </c>
      <c r="F1433" s="3">
        <v>26.98</v>
      </c>
      <c r="G1433" s="3" t="s">
        <v>3391</v>
      </c>
      <c r="H1433" s="3"/>
      <c r="I1433" s="3" t="s">
        <v>3392</v>
      </c>
      <c r="J1433" s="3">
        <v>6</v>
      </c>
      <c r="K1433" s="3">
        <v>6</v>
      </c>
      <c r="L1433" s="3">
        <v>0</v>
      </c>
      <c r="M1433" s="3">
        <v>0</v>
      </c>
      <c r="N1433" s="3">
        <v>6</v>
      </c>
      <c r="O1433" s="3">
        <v>0.21</v>
      </c>
      <c r="P1433" s="3">
        <v>0</v>
      </c>
      <c r="Q1433" s="3">
        <v>0</v>
      </c>
      <c r="R1433" s="3">
        <v>0</v>
      </c>
    </row>
    <row r="1434" spans="1:18">
      <c r="A1434" s="3" t="s">
        <v>5235</v>
      </c>
      <c r="B1434" s="3" t="s">
        <v>1947</v>
      </c>
      <c r="C1434" s="3" t="s">
        <v>1947</v>
      </c>
      <c r="D1434" s="3" t="s">
        <v>1948</v>
      </c>
      <c r="E1434" s="3" t="s">
        <v>867</v>
      </c>
      <c r="F1434" s="3">
        <v>22.98</v>
      </c>
      <c r="G1434" s="3" t="s">
        <v>3391</v>
      </c>
      <c r="H1434" s="3"/>
      <c r="I1434" s="3" t="s">
        <v>3392</v>
      </c>
      <c r="J1434" s="3">
        <v>1</v>
      </c>
      <c r="K1434" s="3">
        <v>1</v>
      </c>
      <c r="L1434" s="3">
        <v>0</v>
      </c>
      <c r="M1434" s="3">
        <v>0</v>
      </c>
      <c r="N1434" s="3">
        <v>1</v>
      </c>
      <c r="O1434" s="3">
        <v>0.04</v>
      </c>
      <c r="P1434" s="3">
        <v>0</v>
      </c>
      <c r="Q1434" s="3">
        <v>0</v>
      </c>
      <c r="R1434" s="3">
        <v>0</v>
      </c>
    </row>
    <row r="1435" spans="1:18">
      <c r="A1435" s="3" t="s">
        <v>5236</v>
      </c>
      <c r="B1435" s="3" t="s">
        <v>2088</v>
      </c>
      <c r="C1435" s="3" t="s">
        <v>2088</v>
      </c>
      <c r="D1435" s="3" t="s">
        <v>2089</v>
      </c>
      <c r="E1435" s="3" t="s">
        <v>867</v>
      </c>
      <c r="F1435" s="3">
        <v>17.98</v>
      </c>
      <c r="G1435" s="3" t="s">
        <v>3391</v>
      </c>
      <c r="H1435" s="3"/>
      <c r="I1435" s="3" t="s">
        <v>3392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0.04</v>
      </c>
      <c r="P1435" s="3">
        <v>0</v>
      </c>
      <c r="Q1435" s="3">
        <v>0</v>
      </c>
      <c r="R1435" s="3">
        <v>0</v>
      </c>
    </row>
    <row r="1436" spans="1:18">
      <c r="A1436" s="3" t="s">
        <v>5237</v>
      </c>
      <c r="B1436" s="3" t="s">
        <v>54</v>
      </c>
      <c r="C1436" s="3" t="s">
        <v>54</v>
      </c>
      <c r="D1436" s="3" t="s">
        <v>55</v>
      </c>
      <c r="E1436" s="3" t="s">
        <v>867</v>
      </c>
      <c r="F1436" s="3">
        <v>24.98</v>
      </c>
      <c r="G1436" s="3" t="s">
        <v>3391</v>
      </c>
      <c r="H1436" s="3"/>
      <c r="I1436" s="3" t="s">
        <v>3392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0.07</v>
      </c>
      <c r="P1436" s="3">
        <v>0</v>
      </c>
      <c r="Q1436" s="3">
        <v>0</v>
      </c>
      <c r="R1436" s="3">
        <v>0</v>
      </c>
    </row>
    <row r="1437" spans="1:18">
      <c r="A1437" s="3" t="s">
        <v>2546</v>
      </c>
      <c r="B1437" s="3" t="s">
        <v>2547</v>
      </c>
      <c r="C1437" s="3" t="s">
        <v>2547</v>
      </c>
      <c r="D1437" s="3" t="s">
        <v>2548</v>
      </c>
      <c r="E1437" s="3" t="s">
        <v>867</v>
      </c>
      <c r="F1437" s="3">
        <v>22.99</v>
      </c>
      <c r="G1437" s="3" t="s">
        <v>3392</v>
      </c>
      <c r="H1437" s="3">
        <v>0</v>
      </c>
      <c r="I1437" s="3" t="s">
        <v>3391</v>
      </c>
      <c r="J1437" s="3">
        <v>6</v>
      </c>
      <c r="K1437" s="3">
        <v>6</v>
      </c>
      <c r="L1437" s="3">
        <v>0</v>
      </c>
      <c r="M1437" s="3">
        <v>0</v>
      </c>
      <c r="N1437" s="3">
        <v>6</v>
      </c>
      <c r="O1437" s="3">
        <v>0.04</v>
      </c>
      <c r="P1437" s="3">
        <v>0</v>
      </c>
      <c r="Q1437" s="3">
        <v>0</v>
      </c>
      <c r="R1437" s="3">
        <v>0</v>
      </c>
    </row>
    <row r="1438" spans="1:18">
      <c r="A1438" s="3" t="s">
        <v>5238</v>
      </c>
      <c r="B1438" s="3" t="s">
        <v>50</v>
      </c>
      <c r="C1438" s="3" t="s">
        <v>50</v>
      </c>
      <c r="D1438" s="3" t="s">
        <v>51</v>
      </c>
      <c r="E1438" s="3" t="s">
        <v>867</v>
      </c>
      <c r="F1438" s="3">
        <v>24.98</v>
      </c>
      <c r="G1438" s="3" t="s">
        <v>3391</v>
      </c>
      <c r="H1438" s="3"/>
      <c r="I1438" s="3" t="s">
        <v>3392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0.07</v>
      </c>
      <c r="P1438" s="3">
        <v>0</v>
      </c>
      <c r="Q1438" s="3">
        <v>0</v>
      </c>
      <c r="R1438" s="3">
        <v>0</v>
      </c>
    </row>
    <row r="1439" spans="1:18">
      <c r="A1439" s="3" t="s">
        <v>5239</v>
      </c>
      <c r="B1439" s="3" t="s">
        <v>41</v>
      </c>
      <c r="C1439" s="3" t="s">
        <v>41</v>
      </c>
      <c r="D1439" s="3" t="s">
        <v>42</v>
      </c>
      <c r="E1439" s="3" t="s">
        <v>867</v>
      </c>
      <c r="F1439" s="3">
        <v>22.98</v>
      </c>
      <c r="G1439" s="3" t="s">
        <v>3391</v>
      </c>
      <c r="H1439" s="3"/>
      <c r="I1439" s="3" t="s">
        <v>3392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0.07</v>
      </c>
      <c r="P1439" s="3">
        <v>0</v>
      </c>
      <c r="Q1439" s="3">
        <v>0</v>
      </c>
      <c r="R1439" s="3">
        <v>0</v>
      </c>
    </row>
    <row r="1440" spans="1:18">
      <c r="A1440" s="3" t="s">
        <v>5240</v>
      </c>
      <c r="B1440" s="3" t="s">
        <v>3477</v>
      </c>
      <c r="C1440" s="3" t="s">
        <v>3477</v>
      </c>
      <c r="D1440" s="3" t="s">
        <v>3478</v>
      </c>
      <c r="E1440" s="3" t="s">
        <v>867</v>
      </c>
      <c r="F1440" s="3">
        <v>18.98</v>
      </c>
      <c r="G1440" s="3" t="s">
        <v>3391</v>
      </c>
      <c r="H1440" s="3"/>
      <c r="I1440" s="3" t="s">
        <v>3392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0.07</v>
      </c>
      <c r="P1440" s="3">
        <v>0</v>
      </c>
      <c r="Q1440" s="3">
        <v>0</v>
      </c>
      <c r="R1440" s="3">
        <v>0</v>
      </c>
    </row>
    <row r="1441" spans="1:18">
      <c r="A1441" s="3" t="s">
        <v>5241</v>
      </c>
      <c r="B1441" s="3" t="s">
        <v>58</v>
      </c>
      <c r="C1441" s="3" t="s">
        <v>58</v>
      </c>
      <c r="D1441" s="3" t="s">
        <v>59</v>
      </c>
      <c r="E1441" s="3" t="s">
        <v>867</v>
      </c>
      <c r="F1441" s="3">
        <v>24.98</v>
      </c>
      <c r="G1441" s="3" t="s">
        <v>3391</v>
      </c>
      <c r="H1441" s="3"/>
      <c r="I1441" s="3" t="s">
        <v>3392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0.07</v>
      </c>
      <c r="P1441" s="3">
        <v>0</v>
      </c>
      <c r="Q1441" s="3">
        <v>0</v>
      </c>
      <c r="R1441" s="3">
        <v>0</v>
      </c>
    </row>
    <row r="1442" spans="1:18">
      <c r="A1442" s="3" t="s">
        <v>5242</v>
      </c>
      <c r="B1442" s="3" t="s">
        <v>37</v>
      </c>
      <c r="C1442" s="3" t="s">
        <v>37</v>
      </c>
      <c r="D1442" s="3" t="s">
        <v>38</v>
      </c>
      <c r="E1442" s="3" t="s">
        <v>867</v>
      </c>
      <c r="F1442" s="3">
        <v>23.98</v>
      </c>
      <c r="G1442" s="3" t="s">
        <v>3391</v>
      </c>
      <c r="H1442" s="3"/>
      <c r="I1442" s="3" t="s">
        <v>3392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0.07</v>
      </c>
      <c r="P1442" s="3">
        <v>0</v>
      </c>
      <c r="Q1442" s="3">
        <v>0</v>
      </c>
      <c r="R1442" s="3">
        <v>0</v>
      </c>
    </row>
    <row r="1443" spans="1:18">
      <c r="A1443" s="3" t="s">
        <v>5243</v>
      </c>
      <c r="B1443" s="3" t="s">
        <v>62</v>
      </c>
      <c r="C1443" s="3" t="s">
        <v>62</v>
      </c>
      <c r="D1443" s="3" t="s">
        <v>63</v>
      </c>
      <c r="E1443" s="3" t="s">
        <v>867</v>
      </c>
      <c r="F1443" s="3">
        <v>24.98</v>
      </c>
      <c r="G1443" s="3" t="s">
        <v>3391</v>
      </c>
      <c r="H1443" s="3"/>
      <c r="I1443" s="3" t="s">
        <v>3392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0.07</v>
      </c>
      <c r="P1443" s="3">
        <v>0</v>
      </c>
      <c r="Q1443" s="3">
        <v>0</v>
      </c>
      <c r="R1443" s="3">
        <v>0</v>
      </c>
    </row>
    <row r="1444" spans="1:18">
      <c r="A1444" s="3" t="s">
        <v>5244</v>
      </c>
      <c r="B1444" s="3" t="s">
        <v>2223</v>
      </c>
      <c r="C1444" s="3" t="s">
        <v>2223</v>
      </c>
      <c r="D1444" s="3" t="s">
        <v>2224</v>
      </c>
      <c r="E1444" s="3" t="s">
        <v>867</v>
      </c>
      <c r="F1444" s="3">
        <v>22.98</v>
      </c>
      <c r="G1444" s="3" t="s">
        <v>3391</v>
      </c>
      <c r="H1444" s="3"/>
      <c r="I1444" s="3" t="s">
        <v>3392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0.07</v>
      </c>
      <c r="P1444" s="3">
        <v>0</v>
      </c>
      <c r="Q1444" s="3">
        <v>0</v>
      </c>
      <c r="R1444" s="3">
        <v>0</v>
      </c>
    </row>
    <row r="1445" spans="1:18">
      <c r="A1445" s="3" t="s">
        <v>1198</v>
      </c>
      <c r="B1445" s="3" t="s">
        <v>1199</v>
      </c>
      <c r="C1445" s="3" t="s">
        <v>1199</v>
      </c>
      <c r="D1445" s="3" t="s">
        <v>1200</v>
      </c>
      <c r="E1445" s="3" t="s">
        <v>867</v>
      </c>
      <c r="F1445" s="3">
        <v>21.98</v>
      </c>
      <c r="G1445" s="3" t="s">
        <v>3391</v>
      </c>
      <c r="H1445" s="3"/>
      <c r="I1445" s="3" t="s">
        <v>3392</v>
      </c>
      <c r="J1445" s="3">
        <v>8</v>
      </c>
      <c r="K1445" s="3">
        <v>8</v>
      </c>
      <c r="L1445" s="3">
        <v>0</v>
      </c>
      <c r="M1445" s="3">
        <v>0</v>
      </c>
      <c r="N1445" s="3">
        <v>8</v>
      </c>
      <c r="O1445" s="3">
        <v>0.05</v>
      </c>
      <c r="P1445" s="3">
        <v>0</v>
      </c>
      <c r="Q1445" s="3">
        <v>0</v>
      </c>
      <c r="R1445" s="3">
        <v>0</v>
      </c>
    </row>
    <row r="1446" spans="1:18">
      <c r="A1446" s="3" t="s">
        <v>5245</v>
      </c>
      <c r="B1446" s="3" t="s">
        <v>45</v>
      </c>
      <c r="C1446" s="3" t="s">
        <v>45</v>
      </c>
      <c r="D1446" s="3" t="s">
        <v>46</v>
      </c>
      <c r="E1446" s="3" t="s">
        <v>867</v>
      </c>
      <c r="F1446" s="3">
        <v>24.98</v>
      </c>
      <c r="G1446" s="3" t="s">
        <v>3391</v>
      </c>
      <c r="H1446" s="3"/>
      <c r="I1446" s="3" t="s">
        <v>3392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0.07</v>
      </c>
      <c r="P1446" s="3">
        <v>0</v>
      </c>
      <c r="Q1446" s="3">
        <v>0</v>
      </c>
      <c r="R1446" s="3">
        <v>0</v>
      </c>
    </row>
    <row r="1447" spans="1:18">
      <c r="A1447" s="3" t="s">
        <v>3260</v>
      </c>
      <c r="B1447" s="3" t="s">
        <v>3261</v>
      </c>
      <c r="C1447" s="3" t="s">
        <v>3261</v>
      </c>
      <c r="D1447" s="3"/>
      <c r="E1447" s="3" t="s">
        <v>3293</v>
      </c>
      <c r="F1447" s="3"/>
      <c r="G1447" s="3"/>
      <c r="H1447" s="3"/>
      <c r="I1447" s="3"/>
      <c r="J1447" s="3">
        <v>3</v>
      </c>
      <c r="K1447" s="3">
        <v>3</v>
      </c>
      <c r="L1447" s="3">
        <v>0</v>
      </c>
      <c r="M1447" s="3">
        <v>0</v>
      </c>
      <c r="N1447" s="3">
        <v>3</v>
      </c>
      <c r="O1447" s="3"/>
      <c r="P1447" s="3">
        <v>0</v>
      </c>
      <c r="Q1447" s="3">
        <v>0</v>
      </c>
      <c r="R1447" s="3">
        <v>0</v>
      </c>
    </row>
    <row r="1448" spans="1:18">
      <c r="A1448" s="3" t="s">
        <v>5246</v>
      </c>
      <c r="B1448" s="3" t="s">
        <v>5247</v>
      </c>
      <c r="C1448" s="3" t="s">
        <v>5248</v>
      </c>
      <c r="D1448" s="3" t="s">
        <v>546</v>
      </c>
      <c r="E1448" s="3" t="s">
        <v>867</v>
      </c>
      <c r="F1448" s="3">
        <v>24.98</v>
      </c>
      <c r="G1448" s="3" t="s">
        <v>3391</v>
      </c>
      <c r="H1448" s="3"/>
      <c r="I1448" s="3" t="s">
        <v>3392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0.05</v>
      </c>
      <c r="P1448" s="3">
        <v>0</v>
      </c>
      <c r="Q1448" s="3">
        <v>0</v>
      </c>
      <c r="R1448" s="3">
        <v>0</v>
      </c>
    </row>
    <row r="1449" spans="1:18">
      <c r="A1449" s="3" t="s">
        <v>915</v>
      </c>
      <c r="B1449" s="3" t="s">
        <v>916</v>
      </c>
      <c r="C1449" s="3" t="s">
        <v>917</v>
      </c>
      <c r="D1449" s="3" t="s">
        <v>546</v>
      </c>
      <c r="E1449" s="3" t="s">
        <v>867</v>
      </c>
      <c r="F1449" s="3">
        <v>22.98</v>
      </c>
      <c r="G1449" s="3" t="s">
        <v>3391</v>
      </c>
      <c r="H1449" s="3"/>
      <c r="I1449" s="3" t="s">
        <v>3392</v>
      </c>
      <c r="J1449" s="3">
        <v>20</v>
      </c>
      <c r="K1449" s="3">
        <v>19</v>
      </c>
      <c r="L1449" s="3">
        <v>1</v>
      </c>
      <c r="M1449" s="3">
        <v>0</v>
      </c>
      <c r="N1449" s="3">
        <v>20</v>
      </c>
      <c r="O1449" s="3">
        <v>0.05</v>
      </c>
      <c r="P1449" s="3">
        <v>0</v>
      </c>
      <c r="Q1449" s="3">
        <v>0</v>
      </c>
      <c r="R1449" s="3">
        <v>0</v>
      </c>
    </row>
    <row r="1450" spans="1:18">
      <c r="A1450" s="3" t="s">
        <v>2350</v>
      </c>
      <c r="B1450" s="3" t="s">
        <v>2351</v>
      </c>
      <c r="C1450" s="3" t="s">
        <v>2352</v>
      </c>
      <c r="D1450" s="3" t="s">
        <v>546</v>
      </c>
      <c r="E1450" s="3" t="s">
        <v>867</v>
      </c>
      <c r="F1450" s="3">
        <v>22.98</v>
      </c>
      <c r="G1450" s="3" t="s">
        <v>3391</v>
      </c>
      <c r="H1450" s="3"/>
      <c r="I1450" s="3" t="s">
        <v>3392</v>
      </c>
      <c r="J1450" s="3">
        <v>6</v>
      </c>
      <c r="K1450" s="3">
        <v>6</v>
      </c>
      <c r="L1450" s="3">
        <v>0</v>
      </c>
      <c r="M1450" s="3">
        <v>0</v>
      </c>
      <c r="N1450" s="3">
        <v>6</v>
      </c>
      <c r="O1450" s="3">
        <v>0.05</v>
      </c>
      <c r="P1450" s="3">
        <v>0</v>
      </c>
      <c r="Q1450" s="3">
        <v>0</v>
      </c>
      <c r="R1450" s="3">
        <v>0</v>
      </c>
    </row>
    <row r="1451" spans="1:18">
      <c r="A1451" s="3" t="s">
        <v>553</v>
      </c>
      <c r="B1451" s="3" t="s">
        <v>554</v>
      </c>
      <c r="C1451" s="3" t="s">
        <v>555</v>
      </c>
      <c r="D1451" s="3" t="s">
        <v>546</v>
      </c>
      <c r="E1451" s="3" t="s">
        <v>867</v>
      </c>
      <c r="F1451" s="3">
        <v>24.98</v>
      </c>
      <c r="G1451" s="3" t="s">
        <v>3391</v>
      </c>
      <c r="H1451" s="3"/>
      <c r="I1451" s="3" t="s">
        <v>3392</v>
      </c>
      <c r="J1451" s="3">
        <v>31</v>
      </c>
      <c r="K1451" s="3">
        <v>29</v>
      </c>
      <c r="L1451" s="3">
        <v>0</v>
      </c>
      <c r="M1451" s="3">
        <v>2</v>
      </c>
      <c r="N1451" s="3">
        <v>31</v>
      </c>
      <c r="O1451" s="3">
        <v>0.05</v>
      </c>
      <c r="P1451" s="3">
        <v>0</v>
      </c>
      <c r="Q1451" s="3">
        <v>0</v>
      </c>
      <c r="R1451" s="3">
        <v>0</v>
      </c>
    </row>
    <row r="1452" spans="1:18">
      <c r="A1452" s="3" t="s">
        <v>2052</v>
      </c>
      <c r="B1452" s="3" t="s">
        <v>2053</v>
      </c>
      <c r="C1452" s="3" t="s">
        <v>2054</v>
      </c>
      <c r="D1452" s="3" t="s">
        <v>546</v>
      </c>
      <c r="E1452" s="3" t="s">
        <v>867</v>
      </c>
      <c r="F1452" s="3">
        <v>24.98</v>
      </c>
      <c r="G1452" s="3" t="s">
        <v>3391</v>
      </c>
      <c r="H1452" s="3"/>
      <c r="I1452" s="3" t="s">
        <v>3392</v>
      </c>
      <c r="J1452" s="3">
        <v>23</v>
      </c>
      <c r="K1452" s="3">
        <v>21</v>
      </c>
      <c r="L1452" s="3">
        <v>2</v>
      </c>
      <c r="M1452" s="3">
        <v>0</v>
      </c>
      <c r="N1452" s="3">
        <v>23</v>
      </c>
      <c r="O1452" s="3">
        <v>0.05</v>
      </c>
      <c r="P1452" s="3">
        <v>0</v>
      </c>
      <c r="Q1452" s="3">
        <v>0</v>
      </c>
      <c r="R1452" s="3">
        <v>0</v>
      </c>
    </row>
    <row r="1453" spans="1:18">
      <c r="A1453" s="3" t="s">
        <v>543</v>
      </c>
      <c r="B1453" s="3" t="s">
        <v>544</v>
      </c>
      <c r="C1453" s="3" t="s">
        <v>545</v>
      </c>
      <c r="D1453" s="3" t="s">
        <v>546</v>
      </c>
      <c r="E1453" s="3" t="s">
        <v>867</v>
      </c>
      <c r="F1453" s="3">
        <v>22.98</v>
      </c>
      <c r="G1453" s="3" t="s">
        <v>3391</v>
      </c>
      <c r="H1453" s="3"/>
      <c r="I1453" s="3" t="s">
        <v>3392</v>
      </c>
      <c r="J1453" s="3">
        <v>19</v>
      </c>
      <c r="K1453" s="3">
        <v>16</v>
      </c>
      <c r="L1453" s="3">
        <v>0</v>
      </c>
      <c r="M1453" s="3">
        <v>3</v>
      </c>
      <c r="N1453" s="3">
        <v>19</v>
      </c>
      <c r="O1453" s="3">
        <v>0.05</v>
      </c>
      <c r="P1453" s="3">
        <v>0</v>
      </c>
      <c r="Q1453" s="3">
        <v>0</v>
      </c>
      <c r="R1453" s="3">
        <v>0</v>
      </c>
    </row>
    <row r="1454" spans="1:18">
      <c r="A1454" s="3" t="s">
        <v>2218</v>
      </c>
      <c r="B1454" s="3" t="s">
        <v>2219</v>
      </c>
      <c r="C1454" s="3" t="s">
        <v>2220</v>
      </c>
      <c r="D1454" s="3" t="s">
        <v>546</v>
      </c>
      <c r="E1454" s="3" t="s">
        <v>867</v>
      </c>
      <c r="F1454" s="3">
        <v>22.98</v>
      </c>
      <c r="G1454" s="3" t="s">
        <v>3391</v>
      </c>
      <c r="H1454" s="3"/>
      <c r="I1454" s="3" t="s">
        <v>3392</v>
      </c>
      <c r="J1454" s="3">
        <v>17</v>
      </c>
      <c r="K1454" s="3">
        <v>17</v>
      </c>
      <c r="L1454" s="3">
        <v>0</v>
      </c>
      <c r="M1454" s="3">
        <v>0</v>
      </c>
      <c r="N1454" s="3">
        <v>17</v>
      </c>
      <c r="O1454" s="3">
        <v>0.05</v>
      </c>
      <c r="P1454" s="3">
        <v>0</v>
      </c>
      <c r="Q1454" s="3">
        <v>0</v>
      </c>
      <c r="R1454" s="3">
        <v>0</v>
      </c>
    </row>
    <row r="1455" spans="1:18">
      <c r="A1455" s="3" t="s">
        <v>556</v>
      </c>
      <c r="B1455" s="3" t="s">
        <v>557</v>
      </c>
      <c r="C1455" s="3" t="s">
        <v>558</v>
      </c>
      <c r="D1455" s="3" t="s">
        <v>546</v>
      </c>
      <c r="E1455" s="3" t="s">
        <v>867</v>
      </c>
      <c r="F1455" s="3">
        <v>19.98</v>
      </c>
      <c r="G1455" s="3" t="s">
        <v>3391</v>
      </c>
      <c r="H1455" s="3"/>
      <c r="I1455" s="3" t="s">
        <v>3392</v>
      </c>
      <c r="J1455" s="3">
        <v>5</v>
      </c>
      <c r="K1455" s="3">
        <v>4</v>
      </c>
      <c r="L1455" s="3">
        <v>0</v>
      </c>
      <c r="M1455" s="3">
        <v>1</v>
      </c>
      <c r="N1455" s="3">
        <v>5</v>
      </c>
      <c r="O1455" s="3">
        <v>0.09</v>
      </c>
      <c r="P1455" s="3">
        <v>0</v>
      </c>
      <c r="Q1455" s="3">
        <v>0</v>
      </c>
      <c r="R1455" s="3">
        <v>0</v>
      </c>
    </row>
    <row r="1456" spans="1:18">
      <c r="A1456" s="3" t="s">
        <v>1873</v>
      </c>
      <c r="B1456" s="3" t="s">
        <v>1874</v>
      </c>
      <c r="C1456" s="3" t="s">
        <v>1875</v>
      </c>
      <c r="D1456" s="3" t="s">
        <v>546</v>
      </c>
      <c r="E1456" s="3" t="s">
        <v>867</v>
      </c>
      <c r="F1456" s="3">
        <v>23.98</v>
      </c>
      <c r="G1456" s="3" t="s">
        <v>3391</v>
      </c>
      <c r="H1456" s="3"/>
      <c r="I1456" s="3" t="s">
        <v>3392</v>
      </c>
      <c r="J1456" s="3">
        <v>31</v>
      </c>
      <c r="K1456" s="3">
        <v>31</v>
      </c>
      <c r="L1456" s="3">
        <v>0</v>
      </c>
      <c r="M1456" s="3">
        <v>0</v>
      </c>
      <c r="N1456" s="3">
        <v>31</v>
      </c>
      <c r="O1456" s="3">
        <v>0.05</v>
      </c>
      <c r="P1456" s="3">
        <v>0</v>
      </c>
      <c r="Q1456" s="3">
        <v>0</v>
      </c>
      <c r="R1456" s="3">
        <v>0</v>
      </c>
    </row>
    <row r="1457" spans="1:18">
      <c r="A1457" s="3" t="s">
        <v>2383</v>
      </c>
      <c r="B1457" s="3" t="s">
        <v>2384</v>
      </c>
      <c r="C1457" s="3" t="s">
        <v>2385</v>
      </c>
      <c r="D1457" s="3" t="s">
        <v>546</v>
      </c>
      <c r="E1457" s="3" t="s">
        <v>867</v>
      </c>
      <c r="F1457" s="3">
        <v>23.98</v>
      </c>
      <c r="G1457" s="3" t="s">
        <v>3391</v>
      </c>
      <c r="H1457" s="3"/>
      <c r="I1457" s="3" t="s">
        <v>3392</v>
      </c>
      <c r="J1457" s="3">
        <v>35</v>
      </c>
      <c r="K1457" s="3">
        <v>35</v>
      </c>
      <c r="L1457" s="3">
        <v>0</v>
      </c>
      <c r="M1457" s="3">
        <v>0</v>
      </c>
      <c r="N1457" s="3">
        <v>35</v>
      </c>
      <c r="O1457" s="3">
        <v>0.05</v>
      </c>
      <c r="P1457" s="3">
        <v>0</v>
      </c>
      <c r="Q1457" s="3">
        <v>0</v>
      </c>
      <c r="R1457" s="3">
        <v>0</v>
      </c>
    </row>
    <row r="1458" spans="1:18">
      <c r="A1458" s="3" t="s">
        <v>5249</v>
      </c>
      <c r="B1458" s="3" t="s">
        <v>2216</v>
      </c>
      <c r="C1458" s="3" t="s">
        <v>2216</v>
      </c>
      <c r="D1458" s="3" t="s">
        <v>2217</v>
      </c>
      <c r="E1458" s="3" t="s">
        <v>867</v>
      </c>
      <c r="F1458" s="3">
        <v>22.98</v>
      </c>
      <c r="G1458" s="3" t="s">
        <v>3391</v>
      </c>
      <c r="H1458" s="3"/>
      <c r="I1458" s="3" t="s">
        <v>3392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0.07</v>
      </c>
      <c r="P1458" s="3">
        <v>0</v>
      </c>
      <c r="Q1458" s="3">
        <v>0</v>
      </c>
      <c r="R1458" s="3">
        <v>0</v>
      </c>
    </row>
    <row r="1459" spans="1:18">
      <c r="A1459" s="3" t="s">
        <v>5250</v>
      </c>
      <c r="B1459" s="3" t="s">
        <v>1797</v>
      </c>
      <c r="C1459" s="3" t="s">
        <v>1797</v>
      </c>
      <c r="D1459" s="3" t="s">
        <v>1798</v>
      </c>
      <c r="E1459" s="3" t="s">
        <v>867</v>
      </c>
      <c r="F1459" s="3">
        <v>22.98</v>
      </c>
      <c r="G1459" s="3" t="s">
        <v>3391</v>
      </c>
      <c r="H1459" s="3"/>
      <c r="I1459" s="3" t="s">
        <v>3392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0.07</v>
      </c>
      <c r="P1459" s="3">
        <v>0</v>
      </c>
      <c r="Q1459" s="3">
        <v>0</v>
      </c>
      <c r="R1459" s="3">
        <v>0</v>
      </c>
    </row>
    <row r="1460" spans="1:18">
      <c r="A1460" s="3" t="s">
        <v>1347</v>
      </c>
      <c r="B1460" s="3" t="s">
        <v>1348</v>
      </c>
      <c r="C1460" s="3" t="s">
        <v>1348</v>
      </c>
      <c r="D1460" s="3" t="s">
        <v>1349</v>
      </c>
      <c r="E1460" s="3" t="s">
        <v>867</v>
      </c>
      <c r="F1460" s="3">
        <v>22.98</v>
      </c>
      <c r="G1460" s="3" t="s">
        <v>3391</v>
      </c>
      <c r="H1460" s="3"/>
      <c r="I1460" s="3" t="s">
        <v>3392</v>
      </c>
      <c r="J1460" s="3">
        <v>9</v>
      </c>
      <c r="K1460" s="3">
        <v>9</v>
      </c>
      <c r="L1460" s="3">
        <v>0</v>
      </c>
      <c r="M1460" s="3">
        <v>0</v>
      </c>
      <c r="N1460" s="3">
        <v>9</v>
      </c>
      <c r="O1460" s="3">
        <v>0.07</v>
      </c>
      <c r="P1460" s="3">
        <v>0</v>
      </c>
      <c r="Q1460" s="3">
        <v>0</v>
      </c>
      <c r="R1460" s="3">
        <v>0</v>
      </c>
    </row>
    <row r="1461" spans="1:18">
      <c r="A1461" s="3" t="s">
        <v>5251</v>
      </c>
      <c r="B1461" s="3" t="s">
        <v>3171</v>
      </c>
      <c r="C1461" s="3" t="s">
        <v>3171</v>
      </c>
      <c r="D1461" s="3" t="s">
        <v>3172</v>
      </c>
      <c r="E1461" s="3" t="s">
        <v>867</v>
      </c>
      <c r="F1461" s="3">
        <v>24.98</v>
      </c>
      <c r="G1461" s="3" t="s">
        <v>3391</v>
      </c>
      <c r="H1461" s="3"/>
      <c r="I1461" s="3" t="s">
        <v>3392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0.07</v>
      </c>
      <c r="P1461" s="3">
        <v>0</v>
      </c>
      <c r="Q1461" s="3">
        <v>0</v>
      </c>
      <c r="R1461" s="3">
        <v>0</v>
      </c>
    </row>
    <row r="1462" spans="1:18">
      <c r="A1462" s="3" t="s">
        <v>1469</v>
      </c>
      <c r="B1462" s="3" t="s">
        <v>1470</v>
      </c>
      <c r="C1462" s="3" t="s">
        <v>1470</v>
      </c>
      <c r="D1462" s="3" t="s">
        <v>1471</v>
      </c>
      <c r="E1462" s="3" t="s">
        <v>867</v>
      </c>
      <c r="F1462" s="3">
        <v>24.98</v>
      </c>
      <c r="G1462" s="3" t="s">
        <v>3391</v>
      </c>
      <c r="H1462" s="3"/>
      <c r="I1462" s="3" t="s">
        <v>3392</v>
      </c>
      <c r="J1462" s="3">
        <v>2</v>
      </c>
      <c r="K1462" s="3">
        <v>2</v>
      </c>
      <c r="L1462" s="3">
        <v>0</v>
      </c>
      <c r="M1462" s="3">
        <v>0</v>
      </c>
      <c r="N1462" s="3">
        <v>2</v>
      </c>
      <c r="O1462" s="3">
        <v>0.07</v>
      </c>
      <c r="P1462" s="3">
        <v>0</v>
      </c>
      <c r="Q1462" s="3">
        <v>0</v>
      </c>
      <c r="R1462" s="3">
        <v>0</v>
      </c>
    </row>
    <row r="1463" spans="1:18">
      <c r="A1463" s="3" t="s">
        <v>5252</v>
      </c>
      <c r="B1463" s="3" t="s">
        <v>3487</v>
      </c>
      <c r="C1463" s="3" t="s">
        <v>3487</v>
      </c>
      <c r="D1463" s="3" t="s">
        <v>3488</v>
      </c>
      <c r="E1463" s="3" t="s">
        <v>867</v>
      </c>
      <c r="F1463" s="3">
        <v>24.98</v>
      </c>
      <c r="G1463" s="3" t="s">
        <v>3391</v>
      </c>
      <c r="H1463" s="3"/>
      <c r="I1463" s="3" t="s">
        <v>3392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0.07</v>
      </c>
      <c r="P1463" s="3">
        <v>0</v>
      </c>
      <c r="Q1463" s="3">
        <v>0</v>
      </c>
      <c r="R1463" s="3">
        <v>0</v>
      </c>
    </row>
    <row r="1464" spans="1:18">
      <c r="A1464" s="3" t="s">
        <v>5253</v>
      </c>
      <c r="B1464" s="3" t="s">
        <v>3491</v>
      </c>
      <c r="C1464" s="3" t="s">
        <v>3491</v>
      </c>
      <c r="D1464" s="3" t="s">
        <v>3492</v>
      </c>
      <c r="E1464" s="3" t="s">
        <v>867</v>
      </c>
      <c r="F1464" s="3">
        <v>22.98</v>
      </c>
      <c r="G1464" s="3" t="s">
        <v>3391</v>
      </c>
      <c r="H1464" s="3"/>
      <c r="I1464" s="3" t="s">
        <v>3392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0.07</v>
      </c>
      <c r="P1464" s="3">
        <v>0</v>
      </c>
      <c r="Q1464" s="3">
        <v>0</v>
      </c>
      <c r="R1464" s="3">
        <v>0</v>
      </c>
    </row>
    <row r="1465" spans="1:18">
      <c r="A1465" s="3" t="s">
        <v>550</v>
      </c>
      <c r="B1465" s="3" t="s">
        <v>551</v>
      </c>
      <c r="C1465" s="3" t="s">
        <v>551</v>
      </c>
      <c r="D1465" s="3" t="s">
        <v>552</v>
      </c>
      <c r="E1465" s="3" t="s">
        <v>867</v>
      </c>
      <c r="F1465" s="3">
        <v>10.99</v>
      </c>
      <c r="G1465" s="3" t="s">
        <v>3391</v>
      </c>
      <c r="H1465" s="3"/>
      <c r="I1465" s="3" t="s">
        <v>3392</v>
      </c>
      <c r="J1465" s="3">
        <v>10</v>
      </c>
      <c r="K1465" s="3">
        <v>9</v>
      </c>
      <c r="L1465" s="3">
        <v>0</v>
      </c>
      <c r="M1465" s="3">
        <v>1</v>
      </c>
      <c r="N1465" s="3">
        <v>10</v>
      </c>
      <c r="O1465" s="3">
        <v>0.07</v>
      </c>
      <c r="P1465" s="3">
        <v>0</v>
      </c>
      <c r="Q1465" s="3">
        <v>0</v>
      </c>
      <c r="R1465" s="3">
        <v>0</v>
      </c>
    </row>
    <row r="1466" spans="1:18">
      <c r="A1466" s="3" t="s">
        <v>5254</v>
      </c>
      <c r="B1466" s="3" t="s">
        <v>3497</v>
      </c>
      <c r="C1466" s="3" t="s">
        <v>3497</v>
      </c>
      <c r="D1466" s="3" t="s">
        <v>3498</v>
      </c>
      <c r="E1466" s="3" t="s">
        <v>867</v>
      </c>
      <c r="F1466" s="3">
        <v>24.98</v>
      </c>
      <c r="G1466" s="3" t="s">
        <v>3391</v>
      </c>
      <c r="H1466" s="3"/>
      <c r="I1466" s="3" t="s">
        <v>3392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0.07</v>
      </c>
      <c r="P1466" s="3">
        <v>0</v>
      </c>
      <c r="Q1466" s="3">
        <v>0</v>
      </c>
      <c r="R1466" s="3">
        <v>0</v>
      </c>
    </row>
    <row r="1467" spans="1:18">
      <c r="A1467" s="3" t="s">
        <v>5255</v>
      </c>
      <c r="B1467" s="3" t="s">
        <v>3501</v>
      </c>
      <c r="C1467" s="3" t="s">
        <v>3501</v>
      </c>
      <c r="D1467" s="3"/>
      <c r="E1467" s="3" t="s">
        <v>3293</v>
      </c>
      <c r="F1467" s="3"/>
      <c r="G1467" s="3"/>
      <c r="H1467" s="3"/>
      <c r="I1467" s="3"/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/>
      <c r="P1467" s="3">
        <v>0</v>
      </c>
      <c r="Q1467" s="3">
        <v>0</v>
      </c>
      <c r="R1467" s="3">
        <v>0</v>
      </c>
    </row>
    <row r="1468" spans="1:18">
      <c r="A1468" s="3" t="s">
        <v>5256</v>
      </c>
      <c r="B1468" s="3" t="s">
        <v>158</v>
      </c>
      <c r="C1468" s="3" t="s">
        <v>158</v>
      </c>
      <c r="D1468" s="3"/>
      <c r="E1468" s="3" t="s">
        <v>3293</v>
      </c>
      <c r="F1468" s="3"/>
      <c r="G1468" s="3"/>
      <c r="H1468" s="3"/>
      <c r="I1468" s="3"/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/>
      <c r="P1468" s="3">
        <v>0</v>
      </c>
      <c r="Q1468" s="3">
        <v>0</v>
      </c>
      <c r="R1468" s="3">
        <v>0</v>
      </c>
    </row>
    <row r="1469" spans="1:18">
      <c r="A1469" s="3" t="s">
        <v>5257</v>
      </c>
      <c r="B1469" s="3" t="s">
        <v>3597</v>
      </c>
      <c r="C1469" s="3" t="s">
        <v>3597</v>
      </c>
      <c r="D1469" s="3"/>
      <c r="E1469" s="3" t="s">
        <v>3293</v>
      </c>
      <c r="F1469" s="3"/>
      <c r="G1469" s="3"/>
      <c r="H1469" s="3"/>
      <c r="I1469" s="3"/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/>
      <c r="P1469" s="3">
        <v>0</v>
      </c>
      <c r="Q1469" s="3">
        <v>0</v>
      </c>
      <c r="R1469" s="3">
        <v>0</v>
      </c>
    </row>
    <row r="1470" spans="1:18">
      <c r="A1470" s="3" t="s">
        <v>5258</v>
      </c>
      <c r="B1470" s="3" t="s">
        <v>1002</v>
      </c>
      <c r="C1470" s="3" t="s">
        <v>1002</v>
      </c>
      <c r="D1470" s="3"/>
      <c r="E1470" s="3" t="s">
        <v>3293</v>
      </c>
      <c r="F1470" s="3"/>
      <c r="G1470" s="3"/>
      <c r="H1470" s="3"/>
      <c r="I1470" s="3"/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/>
      <c r="P1470" s="3">
        <v>0</v>
      </c>
      <c r="Q1470" s="3">
        <v>0</v>
      </c>
      <c r="R1470" s="3">
        <v>0</v>
      </c>
    </row>
    <row r="1471" spans="1:18">
      <c r="A1471" s="3" t="s">
        <v>5259</v>
      </c>
      <c r="B1471" s="3" t="s">
        <v>150</v>
      </c>
      <c r="C1471" s="3" t="s">
        <v>150</v>
      </c>
      <c r="D1471" s="3"/>
      <c r="E1471" s="3" t="s">
        <v>3293</v>
      </c>
      <c r="F1471" s="3"/>
      <c r="G1471" s="3"/>
      <c r="H1471" s="3"/>
      <c r="I1471" s="3"/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/>
      <c r="P1471" s="3">
        <v>0</v>
      </c>
      <c r="Q1471" s="3">
        <v>0</v>
      </c>
      <c r="R1471" s="3">
        <v>0</v>
      </c>
    </row>
    <row r="1472" spans="1:18">
      <c r="A1472" s="3" t="s">
        <v>5260</v>
      </c>
      <c r="B1472" s="3" t="s">
        <v>3513</v>
      </c>
      <c r="C1472" s="3" t="s">
        <v>3513</v>
      </c>
      <c r="D1472" s="3"/>
      <c r="E1472" s="3" t="s">
        <v>3293</v>
      </c>
      <c r="F1472" s="3"/>
      <c r="G1472" s="3"/>
      <c r="H1472" s="3"/>
      <c r="I1472" s="3"/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/>
      <c r="P1472" s="3">
        <v>0</v>
      </c>
      <c r="Q1472" s="3">
        <v>0</v>
      </c>
      <c r="R1472" s="3">
        <v>0</v>
      </c>
    </row>
    <row r="1473" spans="1:18">
      <c r="A1473" s="3" t="s">
        <v>5261</v>
      </c>
      <c r="B1473" s="3" t="s">
        <v>169</v>
      </c>
      <c r="C1473" s="3" t="s">
        <v>169</v>
      </c>
      <c r="D1473" s="3"/>
      <c r="E1473" s="3" t="s">
        <v>3293</v>
      </c>
      <c r="F1473" s="3"/>
      <c r="G1473" s="3"/>
      <c r="H1473" s="3"/>
      <c r="I1473" s="3"/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/>
      <c r="P1473" s="3">
        <v>0</v>
      </c>
      <c r="Q1473" s="3">
        <v>0</v>
      </c>
      <c r="R1473" s="3">
        <v>0</v>
      </c>
    </row>
    <row r="1474" spans="1:18">
      <c r="A1474" s="3" t="s">
        <v>5262</v>
      </c>
      <c r="B1474" s="3" t="s">
        <v>220</v>
      </c>
      <c r="C1474" s="3" t="s">
        <v>220</v>
      </c>
      <c r="D1474" s="3"/>
      <c r="E1474" s="3" t="s">
        <v>3293</v>
      </c>
      <c r="F1474" s="3"/>
      <c r="G1474" s="3"/>
      <c r="H1474" s="3"/>
      <c r="I1474" s="3"/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/>
      <c r="P1474" s="3">
        <v>0</v>
      </c>
      <c r="Q1474" s="3">
        <v>0</v>
      </c>
      <c r="R1474" s="3">
        <v>0</v>
      </c>
    </row>
    <row r="1475" spans="1:18">
      <c r="A1475" s="3" t="s">
        <v>5263</v>
      </c>
      <c r="B1475" s="3" t="s">
        <v>1393</v>
      </c>
      <c r="C1475" s="3" t="s">
        <v>1393</v>
      </c>
      <c r="D1475" s="3"/>
      <c r="E1475" s="3" t="s">
        <v>3293</v>
      </c>
      <c r="F1475" s="3"/>
      <c r="G1475" s="3"/>
      <c r="H1475" s="3"/>
      <c r="I1475" s="3"/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/>
      <c r="P1475" s="3">
        <v>0</v>
      </c>
      <c r="Q1475" s="3">
        <v>0</v>
      </c>
      <c r="R1475" s="3">
        <v>0</v>
      </c>
    </row>
    <row r="1476" spans="1:18">
      <c r="A1476" s="3" t="s">
        <v>5264</v>
      </c>
      <c r="B1476" s="3" t="s">
        <v>177</v>
      </c>
      <c r="C1476" s="3" t="s">
        <v>177</v>
      </c>
      <c r="D1476" s="3"/>
      <c r="E1476" s="3" t="s">
        <v>3293</v>
      </c>
      <c r="F1476" s="3"/>
      <c r="G1476" s="3"/>
      <c r="H1476" s="3"/>
      <c r="I1476" s="3"/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/>
      <c r="P1476" s="3">
        <v>0</v>
      </c>
      <c r="Q1476" s="3">
        <v>0</v>
      </c>
      <c r="R1476" s="3">
        <v>0</v>
      </c>
    </row>
    <row r="1477" spans="1:18">
      <c r="A1477" s="3" t="s">
        <v>5265</v>
      </c>
      <c r="B1477" s="3" t="s">
        <v>1196</v>
      </c>
      <c r="C1477" s="3" t="s">
        <v>1196</v>
      </c>
      <c r="D1477" s="3"/>
      <c r="E1477" s="3" t="s">
        <v>3293</v>
      </c>
      <c r="F1477" s="3"/>
      <c r="G1477" s="3"/>
      <c r="H1477" s="3"/>
      <c r="I1477" s="3"/>
      <c r="J1477" s="3">
        <v>1</v>
      </c>
      <c r="K1477" s="3">
        <v>1</v>
      </c>
      <c r="L1477" s="3">
        <v>0</v>
      </c>
      <c r="M1477" s="3">
        <v>0</v>
      </c>
      <c r="N1477" s="3">
        <v>1</v>
      </c>
      <c r="O1477" s="3"/>
      <c r="P1477" s="3">
        <v>0</v>
      </c>
      <c r="Q1477" s="3">
        <v>0</v>
      </c>
      <c r="R1477" s="3">
        <v>0</v>
      </c>
    </row>
    <row r="1478" spans="1:18">
      <c r="A1478" s="3" t="s">
        <v>5266</v>
      </c>
      <c r="B1478" s="3" t="s">
        <v>1942</v>
      </c>
      <c r="C1478" s="3" t="s">
        <v>1942</v>
      </c>
      <c r="D1478" s="3"/>
      <c r="E1478" s="3" t="s">
        <v>3293</v>
      </c>
      <c r="F1478" s="3"/>
      <c r="G1478" s="3"/>
      <c r="H1478" s="3"/>
      <c r="I1478" s="3"/>
      <c r="J1478" s="3">
        <v>3</v>
      </c>
      <c r="K1478" s="3">
        <v>3</v>
      </c>
      <c r="L1478" s="3">
        <v>0</v>
      </c>
      <c r="M1478" s="3">
        <v>0</v>
      </c>
      <c r="N1478" s="3">
        <v>3</v>
      </c>
      <c r="O1478" s="3"/>
      <c r="P1478" s="3">
        <v>0</v>
      </c>
      <c r="Q1478" s="3">
        <v>0</v>
      </c>
      <c r="R1478" s="3">
        <v>0</v>
      </c>
    </row>
    <row r="1479" spans="1:18">
      <c r="A1479" s="3" t="s">
        <v>5267</v>
      </c>
      <c r="B1479" s="3" t="s">
        <v>2316</v>
      </c>
      <c r="C1479" s="3" t="s">
        <v>2316</v>
      </c>
      <c r="D1479" s="3"/>
      <c r="E1479" s="3" t="s">
        <v>3293</v>
      </c>
      <c r="F1479" s="3"/>
      <c r="G1479" s="3"/>
      <c r="H1479" s="3"/>
      <c r="I1479" s="3"/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/>
      <c r="P1479" s="3">
        <v>0</v>
      </c>
      <c r="Q1479" s="3">
        <v>0</v>
      </c>
      <c r="R1479" s="3">
        <v>0</v>
      </c>
    </row>
    <row r="1480" spans="1:18">
      <c r="A1480" s="3" t="s">
        <v>5268</v>
      </c>
      <c r="B1480" s="3" t="s">
        <v>3164</v>
      </c>
      <c r="C1480" s="3" t="s">
        <v>3164</v>
      </c>
      <c r="D1480" s="3"/>
      <c r="E1480" s="3" t="s">
        <v>3293</v>
      </c>
      <c r="F1480" s="3"/>
      <c r="G1480" s="3"/>
      <c r="H1480" s="3"/>
      <c r="I1480" s="3"/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/>
      <c r="P1480" s="3">
        <v>0</v>
      </c>
      <c r="Q1480" s="3">
        <v>0</v>
      </c>
      <c r="R1480" s="3">
        <v>0</v>
      </c>
    </row>
    <row r="1481" spans="1:18">
      <c r="A1481" s="3" t="s">
        <v>5269</v>
      </c>
      <c r="B1481" s="3" t="s">
        <v>1811</v>
      </c>
      <c r="C1481" s="3" t="s">
        <v>1811</v>
      </c>
      <c r="D1481" s="3"/>
      <c r="E1481" s="3" t="s">
        <v>3293</v>
      </c>
      <c r="F1481" s="3"/>
      <c r="G1481" s="3"/>
      <c r="H1481" s="3"/>
      <c r="I1481" s="3"/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/>
      <c r="P1481" s="3">
        <v>0</v>
      </c>
      <c r="Q1481" s="3">
        <v>0</v>
      </c>
      <c r="R1481" s="3">
        <v>0</v>
      </c>
    </row>
    <row r="1482" spans="1:18">
      <c r="A1482" s="3" t="s">
        <v>5270</v>
      </c>
      <c r="B1482" s="3" t="s">
        <v>2530</v>
      </c>
      <c r="C1482" s="3" t="s">
        <v>2530</v>
      </c>
      <c r="D1482" s="3"/>
      <c r="E1482" s="3" t="s">
        <v>3293</v>
      </c>
      <c r="F1482" s="3"/>
      <c r="G1482" s="3"/>
      <c r="H1482" s="3"/>
      <c r="I1482" s="3"/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/>
      <c r="P1482" s="3">
        <v>0</v>
      </c>
      <c r="Q1482" s="3">
        <v>0</v>
      </c>
      <c r="R1482" s="3">
        <v>0</v>
      </c>
    </row>
    <row r="1483" spans="1:18">
      <c r="A1483" s="3" t="s">
        <v>5271</v>
      </c>
      <c r="B1483" s="3" t="s">
        <v>2109</v>
      </c>
      <c r="C1483" s="3" t="s">
        <v>2109</v>
      </c>
      <c r="D1483" s="3"/>
      <c r="E1483" s="3" t="s">
        <v>3293</v>
      </c>
      <c r="F1483" s="3"/>
      <c r="G1483" s="3"/>
      <c r="H1483" s="3"/>
      <c r="I1483" s="3"/>
      <c r="J1483" s="3">
        <v>6</v>
      </c>
      <c r="K1483" s="3">
        <v>6</v>
      </c>
      <c r="L1483" s="3">
        <v>0</v>
      </c>
      <c r="M1483" s="3">
        <v>0</v>
      </c>
      <c r="N1483" s="3">
        <v>6</v>
      </c>
      <c r="O1483" s="3"/>
      <c r="P1483" s="3">
        <v>0</v>
      </c>
      <c r="Q1483" s="3">
        <v>0</v>
      </c>
      <c r="R1483" s="3">
        <v>0</v>
      </c>
    </row>
    <row r="1484" spans="1:18">
      <c r="A1484" s="3" t="s">
        <v>5272</v>
      </c>
      <c r="B1484" s="3" t="s">
        <v>1517</v>
      </c>
      <c r="C1484" s="3" t="s">
        <v>1517</v>
      </c>
      <c r="D1484" s="3"/>
      <c r="E1484" s="3" t="s">
        <v>3293</v>
      </c>
      <c r="F1484" s="3"/>
      <c r="G1484" s="3"/>
      <c r="H1484" s="3"/>
      <c r="I1484" s="3"/>
      <c r="J1484" s="3">
        <v>1</v>
      </c>
      <c r="K1484" s="3">
        <v>1</v>
      </c>
      <c r="L1484" s="3">
        <v>0</v>
      </c>
      <c r="M1484" s="3">
        <v>0</v>
      </c>
      <c r="N1484" s="3">
        <v>1</v>
      </c>
      <c r="O1484" s="3"/>
      <c r="P1484" s="3">
        <v>0</v>
      </c>
      <c r="Q1484" s="3">
        <v>0</v>
      </c>
      <c r="R1484" s="3">
        <v>0</v>
      </c>
    </row>
    <row r="1485" spans="1:18">
      <c r="A1485" s="3" t="s">
        <v>5273</v>
      </c>
      <c r="B1485" s="3" t="s">
        <v>209</v>
      </c>
      <c r="C1485" s="3" t="s">
        <v>209</v>
      </c>
      <c r="D1485" s="3"/>
      <c r="E1485" s="3" t="s">
        <v>3293</v>
      </c>
      <c r="F1485" s="3"/>
      <c r="G1485" s="3"/>
      <c r="H1485" s="3"/>
      <c r="I1485" s="3"/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/>
      <c r="P1485" s="3">
        <v>0</v>
      </c>
      <c r="Q1485" s="3">
        <v>0</v>
      </c>
      <c r="R1485" s="3">
        <v>0</v>
      </c>
    </row>
    <row r="1486" spans="1:18">
      <c r="A1486" s="3" t="s">
        <v>5274</v>
      </c>
      <c r="B1486" s="3" t="s">
        <v>2091</v>
      </c>
      <c r="C1486" s="3" t="s">
        <v>2091</v>
      </c>
      <c r="D1486" s="3"/>
      <c r="E1486" s="3" t="s">
        <v>3293</v>
      </c>
      <c r="F1486" s="3"/>
      <c r="G1486" s="3"/>
      <c r="H1486" s="3"/>
      <c r="I1486" s="3"/>
      <c r="J1486" s="3">
        <v>10</v>
      </c>
      <c r="K1486" s="3">
        <v>10</v>
      </c>
      <c r="L1486" s="3">
        <v>0</v>
      </c>
      <c r="M1486" s="3">
        <v>0</v>
      </c>
      <c r="N1486" s="3">
        <v>10</v>
      </c>
      <c r="O1486" s="3"/>
      <c r="P1486" s="3">
        <v>0</v>
      </c>
      <c r="Q1486" s="3">
        <v>0</v>
      </c>
      <c r="R1486" s="3">
        <v>0</v>
      </c>
    </row>
    <row r="1487" spans="1:18">
      <c r="A1487" s="3" t="s">
        <v>5275</v>
      </c>
      <c r="B1487" s="3" t="s">
        <v>2776</v>
      </c>
      <c r="C1487" s="3" t="s">
        <v>2776</v>
      </c>
      <c r="D1487" s="3"/>
      <c r="E1487" s="3" t="s">
        <v>3293</v>
      </c>
      <c r="F1487" s="3"/>
      <c r="G1487" s="3"/>
      <c r="H1487" s="3"/>
      <c r="I1487" s="3"/>
      <c r="J1487" s="3">
        <v>6</v>
      </c>
      <c r="K1487" s="3">
        <v>6</v>
      </c>
      <c r="L1487" s="3">
        <v>0</v>
      </c>
      <c r="M1487" s="3">
        <v>0</v>
      </c>
      <c r="N1487" s="3">
        <v>6</v>
      </c>
      <c r="O1487" s="3"/>
      <c r="P1487" s="3">
        <v>0</v>
      </c>
      <c r="Q1487" s="3">
        <v>0</v>
      </c>
      <c r="R1487" s="3">
        <v>0</v>
      </c>
    </row>
    <row r="1488" spans="1:18">
      <c r="A1488" s="3" t="s">
        <v>5276</v>
      </c>
      <c r="B1488" s="3" t="s">
        <v>1721</v>
      </c>
      <c r="C1488" s="3" t="s">
        <v>1721</v>
      </c>
      <c r="D1488" s="3"/>
      <c r="E1488" s="3" t="s">
        <v>3293</v>
      </c>
      <c r="F1488" s="3"/>
      <c r="G1488" s="3"/>
      <c r="H1488" s="3"/>
      <c r="I1488" s="3"/>
      <c r="J1488" s="3">
        <v>1</v>
      </c>
      <c r="K1488" s="3">
        <v>1</v>
      </c>
      <c r="L1488" s="3">
        <v>0</v>
      </c>
      <c r="M1488" s="3">
        <v>0</v>
      </c>
      <c r="N1488" s="3">
        <v>1</v>
      </c>
      <c r="O1488" s="3"/>
      <c r="P1488" s="3">
        <v>0</v>
      </c>
      <c r="Q1488" s="3">
        <v>0</v>
      </c>
      <c r="R1488" s="3">
        <v>0</v>
      </c>
    </row>
    <row r="1489" spans="1:18">
      <c r="A1489" s="3" t="s">
        <v>5277</v>
      </c>
      <c r="B1489" s="3" t="s">
        <v>3614</v>
      </c>
      <c r="C1489" s="3" t="s">
        <v>3614</v>
      </c>
      <c r="D1489" s="3"/>
      <c r="E1489" s="3" t="s">
        <v>3293</v>
      </c>
      <c r="F1489" s="3"/>
      <c r="G1489" s="3"/>
      <c r="H1489" s="3"/>
      <c r="I1489" s="3"/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/>
      <c r="P1489" s="3">
        <v>0</v>
      </c>
      <c r="Q1489" s="3">
        <v>0</v>
      </c>
      <c r="R1489" s="3">
        <v>0</v>
      </c>
    </row>
    <row r="1490" spans="1:18">
      <c r="A1490" s="3" t="s">
        <v>5278</v>
      </c>
      <c r="B1490" s="3" t="s">
        <v>3526</v>
      </c>
      <c r="C1490" s="3" t="s">
        <v>3526</v>
      </c>
      <c r="D1490" s="3"/>
      <c r="E1490" s="3" t="s">
        <v>3293</v>
      </c>
      <c r="F1490" s="3"/>
      <c r="G1490" s="3"/>
      <c r="H1490" s="3"/>
      <c r="I1490" s="3"/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/>
      <c r="P1490" s="3">
        <v>0</v>
      </c>
      <c r="Q1490" s="3">
        <v>0</v>
      </c>
      <c r="R1490" s="3">
        <v>0</v>
      </c>
    </row>
    <row r="1491" spans="1:18">
      <c r="A1491" s="3" t="s">
        <v>5279</v>
      </c>
      <c r="B1491" s="3" t="s">
        <v>1756</v>
      </c>
      <c r="C1491" s="3" t="s">
        <v>1756</v>
      </c>
      <c r="D1491" s="3"/>
      <c r="E1491" s="3" t="s">
        <v>3293</v>
      </c>
      <c r="F1491" s="3"/>
      <c r="G1491" s="3"/>
      <c r="H1491" s="3"/>
      <c r="I1491" s="3"/>
      <c r="J1491" s="3">
        <v>1</v>
      </c>
      <c r="K1491" s="3">
        <v>1</v>
      </c>
      <c r="L1491" s="3">
        <v>0</v>
      </c>
      <c r="M1491" s="3">
        <v>0</v>
      </c>
      <c r="N1491" s="3">
        <v>1</v>
      </c>
      <c r="O1491" s="3"/>
      <c r="P1491" s="3">
        <v>0</v>
      </c>
      <c r="Q1491" s="3">
        <v>0</v>
      </c>
      <c r="R1491" s="3">
        <v>0</v>
      </c>
    </row>
    <row r="1492" spans="1:18">
      <c r="A1492" s="3" t="s">
        <v>5280</v>
      </c>
      <c r="B1492" s="3" t="s">
        <v>1364</v>
      </c>
      <c r="C1492" s="3" t="s">
        <v>1364</v>
      </c>
      <c r="D1492" s="3"/>
      <c r="E1492" s="3" t="s">
        <v>3293</v>
      </c>
      <c r="F1492" s="3"/>
      <c r="G1492" s="3"/>
      <c r="H1492" s="3"/>
      <c r="I1492" s="3"/>
      <c r="J1492" s="3">
        <v>2</v>
      </c>
      <c r="K1492" s="3">
        <v>2</v>
      </c>
      <c r="L1492" s="3">
        <v>0</v>
      </c>
      <c r="M1492" s="3">
        <v>0</v>
      </c>
      <c r="N1492" s="3">
        <v>2</v>
      </c>
      <c r="O1492" s="3"/>
      <c r="P1492" s="3">
        <v>0</v>
      </c>
      <c r="Q1492" s="3">
        <v>0</v>
      </c>
      <c r="R1492" s="3">
        <v>0</v>
      </c>
    </row>
    <row r="1493" spans="1:18">
      <c r="A1493" s="3" t="s">
        <v>5281</v>
      </c>
      <c r="B1493" s="3" t="s">
        <v>1458</v>
      </c>
      <c r="C1493" s="3" t="s">
        <v>1458</v>
      </c>
      <c r="D1493" s="3"/>
      <c r="E1493" s="3" t="s">
        <v>3293</v>
      </c>
      <c r="F1493" s="3"/>
      <c r="G1493" s="3"/>
      <c r="H1493" s="3"/>
      <c r="I1493" s="3"/>
      <c r="J1493" s="3">
        <v>1</v>
      </c>
      <c r="K1493" s="3">
        <v>1</v>
      </c>
      <c r="L1493" s="3">
        <v>0</v>
      </c>
      <c r="M1493" s="3">
        <v>0</v>
      </c>
      <c r="N1493" s="3">
        <v>1</v>
      </c>
      <c r="O1493" s="3"/>
      <c r="P1493" s="3">
        <v>0</v>
      </c>
      <c r="Q1493" s="3">
        <v>0</v>
      </c>
      <c r="R1493" s="3">
        <v>0</v>
      </c>
    </row>
    <row r="1494" spans="1:18">
      <c r="A1494" s="3" t="s">
        <v>5282</v>
      </c>
      <c r="B1494" s="3" t="s">
        <v>3619</v>
      </c>
      <c r="C1494" s="3" t="s">
        <v>3619</v>
      </c>
      <c r="D1494" s="3"/>
      <c r="E1494" s="3" t="s">
        <v>3293</v>
      </c>
      <c r="F1494" s="3"/>
      <c r="G1494" s="3"/>
      <c r="H1494" s="3"/>
      <c r="I1494" s="3"/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/>
      <c r="P1494" s="3">
        <v>0</v>
      </c>
      <c r="Q1494" s="3">
        <v>0</v>
      </c>
      <c r="R1494" s="3">
        <v>0</v>
      </c>
    </row>
    <row r="1495" spans="1:18">
      <c r="A1495" s="3" t="s">
        <v>5283</v>
      </c>
      <c r="B1495" s="3" t="s">
        <v>3622</v>
      </c>
      <c r="C1495" s="3" t="s">
        <v>3622</v>
      </c>
      <c r="D1495" s="3"/>
      <c r="E1495" s="3" t="s">
        <v>3293</v>
      </c>
      <c r="F1495" s="3"/>
      <c r="G1495" s="3"/>
      <c r="H1495" s="3"/>
      <c r="I1495" s="3"/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/>
      <c r="P1495" s="3">
        <v>0</v>
      </c>
      <c r="Q1495" s="3">
        <v>0</v>
      </c>
      <c r="R1495" s="3">
        <v>0</v>
      </c>
    </row>
    <row r="1496" spans="1:18">
      <c r="A1496" s="3" t="s">
        <v>5284</v>
      </c>
      <c r="B1496" s="3" t="s">
        <v>2060</v>
      </c>
      <c r="C1496" s="3" t="s">
        <v>2060</v>
      </c>
      <c r="D1496" s="3"/>
      <c r="E1496" s="3" t="s">
        <v>3293</v>
      </c>
      <c r="F1496" s="3"/>
      <c r="G1496" s="3"/>
      <c r="H1496" s="3"/>
      <c r="I1496" s="3"/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/>
      <c r="P1496" s="3">
        <v>0</v>
      </c>
      <c r="Q1496" s="3">
        <v>0</v>
      </c>
      <c r="R1496" s="3">
        <v>0</v>
      </c>
    </row>
    <row r="1497" spans="1:18">
      <c r="A1497" s="3" t="s">
        <v>5285</v>
      </c>
      <c r="B1497" s="3" t="s">
        <v>3626</v>
      </c>
      <c r="C1497" s="3" t="s">
        <v>3626</v>
      </c>
      <c r="D1497" s="3"/>
      <c r="E1497" s="3" t="s">
        <v>3293</v>
      </c>
      <c r="F1497" s="3"/>
      <c r="G1497" s="3"/>
      <c r="H1497" s="3"/>
      <c r="I1497" s="3"/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/>
      <c r="P1497" s="3">
        <v>0</v>
      </c>
      <c r="Q1497" s="3">
        <v>0</v>
      </c>
      <c r="R1497" s="3">
        <v>0</v>
      </c>
    </row>
    <row r="1498" spans="1:18">
      <c r="A1498" s="3" t="s">
        <v>1991</v>
      </c>
      <c r="B1498" s="3" t="s">
        <v>1992</v>
      </c>
      <c r="C1498" s="3" t="s">
        <v>1993</v>
      </c>
      <c r="D1498" s="3" t="s">
        <v>1994</v>
      </c>
      <c r="E1498" s="3" t="s">
        <v>867</v>
      </c>
      <c r="F1498" s="3">
        <v>22.99</v>
      </c>
      <c r="G1498" s="3" t="s">
        <v>3391</v>
      </c>
      <c r="H1498" s="3"/>
      <c r="I1498" s="3" t="s">
        <v>3392</v>
      </c>
      <c r="J1498" s="3">
        <v>7</v>
      </c>
      <c r="K1498" s="3">
        <v>7</v>
      </c>
      <c r="L1498" s="3">
        <v>0</v>
      </c>
      <c r="M1498" s="3">
        <v>0</v>
      </c>
      <c r="N1498" s="3">
        <v>7</v>
      </c>
      <c r="O1498" s="3">
        <v>0.15</v>
      </c>
      <c r="P1498" s="3">
        <v>0</v>
      </c>
      <c r="Q1498" s="3">
        <v>0</v>
      </c>
      <c r="R1498" s="3">
        <v>0</v>
      </c>
    </row>
    <row r="1499" spans="1:18">
      <c r="A1499" s="3" t="s">
        <v>1219</v>
      </c>
      <c r="B1499" s="3" t="s">
        <v>1220</v>
      </c>
      <c r="C1499" s="3" t="s">
        <v>1220</v>
      </c>
      <c r="D1499" s="3" t="s">
        <v>1221</v>
      </c>
      <c r="E1499" s="3" t="s">
        <v>867</v>
      </c>
      <c r="F1499" s="3">
        <v>22.99</v>
      </c>
      <c r="G1499" s="3" t="s">
        <v>3391</v>
      </c>
      <c r="H1499" s="3"/>
      <c r="I1499" s="3" t="s">
        <v>3392</v>
      </c>
      <c r="J1499" s="3">
        <v>46</v>
      </c>
      <c r="K1499" s="3">
        <v>46</v>
      </c>
      <c r="L1499" s="3">
        <v>0</v>
      </c>
      <c r="M1499" s="3">
        <v>0</v>
      </c>
      <c r="N1499" s="3">
        <v>46</v>
      </c>
      <c r="O1499" s="3">
        <v>0.15</v>
      </c>
      <c r="P1499" s="3">
        <v>0</v>
      </c>
      <c r="Q1499" s="3">
        <v>0</v>
      </c>
      <c r="R1499" s="3">
        <v>0</v>
      </c>
    </row>
    <row r="1500" spans="1:18">
      <c r="A1500" s="3" t="s">
        <v>1709</v>
      </c>
      <c r="B1500" s="3" t="s">
        <v>1710</v>
      </c>
      <c r="C1500" s="3" t="s">
        <v>1710</v>
      </c>
      <c r="D1500" s="3" t="s">
        <v>1711</v>
      </c>
      <c r="E1500" s="3" t="s">
        <v>867</v>
      </c>
      <c r="F1500" s="3">
        <v>18.98</v>
      </c>
      <c r="G1500" s="3" t="s">
        <v>3391</v>
      </c>
      <c r="H1500" s="3"/>
      <c r="I1500" s="3" t="s">
        <v>3392</v>
      </c>
      <c r="J1500" s="3">
        <v>1</v>
      </c>
      <c r="K1500" s="3">
        <v>1</v>
      </c>
      <c r="L1500" s="3">
        <v>0</v>
      </c>
      <c r="M1500" s="3">
        <v>0</v>
      </c>
      <c r="N1500" s="3">
        <v>1</v>
      </c>
      <c r="O1500" s="3">
        <v>0.17</v>
      </c>
      <c r="P1500" s="3">
        <v>0</v>
      </c>
      <c r="Q1500" s="3">
        <v>0</v>
      </c>
      <c r="R1500" s="3">
        <v>0</v>
      </c>
    </row>
    <row r="1501" spans="1:18">
      <c r="A1501" s="3" t="s">
        <v>568</v>
      </c>
      <c r="B1501" s="3" t="s">
        <v>569</v>
      </c>
      <c r="C1501" s="3" t="s">
        <v>569</v>
      </c>
      <c r="D1501" s="3"/>
      <c r="E1501" s="3" t="s">
        <v>3293</v>
      </c>
      <c r="F1501" s="3"/>
      <c r="G1501" s="3"/>
      <c r="H1501" s="3"/>
      <c r="I1501" s="3"/>
      <c r="J1501" s="3">
        <v>13</v>
      </c>
      <c r="K1501" s="3">
        <v>0</v>
      </c>
      <c r="L1501" s="3">
        <v>0</v>
      </c>
      <c r="M1501" s="3">
        <v>13</v>
      </c>
      <c r="N1501" s="3">
        <v>13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5286</v>
      </c>
      <c r="B1502" s="3" t="s">
        <v>5287</v>
      </c>
      <c r="C1502" s="3" t="s">
        <v>5287</v>
      </c>
      <c r="D1502" s="3" t="s">
        <v>5288</v>
      </c>
      <c r="E1502" s="3" t="s">
        <v>867</v>
      </c>
      <c r="F1502" s="3">
        <v>22.98</v>
      </c>
      <c r="G1502" s="3" t="s">
        <v>3391</v>
      </c>
      <c r="H1502" s="3"/>
      <c r="I1502" s="3" t="s">
        <v>3392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>
        <v>0.16</v>
      </c>
      <c r="P1502" s="3">
        <v>0</v>
      </c>
      <c r="Q1502" s="3">
        <v>0</v>
      </c>
      <c r="R1502" s="3">
        <v>0</v>
      </c>
    </row>
    <row r="1503" spans="1:18">
      <c r="A1503" s="3" t="s">
        <v>559</v>
      </c>
      <c r="B1503" s="3" t="s">
        <v>560</v>
      </c>
      <c r="C1503" s="3" t="s">
        <v>560</v>
      </c>
      <c r="D1503" s="3" t="s">
        <v>561</v>
      </c>
      <c r="E1503" s="3" t="s">
        <v>867</v>
      </c>
      <c r="F1503" s="3">
        <v>18.98</v>
      </c>
      <c r="G1503" s="3" t="s">
        <v>3391</v>
      </c>
      <c r="H1503" s="3"/>
      <c r="I1503" s="3" t="s">
        <v>3392</v>
      </c>
      <c r="J1503" s="3">
        <v>3</v>
      </c>
      <c r="K1503" s="3">
        <v>2</v>
      </c>
      <c r="L1503" s="3">
        <v>0</v>
      </c>
      <c r="M1503" s="3">
        <v>1</v>
      </c>
      <c r="N1503" s="3">
        <v>3</v>
      </c>
      <c r="O1503" s="3">
        <v>0.2</v>
      </c>
      <c r="P1503" s="3">
        <v>0</v>
      </c>
      <c r="Q1503" s="3">
        <v>0</v>
      </c>
      <c r="R1503" s="3">
        <v>0</v>
      </c>
    </row>
    <row r="1504" spans="1:18">
      <c r="A1504" s="3" t="s">
        <v>5289</v>
      </c>
      <c r="B1504" s="3" t="s">
        <v>5290</v>
      </c>
      <c r="C1504" s="3" t="s">
        <v>5290</v>
      </c>
      <c r="D1504" s="3" t="s">
        <v>561</v>
      </c>
      <c r="E1504" s="3" t="s">
        <v>867</v>
      </c>
      <c r="F1504" s="3">
        <v>18.98</v>
      </c>
      <c r="G1504" s="3" t="s">
        <v>3391</v>
      </c>
      <c r="H1504" s="3"/>
      <c r="I1504" s="3" t="s">
        <v>3392</v>
      </c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>
        <v>0.19</v>
      </c>
      <c r="P1504" s="3">
        <v>0</v>
      </c>
      <c r="Q1504" s="3">
        <v>0</v>
      </c>
      <c r="R1504" s="3">
        <v>0</v>
      </c>
    </row>
    <row r="1505" spans="1:18">
      <c r="A1505" s="3" t="s">
        <v>565</v>
      </c>
      <c r="B1505" s="3" t="s">
        <v>566</v>
      </c>
      <c r="C1505" s="3" t="s">
        <v>566</v>
      </c>
      <c r="D1505" s="3" t="s">
        <v>567</v>
      </c>
      <c r="E1505" s="3" t="s">
        <v>867</v>
      </c>
      <c r="F1505" s="3">
        <v>25.98</v>
      </c>
      <c r="G1505" s="3" t="s">
        <v>3391</v>
      </c>
      <c r="H1505" s="3"/>
      <c r="I1505" s="3" t="s">
        <v>3392</v>
      </c>
      <c r="J1505" s="3">
        <v>24</v>
      </c>
      <c r="K1505" s="3">
        <v>23</v>
      </c>
      <c r="L1505" s="3">
        <v>0</v>
      </c>
      <c r="M1505" s="3">
        <v>1</v>
      </c>
      <c r="N1505" s="3">
        <v>24</v>
      </c>
      <c r="O1505" s="3">
        <v>0.16</v>
      </c>
      <c r="P1505" s="3">
        <v>0</v>
      </c>
      <c r="Q1505" s="3">
        <v>0</v>
      </c>
      <c r="R1505" s="3">
        <v>0</v>
      </c>
    </row>
    <row r="1506" spans="1:18">
      <c r="A1506" s="3" t="s">
        <v>1149</v>
      </c>
      <c r="B1506" s="3" t="s">
        <v>1150</v>
      </c>
      <c r="C1506" s="3" t="s">
        <v>1150</v>
      </c>
      <c r="D1506" s="3" t="s">
        <v>1151</v>
      </c>
      <c r="E1506" s="3" t="s">
        <v>3293</v>
      </c>
      <c r="F1506" s="3">
        <v>45.98</v>
      </c>
      <c r="G1506" s="3" t="s">
        <v>3391</v>
      </c>
      <c r="H1506" s="3"/>
      <c r="I1506" s="3" t="s">
        <v>3392</v>
      </c>
      <c r="J1506" s="3">
        <v>7</v>
      </c>
      <c r="K1506" s="3">
        <v>7</v>
      </c>
      <c r="L1506" s="3">
        <v>0</v>
      </c>
      <c r="M1506" s="3">
        <v>0</v>
      </c>
      <c r="N1506" s="3">
        <v>7</v>
      </c>
      <c r="O1506" s="3">
        <v>0.16</v>
      </c>
      <c r="P1506" s="3">
        <v>0</v>
      </c>
      <c r="Q1506" s="3">
        <v>0</v>
      </c>
      <c r="R1506" s="3">
        <v>0</v>
      </c>
    </row>
    <row r="1507" spans="1:18">
      <c r="A1507" s="3" t="s">
        <v>5291</v>
      </c>
      <c r="B1507" s="3" t="s">
        <v>5292</v>
      </c>
      <c r="C1507" s="3" t="s">
        <v>5292</v>
      </c>
      <c r="D1507" s="3" t="s">
        <v>2518</v>
      </c>
      <c r="E1507" s="3" t="s">
        <v>867</v>
      </c>
      <c r="F1507" s="3">
        <v>45.98</v>
      </c>
      <c r="G1507" s="3" t="s">
        <v>3391</v>
      </c>
      <c r="H1507" s="3"/>
      <c r="I1507" s="3" t="s">
        <v>3392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0.16</v>
      </c>
      <c r="P1507" s="3">
        <v>0</v>
      </c>
      <c r="Q1507" s="3">
        <v>0</v>
      </c>
      <c r="R1507" s="3">
        <v>0</v>
      </c>
    </row>
    <row r="1508" spans="1:18">
      <c r="A1508" s="3" t="s">
        <v>957</v>
      </c>
      <c r="B1508" s="3" t="s">
        <v>958</v>
      </c>
      <c r="C1508" s="3" t="s">
        <v>958</v>
      </c>
      <c r="D1508" s="3" t="s">
        <v>959</v>
      </c>
      <c r="E1508" s="3" t="s">
        <v>867</v>
      </c>
      <c r="F1508" s="3">
        <v>45.98</v>
      </c>
      <c r="G1508" s="3" t="s">
        <v>3391</v>
      </c>
      <c r="H1508" s="3"/>
      <c r="I1508" s="3" t="s">
        <v>3392</v>
      </c>
      <c r="J1508" s="3">
        <v>1</v>
      </c>
      <c r="K1508" s="3">
        <v>1</v>
      </c>
      <c r="L1508" s="3">
        <v>0</v>
      </c>
      <c r="M1508" s="3">
        <v>0</v>
      </c>
      <c r="N1508" s="3">
        <v>1</v>
      </c>
      <c r="O1508" s="3">
        <v>0.12</v>
      </c>
      <c r="P1508" s="3">
        <v>0</v>
      </c>
      <c r="Q1508" s="3">
        <v>0</v>
      </c>
      <c r="R1508" s="3">
        <v>0</v>
      </c>
    </row>
    <row r="1509" spans="1:18">
      <c r="A1509" s="3" t="s">
        <v>5293</v>
      </c>
      <c r="B1509" s="3" t="s">
        <v>5294</v>
      </c>
      <c r="C1509" s="3" t="s">
        <v>5294</v>
      </c>
      <c r="D1509" s="3" t="s">
        <v>2057</v>
      </c>
      <c r="E1509" s="3" t="s">
        <v>867</v>
      </c>
      <c r="F1509" s="3">
        <v>45.98</v>
      </c>
      <c r="G1509" s="3" t="s">
        <v>3391</v>
      </c>
      <c r="H1509" s="3"/>
      <c r="I1509" s="3" t="s">
        <v>3392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0.16</v>
      </c>
      <c r="P1509" s="3">
        <v>0</v>
      </c>
      <c r="Q1509" s="3">
        <v>0</v>
      </c>
      <c r="R1509" s="3">
        <v>0</v>
      </c>
    </row>
    <row r="1510" spans="1:18">
      <c r="A1510" s="3" t="s">
        <v>2075</v>
      </c>
      <c r="B1510" s="3" t="s">
        <v>2076</v>
      </c>
      <c r="C1510" s="3" t="s">
        <v>2076</v>
      </c>
      <c r="D1510" s="3" t="s">
        <v>2077</v>
      </c>
      <c r="E1510" s="3" t="s">
        <v>867</v>
      </c>
      <c r="F1510" s="3">
        <v>25.98</v>
      </c>
      <c r="G1510" s="3" t="s">
        <v>3391</v>
      </c>
      <c r="H1510" s="3"/>
      <c r="I1510" s="3" t="s">
        <v>3392</v>
      </c>
      <c r="J1510" s="3">
        <v>10</v>
      </c>
      <c r="K1510" s="3">
        <v>10</v>
      </c>
      <c r="L1510" s="3">
        <v>0</v>
      </c>
      <c r="M1510" s="3">
        <v>0</v>
      </c>
      <c r="N1510" s="3">
        <v>10</v>
      </c>
      <c r="O1510" s="3">
        <v>0.16</v>
      </c>
      <c r="P1510" s="3">
        <v>0</v>
      </c>
      <c r="Q1510" s="3">
        <v>0</v>
      </c>
      <c r="R1510" s="3">
        <v>0</v>
      </c>
    </row>
    <row r="1511" spans="1:18">
      <c r="A1511" s="3" t="s">
        <v>5295</v>
      </c>
      <c r="B1511" s="3" t="s">
        <v>5296</v>
      </c>
      <c r="C1511" s="3" t="s">
        <v>5296</v>
      </c>
      <c r="D1511" s="3" t="s">
        <v>4412</v>
      </c>
      <c r="E1511" s="3" t="s">
        <v>867</v>
      </c>
      <c r="F1511" s="3">
        <v>25.98</v>
      </c>
      <c r="G1511" s="3" t="s">
        <v>3391</v>
      </c>
      <c r="H1511" s="3"/>
      <c r="I1511" s="3" t="s">
        <v>3392</v>
      </c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>
        <v>0.16</v>
      </c>
      <c r="P1511" s="3">
        <v>0</v>
      </c>
      <c r="Q1511" s="3">
        <v>0</v>
      </c>
      <c r="R1511" s="3">
        <v>0</v>
      </c>
    </row>
    <row r="1512" spans="1:18">
      <c r="A1512" s="3" t="s">
        <v>570</v>
      </c>
      <c r="B1512" s="3" t="s">
        <v>571</v>
      </c>
      <c r="C1512" s="3" t="s">
        <v>571</v>
      </c>
      <c r="D1512" s="3" t="s">
        <v>572</v>
      </c>
      <c r="E1512" s="3" t="s">
        <v>867</v>
      </c>
      <c r="F1512" s="3">
        <v>25.98</v>
      </c>
      <c r="G1512" s="3" t="s">
        <v>3391</v>
      </c>
      <c r="H1512" s="3"/>
      <c r="I1512" s="3" t="s">
        <v>3392</v>
      </c>
      <c r="J1512" s="3">
        <v>10</v>
      </c>
      <c r="K1512" s="3">
        <v>9</v>
      </c>
      <c r="L1512" s="3">
        <v>0</v>
      </c>
      <c r="M1512" s="3">
        <v>1</v>
      </c>
      <c r="N1512" s="3">
        <v>10</v>
      </c>
      <c r="O1512" s="3">
        <v>0.16</v>
      </c>
      <c r="P1512" s="3">
        <v>0</v>
      </c>
      <c r="Q1512" s="3">
        <v>0</v>
      </c>
      <c r="R1512" s="3">
        <v>0</v>
      </c>
    </row>
    <row r="1513" spans="1:18">
      <c r="A1513" s="3" t="s">
        <v>562</v>
      </c>
      <c r="B1513" s="3" t="s">
        <v>563</v>
      </c>
      <c r="C1513" s="3" t="s">
        <v>563</v>
      </c>
      <c r="D1513" s="3" t="s">
        <v>564</v>
      </c>
      <c r="E1513" s="3" t="s">
        <v>867</v>
      </c>
      <c r="F1513" s="3">
        <v>25.98</v>
      </c>
      <c r="G1513" s="3" t="s">
        <v>3391</v>
      </c>
      <c r="H1513" s="3"/>
      <c r="I1513" s="3" t="s">
        <v>3392</v>
      </c>
      <c r="J1513" s="3">
        <v>7</v>
      </c>
      <c r="K1513" s="3">
        <v>6</v>
      </c>
      <c r="L1513" s="3">
        <v>0</v>
      </c>
      <c r="M1513" s="3">
        <v>1</v>
      </c>
      <c r="N1513" s="3">
        <v>7</v>
      </c>
      <c r="O1513" s="3">
        <v>0.16</v>
      </c>
      <c r="P1513" s="3">
        <v>0</v>
      </c>
      <c r="Q1513" s="3">
        <v>0</v>
      </c>
      <c r="R1513" s="3">
        <v>0</v>
      </c>
    </row>
    <row r="1514" spans="1:18">
      <c r="A1514" s="3" t="s">
        <v>5297</v>
      </c>
      <c r="B1514" s="3" t="s">
        <v>3039</v>
      </c>
      <c r="C1514" s="3" t="s">
        <v>3039</v>
      </c>
      <c r="D1514" s="3" t="s">
        <v>3040</v>
      </c>
      <c r="E1514" s="3" t="s">
        <v>3293</v>
      </c>
      <c r="F1514" s="3">
        <v>45.98</v>
      </c>
      <c r="G1514" s="3" t="s">
        <v>3391</v>
      </c>
      <c r="H1514" s="3"/>
      <c r="I1514" s="3" t="s">
        <v>3392</v>
      </c>
      <c r="J1514" s="3">
        <v>9</v>
      </c>
      <c r="K1514" s="3">
        <v>9</v>
      </c>
      <c r="L1514" s="3">
        <v>0</v>
      </c>
      <c r="M1514" s="3">
        <v>0</v>
      </c>
      <c r="N1514" s="3">
        <v>9</v>
      </c>
      <c r="O1514" s="3">
        <v>0</v>
      </c>
      <c r="P1514" s="3">
        <v>0</v>
      </c>
      <c r="Q1514" s="3">
        <v>0</v>
      </c>
      <c r="R1514" s="3">
        <v>0</v>
      </c>
    </row>
    <row r="1515" spans="1:18">
      <c r="A1515" s="3" t="s">
        <v>547</v>
      </c>
      <c r="B1515" s="3" t="s">
        <v>548</v>
      </c>
      <c r="C1515" s="3" t="s">
        <v>548</v>
      </c>
      <c r="D1515" s="3" t="s">
        <v>549</v>
      </c>
      <c r="E1515" s="3" t="s">
        <v>867</v>
      </c>
      <c r="F1515" s="3">
        <v>27.98</v>
      </c>
      <c r="G1515" s="3" t="s">
        <v>3391</v>
      </c>
      <c r="H1515" s="3"/>
      <c r="I1515" s="3" t="s">
        <v>3392</v>
      </c>
      <c r="J1515" s="3">
        <v>6</v>
      </c>
      <c r="K1515" s="3">
        <v>5</v>
      </c>
      <c r="L1515" s="3">
        <v>0</v>
      </c>
      <c r="M1515" s="3">
        <v>1</v>
      </c>
      <c r="N1515" s="3">
        <v>6</v>
      </c>
      <c r="O1515" s="3">
        <v>0.16</v>
      </c>
      <c r="P1515" s="3">
        <v>0</v>
      </c>
      <c r="Q1515" s="3">
        <v>0</v>
      </c>
      <c r="R1515" s="3">
        <v>0</v>
      </c>
    </row>
    <row r="1516" spans="1:18">
      <c r="A1516" s="3" t="s">
        <v>2244</v>
      </c>
      <c r="B1516" s="3" t="s">
        <v>2245</v>
      </c>
      <c r="C1516" s="3" t="s">
        <v>2245</v>
      </c>
      <c r="D1516" s="3" t="s">
        <v>2246</v>
      </c>
      <c r="E1516" s="3" t="s">
        <v>867</v>
      </c>
      <c r="F1516" s="3">
        <v>27.98</v>
      </c>
      <c r="G1516" s="3" t="s">
        <v>3391</v>
      </c>
      <c r="H1516" s="3"/>
      <c r="I1516" s="3" t="s">
        <v>3392</v>
      </c>
      <c r="J1516" s="3">
        <v>23</v>
      </c>
      <c r="K1516" s="3">
        <v>23</v>
      </c>
      <c r="L1516" s="3">
        <v>0</v>
      </c>
      <c r="M1516" s="3">
        <v>0</v>
      </c>
      <c r="N1516" s="3">
        <v>23</v>
      </c>
      <c r="O1516" s="3">
        <v>0.17</v>
      </c>
      <c r="P1516" s="3">
        <v>0</v>
      </c>
      <c r="Q1516" s="3">
        <v>0</v>
      </c>
      <c r="R1516" s="3">
        <v>0</v>
      </c>
    </row>
    <row r="1517" spans="1:18">
      <c r="A1517" s="3" t="s">
        <v>1267</v>
      </c>
      <c r="B1517" s="3" t="s">
        <v>1268</v>
      </c>
      <c r="C1517" s="3" t="s">
        <v>1268</v>
      </c>
      <c r="D1517" s="3" t="s">
        <v>1269</v>
      </c>
      <c r="E1517" s="3" t="s">
        <v>867</v>
      </c>
      <c r="F1517" s="3">
        <v>45.98</v>
      </c>
      <c r="G1517" s="3" t="s">
        <v>3391</v>
      </c>
      <c r="H1517" s="3"/>
      <c r="I1517" s="3" t="s">
        <v>3392</v>
      </c>
      <c r="J1517" s="3">
        <v>4</v>
      </c>
      <c r="K1517" s="3">
        <v>4</v>
      </c>
      <c r="L1517" s="3">
        <v>0</v>
      </c>
      <c r="M1517" s="3">
        <v>0</v>
      </c>
      <c r="N1517" s="3">
        <v>4</v>
      </c>
      <c r="O1517" s="3">
        <v>0.12</v>
      </c>
      <c r="P1517" s="3">
        <v>0</v>
      </c>
      <c r="Q1517" s="3">
        <v>0</v>
      </c>
      <c r="R1517" s="3">
        <v>0</v>
      </c>
    </row>
    <row r="1518" spans="1:18">
      <c r="A1518" s="3" t="s">
        <v>3098</v>
      </c>
      <c r="B1518" s="3" t="s">
        <v>3099</v>
      </c>
      <c r="C1518" s="3" t="s">
        <v>3099</v>
      </c>
      <c r="D1518" s="3" t="s">
        <v>273</v>
      </c>
      <c r="E1518" s="3" t="s">
        <v>867</v>
      </c>
      <c r="F1518" s="3">
        <v>45.98</v>
      </c>
      <c r="G1518" s="3" t="s">
        <v>3391</v>
      </c>
      <c r="H1518" s="3"/>
      <c r="I1518" s="3" t="s">
        <v>3392</v>
      </c>
      <c r="J1518" s="3">
        <v>2</v>
      </c>
      <c r="K1518" s="3">
        <v>2</v>
      </c>
      <c r="L1518" s="3">
        <v>0</v>
      </c>
      <c r="M1518" s="3">
        <v>0</v>
      </c>
      <c r="N1518" s="3">
        <v>2</v>
      </c>
      <c r="O1518" s="3">
        <v>0.12</v>
      </c>
      <c r="P1518" s="3">
        <v>0</v>
      </c>
      <c r="Q1518" s="3">
        <v>0</v>
      </c>
      <c r="R1518" s="3">
        <v>0</v>
      </c>
    </row>
    <row r="1519" spans="1:18">
      <c r="A1519" s="3" t="s">
        <v>5298</v>
      </c>
      <c r="B1519" s="3" t="s">
        <v>5299</v>
      </c>
      <c r="C1519" s="3" t="s">
        <v>5299</v>
      </c>
      <c r="D1519" s="3" t="s">
        <v>1294</v>
      </c>
      <c r="E1519" s="3" t="s">
        <v>867</v>
      </c>
      <c r="F1519" s="3">
        <v>45.98</v>
      </c>
      <c r="G1519" s="3" t="s">
        <v>3391</v>
      </c>
      <c r="H1519" s="3"/>
      <c r="I1519" s="3" t="s">
        <v>3392</v>
      </c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>
        <v>0.16</v>
      </c>
      <c r="P1519" s="3">
        <v>0</v>
      </c>
      <c r="Q1519" s="3">
        <v>0</v>
      </c>
      <c r="R1519" s="3">
        <v>0</v>
      </c>
    </row>
    <row r="1520" spans="1:18">
      <c r="A1520" s="3" t="s">
        <v>1270</v>
      </c>
      <c r="B1520" s="3" t="s">
        <v>1271</v>
      </c>
      <c r="C1520" s="3" t="s">
        <v>1271</v>
      </c>
      <c r="D1520" s="3" t="s">
        <v>1272</v>
      </c>
      <c r="E1520" s="3" t="s">
        <v>867</v>
      </c>
      <c r="F1520" s="3">
        <v>45.98</v>
      </c>
      <c r="G1520" s="3" t="s">
        <v>3391</v>
      </c>
      <c r="H1520" s="3"/>
      <c r="I1520" s="3" t="s">
        <v>3392</v>
      </c>
      <c r="J1520" s="3">
        <v>5</v>
      </c>
      <c r="K1520" s="3">
        <v>5</v>
      </c>
      <c r="L1520" s="3">
        <v>0</v>
      </c>
      <c r="M1520" s="3">
        <v>0</v>
      </c>
      <c r="N1520" s="3">
        <v>5</v>
      </c>
      <c r="O1520" s="3">
        <v>0.16</v>
      </c>
      <c r="P1520" s="3">
        <v>0</v>
      </c>
      <c r="Q1520" s="3">
        <v>0</v>
      </c>
      <c r="R1520" s="3">
        <v>0</v>
      </c>
    </row>
    <row r="1521" spans="1:18">
      <c r="A1521" s="3" t="s">
        <v>5300</v>
      </c>
      <c r="B1521" s="3" t="s">
        <v>5301</v>
      </c>
      <c r="C1521" s="3" t="s">
        <v>5301</v>
      </c>
      <c r="D1521" s="3" t="s">
        <v>3075</v>
      </c>
      <c r="E1521" s="3" t="s">
        <v>867</v>
      </c>
      <c r="F1521" s="3">
        <v>45.98</v>
      </c>
      <c r="G1521" s="3" t="s">
        <v>3391</v>
      </c>
      <c r="H1521" s="3"/>
      <c r="I1521" s="3" t="s">
        <v>3392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0.16</v>
      </c>
      <c r="P1521" s="3">
        <v>0</v>
      </c>
      <c r="Q1521" s="3">
        <v>0</v>
      </c>
      <c r="R1521" s="3">
        <v>0</v>
      </c>
    </row>
    <row r="1522" spans="1:18">
      <c r="A1522" s="3" t="s">
        <v>5302</v>
      </c>
      <c r="B1522" s="3" t="s">
        <v>5303</v>
      </c>
      <c r="C1522" s="3" t="s">
        <v>5303</v>
      </c>
      <c r="D1522" s="3" t="s">
        <v>1747</v>
      </c>
      <c r="E1522" s="3" t="s">
        <v>867</v>
      </c>
      <c r="F1522" s="3">
        <v>45.98</v>
      </c>
      <c r="G1522" s="3" t="s">
        <v>3391</v>
      </c>
      <c r="H1522" s="3"/>
      <c r="I1522" s="3" t="s">
        <v>3392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0.16</v>
      </c>
      <c r="P1522" s="3">
        <v>0</v>
      </c>
      <c r="Q1522" s="3">
        <v>0</v>
      </c>
      <c r="R1522" s="3">
        <v>0</v>
      </c>
    </row>
    <row r="1523" spans="1:18">
      <c r="A1523" s="3" t="s">
        <v>2165</v>
      </c>
      <c r="B1523" s="3" t="s">
        <v>2166</v>
      </c>
      <c r="C1523" s="3" t="s">
        <v>2166</v>
      </c>
      <c r="D1523" s="3" t="s">
        <v>2167</v>
      </c>
      <c r="E1523" s="3" t="s">
        <v>867</v>
      </c>
      <c r="F1523" s="3">
        <v>25.98</v>
      </c>
      <c r="G1523" s="3" t="s">
        <v>3391</v>
      </c>
      <c r="H1523" s="3"/>
      <c r="I1523" s="3" t="s">
        <v>3392</v>
      </c>
      <c r="J1523" s="3">
        <v>20</v>
      </c>
      <c r="K1523" s="3">
        <v>20</v>
      </c>
      <c r="L1523" s="3">
        <v>0</v>
      </c>
      <c r="M1523" s="3">
        <v>0</v>
      </c>
      <c r="N1523" s="3">
        <v>20</v>
      </c>
      <c r="O1523" s="3">
        <v>0.12</v>
      </c>
      <c r="P1523" s="3">
        <v>0</v>
      </c>
      <c r="Q1523" s="3">
        <v>0</v>
      </c>
      <c r="R1523" s="3">
        <v>0</v>
      </c>
    </row>
    <row r="1524" spans="1:18">
      <c r="A1524" s="3" t="s">
        <v>2941</v>
      </c>
      <c r="B1524" s="3" t="s">
        <v>2848</v>
      </c>
      <c r="C1524" s="3" t="s">
        <v>2848</v>
      </c>
      <c r="D1524" s="3" t="s">
        <v>2849</v>
      </c>
      <c r="E1524" s="3" t="s">
        <v>867</v>
      </c>
      <c r="F1524" s="3">
        <v>45.98</v>
      </c>
      <c r="G1524" s="3" t="s">
        <v>3391</v>
      </c>
      <c r="H1524" s="3"/>
      <c r="I1524" s="3" t="s">
        <v>3392</v>
      </c>
      <c r="J1524" s="3">
        <v>5</v>
      </c>
      <c r="K1524" s="3">
        <v>5</v>
      </c>
      <c r="L1524" s="3">
        <v>0</v>
      </c>
      <c r="M1524" s="3">
        <v>0</v>
      </c>
      <c r="N1524" s="3">
        <v>5</v>
      </c>
      <c r="O1524" s="3">
        <v>0.12</v>
      </c>
      <c r="P1524" s="3">
        <v>0</v>
      </c>
      <c r="Q1524" s="3">
        <v>0</v>
      </c>
      <c r="R1524" s="3">
        <v>0</v>
      </c>
    </row>
    <row r="1525" spans="1:18">
      <c r="A1525" s="3" t="s">
        <v>1247</v>
      </c>
      <c r="B1525" s="3" t="s">
        <v>1248</v>
      </c>
      <c r="C1525" s="3" t="s">
        <v>1248</v>
      </c>
      <c r="D1525" s="3" t="s">
        <v>1249</v>
      </c>
      <c r="E1525" s="3" t="s">
        <v>867</v>
      </c>
      <c r="F1525" s="3">
        <v>45.98</v>
      </c>
      <c r="G1525" s="3" t="s">
        <v>3391</v>
      </c>
      <c r="H1525" s="3"/>
      <c r="I1525" s="3" t="s">
        <v>3392</v>
      </c>
      <c r="J1525" s="3">
        <v>2</v>
      </c>
      <c r="K1525" s="3">
        <v>2</v>
      </c>
      <c r="L1525" s="3">
        <v>0</v>
      </c>
      <c r="M1525" s="3">
        <v>0</v>
      </c>
      <c r="N1525" s="3">
        <v>2</v>
      </c>
      <c r="O1525" s="3">
        <v>0.12</v>
      </c>
      <c r="P1525" s="3">
        <v>0</v>
      </c>
      <c r="Q1525" s="3">
        <v>0</v>
      </c>
      <c r="R1525" s="3">
        <v>0</v>
      </c>
    </row>
    <row r="1526" spans="1:18">
      <c r="A1526" s="3" t="s">
        <v>5304</v>
      </c>
      <c r="B1526" s="3" t="s">
        <v>1609</v>
      </c>
      <c r="C1526" s="3" t="s">
        <v>1609</v>
      </c>
      <c r="D1526" s="3" t="s">
        <v>1610</v>
      </c>
      <c r="E1526" s="3" t="s">
        <v>867</v>
      </c>
      <c r="F1526" s="3">
        <v>45.98</v>
      </c>
      <c r="G1526" s="3" t="s">
        <v>3391</v>
      </c>
      <c r="H1526" s="3"/>
      <c r="I1526" s="3" t="s">
        <v>3392</v>
      </c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>
        <v>0.05</v>
      </c>
      <c r="P1526" s="3">
        <v>0</v>
      </c>
      <c r="Q1526" s="3">
        <v>0</v>
      </c>
      <c r="R1526" s="3">
        <v>0</v>
      </c>
    </row>
    <row r="1527" spans="1:18">
      <c r="A1527" s="3" t="s">
        <v>5305</v>
      </c>
      <c r="B1527" s="3" t="s">
        <v>244</v>
      </c>
      <c r="C1527" s="3" t="s">
        <v>244</v>
      </c>
      <c r="D1527" s="3"/>
      <c r="E1527" s="3" t="s">
        <v>3293</v>
      </c>
      <c r="F1527" s="3"/>
      <c r="G1527" s="3"/>
      <c r="H1527" s="3"/>
      <c r="I1527" s="3"/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/>
      <c r="P1527" s="3">
        <v>0</v>
      </c>
      <c r="Q1527" s="3">
        <v>0</v>
      </c>
      <c r="R1527" s="3">
        <v>0</v>
      </c>
    </row>
    <row r="1528" spans="1:18">
      <c r="A1528" s="3" t="s">
        <v>3259</v>
      </c>
      <c r="B1528" s="3" t="s">
        <v>1368</v>
      </c>
      <c r="C1528" s="3" t="s">
        <v>1368</v>
      </c>
      <c r="D1528" s="3" t="s">
        <v>1369</v>
      </c>
      <c r="E1528" s="3" t="s">
        <v>867</v>
      </c>
      <c r="F1528" s="3">
        <v>45.98</v>
      </c>
      <c r="G1528" s="3" t="s">
        <v>3391</v>
      </c>
      <c r="H1528" s="3"/>
      <c r="I1528" s="3" t="s">
        <v>3392</v>
      </c>
      <c r="J1528" s="3">
        <v>12</v>
      </c>
      <c r="K1528" s="3">
        <v>12</v>
      </c>
      <c r="L1528" s="3">
        <v>0</v>
      </c>
      <c r="M1528" s="3">
        <v>0</v>
      </c>
      <c r="N1528" s="3">
        <v>12</v>
      </c>
      <c r="O1528" s="3">
        <v>0.09</v>
      </c>
      <c r="P1528" s="3">
        <v>0</v>
      </c>
      <c r="Q1528" s="3">
        <v>0</v>
      </c>
      <c r="R1528" s="3">
        <v>0</v>
      </c>
    </row>
    <row r="1529" spans="1:18">
      <c r="A1529" s="3" t="s">
        <v>5306</v>
      </c>
      <c r="B1529" s="3" t="s">
        <v>3196</v>
      </c>
      <c r="C1529" s="3" t="s">
        <v>3196</v>
      </c>
      <c r="D1529" s="3" t="s">
        <v>3197</v>
      </c>
      <c r="E1529" s="3" t="s">
        <v>867</v>
      </c>
      <c r="F1529" s="3">
        <v>45.98</v>
      </c>
      <c r="G1529" s="3" t="s">
        <v>3391</v>
      </c>
      <c r="H1529" s="3"/>
      <c r="I1529" s="3" t="s">
        <v>3392</v>
      </c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>
        <v>0.16</v>
      </c>
      <c r="P1529" s="3">
        <v>0</v>
      </c>
      <c r="Q1529" s="3">
        <v>0</v>
      </c>
      <c r="R1529" s="3">
        <v>0</v>
      </c>
    </row>
    <row r="1530" spans="1:18">
      <c r="A1530" s="3" t="s">
        <v>5307</v>
      </c>
      <c r="B1530" s="3" t="s">
        <v>240</v>
      </c>
      <c r="C1530" s="3" t="s">
        <v>240</v>
      </c>
      <c r="D1530" s="3"/>
      <c r="E1530" s="3" t="s">
        <v>3293</v>
      </c>
      <c r="F1530" s="3"/>
      <c r="G1530" s="3"/>
      <c r="H1530" s="3"/>
      <c r="I1530" s="3"/>
      <c r="J1530" s="3">
        <v>0</v>
      </c>
      <c r="K1530" s="3">
        <v>0</v>
      </c>
      <c r="L1530" s="3">
        <v>0</v>
      </c>
      <c r="M1530" s="3">
        <v>0</v>
      </c>
      <c r="N1530" s="3">
        <v>0</v>
      </c>
      <c r="O1530" s="3"/>
      <c r="P1530" s="3">
        <v>0</v>
      </c>
      <c r="Q1530" s="3">
        <v>0</v>
      </c>
      <c r="R1530" s="3">
        <v>0</v>
      </c>
    </row>
    <row r="1531" spans="1:18">
      <c r="A1531" s="3" t="s">
        <v>5308</v>
      </c>
      <c r="B1531" s="3" t="s">
        <v>1525</v>
      </c>
      <c r="C1531" s="3" t="s">
        <v>1525</v>
      </c>
      <c r="D1531" s="3"/>
      <c r="E1531" s="3" t="s">
        <v>3293</v>
      </c>
      <c r="F1531" s="3"/>
      <c r="G1531" s="3"/>
      <c r="H1531" s="3"/>
      <c r="I1531" s="3"/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/>
      <c r="P1531" s="3">
        <v>0</v>
      </c>
      <c r="Q1531" s="3">
        <v>0</v>
      </c>
      <c r="R1531" s="3">
        <v>0</v>
      </c>
    </row>
    <row r="1532" spans="1:18">
      <c r="A1532" s="3" t="s">
        <v>2496</v>
      </c>
      <c r="B1532" s="3" t="s">
        <v>2497</v>
      </c>
      <c r="C1532" s="3" t="s">
        <v>2497</v>
      </c>
      <c r="D1532" s="3" t="s">
        <v>2498</v>
      </c>
      <c r="E1532" s="3" t="s">
        <v>867</v>
      </c>
      <c r="F1532" s="3">
        <v>25.98</v>
      </c>
      <c r="G1532" s="3" t="s">
        <v>3391</v>
      </c>
      <c r="H1532" s="3"/>
      <c r="I1532" s="3" t="s">
        <v>3392</v>
      </c>
      <c r="J1532" s="3">
        <v>21</v>
      </c>
      <c r="K1532" s="3">
        <v>21</v>
      </c>
      <c r="L1532" s="3">
        <v>0</v>
      </c>
      <c r="M1532" s="3">
        <v>0</v>
      </c>
      <c r="N1532" s="3">
        <v>21</v>
      </c>
      <c r="O1532" s="3">
        <v>0.16</v>
      </c>
      <c r="P1532" s="3">
        <v>0</v>
      </c>
      <c r="Q1532" s="3">
        <v>0</v>
      </c>
      <c r="R1532" s="3">
        <v>0</v>
      </c>
    </row>
    <row r="1533" spans="1:18">
      <c r="A1533" s="3" t="s">
        <v>2674</v>
      </c>
      <c r="B1533" s="3" t="s">
        <v>2675</v>
      </c>
      <c r="C1533" s="3" t="s">
        <v>2675</v>
      </c>
      <c r="D1533" s="3" t="s">
        <v>2676</v>
      </c>
      <c r="E1533" s="3" t="s">
        <v>867</v>
      </c>
      <c r="F1533" s="3">
        <v>45.98</v>
      </c>
      <c r="G1533" s="3" t="s">
        <v>3391</v>
      </c>
      <c r="H1533" s="3"/>
      <c r="I1533" s="3" t="s">
        <v>3392</v>
      </c>
      <c r="J1533" s="3">
        <v>10</v>
      </c>
      <c r="K1533" s="3">
        <v>10</v>
      </c>
      <c r="L1533" s="3">
        <v>0</v>
      </c>
      <c r="M1533" s="3">
        <v>0</v>
      </c>
      <c r="N1533" s="3">
        <v>10</v>
      </c>
      <c r="O1533" s="3">
        <v>0.16</v>
      </c>
      <c r="P1533" s="3">
        <v>0</v>
      </c>
      <c r="Q1533" s="3">
        <v>0</v>
      </c>
      <c r="R1533" s="3">
        <v>0</v>
      </c>
    </row>
    <row r="1534" spans="1:18">
      <c r="A1534" s="3" t="s">
        <v>2989</v>
      </c>
      <c r="B1534" s="3" t="s">
        <v>2990</v>
      </c>
      <c r="C1534" s="3" t="s">
        <v>2990</v>
      </c>
      <c r="D1534" s="3" t="s">
        <v>2991</v>
      </c>
      <c r="E1534" s="3" t="s">
        <v>867</v>
      </c>
      <c r="F1534" s="3">
        <v>25.98</v>
      </c>
      <c r="G1534" s="3" t="s">
        <v>3391</v>
      </c>
      <c r="H1534" s="3"/>
      <c r="I1534" s="3" t="s">
        <v>3392</v>
      </c>
      <c r="J1534" s="3">
        <v>11</v>
      </c>
      <c r="K1534" s="3">
        <v>11</v>
      </c>
      <c r="L1534" s="3">
        <v>0</v>
      </c>
      <c r="M1534" s="3">
        <v>0</v>
      </c>
      <c r="N1534" s="3">
        <v>11</v>
      </c>
      <c r="O1534" s="3">
        <v>0.16</v>
      </c>
      <c r="P1534" s="3">
        <v>0</v>
      </c>
      <c r="Q1534" s="3">
        <v>0</v>
      </c>
      <c r="R1534" s="3">
        <v>0</v>
      </c>
    </row>
    <row r="1535" spans="1:18">
      <c r="A1535" s="3" t="s">
        <v>1061</v>
      </c>
      <c r="B1535" s="3" t="s">
        <v>1062</v>
      </c>
      <c r="C1535" s="3" t="s">
        <v>1062</v>
      </c>
      <c r="D1535" s="3" t="s">
        <v>1063</v>
      </c>
      <c r="E1535" s="3" t="s">
        <v>867</v>
      </c>
      <c r="F1535" s="3">
        <v>25.98</v>
      </c>
      <c r="G1535" s="3" t="s">
        <v>3391</v>
      </c>
      <c r="H1535" s="3"/>
      <c r="I1535" s="3" t="s">
        <v>3392</v>
      </c>
      <c r="J1535" s="3">
        <v>6</v>
      </c>
      <c r="K1535" s="3">
        <v>6</v>
      </c>
      <c r="L1535" s="3">
        <v>0</v>
      </c>
      <c r="M1535" s="3">
        <v>0</v>
      </c>
      <c r="N1535" s="3">
        <v>6</v>
      </c>
      <c r="O1535" s="3">
        <v>0.16</v>
      </c>
      <c r="P1535" s="3">
        <v>0</v>
      </c>
      <c r="Q1535" s="3">
        <v>0</v>
      </c>
      <c r="R1535" s="3">
        <v>0</v>
      </c>
    </row>
    <row r="1536" spans="1:18">
      <c r="A1536" s="3" t="s">
        <v>1773</v>
      </c>
      <c r="B1536" s="3" t="s">
        <v>1774</v>
      </c>
      <c r="C1536" s="3" t="s">
        <v>1774</v>
      </c>
      <c r="D1536" s="3" t="s">
        <v>1775</v>
      </c>
      <c r="E1536" s="3" t="s">
        <v>867</v>
      </c>
      <c r="F1536" s="3">
        <v>45.98</v>
      </c>
      <c r="G1536" s="3" t="s">
        <v>3391</v>
      </c>
      <c r="H1536" s="3"/>
      <c r="I1536" s="3" t="s">
        <v>3392</v>
      </c>
      <c r="J1536" s="3">
        <v>10</v>
      </c>
      <c r="K1536" s="3">
        <v>10</v>
      </c>
      <c r="L1536" s="3">
        <v>0</v>
      </c>
      <c r="M1536" s="3">
        <v>0</v>
      </c>
      <c r="N1536" s="3">
        <v>10</v>
      </c>
      <c r="O1536" s="3">
        <v>0.16</v>
      </c>
      <c r="P1536" s="3">
        <v>0</v>
      </c>
      <c r="Q1536" s="3">
        <v>0</v>
      </c>
      <c r="R1536" s="3">
        <v>0</v>
      </c>
    </row>
    <row r="1537" spans="1:18">
      <c r="A1537" s="3" t="s">
        <v>3019</v>
      </c>
      <c r="B1537" s="3" t="s">
        <v>3020</v>
      </c>
      <c r="C1537" s="3" t="s">
        <v>3020</v>
      </c>
      <c r="D1537" s="3" t="s">
        <v>3021</v>
      </c>
      <c r="E1537" s="3" t="s">
        <v>867</v>
      </c>
      <c r="F1537" s="3">
        <v>25.98</v>
      </c>
      <c r="G1537" s="3" t="s">
        <v>3391</v>
      </c>
      <c r="H1537" s="3"/>
      <c r="I1537" s="3" t="s">
        <v>3392</v>
      </c>
      <c r="J1537" s="3">
        <v>14</v>
      </c>
      <c r="K1537" s="3">
        <v>14</v>
      </c>
      <c r="L1537" s="3">
        <v>0</v>
      </c>
      <c r="M1537" s="3">
        <v>0</v>
      </c>
      <c r="N1537" s="3">
        <v>14</v>
      </c>
      <c r="O1537" s="3">
        <v>0.16</v>
      </c>
      <c r="P1537" s="3">
        <v>0</v>
      </c>
      <c r="Q1537" s="3">
        <v>0</v>
      </c>
      <c r="R1537" s="3">
        <v>0</v>
      </c>
    </row>
    <row r="1538" spans="1:18">
      <c r="A1538" s="3" t="s">
        <v>1650</v>
      </c>
      <c r="B1538" s="3" t="s">
        <v>1651</v>
      </c>
      <c r="C1538" s="3" t="s">
        <v>1651</v>
      </c>
      <c r="D1538" s="3" t="s">
        <v>1652</v>
      </c>
      <c r="E1538" s="3" t="s">
        <v>867</v>
      </c>
      <c r="F1538" s="3">
        <v>25.98</v>
      </c>
      <c r="G1538" s="3" t="s">
        <v>3391</v>
      </c>
      <c r="H1538" s="3"/>
      <c r="I1538" s="3" t="s">
        <v>3392</v>
      </c>
      <c r="J1538" s="3">
        <v>32</v>
      </c>
      <c r="K1538" s="3">
        <v>32</v>
      </c>
      <c r="L1538" s="3">
        <v>0</v>
      </c>
      <c r="M1538" s="3">
        <v>0</v>
      </c>
      <c r="N1538" s="3">
        <v>32</v>
      </c>
      <c r="O1538" s="3">
        <v>0.16</v>
      </c>
      <c r="P1538" s="3">
        <v>0</v>
      </c>
      <c r="Q1538" s="3">
        <v>0</v>
      </c>
      <c r="R1538" s="3">
        <v>0</v>
      </c>
    </row>
    <row r="1539" spans="1:18">
      <c r="A1539" s="3" t="s">
        <v>2036</v>
      </c>
      <c r="B1539" s="3" t="s">
        <v>2037</v>
      </c>
      <c r="C1539" s="3" t="s">
        <v>2037</v>
      </c>
      <c r="D1539" s="3" t="s">
        <v>1916</v>
      </c>
      <c r="E1539" s="3" t="s">
        <v>867</v>
      </c>
      <c r="F1539" s="3">
        <v>45.98</v>
      </c>
      <c r="G1539" s="3" t="s">
        <v>3391</v>
      </c>
      <c r="H1539" s="3"/>
      <c r="I1539" s="3" t="s">
        <v>3392</v>
      </c>
      <c r="J1539" s="3">
        <v>11</v>
      </c>
      <c r="K1539" s="3">
        <v>11</v>
      </c>
      <c r="L1539" s="3">
        <v>0</v>
      </c>
      <c r="M1539" s="3">
        <v>0</v>
      </c>
      <c r="N1539" s="3">
        <v>11</v>
      </c>
      <c r="O1539" s="3">
        <v>0.16</v>
      </c>
      <c r="P1539" s="3">
        <v>0</v>
      </c>
      <c r="Q1539" s="3">
        <v>0</v>
      </c>
      <c r="R1539" s="3">
        <v>0</v>
      </c>
    </row>
    <row r="1540" spans="1:18">
      <c r="A1540" s="3" t="s">
        <v>1201</v>
      </c>
      <c r="B1540" s="3" t="s">
        <v>1202</v>
      </c>
      <c r="C1540" s="3" t="s">
        <v>1202</v>
      </c>
      <c r="D1540" s="3" t="s">
        <v>1203</v>
      </c>
      <c r="E1540" s="3" t="s">
        <v>867</v>
      </c>
      <c r="F1540" s="3">
        <v>39.98</v>
      </c>
      <c r="G1540" s="3" t="s">
        <v>3391</v>
      </c>
      <c r="H1540" s="3"/>
      <c r="I1540" s="3" t="s">
        <v>3392</v>
      </c>
      <c r="J1540" s="3">
        <v>30</v>
      </c>
      <c r="K1540" s="3">
        <v>30</v>
      </c>
      <c r="L1540" s="3">
        <v>0</v>
      </c>
      <c r="M1540" s="3">
        <v>0</v>
      </c>
      <c r="N1540" s="3">
        <v>30</v>
      </c>
      <c r="O1540" s="3">
        <v>0.12</v>
      </c>
      <c r="P1540" s="3">
        <v>0</v>
      </c>
      <c r="Q1540" s="3">
        <v>0</v>
      </c>
      <c r="R1540" s="3">
        <v>0</v>
      </c>
    </row>
    <row r="1541" spans="1:18">
      <c r="A1541" s="3" t="s">
        <v>2697</v>
      </c>
      <c r="B1541" s="3" t="s">
        <v>2698</v>
      </c>
      <c r="C1541" s="3" t="s">
        <v>2698</v>
      </c>
      <c r="D1541" s="3" t="s">
        <v>1551</v>
      </c>
      <c r="E1541" s="3" t="s">
        <v>867</v>
      </c>
      <c r="F1541" s="3">
        <v>45.98</v>
      </c>
      <c r="G1541" s="3" t="s">
        <v>3391</v>
      </c>
      <c r="H1541" s="3"/>
      <c r="I1541" s="3" t="s">
        <v>3392</v>
      </c>
      <c r="J1541" s="3">
        <v>33</v>
      </c>
      <c r="K1541" s="3">
        <v>33</v>
      </c>
      <c r="L1541" s="3">
        <v>0</v>
      </c>
      <c r="M1541" s="3">
        <v>0</v>
      </c>
      <c r="N1541" s="3">
        <v>33</v>
      </c>
      <c r="O1541" s="3">
        <v>0.16</v>
      </c>
      <c r="P1541" s="3">
        <v>0</v>
      </c>
      <c r="Q1541" s="3">
        <v>0</v>
      </c>
      <c r="R1541" s="3">
        <v>0</v>
      </c>
    </row>
    <row r="1542" spans="1:18">
      <c r="A1542" s="3" t="s">
        <v>3126</v>
      </c>
      <c r="B1542" s="3" t="s">
        <v>3127</v>
      </c>
      <c r="C1542" s="3" t="s">
        <v>3039</v>
      </c>
      <c r="D1542" s="3" t="s">
        <v>3040</v>
      </c>
      <c r="E1542" s="3" t="s">
        <v>867</v>
      </c>
      <c r="F1542" s="3">
        <v>45.98</v>
      </c>
      <c r="G1542" s="3" t="s">
        <v>3391</v>
      </c>
      <c r="H1542" s="3"/>
      <c r="I1542" s="3" t="s">
        <v>3392</v>
      </c>
      <c r="J1542" s="3">
        <v>4</v>
      </c>
      <c r="K1542" s="3">
        <v>4</v>
      </c>
      <c r="L1542" s="3">
        <v>0</v>
      </c>
      <c r="M1542" s="3">
        <v>0</v>
      </c>
      <c r="N1542" s="3">
        <v>4</v>
      </c>
      <c r="O1542" s="3">
        <v>0.12</v>
      </c>
      <c r="P1542" s="3">
        <v>0</v>
      </c>
      <c r="Q1542" s="3">
        <v>0</v>
      </c>
      <c r="R1542" s="3">
        <v>0</v>
      </c>
    </row>
    <row r="1543" spans="1:18">
      <c r="A1543" s="3" t="s">
        <v>5309</v>
      </c>
      <c r="B1543" s="3" t="s">
        <v>327</v>
      </c>
      <c r="C1543" s="3" t="s">
        <v>327</v>
      </c>
      <c r="D1543" s="3" t="s">
        <v>328</v>
      </c>
      <c r="E1543" s="3" t="s">
        <v>867</v>
      </c>
      <c r="F1543" s="3">
        <v>24.98</v>
      </c>
      <c r="G1543" s="3" t="s">
        <v>3391</v>
      </c>
      <c r="H1543" s="3"/>
      <c r="I1543" s="3" t="s">
        <v>3392</v>
      </c>
      <c r="J1543" s="3">
        <v>0</v>
      </c>
      <c r="K1543" s="3">
        <v>0</v>
      </c>
      <c r="L1543" s="3">
        <v>0</v>
      </c>
      <c r="M1543" s="3">
        <v>0</v>
      </c>
      <c r="N1543" s="3">
        <v>0</v>
      </c>
      <c r="O1543" s="3">
        <v>0.05</v>
      </c>
      <c r="P1543" s="3">
        <v>0</v>
      </c>
      <c r="Q1543" s="3">
        <v>0</v>
      </c>
      <c r="R1543" s="3">
        <v>0</v>
      </c>
    </row>
    <row r="1544" spans="1:18">
      <c r="A1544" s="3" t="s">
        <v>579</v>
      </c>
      <c r="B1544" s="3" t="s">
        <v>580</v>
      </c>
      <c r="C1544" s="3" t="s">
        <v>580</v>
      </c>
      <c r="D1544" s="3" t="s">
        <v>581</v>
      </c>
      <c r="E1544" s="3" t="s">
        <v>867</v>
      </c>
      <c r="F1544" s="3">
        <v>21.98</v>
      </c>
      <c r="G1544" s="3" t="s">
        <v>3391</v>
      </c>
      <c r="H1544" s="3"/>
      <c r="I1544" s="3" t="s">
        <v>3392</v>
      </c>
      <c r="J1544" s="3">
        <v>16</v>
      </c>
      <c r="K1544" s="3">
        <v>15</v>
      </c>
      <c r="L1544" s="3">
        <v>0</v>
      </c>
      <c r="M1544" s="3">
        <v>1</v>
      </c>
      <c r="N1544" s="3">
        <v>16</v>
      </c>
      <c r="O1544" s="3">
        <v>0.05</v>
      </c>
      <c r="P1544" s="3">
        <v>0</v>
      </c>
      <c r="Q1544" s="3">
        <v>0</v>
      </c>
      <c r="R1544" s="3">
        <v>0</v>
      </c>
    </row>
    <row r="1545" spans="1:18">
      <c r="A1545" s="3" t="s">
        <v>1512</v>
      </c>
      <c r="B1545" s="3" t="s">
        <v>1513</v>
      </c>
      <c r="C1545" s="3" t="s">
        <v>1513</v>
      </c>
      <c r="D1545" s="3" t="s">
        <v>1514</v>
      </c>
      <c r="E1545" s="3" t="s">
        <v>867</v>
      </c>
      <c r="F1545" s="3">
        <v>20.98</v>
      </c>
      <c r="G1545" s="3" t="s">
        <v>3391</v>
      </c>
      <c r="H1545" s="3"/>
      <c r="I1545" s="3" t="s">
        <v>3392</v>
      </c>
      <c r="J1545" s="3">
        <v>10</v>
      </c>
      <c r="K1545" s="3">
        <v>10</v>
      </c>
      <c r="L1545" s="3">
        <v>0</v>
      </c>
      <c r="M1545" s="3">
        <v>0</v>
      </c>
      <c r="N1545" s="3">
        <v>10</v>
      </c>
      <c r="O1545" s="3">
        <v>0.05</v>
      </c>
      <c r="P1545" s="3">
        <v>0</v>
      </c>
      <c r="Q1545" s="3">
        <v>0</v>
      </c>
      <c r="R1545" s="3">
        <v>0</v>
      </c>
    </row>
    <row r="1546" spans="1:18">
      <c r="A1546" s="3" t="s">
        <v>5310</v>
      </c>
      <c r="B1546" s="3" t="s">
        <v>1679</v>
      </c>
      <c r="C1546" s="3" t="s">
        <v>1679</v>
      </c>
      <c r="D1546" s="3" t="s">
        <v>1680</v>
      </c>
      <c r="E1546" s="3" t="s">
        <v>867</v>
      </c>
      <c r="F1546" s="3">
        <v>22.98</v>
      </c>
      <c r="G1546" s="3" t="s">
        <v>3391</v>
      </c>
      <c r="H1546" s="3"/>
      <c r="I1546" s="3" t="s">
        <v>3392</v>
      </c>
      <c r="J1546" s="3">
        <v>1</v>
      </c>
      <c r="K1546" s="3">
        <v>0</v>
      </c>
      <c r="L1546" s="3">
        <v>1</v>
      </c>
      <c r="M1546" s="3">
        <v>0</v>
      </c>
      <c r="N1546" s="3">
        <v>1</v>
      </c>
      <c r="O1546" s="3">
        <v>0.12</v>
      </c>
      <c r="P1546" s="3">
        <v>0</v>
      </c>
      <c r="Q1546" s="3">
        <v>0</v>
      </c>
      <c r="R1546" s="3">
        <v>0</v>
      </c>
    </row>
    <row r="1547" spans="1:18">
      <c r="A1547" s="3" t="s">
        <v>5311</v>
      </c>
      <c r="B1547" s="3" t="s">
        <v>303</v>
      </c>
      <c r="C1547" s="3" t="s">
        <v>303</v>
      </c>
      <c r="D1547" s="3" t="s">
        <v>304</v>
      </c>
      <c r="E1547" s="3" t="s">
        <v>867</v>
      </c>
      <c r="F1547" s="3">
        <v>22.98</v>
      </c>
      <c r="G1547" s="3" t="s">
        <v>3391</v>
      </c>
      <c r="H1547" s="3"/>
      <c r="I1547" s="3" t="s">
        <v>3392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0.05</v>
      </c>
      <c r="P1547" s="3">
        <v>0</v>
      </c>
      <c r="Q1547" s="3">
        <v>0</v>
      </c>
      <c r="R1547" s="3">
        <v>0</v>
      </c>
    </row>
    <row r="1548" spans="1:18">
      <c r="A1548" s="3" t="s">
        <v>3211</v>
      </c>
      <c r="B1548" s="3" t="s">
        <v>343</v>
      </c>
      <c r="C1548" s="3" t="s">
        <v>343</v>
      </c>
      <c r="D1548" s="3" t="s">
        <v>344</v>
      </c>
      <c r="E1548" s="3" t="s">
        <v>867</v>
      </c>
      <c r="F1548" s="3">
        <v>24.98</v>
      </c>
      <c r="G1548" s="3" t="s">
        <v>3391</v>
      </c>
      <c r="H1548" s="3"/>
      <c r="I1548" s="3" t="s">
        <v>3392</v>
      </c>
      <c r="J1548" s="3">
        <v>7</v>
      </c>
      <c r="K1548" s="3">
        <v>7</v>
      </c>
      <c r="L1548" s="3">
        <v>0</v>
      </c>
      <c r="M1548" s="3">
        <v>0</v>
      </c>
      <c r="N1548" s="3">
        <v>7</v>
      </c>
      <c r="O1548" s="3">
        <v>0.05</v>
      </c>
      <c r="P1548" s="3">
        <v>0</v>
      </c>
      <c r="Q1548" s="3">
        <v>0</v>
      </c>
      <c r="R1548" s="3">
        <v>0</v>
      </c>
    </row>
    <row r="1549" spans="1:18">
      <c r="A1549" s="3" t="s">
        <v>5312</v>
      </c>
      <c r="B1549" s="3" t="s">
        <v>1619</v>
      </c>
      <c r="C1549" s="3" t="s">
        <v>1619</v>
      </c>
      <c r="D1549" s="3" t="s">
        <v>1620</v>
      </c>
      <c r="E1549" s="3" t="s">
        <v>867</v>
      </c>
      <c r="F1549" s="3">
        <v>22.98</v>
      </c>
      <c r="G1549" s="3" t="s">
        <v>3391</v>
      </c>
      <c r="H1549" s="3"/>
      <c r="I1549" s="3" t="s">
        <v>3392</v>
      </c>
      <c r="J1549" s="3">
        <v>0</v>
      </c>
      <c r="K1549" s="3">
        <v>0</v>
      </c>
      <c r="L1549" s="3">
        <v>0</v>
      </c>
      <c r="M1549" s="3">
        <v>0</v>
      </c>
      <c r="N1549" s="3">
        <v>0</v>
      </c>
      <c r="O1549" s="3">
        <v>0.05</v>
      </c>
      <c r="P1549" s="3">
        <v>0</v>
      </c>
      <c r="Q1549" s="3">
        <v>0</v>
      </c>
      <c r="R1549" s="3">
        <v>0</v>
      </c>
    </row>
    <row r="1550" spans="1:18">
      <c r="A1550" s="3" t="s">
        <v>1381</v>
      </c>
      <c r="B1550" s="3" t="s">
        <v>268</v>
      </c>
      <c r="C1550" s="3" t="s">
        <v>268</v>
      </c>
      <c r="D1550" s="3" t="s">
        <v>269</v>
      </c>
      <c r="E1550" s="3" t="s">
        <v>867</v>
      </c>
      <c r="F1550" s="3">
        <v>22.98</v>
      </c>
      <c r="G1550" s="3" t="s">
        <v>3391</v>
      </c>
      <c r="H1550" s="3"/>
      <c r="I1550" s="3" t="s">
        <v>3392</v>
      </c>
      <c r="J1550" s="3">
        <v>8</v>
      </c>
      <c r="K1550" s="3">
        <v>8</v>
      </c>
      <c r="L1550" s="3">
        <v>0</v>
      </c>
      <c r="M1550" s="3">
        <v>0</v>
      </c>
      <c r="N1550" s="3">
        <v>8</v>
      </c>
      <c r="O1550" s="3">
        <v>0.05</v>
      </c>
      <c r="P1550" s="3">
        <v>0</v>
      </c>
      <c r="Q1550" s="3">
        <v>0</v>
      </c>
      <c r="R1550" s="3">
        <v>0</v>
      </c>
    </row>
    <row r="1551" spans="1:18">
      <c r="A1551" s="3" t="s">
        <v>5313</v>
      </c>
      <c r="B1551" s="3" t="s">
        <v>256</v>
      </c>
      <c r="C1551" s="3" t="s">
        <v>256</v>
      </c>
      <c r="D1551" s="3" t="s">
        <v>257</v>
      </c>
      <c r="E1551" s="3" t="s">
        <v>867</v>
      </c>
      <c r="F1551" s="3">
        <v>24.98</v>
      </c>
      <c r="G1551" s="3" t="s">
        <v>3391</v>
      </c>
      <c r="H1551" s="3"/>
      <c r="I1551" s="3" t="s">
        <v>3392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0.05</v>
      </c>
      <c r="P1551" s="3">
        <v>0</v>
      </c>
      <c r="Q1551" s="3">
        <v>0</v>
      </c>
      <c r="R1551" s="3">
        <v>0</v>
      </c>
    </row>
    <row r="1552" spans="1:18">
      <c r="A1552" s="3" t="s">
        <v>5314</v>
      </c>
      <c r="B1552" s="3" t="s">
        <v>4483</v>
      </c>
      <c r="C1552" s="3" t="s">
        <v>4483</v>
      </c>
      <c r="D1552" s="3"/>
      <c r="E1552" s="3" t="s">
        <v>3293</v>
      </c>
      <c r="F1552" s="3"/>
      <c r="G1552" s="3"/>
      <c r="H1552" s="3"/>
      <c r="I1552" s="3"/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/>
      <c r="P1552" s="3">
        <v>0</v>
      </c>
      <c r="Q1552" s="3">
        <v>0</v>
      </c>
      <c r="R1552" s="3">
        <v>0</v>
      </c>
    </row>
    <row r="1553" spans="1:18">
      <c r="A1553" s="3" t="s">
        <v>5315</v>
      </c>
      <c r="B1553" s="3" t="s">
        <v>311</v>
      </c>
      <c r="C1553" s="3" t="s">
        <v>311</v>
      </c>
      <c r="D1553" s="3"/>
      <c r="E1553" s="3" t="s">
        <v>3293</v>
      </c>
      <c r="F1553" s="3"/>
      <c r="G1553" s="3"/>
      <c r="H1553" s="3"/>
      <c r="I1553" s="3"/>
      <c r="J1553" s="3">
        <v>2</v>
      </c>
      <c r="K1553" s="3">
        <v>2</v>
      </c>
      <c r="L1553" s="3">
        <v>0</v>
      </c>
      <c r="M1553" s="3">
        <v>0</v>
      </c>
      <c r="N1553" s="3">
        <v>2</v>
      </c>
      <c r="O1553" s="3"/>
      <c r="P1553" s="3">
        <v>0</v>
      </c>
      <c r="Q1553" s="3">
        <v>0</v>
      </c>
      <c r="R1553" s="3">
        <v>0</v>
      </c>
    </row>
    <row r="1554" spans="1:18">
      <c r="A1554" s="3" t="s">
        <v>592</v>
      </c>
      <c r="B1554" s="3" t="s">
        <v>295</v>
      </c>
      <c r="C1554" s="3" t="s">
        <v>295</v>
      </c>
      <c r="D1554" s="3" t="s">
        <v>296</v>
      </c>
      <c r="E1554" s="3" t="s">
        <v>867</v>
      </c>
      <c r="F1554" s="3">
        <v>22.98</v>
      </c>
      <c r="G1554" s="3" t="s">
        <v>3391</v>
      </c>
      <c r="H1554" s="3"/>
      <c r="I1554" s="3" t="s">
        <v>3392</v>
      </c>
      <c r="J1554" s="3">
        <v>1</v>
      </c>
      <c r="K1554" s="3">
        <v>0</v>
      </c>
      <c r="L1554" s="3">
        <v>0</v>
      </c>
      <c r="M1554" s="3">
        <v>1</v>
      </c>
      <c r="N1554" s="3">
        <v>1</v>
      </c>
      <c r="O1554" s="3">
        <v>0.05</v>
      </c>
      <c r="P1554" s="3">
        <v>0</v>
      </c>
      <c r="Q1554" s="3">
        <v>0</v>
      </c>
      <c r="R1554" s="3">
        <v>0</v>
      </c>
    </row>
    <row r="1555" spans="1:18">
      <c r="A1555" s="3" t="s">
        <v>1995</v>
      </c>
      <c r="B1555" s="3" t="s">
        <v>1996</v>
      </c>
      <c r="C1555" s="3" t="s">
        <v>1996</v>
      </c>
      <c r="D1555" s="3" t="s">
        <v>1997</v>
      </c>
      <c r="E1555" s="3" t="s">
        <v>867</v>
      </c>
      <c r="F1555" s="3">
        <v>21.98</v>
      </c>
      <c r="G1555" s="3" t="s">
        <v>3392</v>
      </c>
      <c r="H1555" s="3">
        <v>1</v>
      </c>
      <c r="I1555" s="3" t="s">
        <v>3391</v>
      </c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>
        <v>0.05</v>
      </c>
      <c r="P1555" s="3">
        <v>0</v>
      </c>
      <c r="Q1555" s="3">
        <v>0</v>
      </c>
      <c r="R1555" s="3">
        <v>0</v>
      </c>
    </row>
    <row r="1556" spans="1:18">
      <c r="A1556" s="3" t="s">
        <v>1673</v>
      </c>
      <c r="B1556" s="3" t="s">
        <v>276</v>
      </c>
      <c r="C1556" s="3" t="s">
        <v>276</v>
      </c>
      <c r="D1556" s="3" t="s">
        <v>277</v>
      </c>
      <c r="E1556" s="3" t="s">
        <v>867</v>
      </c>
      <c r="F1556" s="3">
        <v>24.98</v>
      </c>
      <c r="G1556" s="3" t="s">
        <v>3391</v>
      </c>
      <c r="H1556" s="3"/>
      <c r="I1556" s="3" t="s">
        <v>3392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0.05</v>
      </c>
      <c r="P1556" s="3">
        <v>0</v>
      </c>
      <c r="Q1556" s="3">
        <v>0</v>
      </c>
      <c r="R1556" s="3">
        <v>0</v>
      </c>
    </row>
    <row r="1557" spans="1:18">
      <c r="A1557" s="3" t="s">
        <v>585</v>
      </c>
      <c r="B1557" s="3" t="s">
        <v>224</v>
      </c>
      <c r="C1557" s="3" t="s">
        <v>224</v>
      </c>
      <c r="D1557" s="3" t="s">
        <v>225</v>
      </c>
      <c r="E1557" s="3" t="s">
        <v>867</v>
      </c>
      <c r="F1557" s="3">
        <v>23.98</v>
      </c>
      <c r="G1557" s="3" t="s">
        <v>3391</v>
      </c>
      <c r="H1557" s="3"/>
      <c r="I1557" s="3" t="s">
        <v>3392</v>
      </c>
      <c r="J1557" s="3">
        <v>15</v>
      </c>
      <c r="K1557" s="3">
        <v>13</v>
      </c>
      <c r="L1557" s="3">
        <v>0</v>
      </c>
      <c r="M1557" s="3">
        <v>2</v>
      </c>
      <c r="N1557" s="3">
        <v>15</v>
      </c>
      <c r="O1557" s="3">
        <v>0.12</v>
      </c>
      <c r="P1557" s="3">
        <v>0</v>
      </c>
      <c r="Q1557" s="3">
        <v>0</v>
      </c>
      <c r="R1557" s="3">
        <v>0</v>
      </c>
    </row>
    <row r="1558" spans="1:18">
      <c r="A1558" s="3" t="s">
        <v>5316</v>
      </c>
      <c r="B1558" s="3" t="s">
        <v>5317</v>
      </c>
      <c r="C1558" s="3" t="s">
        <v>5317</v>
      </c>
      <c r="D1558" s="3"/>
      <c r="E1558" s="3" t="s">
        <v>3293</v>
      </c>
      <c r="F1558" s="3"/>
      <c r="G1558" s="3"/>
      <c r="H1558" s="3"/>
      <c r="I1558" s="3"/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/>
      <c r="P1558" s="3">
        <v>0</v>
      </c>
      <c r="Q1558" s="3">
        <v>0</v>
      </c>
      <c r="R1558" s="3">
        <v>0</v>
      </c>
    </row>
    <row r="1559" spans="1:18">
      <c r="A1559" s="3" t="s">
        <v>588</v>
      </c>
      <c r="B1559" s="3" t="s">
        <v>589</v>
      </c>
      <c r="C1559" s="3" t="s">
        <v>589</v>
      </c>
      <c r="D1559" s="3" t="s">
        <v>590</v>
      </c>
      <c r="E1559" s="3" t="s">
        <v>867</v>
      </c>
      <c r="F1559" s="3">
        <v>22.98</v>
      </c>
      <c r="G1559" s="3" t="s">
        <v>3391</v>
      </c>
      <c r="H1559" s="3"/>
      <c r="I1559" s="3" t="s">
        <v>3392</v>
      </c>
      <c r="J1559" s="3">
        <v>17</v>
      </c>
      <c r="K1559" s="3">
        <v>14</v>
      </c>
      <c r="L1559" s="3">
        <v>0</v>
      </c>
      <c r="M1559" s="3">
        <v>3</v>
      </c>
      <c r="N1559" s="3">
        <v>17</v>
      </c>
      <c r="O1559" s="3">
        <v>0.12</v>
      </c>
      <c r="P1559" s="3">
        <v>0</v>
      </c>
      <c r="Q1559" s="3">
        <v>0</v>
      </c>
      <c r="R1559" s="3">
        <v>0</v>
      </c>
    </row>
    <row r="1560" spans="1:18">
      <c r="A1560" s="3" t="s">
        <v>1593</v>
      </c>
      <c r="B1560" s="3" t="s">
        <v>1594</v>
      </c>
      <c r="C1560" s="3" t="s">
        <v>1594</v>
      </c>
      <c r="D1560" s="3" t="s">
        <v>1595</v>
      </c>
      <c r="E1560" s="3" t="s">
        <v>867</v>
      </c>
      <c r="F1560" s="3">
        <v>22.98</v>
      </c>
      <c r="G1560" s="3" t="s">
        <v>3391</v>
      </c>
      <c r="H1560" s="3"/>
      <c r="I1560" s="3" t="s">
        <v>3392</v>
      </c>
      <c r="J1560" s="3">
        <v>3</v>
      </c>
      <c r="K1560" s="3">
        <v>3</v>
      </c>
      <c r="L1560" s="3">
        <v>0</v>
      </c>
      <c r="M1560" s="3">
        <v>0</v>
      </c>
      <c r="N1560" s="3">
        <v>3</v>
      </c>
      <c r="O1560" s="3">
        <v>0.05</v>
      </c>
      <c r="P1560" s="3">
        <v>0</v>
      </c>
      <c r="Q1560" s="3">
        <v>0</v>
      </c>
      <c r="R1560" s="3">
        <v>0</v>
      </c>
    </row>
    <row r="1561" spans="1:18">
      <c r="A1561" s="3" t="s">
        <v>5318</v>
      </c>
      <c r="B1561" s="3" t="s">
        <v>307</v>
      </c>
      <c r="C1561" s="3" t="s">
        <v>307</v>
      </c>
      <c r="D1561" s="3" t="s">
        <v>308</v>
      </c>
      <c r="E1561" s="3" t="s">
        <v>867</v>
      </c>
      <c r="F1561" s="3">
        <v>23.98</v>
      </c>
      <c r="G1561" s="3" t="s">
        <v>3391</v>
      </c>
      <c r="H1561" s="3"/>
      <c r="I1561" s="3" t="s">
        <v>3392</v>
      </c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>
        <v>0.12</v>
      </c>
      <c r="P1561" s="3">
        <v>0</v>
      </c>
      <c r="Q1561" s="3">
        <v>0</v>
      </c>
      <c r="R1561" s="3">
        <v>0</v>
      </c>
    </row>
    <row r="1562" spans="1:18">
      <c r="A1562" s="3" t="s">
        <v>582</v>
      </c>
      <c r="B1562" s="3" t="s">
        <v>583</v>
      </c>
      <c r="C1562" s="3" t="s">
        <v>583</v>
      </c>
      <c r="D1562" s="3" t="s">
        <v>584</v>
      </c>
      <c r="E1562" s="3" t="s">
        <v>867</v>
      </c>
      <c r="F1562" s="3">
        <v>22.98</v>
      </c>
      <c r="G1562" s="3" t="s">
        <v>3391</v>
      </c>
      <c r="H1562" s="3"/>
      <c r="I1562" s="3" t="s">
        <v>3392</v>
      </c>
      <c r="J1562" s="3">
        <v>29</v>
      </c>
      <c r="K1562" s="3">
        <v>27</v>
      </c>
      <c r="L1562" s="3">
        <v>1</v>
      </c>
      <c r="M1562" s="3">
        <v>1</v>
      </c>
      <c r="N1562" s="3">
        <v>29</v>
      </c>
      <c r="O1562" s="3">
        <v>0.12</v>
      </c>
      <c r="P1562" s="3">
        <v>0</v>
      </c>
      <c r="Q1562" s="3">
        <v>0</v>
      </c>
      <c r="R1562" s="3">
        <v>0</v>
      </c>
    </row>
    <row r="1563" spans="1:18">
      <c r="A1563" s="3" t="s">
        <v>5319</v>
      </c>
      <c r="B1563" s="3" t="s">
        <v>319</v>
      </c>
      <c r="C1563" s="3" t="s">
        <v>319</v>
      </c>
      <c r="D1563" s="3" t="s">
        <v>320</v>
      </c>
      <c r="E1563" s="3" t="s">
        <v>867</v>
      </c>
      <c r="F1563" s="3">
        <v>22.98</v>
      </c>
      <c r="G1563" s="3" t="s">
        <v>3391</v>
      </c>
      <c r="H1563" s="3"/>
      <c r="I1563" s="3" t="s">
        <v>3392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0.12</v>
      </c>
      <c r="P1563" s="3">
        <v>0</v>
      </c>
      <c r="Q1563" s="3">
        <v>0</v>
      </c>
      <c r="R1563" s="3">
        <v>0</v>
      </c>
    </row>
    <row r="1564" spans="1:18">
      <c r="A1564" s="3" t="s">
        <v>5320</v>
      </c>
      <c r="B1564" s="3" t="s">
        <v>335</v>
      </c>
      <c r="C1564" s="3" t="s">
        <v>335</v>
      </c>
      <c r="D1564" s="3" t="s">
        <v>336</v>
      </c>
      <c r="E1564" s="3" t="s">
        <v>867</v>
      </c>
      <c r="F1564" s="3">
        <v>22.98</v>
      </c>
      <c r="G1564" s="3" t="s">
        <v>3391</v>
      </c>
      <c r="H1564" s="3"/>
      <c r="I1564" s="3" t="s">
        <v>3392</v>
      </c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>
        <v>0.09</v>
      </c>
      <c r="P1564" s="3">
        <v>0</v>
      </c>
      <c r="Q1564" s="3">
        <v>0</v>
      </c>
      <c r="R1564" s="3">
        <v>0</v>
      </c>
    </row>
    <row r="1565" spans="1:18">
      <c r="A1565" s="3" t="s">
        <v>5321</v>
      </c>
      <c r="B1565" s="3" t="s">
        <v>315</v>
      </c>
      <c r="C1565" s="3" t="s">
        <v>315</v>
      </c>
      <c r="D1565" s="3" t="s">
        <v>316</v>
      </c>
      <c r="E1565" s="3" t="s">
        <v>867</v>
      </c>
      <c r="F1565" s="3">
        <v>19.98</v>
      </c>
      <c r="G1565" s="3" t="s">
        <v>3391</v>
      </c>
      <c r="H1565" s="3"/>
      <c r="I1565" s="3" t="s">
        <v>3392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0.05</v>
      </c>
      <c r="P1565" s="3">
        <v>0</v>
      </c>
      <c r="Q1565" s="3">
        <v>0</v>
      </c>
      <c r="R1565" s="3">
        <v>0</v>
      </c>
    </row>
    <row r="1566" spans="1:18">
      <c r="A1566" s="3" t="s">
        <v>5322</v>
      </c>
      <c r="B1566" s="3" t="s">
        <v>236</v>
      </c>
      <c r="C1566" s="3" t="s">
        <v>236</v>
      </c>
      <c r="D1566" s="3" t="s">
        <v>237</v>
      </c>
      <c r="E1566" s="3" t="s">
        <v>867</v>
      </c>
      <c r="F1566" s="3">
        <v>23.98</v>
      </c>
      <c r="G1566" s="3" t="s">
        <v>3391</v>
      </c>
      <c r="H1566" s="3"/>
      <c r="I1566" s="3" t="s">
        <v>3392</v>
      </c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>
        <v>0.12</v>
      </c>
      <c r="P1566" s="3">
        <v>0</v>
      </c>
      <c r="Q1566" s="3">
        <v>0</v>
      </c>
      <c r="R1566" s="3">
        <v>0</v>
      </c>
    </row>
    <row r="1567" spans="1:18">
      <c r="A1567" s="3" t="s">
        <v>5323</v>
      </c>
      <c r="B1567" s="3" t="s">
        <v>232</v>
      </c>
      <c r="C1567" s="3" t="s">
        <v>232</v>
      </c>
      <c r="D1567" s="3" t="s">
        <v>233</v>
      </c>
      <c r="E1567" s="3" t="s">
        <v>867</v>
      </c>
      <c r="F1567" s="3">
        <v>23.98</v>
      </c>
      <c r="G1567" s="3" t="s">
        <v>3391</v>
      </c>
      <c r="H1567" s="3"/>
      <c r="I1567" s="3" t="s">
        <v>3392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0.12</v>
      </c>
      <c r="P1567" s="3">
        <v>0</v>
      </c>
      <c r="Q1567" s="3">
        <v>0</v>
      </c>
      <c r="R1567" s="3">
        <v>0</v>
      </c>
    </row>
    <row r="1568" spans="1:18">
      <c r="A1568" s="3" t="s">
        <v>5324</v>
      </c>
      <c r="B1568" s="3" t="s">
        <v>287</v>
      </c>
      <c r="C1568" s="3" t="s">
        <v>287</v>
      </c>
      <c r="D1568" s="3" t="s">
        <v>288</v>
      </c>
      <c r="E1568" s="3" t="s">
        <v>867</v>
      </c>
      <c r="F1568" s="3">
        <v>24.98</v>
      </c>
      <c r="G1568" s="3" t="s">
        <v>3391</v>
      </c>
      <c r="H1568" s="3"/>
      <c r="I1568" s="3" t="s">
        <v>3392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0.05</v>
      </c>
      <c r="P1568" s="3">
        <v>0</v>
      </c>
      <c r="Q1568" s="3">
        <v>0</v>
      </c>
      <c r="R1568" s="3">
        <v>0</v>
      </c>
    </row>
    <row r="1569" spans="1:18">
      <c r="A1569" s="3" t="s">
        <v>5325</v>
      </c>
      <c r="B1569" s="3" t="s">
        <v>375</v>
      </c>
      <c r="C1569" s="3" t="s">
        <v>375</v>
      </c>
      <c r="D1569" s="3" t="s">
        <v>376</v>
      </c>
      <c r="E1569" s="3" t="s">
        <v>867</v>
      </c>
      <c r="F1569" s="3">
        <v>22.98</v>
      </c>
      <c r="G1569" s="3" t="s">
        <v>3391</v>
      </c>
      <c r="H1569" s="3"/>
      <c r="I1569" s="3" t="s">
        <v>3392</v>
      </c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>
        <v>0.05</v>
      </c>
      <c r="P1569" s="3">
        <v>0</v>
      </c>
      <c r="Q1569" s="3">
        <v>0</v>
      </c>
      <c r="R1569" s="3">
        <v>0</v>
      </c>
    </row>
    <row r="1570" spans="1:18">
      <c r="A1570" s="3" t="s">
        <v>5326</v>
      </c>
      <c r="B1570" s="3" t="s">
        <v>4494</v>
      </c>
      <c r="C1570" s="3" t="s">
        <v>4494</v>
      </c>
      <c r="D1570" s="3" t="s">
        <v>4495</v>
      </c>
      <c r="E1570" s="3" t="s">
        <v>867</v>
      </c>
      <c r="F1570" s="3">
        <v>19.98</v>
      </c>
      <c r="G1570" s="3" t="s">
        <v>3391</v>
      </c>
      <c r="H1570" s="3"/>
      <c r="I1570" s="3" t="s">
        <v>3392</v>
      </c>
      <c r="J1570" s="3">
        <v>1</v>
      </c>
      <c r="K1570" s="3">
        <v>0</v>
      </c>
      <c r="L1570" s="3">
        <v>1</v>
      </c>
      <c r="M1570" s="3">
        <v>0</v>
      </c>
      <c r="N1570" s="3">
        <v>1</v>
      </c>
      <c r="O1570" s="3">
        <v>0.05</v>
      </c>
      <c r="P1570" s="3">
        <v>0</v>
      </c>
      <c r="Q1570" s="3">
        <v>0</v>
      </c>
      <c r="R1570" s="3">
        <v>0</v>
      </c>
    </row>
    <row r="1571" spans="1:18">
      <c r="A1571" s="3" t="s">
        <v>574</v>
      </c>
      <c r="B1571" s="3" t="s">
        <v>363</v>
      </c>
      <c r="C1571" s="3" t="s">
        <v>363</v>
      </c>
      <c r="D1571" s="3" t="s">
        <v>364</v>
      </c>
      <c r="E1571" s="3" t="s">
        <v>867</v>
      </c>
      <c r="F1571" s="3">
        <v>24.98</v>
      </c>
      <c r="G1571" s="3" t="s">
        <v>3391</v>
      </c>
      <c r="H1571" s="3"/>
      <c r="I1571" s="3" t="s">
        <v>3392</v>
      </c>
      <c r="J1571" s="3">
        <v>25</v>
      </c>
      <c r="K1571" s="3">
        <v>23</v>
      </c>
      <c r="L1571" s="3">
        <v>1</v>
      </c>
      <c r="M1571" s="3">
        <v>1</v>
      </c>
      <c r="N1571" s="3">
        <v>25</v>
      </c>
      <c r="O1571" s="3">
        <v>0.05</v>
      </c>
      <c r="P1571" s="3">
        <v>0</v>
      </c>
      <c r="Q1571" s="3">
        <v>0</v>
      </c>
      <c r="R1571" s="3">
        <v>0</v>
      </c>
    </row>
    <row r="1572" spans="1:18">
      <c r="A1572" s="3" t="s">
        <v>1548</v>
      </c>
      <c r="B1572" s="3" t="s">
        <v>391</v>
      </c>
      <c r="C1572" s="3" t="s">
        <v>391</v>
      </c>
      <c r="D1572" s="3" t="s">
        <v>392</v>
      </c>
      <c r="E1572" s="3" t="s">
        <v>867</v>
      </c>
      <c r="F1572" s="3">
        <v>24.98</v>
      </c>
      <c r="G1572" s="3" t="s">
        <v>3391</v>
      </c>
      <c r="H1572" s="3"/>
      <c r="I1572" s="3" t="s">
        <v>3392</v>
      </c>
      <c r="J1572" s="3">
        <v>10</v>
      </c>
      <c r="K1572" s="3">
        <v>9</v>
      </c>
      <c r="L1572" s="3">
        <v>1</v>
      </c>
      <c r="M1572" s="3">
        <v>0</v>
      </c>
      <c r="N1572" s="3">
        <v>10</v>
      </c>
      <c r="O1572" s="3">
        <v>0.05</v>
      </c>
      <c r="P1572" s="3">
        <v>0</v>
      </c>
      <c r="Q1572" s="3">
        <v>0</v>
      </c>
      <c r="R1572" s="3">
        <v>0</v>
      </c>
    </row>
    <row r="1573" spans="1:18">
      <c r="A1573" s="3" t="s">
        <v>586</v>
      </c>
      <c r="B1573" s="3" t="s">
        <v>587</v>
      </c>
      <c r="C1573" s="3" t="s">
        <v>387</v>
      </c>
      <c r="D1573" s="3" t="s">
        <v>388</v>
      </c>
      <c r="E1573" s="3" t="s">
        <v>867</v>
      </c>
      <c r="F1573" s="3">
        <v>23.98</v>
      </c>
      <c r="G1573" s="3" t="s">
        <v>3391</v>
      </c>
      <c r="H1573" s="3"/>
      <c r="I1573" s="3" t="s">
        <v>3392</v>
      </c>
      <c r="J1573" s="3">
        <v>1</v>
      </c>
      <c r="K1573" s="3">
        <v>0</v>
      </c>
      <c r="L1573" s="3">
        <v>0</v>
      </c>
      <c r="M1573" s="3">
        <v>1</v>
      </c>
      <c r="N1573" s="3">
        <v>1</v>
      </c>
      <c r="O1573" s="3">
        <v>0.05</v>
      </c>
      <c r="P1573" s="3">
        <v>0</v>
      </c>
      <c r="Q1573" s="3">
        <v>0</v>
      </c>
      <c r="R1573" s="3">
        <v>0</v>
      </c>
    </row>
    <row r="1574" spans="1:18">
      <c r="A1574" s="3" t="s">
        <v>578</v>
      </c>
      <c r="B1574" s="3" t="s">
        <v>367</v>
      </c>
      <c r="C1574" s="3" t="s">
        <v>367</v>
      </c>
      <c r="D1574" s="3" t="s">
        <v>368</v>
      </c>
      <c r="E1574" s="3" t="s">
        <v>867</v>
      </c>
      <c r="F1574" s="3">
        <v>24.98</v>
      </c>
      <c r="G1574" s="3" t="s">
        <v>3391</v>
      </c>
      <c r="H1574" s="3"/>
      <c r="I1574" s="3" t="s">
        <v>3392</v>
      </c>
      <c r="J1574" s="3">
        <v>1</v>
      </c>
      <c r="K1574" s="3">
        <v>0</v>
      </c>
      <c r="L1574" s="3">
        <v>0</v>
      </c>
      <c r="M1574" s="3">
        <v>1</v>
      </c>
      <c r="N1574" s="3">
        <v>1</v>
      </c>
      <c r="O1574" s="3">
        <v>0.17</v>
      </c>
      <c r="P1574" s="3">
        <v>0</v>
      </c>
      <c r="Q1574" s="3">
        <v>0</v>
      </c>
      <c r="R1574" s="3">
        <v>0</v>
      </c>
    </row>
    <row r="1575" spans="1:18">
      <c r="A1575" s="3" t="s">
        <v>599</v>
      </c>
      <c r="B1575" s="3" t="s">
        <v>395</v>
      </c>
      <c r="C1575" s="3" t="s">
        <v>395</v>
      </c>
      <c r="D1575" s="3" t="s">
        <v>396</v>
      </c>
      <c r="E1575" s="3" t="s">
        <v>867</v>
      </c>
      <c r="F1575" s="3">
        <v>22.98</v>
      </c>
      <c r="G1575" s="3" t="s">
        <v>3391</v>
      </c>
      <c r="H1575" s="3"/>
      <c r="I1575" s="3" t="s">
        <v>3392</v>
      </c>
      <c r="J1575" s="3">
        <v>2</v>
      </c>
      <c r="K1575" s="3">
        <v>0</v>
      </c>
      <c r="L1575" s="3">
        <v>0</v>
      </c>
      <c r="M1575" s="3">
        <v>2</v>
      </c>
      <c r="N1575" s="3">
        <v>2</v>
      </c>
      <c r="O1575" s="3">
        <v>0.11</v>
      </c>
      <c r="P1575" s="3">
        <v>0</v>
      </c>
      <c r="Q1575" s="3">
        <v>0</v>
      </c>
      <c r="R1575" s="3">
        <v>0</v>
      </c>
    </row>
    <row r="1576" spans="1:18">
      <c r="A1576" s="3" t="s">
        <v>591</v>
      </c>
      <c r="B1576" s="3" t="s">
        <v>355</v>
      </c>
      <c r="C1576" s="3" t="s">
        <v>355</v>
      </c>
      <c r="D1576" s="3" t="s">
        <v>356</v>
      </c>
      <c r="E1576" s="3" t="s">
        <v>867</v>
      </c>
      <c r="F1576" s="3">
        <v>21.98</v>
      </c>
      <c r="G1576" s="3" t="s">
        <v>3391</v>
      </c>
      <c r="H1576" s="3"/>
      <c r="I1576" s="3" t="s">
        <v>3392</v>
      </c>
      <c r="J1576" s="3">
        <v>15</v>
      </c>
      <c r="K1576" s="3">
        <v>11</v>
      </c>
      <c r="L1576" s="3">
        <v>0</v>
      </c>
      <c r="M1576" s="3">
        <v>4</v>
      </c>
      <c r="N1576" s="3">
        <v>15</v>
      </c>
      <c r="O1576" s="3">
        <v>0.05</v>
      </c>
      <c r="P1576" s="3">
        <v>0</v>
      </c>
      <c r="Q1576" s="3">
        <v>0</v>
      </c>
      <c r="R1576" s="3">
        <v>0</v>
      </c>
    </row>
    <row r="1577" spans="1:18">
      <c r="A1577" s="3" t="s">
        <v>5327</v>
      </c>
      <c r="B1577" s="3" t="s">
        <v>387</v>
      </c>
      <c r="C1577" s="3" t="s">
        <v>387</v>
      </c>
      <c r="D1577" s="3" t="s">
        <v>388</v>
      </c>
      <c r="E1577" s="3" t="s">
        <v>867</v>
      </c>
      <c r="F1577" s="3">
        <v>24.98</v>
      </c>
      <c r="G1577" s="3" t="s">
        <v>3391</v>
      </c>
      <c r="H1577" s="3"/>
      <c r="I1577" s="3" t="s">
        <v>3392</v>
      </c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>
        <v>0.05</v>
      </c>
      <c r="P1577" s="3">
        <v>0</v>
      </c>
      <c r="Q1577" s="3">
        <v>0</v>
      </c>
      <c r="R1577" s="3">
        <v>0</v>
      </c>
    </row>
    <row r="1578" spans="1:18">
      <c r="A1578" s="3" t="s">
        <v>573</v>
      </c>
      <c r="B1578" s="3" t="s">
        <v>383</v>
      </c>
      <c r="C1578" s="3" t="s">
        <v>383</v>
      </c>
      <c r="D1578" s="3" t="s">
        <v>384</v>
      </c>
      <c r="E1578" s="3" t="s">
        <v>867</v>
      </c>
      <c r="F1578" s="3">
        <v>24.98</v>
      </c>
      <c r="G1578" s="3" t="s">
        <v>3391</v>
      </c>
      <c r="H1578" s="3"/>
      <c r="I1578" s="3" t="s">
        <v>3392</v>
      </c>
      <c r="J1578" s="3">
        <v>7</v>
      </c>
      <c r="K1578" s="3">
        <v>6</v>
      </c>
      <c r="L1578" s="3">
        <v>0</v>
      </c>
      <c r="M1578" s="3">
        <v>1</v>
      </c>
      <c r="N1578" s="3">
        <v>7</v>
      </c>
      <c r="O1578" s="3">
        <v>0.05</v>
      </c>
      <c r="P1578" s="3">
        <v>0</v>
      </c>
      <c r="Q1578" s="3">
        <v>0</v>
      </c>
      <c r="R1578" s="3">
        <v>0</v>
      </c>
    </row>
    <row r="1579" spans="1:18">
      <c r="A1579" s="3" t="s">
        <v>3031</v>
      </c>
      <c r="B1579" s="3" t="s">
        <v>371</v>
      </c>
      <c r="C1579" s="3" t="s">
        <v>371</v>
      </c>
      <c r="D1579" s="3" t="s">
        <v>372</v>
      </c>
      <c r="E1579" s="3" t="s">
        <v>867</v>
      </c>
      <c r="F1579" s="3">
        <v>24.98</v>
      </c>
      <c r="G1579" s="3" t="s">
        <v>3391</v>
      </c>
      <c r="H1579" s="3"/>
      <c r="I1579" s="3" t="s">
        <v>3392</v>
      </c>
      <c r="J1579" s="3">
        <v>9</v>
      </c>
      <c r="K1579" s="3">
        <v>9</v>
      </c>
      <c r="L1579" s="3">
        <v>0</v>
      </c>
      <c r="M1579" s="3">
        <v>0</v>
      </c>
      <c r="N1579" s="3">
        <v>9</v>
      </c>
      <c r="O1579" s="3">
        <v>0.05</v>
      </c>
      <c r="P1579" s="3">
        <v>0</v>
      </c>
      <c r="Q1579" s="3">
        <v>0</v>
      </c>
      <c r="R1579" s="3">
        <v>0</v>
      </c>
    </row>
    <row r="1580" spans="1:18">
      <c r="A1580" s="3" t="s">
        <v>5328</v>
      </c>
      <c r="B1580" s="3" t="s">
        <v>359</v>
      </c>
      <c r="C1580" s="3" t="s">
        <v>359</v>
      </c>
      <c r="D1580" s="3" t="s">
        <v>360</v>
      </c>
      <c r="E1580" s="3" t="s">
        <v>867</v>
      </c>
      <c r="F1580" s="3">
        <v>22.98</v>
      </c>
      <c r="G1580" s="3" t="s">
        <v>3391</v>
      </c>
      <c r="H1580" s="3"/>
      <c r="I1580" s="3" t="s">
        <v>3392</v>
      </c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>
        <v>0.05</v>
      </c>
      <c r="P1580" s="3">
        <v>0</v>
      </c>
      <c r="Q1580" s="3">
        <v>0</v>
      </c>
      <c r="R1580" s="3">
        <v>0</v>
      </c>
    </row>
    <row r="1581" spans="1:18">
      <c r="A1581" s="3" t="s">
        <v>600</v>
      </c>
      <c r="B1581" s="3" t="s">
        <v>601</v>
      </c>
      <c r="C1581" s="3" t="s">
        <v>601</v>
      </c>
      <c r="D1581" s="3" t="s">
        <v>602</v>
      </c>
      <c r="E1581" s="3" t="s">
        <v>867</v>
      </c>
      <c r="F1581" s="3">
        <v>22.98</v>
      </c>
      <c r="G1581" s="3" t="s">
        <v>3392</v>
      </c>
      <c r="H1581" s="3">
        <v>0</v>
      </c>
      <c r="I1581" s="3" t="s">
        <v>3391</v>
      </c>
      <c r="J1581" s="3">
        <v>2</v>
      </c>
      <c r="K1581" s="3">
        <v>0</v>
      </c>
      <c r="L1581" s="3">
        <v>1</v>
      </c>
      <c r="M1581" s="3">
        <v>1</v>
      </c>
      <c r="N1581" s="3">
        <v>2</v>
      </c>
      <c r="O1581" s="3">
        <v>0.05</v>
      </c>
      <c r="P1581" s="3">
        <v>0</v>
      </c>
      <c r="Q1581" s="3">
        <v>0</v>
      </c>
      <c r="R1581" s="3">
        <v>0</v>
      </c>
    </row>
    <row r="1582" spans="1:18">
      <c r="A1582" s="3" t="s">
        <v>5329</v>
      </c>
      <c r="B1582" s="3" t="s">
        <v>379</v>
      </c>
      <c r="C1582" s="3" t="s">
        <v>379</v>
      </c>
      <c r="D1582" s="3" t="s">
        <v>380</v>
      </c>
      <c r="E1582" s="3" t="s">
        <v>867</v>
      </c>
      <c r="F1582" s="3">
        <v>24.98</v>
      </c>
      <c r="G1582" s="3" t="s">
        <v>3391</v>
      </c>
      <c r="H1582" s="3"/>
      <c r="I1582" s="3" t="s">
        <v>3392</v>
      </c>
      <c r="J1582" s="3">
        <v>1</v>
      </c>
      <c r="K1582" s="3">
        <v>0</v>
      </c>
      <c r="L1582" s="3">
        <v>1</v>
      </c>
      <c r="M1582" s="3">
        <v>0</v>
      </c>
      <c r="N1582" s="3">
        <v>1</v>
      </c>
      <c r="O1582" s="3">
        <v>0.05</v>
      </c>
      <c r="P1582" s="3">
        <v>0</v>
      </c>
      <c r="Q1582" s="3">
        <v>0</v>
      </c>
      <c r="R1582" s="3">
        <v>0</v>
      </c>
    </row>
    <row r="1583" spans="1:18">
      <c r="A1583" s="3" t="s">
        <v>1660</v>
      </c>
      <c r="B1583" s="3" t="s">
        <v>1661</v>
      </c>
      <c r="C1583" s="3" t="s">
        <v>1661</v>
      </c>
      <c r="D1583" s="3" t="s">
        <v>1662</v>
      </c>
      <c r="E1583" s="3" t="s">
        <v>867</v>
      </c>
      <c r="F1583" s="3">
        <v>23.98</v>
      </c>
      <c r="G1583" s="3" t="s">
        <v>3391</v>
      </c>
      <c r="H1583" s="3"/>
      <c r="I1583" s="3" t="s">
        <v>3392</v>
      </c>
      <c r="J1583" s="3">
        <v>2</v>
      </c>
      <c r="K1583" s="3">
        <v>1</v>
      </c>
      <c r="L1583" s="3">
        <v>1</v>
      </c>
      <c r="M1583" s="3">
        <v>0</v>
      </c>
      <c r="N1583" s="3">
        <v>2</v>
      </c>
      <c r="O1583" s="3">
        <v>0.17</v>
      </c>
      <c r="P1583" s="3">
        <v>0</v>
      </c>
      <c r="Q1583" s="3">
        <v>0</v>
      </c>
      <c r="R1583" s="3">
        <v>0</v>
      </c>
    </row>
    <row r="1584" spans="1:18">
      <c r="A1584" s="3" t="s">
        <v>596</v>
      </c>
      <c r="B1584" s="3" t="s">
        <v>597</v>
      </c>
      <c r="C1584" s="3" t="s">
        <v>597</v>
      </c>
      <c r="D1584" s="3" t="s">
        <v>598</v>
      </c>
      <c r="E1584" s="3" t="s">
        <v>867</v>
      </c>
      <c r="F1584" s="3">
        <v>23.98</v>
      </c>
      <c r="G1584" s="3" t="s">
        <v>3391</v>
      </c>
      <c r="H1584" s="3"/>
      <c r="I1584" s="3" t="s">
        <v>3392</v>
      </c>
      <c r="J1584" s="3">
        <v>28</v>
      </c>
      <c r="K1584" s="3">
        <v>14</v>
      </c>
      <c r="L1584" s="3">
        <v>0</v>
      </c>
      <c r="M1584" s="3">
        <v>14</v>
      </c>
      <c r="N1584" s="3">
        <v>28</v>
      </c>
      <c r="O1584" s="3">
        <v>0.14</v>
      </c>
      <c r="P1584" s="3">
        <v>0</v>
      </c>
      <c r="Q1584" s="3">
        <v>0</v>
      </c>
      <c r="R1584" s="3">
        <v>0</v>
      </c>
    </row>
    <row r="1585" spans="1:18">
      <c r="A1585" s="3" t="s">
        <v>593</v>
      </c>
      <c r="B1585" s="3" t="s">
        <v>594</v>
      </c>
      <c r="C1585" s="3" t="s">
        <v>594</v>
      </c>
      <c r="D1585" s="3" t="s">
        <v>595</v>
      </c>
      <c r="E1585" s="3" t="s">
        <v>867</v>
      </c>
      <c r="F1585" s="3">
        <v>23.98</v>
      </c>
      <c r="G1585" s="3" t="s">
        <v>3391</v>
      </c>
      <c r="H1585" s="3"/>
      <c r="I1585" s="3" t="s">
        <v>3392</v>
      </c>
      <c r="J1585" s="3">
        <v>7</v>
      </c>
      <c r="K1585" s="3">
        <v>4</v>
      </c>
      <c r="L1585" s="3">
        <v>1</v>
      </c>
      <c r="M1585" s="3">
        <v>2</v>
      </c>
      <c r="N1585" s="3">
        <v>7</v>
      </c>
      <c r="O1585" s="3">
        <v>0.13</v>
      </c>
      <c r="P1585" s="3">
        <v>0</v>
      </c>
      <c r="Q1585" s="3">
        <v>0</v>
      </c>
      <c r="R1585" s="3">
        <v>0</v>
      </c>
    </row>
    <row r="1586" spans="1:18">
      <c r="A1586" s="3" t="s">
        <v>1786</v>
      </c>
      <c r="B1586" s="3" t="s">
        <v>1787</v>
      </c>
      <c r="C1586" s="3" t="s">
        <v>1787</v>
      </c>
      <c r="D1586" s="3" t="s">
        <v>5000</v>
      </c>
      <c r="E1586" s="3" t="s">
        <v>867</v>
      </c>
      <c r="F1586" s="3">
        <v>21.98</v>
      </c>
      <c r="G1586" s="3" t="s">
        <v>3391</v>
      </c>
      <c r="H1586" s="3"/>
      <c r="I1586" s="3" t="s">
        <v>3392</v>
      </c>
      <c r="J1586" s="3">
        <v>2</v>
      </c>
      <c r="K1586" s="3">
        <v>2</v>
      </c>
      <c r="L1586" s="3">
        <v>0</v>
      </c>
      <c r="M1586" s="3">
        <v>0</v>
      </c>
      <c r="N1586" s="3">
        <v>2</v>
      </c>
      <c r="O1586" s="3">
        <v>0.15</v>
      </c>
      <c r="P1586" s="3">
        <v>0</v>
      </c>
      <c r="Q1586" s="3">
        <v>0</v>
      </c>
      <c r="R1586" s="3">
        <v>0</v>
      </c>
    </row>
    <row r="1587" spans="1:18">
      <c r="A1587" s="3" t="s">
        <v>5330</v>
      </c>
      <c r="B1587" s="3" t="s">
        <v>4554</v>
      </c>
      <c r="C1587" s="3" t="s">
        <v>4554</v>
      </c>
      <c r="D1587" s="3" t="s">
        <v>5003</v>
      </c>
      <c r="E1587" s="3" t="s">
        <v>867</v>
      </c>
      <c r="F1587" s="3">
        <v>21.98</v>
      </c>
      <c r="G1587" s="3" t="s">
        <v>3391</v>
      </c>
      <c r="H1587" s="3"/>
      <c r="I1587" s="3" t="s">
        <v>3392</v>
      </c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>
        <v>0.19</v>
      </c>
      <c r="P1587" s="3">
        <v>0</v>
      </c>
      <c r="Q1587" s="3">
        <v>0</v>
      </c>
      <c r="R1587" s="3">
        <v>0</v>
      </c>
    </row>
    <row r="1588" spans="1:18">
      <c r="A1588" s="3" t="s">
        <v>575</v>
      </c>
      <c r="B1588" s="3" t="s">
        <v>576</v>
      </c>
      <c r="C1588" s="3" t="s">
        <v>576</v>
      </c>
      <c r="D1588" s="3" t="s">
        <v>577</v>
      </c>
      <c r="E1588" s="3" t="s">
        <v>867</v>
      </c>
      <c r="F1588" s="3">
        <v>20.98</v>
      </c>
      <c r="G1588" s="3" t="s">
        <v>3391</v>
      </c>
      <c r="H1588" s="3"/>
      <c r="I1588" s="3" t="s">
        <v>3392</v>
      </c>
      <c r="J1588" s="3">
        <v>1</v>
      </c>
      <c r="K1588" s="3">
        <v>0</v>
      </c>
      <c r="L1588" s="3">
        <v>0</v>
      </c>
      <c r="M1588" s="3">
        <v>1</v>
      </c>
      <c r="N1588" s="3">
        <v>1</v>
      </c>
      <c r="O1588" s="3">
        <v>0.23</v>
      </c>
      <c r="P1588" s="3">
        <v>0</v>
      </c>
      <c r="Q1588" s="3">
        <v>0</v>
      </c>
      <c r="R1588" s="3">
        <v>0</v>
      </c>
    </row>
    <row r="1589" spans="1:18">
      <c r="A1589" s="3" t="s">
        <v>1073</v>
      </c>
      <c r="B1589" s="3" t="s">
        <v>1074</v>
      </c>
      <c r="C1589" s="3" t="s">
        <v>1074</v>
      </c>
      <c r="D1589" s="3" t="s">
        <v>5008</v>
      </c>
      <c r="E1589" s="3" t="s">
        <v>867</v>
      </c>
      <c r="F1589" s="3">
        <v>21.98</v>
      </c>
      <c r="G1589" s="3" t="s">
        <v>3391</v>
      </c>
      <c r="H1589" s="3"/>
      <c r="I1589" s="3" t="s">
        <v>3392</v>
      </c>
      <c r="J1589" s="3">
        <v>2</v>
      </c>
      <c r="K1589" s="3">
        <v>2</v>
      </c>
      <c r="L1589" s="3">
        <v>0</v>
      </c>
      <c r="M1589" s="3">
        <v>0</v>
      </c>
      <c r="N1589" s="3">
        <v>2</v>
      </c>
      <c r="O1589" s="3">
        <v>0.21</v>
      </c>
      <c r="P1589" s="3">
        <v>0</v>
      </c>
      <c r="Q1589" s="3">
        <v>0</v>
      </c>
      <c r="R1589" s="3">
        <v>0</v>
      </c>
    </row>
    <row r="1590" spans="1:18">
      <c r="A1590" s="3" t="s">
        <v>2740</v>
      </c>
      <c r="B1590" s="3" t="s">
        <v>2741</v>
      </c>
      <c r="C1590" s="3" t="s">
        <v>2741</v>
      </c>
      <c r="D1590" s="3" t="s">
        <v>5011</v>
      </c>
      <c r="E1590" s="3" t="s">
        <v>867</v>
      </c>
      <c r="F1590" s="3">
        <v>21.98</v>
      </c>
      <c r="G1590" s="3" t="s">
        <v>3391</v>
      </c>
      <c r="H1590" s="3"/>
      <c r="I1590" s="3" t="s">
        <v>3392</v>
      </c>
      <c r="J1590" s="3">
        <v>8</v>
      </c>
      <c r="K1590" s="3">
        <v>8</v>
      </c>
      <c r="L1590" s="3">
        <v>0</v>
      </c>
      <c r="M1590" s="3">
        <v>0</v>
      </c>
      <c r="N1590" s="3">
        <v>8</v>
      </c>
      <c r="O1590" s="3">
        <v>0.22</v>
      </c>
      <c r="P1590" s="3">
        <v>0</v>
      </c>
      <c r="Q1590" s="3">
        <v>0</v>
      </c>
      <c r="R1590" s="3">
        <v>0</v>
      </c>
    </row>
    <row r="1591" spans="1:18">
      <c r="A1591" s="3" t="s">
        <v>5331</v>
      </c>
      <c r="B1591" s="3" t="s">
        <v>5020</v>
      </c>
      <c r="C1591" s="3" t="s">
        <v>5020</v>
      </c>
      <c r="D1591" s="3" t="s">
        <v>5021</v>
      </c>
      <c r="E1591" s="3" t="s">
        <v>867</v>
      </c>
      <c r="F1591" s="3">
        <v>23.98</v>
      </c>
      <c r="G1591" s="3" t="s">
        <v>3391</v>
      </c>
      <c r="H1591" s="3"/>
      <c r="I1591" s="3" t="s">
        <v>3392</v>
      </c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>
        <v>0.11</v>
      </c>
      <c r="P1591" s="3">
        <v>0</v>
      </c>
      <c r="Q1591" s="3">
        <v>0</v>
      </c>
      <c r="R1591" s="3">
        <v>0</v>
      </c>
    </row>
    <row r="1592" spans="1:18">
      <c r="A1592" s="3" t="s">
        <v>1841</v>
      </c>
      <c r="B1592" s="3" t="s">
        <v>1842</v>
      </c>
      <c r="C1592" s="3" t="s">
        <v>1842</v>
      </c>
      <c r="D1592" s="3" t="s">
        <v>1843</v>
      </c>
      <c r="E1592" s="3" t="s">
        <v>867</v>
      </c>
      <c r="F1592" s="3">
        <v>23.98</v>
      </c>
      <c r="G1592" s="3" t="s">
        <v>3391</v>
      </c>
      <c r="H1592" s="3"/>
      <c r="I1592" s="3" t="s">
        <v>3392</v>
      </c>
      <c r="J1592" s="3">
        <v>3</v>
      </c>
      <c r="K1592" s="3">
        <v>3</v>
      </c>
      <c r="L1592" s="3">
        <v>0</v>
      </c>
      <c r="M1592" s="3">
        <v>0</v>
      </c>
      <c r="N1592" s="3">
        <v>3</v>
      </c>
      <c r="O1592" s="3">
        <v>0.06</v>
      </c>
      <c r="P1592" s="3">
        <v>0</v>
      </c>
      <c r="Q1592" s="3">
        <v>0</v>
      </c>
      <c r="R1592" s="3">
        <v>0</v>
      </c>
    </row>
    <row r="1593" spans="1:18">
      <c r="A1593" s="3" t="s">
        <v>5332</v>
      </c>
      <c r="B1593" s="3" t="s">
        <v>5026</v>
      </c>
      <c r="C1593" s="3" t="s">
        <v>5026</v>
      </c>
      <c r="D1593" s="3" t="s">
        <v>5027</v>
      </c>
      <c r="E1593" s="3" t="s">
        <v>867</v>
      </c>
      <c r="F1593" s="3">
        <v>23.98</v>
      </c>
      <c r="G1593" s="3" t="s">
        <v>3391</v>
      </c>
      <c r="H1593" s="3"/>
      <c r="I1593" s="3" t="s">
        <v>3392</v>
      </c>
      <c r="J1593" s="3">
        <v>1</v>
      </c>
      <c r="K1593" s="3">
        <v>1</v>
      </c>
      <c r="L1593" s="3">
        <v>0</v>
      </c>
      <c r="M1593" s="3">
        <v>0</v>
      </c>
      <c r="N1593" s="3">
        <v>1</v>
      </c>
      <c r="O1593" s="3">
        <v>0.1</v>
      </c>
      <c r="P1593" s="3">
        <v>0</v>
      </c>
      <c r="Q1593" s="3">
        <v>0</v>
      </c>
      <c r="R1593" s="3">
        <v>0</v>
      </c>
    </row>
    <row r="1594" spans="1:18">
      <c r="A1594" s="3" t="s">
        <v>609</v>
      </c>
      <c r="B1594" s="3" t="s">
        <v>610</v>
      </c>
      <c r="C1594" s="3" t="s">
        <v>610</v>
      </c>
      <c r="D1594" s="3" t="s">
        <v>611</v>
      </c>
      <c r="E1594" s="3" t="s">
        <v>867</v>
      </c>
      <c r="F1594" s="3">
        <v>23.98</v>
      </c>
      <c r="G1594" s="3" t="s">
        <v>3391</v>
      </c>
      <c r="H1594" s="3"/>
      <c r="I1594" s="3" t="s">
        <v>3392</v>
      </c>
      <c r="J1594" s="3">
        <v>16</v>
      </c>
      <c r="K1594" s="3">
        <v>0</v>
      </c>
      <c r="L1594" s="3">
        <v>0</v>
      </c>
      <c r="M1594" s="3">
        <v>16</v>
      </c>
      <c r="N1594" s="3">
        <v>16</v>
      </c>
      <c r="O1594" s="3">
        <v>0.15</v>
      </c>
      <c r="P1594" s="3">
        <v>0</v>
      </c>
      <c r="Q1594" s="3">
        <v>0</v>
      </c>
      <c r="R1594" s="3">
        <v>0</v>
      </c>
    </row>
    <row r="1595" spans="1:18">
      <c r="A1595" s="3" t="s">
        <v>603</v>
      </c>
      <c r="B1595" s="3" t="s">
        <v>604</v>
      </c>
      <c r="C1595" s="3" t="s">
        <v>604</v>
      </c>
      <c r="D1595" s="3" t="s">
        <v>605</v>
      </c>
      <c r="E1595" s="3" t="s">
        <v>867</v>
      </c>
      <c r="F1595" s="3">
        <v>23.98</v>
      </c>
      <c r="G1595" s="3" t="s">
        <v>3391</v>
      </c>
      <c r="H1595" s="3"/>
      <c r="I1595" s="3" t="s">
        <v>3392</v>
      </c>
      <c r="J1595" s="3">
        <v>13</v>
      </c>
      <c r="K1595" s="3">
        <v>12</v>
      </c>
      <c r="L1595" s="3">
        <v>0</v>
      </c>
      <c r="M1595" s="3">
        <v>1</v>
      </c>
      <c r="N1595" s="3">
        <v>13</v>
      </c>
      <c r="O1595" s="3">
        <v>0.05</v>
      </c>
      <c r="P1595" s="3">
        <v>0</v>
      </c>
      <c r="Q1595" s="3">
        <v>0</v>
      </c>
      <c r="R1595" s="3">
        <v>0</v>
      </c>
    </row>
    <row r="1596" spans="1:18">
      <c r="A1596" s="3" t="s">
        <v>1273</v>
      </c>
      <c r="B1596" s="3" t="s">
        <v>1274</v>
      </c>
      <c r="C1596" s="3" t="s">
        <v>1274</v>
      </c>
      <c r="D1596" s="3" t="s">
        <v>5038</v>
      </c>
      <c r="E1596" s="3" t="s">
        <v>867</v>
      </c>
      <c r="F1596" s="3">
        <v>23.98</v>
      </c>
      <c r="G1596" s="3" t="s">
        <v>3391</v>
      </c>
      <c r="H1596" s="3"/>
      <c r="I1596" s="3" t="s">
        <v>3392</v>
      </c>
      <c r="J1596" s="3">
        <v>23</v>
      </c>
      <c r="K1596" s="3">
        <v>23</v>
      </c>
      <c r="L1596" s="3">
        <v>0</v>
      </c>
      <c r="M1596" s="3">
        <v>0</v>
      </c>
      <c r="N1596" s="3">
        <v>23</v>
      </c>
      <c r="O1596" s="3">
        <v>0.11</v>
      </c>
      <c r="P1596" s="3">
        <v>0</v>
      </c>
      <c r="Q1596" s="3">
        <v>0</v>
      </c>
      <c r="R1596" s="3">
        <v>0</v>
      </c>
    </row>
    <row r="1597" spans="1:18">
      <c r="A1597" s="3" t="s">
        <v>2999</v>
      </c>
      <c r="B1597" s="3" t="s">
        <v>3000</v>
      </c>
      <c r="C1597" s="3" t="s">
        <v>3000</v>
      </c>
      <c r="D1597" s="3" t="s">
        <v>3001</v>
      </c>
      <c r="E1597" s="3" t="s">
        <v>867</v>
      </c>
      <c r="F1597" s="3">
        <v>39.98</v>
      </c>
      <c r="G1597" s="3" t="s">
        <v>3391</v>
      </c>
      <c r="H1597" s="3"/>
      <c r="I1597" s="3" t="s">
        <v>3392</v>
      </c>
      <c r="J1597" s="3">
        <v>10</v>
      </c>
      <c r="K1597" s="3">
        <v>10</v>
      </c>
      <c r="L1597" s="3">
        <v>0</v>
      </c>
      <c r="M1597" s="3">
        <v>0</v>
      </c>
      <c r="N1597" s="3">
        <v>10</v>
      </c>
      <c r="O1597" s="3">
        <v>0.1</v>
      </c>
      <c r="P1597" s="3">
        <v>0</v>
      </c>
      <c r="Q1597" s="3">
        <v>0</v>
      </c>
      <c r="R1597" s="3">
        <v>0</v>
      </c>
    </row>
    <row r="1598" spans="1:18">
      <c r="A1598" s="3" t="s">
        <v>615</v>
      </c>
      <c r="B1598" s="3" t="s">
        <v>616</v>
      </c>
      <c r="C1598" s="3" t="s">
        <v>616</v>
      </c>
      <c r="D1598" s="3" t="s">
        <v>617</v>
      </c>
      <c r="E1598" s="3" t="s">
        <v>867</v>
      </c>
      <c r="F1598" s="3">
        <v>23.98</v>
      </c>
      <c r="G1598" s="3" t="s">
        <v>3391</v>
      </c>
      <c r="H1598" s="3"/>
      <c r="I1598" s="3" t="s">
        <v>3392</v>
      </c>
      <c r="J1598" s="3">
        <v>21</v>
      </c>
      <c r="K1598" s="3">
        <v>19</v>
      </c>
      <c r="L1598" s="3">
        <v>0</v>
      </c>
      <c r="M1598" s="3">
        <v>2</v>
      </c>
      <c r="N1598" s="3">
        <v>21</v>
      </c>
      <c r="O1598" s="3">
        <v>0.27</v>
      </c>
      <c r="P1598" s="3">
        <v>0</v>
      </c>
      <c r="Q1598" s="3">
        <v>0</v>
      </c>
      <c r="R1598" s="3">
        <v>0</v>
      </c>
    </row>
    <row r="1599" spans="1:18">
      <c r="A1599" s="3" t="s">
        <v>612</v>
      </c>
      <c r="B1599" s="3" t="s">
        <v>613</v>
      </c>
      <c r="C1599" s="3" t="s">
        <v>613</v>
      </c>
      <c r="D1599" s="3" t="s">
        <v>614</v>
      </c>
      <c r="E1599" s="3" t="s">
        <v>867</v>
      </c>
      <c r="F1599" s="3">
        <v>23.98</v>
      </c>
      <c r="G1599" s="3" t="s">
        <v>3391</v>
      </c>
      <c r="H1599" s="3"/>
      <c r="I1599" s="3" t="s">
        <v>3392</v>
      </c>
      <c r="J1599" s="3">
        <v>6</v>
      </c>
      <c r="K1599" s="3">
        <v>5</v>
      </c>
      <c r="L1599" s="3">
        <v>0</v>
      </c>
      <c r="M1599" s="3">
        <v>1</v>
      </c>
      <c r="N1599" s="3">
        <v>6</v>
      </c>
      <c r="O1599" s="3">
        <v>0.21</v>
      </c>
      <c r="P1599" s="3">
        <v>0</v>
      </c>
      <c r="Q1599" s="3">
        <v>0</v>
      </c>
      <c r="R1599" s="3">
        <v>0</v>
      </c>
    </row>
    <row r="1600" spans="1:18">
      <c r="A1600" s="3" t="s">
        <v>606</v>
      </c>
      <c r="B1600" s="3" t="s">
        <v>607</v>
      </c>
      <c r="C1600" s="3" t="s">
        <v>607</v>
      </c>
      <c r="D1600" s="3" t="s">
        <v>608</v>
      </c>
      <c r="E1600" s="3" t="s">
        <v>867</v>
      </c>
      <c r="F1600" s="3">
        <v>23.98</v>
      </c>
      <c r="G1600" s="3" t="s">
        <v>3391</v>
      </c>
      <c r="H1600" s="3"/>
      <c r="I1600" s="3" t="s">
        <v>3392</v>
      </c>
      <c r="J1600" s="3">
        <v>9</v>
      </c>
      <c r="K1600" s="3">
        <v>7</v>
      </c>
      <c r="L1600" s="3">
        <v>0</v>
      </c>
      <c r="M1600" s="3">
        <v>2</v>
      </c>
      <c r="N1600" s="3">
        <v>9</v>
      </c>
      <c r="O1600" s="3">
        <v>0.18</v>
      </c>
      <c r="P1600" s="3">
        <v>0</v>
      </c>
      <c r="Q1600" s="3">
        <v>0</v>
      </c>
      <c r="R1600" s="3">
        <v>0</v>
      </c>
    </row>
    <row r="1601" spans="1:18">
      <c r="A1601" s="3" t="s">
        <v>5333</v>
      </c>
      <c r="B1601" s="3" t="s">
        <v>4587</v>
      </c>
      <c r="C1601" s="3" t="s">
        <v>4587</v>
      </c>
      <c r="D1601" s="3" t="s">
        <v>5052</v>
      </c>
      <c r="E1601" s="3" t="s">
        <v>867</v>
      </c>
      <c r="F1601" s="3">
        <v>23.98</v>
      </c>
      <c r="G1601" s="3" t="s">
        <v>3391</v>
      </c>
      <c r="H1601" s="3"/>
      <c r="I1601" s="3" t="s">
        <v>3392</v>
      </c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>
        <v>0.1</v>
      </c>
      <c r="P1601" s="3">
        <v>0</v>
      </c>
      <c r="Q1601" s="3">
        <v>0</v>
      </c>
      <c r="R1601" s="3">
        <v>0</v>
      </c>
    </row>
    <row r="1602" spans="1:18">
      <c r="A1602" s="3" t="s">
        <v>5334</v>
      </c>
      <c r="B1602" s="3" t="s">
        <v>5335</v>
      </c>
      <c r="C1602" s="3" t="s">
        <v>5335</v>
      </c>
      <c r="D1602" s="3" t="s">
        <v>5336</v>
      </c>
      <c r="E1602" s="3" t="s">
        <v>867</v>
      </c>
      <c r="F1602" s="3">
        <v>39.98</v>
      </c>
      <c r="G1602" s="3" t="s">
        <v>3391</v>
      </c>
      <c r="H1602" s="3"/>
      <c r="I1602" s="3" t="s">
        <v>3392</v>
      </c>
      <c r="J1602" s="3">
        <v>0</v>
      </c>
      <c r="K1602" s="3">
        <v>0</v>
      </c>
      <c r="L1602" s="3">
        <v>0</v>
      </c>
      <c r="M1602" s="3">
        <v>0</v>
      </c>
      <c r="N1602" s="3">
        <v>0</v>
      </c>
      <c r="O1602" s="3">
        <v>0.16</v>
      </c>
      <c r="P1602" s="3">
        <v>0</v>
      </c>
      <c r="Q1602" s="3">
        <v>0</v>
      </c>
      <c r="R1602" s="3">
        <v>0</v>
      </c>
    </row>
    <row r="1603" spans="1:18">
      <c r="A1603" s="3" t="s">
        <v>2942</v>
      </c>
      <c r="B1603" s="3" t="s">
        <v>2868</v>
      </c>
      <c r="C1603" s="3" t="s">
        <v>2868</v>
      </c>
      <c r="D1603" s="3" t="s">
        <v>5057</v>
      </c>
      <c r="E1603" s="3" t="s">
        <v>867</v>
      </c>
      <c r="F1603" s="3">
        <v>23.98</v>
      </c>
      <c r="G1603" s="3" t="s">
        <v>3391</v>
      </c>
      <c r="H1603" s="3"/>
      <c r="I1603" s="3" t="s">
        <v>3392</v>
      </c>
      <c r="J1603" s="3">
        <v>5</v>
      </c>
      <c r="K1603" s="3">
        <v>5</v>
      </c>
      <c r="L1603" s="3">
        <v>0</v>
      </c>
      <c r="M1603" s="3">
        <v>0</v>
      </c>
      <c r="N1603" s="3">
        <v>5</v>
      </c>
      <c r="O1603" s="3">
        <v>0.09</v>
      </c>
      <c r="P1603" s="3">
        <v>0</v>
      </c>
      <c r="Q1603" s="3">
        <v>0</v>
      </c>
      <c r="R1603" s="3">
        <v>0</v>
      </c>
    </row>
    <row r="1604" spans="1:18">
      <c r="A1604" s="3" t="s">
        <v>628</v>
      </c>
      <c r="B1604" s="3" t="s">
        <v>629</v>
      </c>
      <c r="C1604" s="3" t="s">
        <v>629</v>
      </c>
      <c r="D1604" s="3" t="s">
        <v>630</v>
      </c>
      <c r="E1604" s="3" t="s">
        <v>867</v>
      </c>
      <c r="F1604" s="3">
        <v>39.98</v>
      </c>
      <c r="G1604" s="3" t="s">
        <v>3391</v>
      </c>
      <c r="H1604" s="3"/>
      <c r="I1604" s="3" t="s">
        <v>3392</v>
      </c>
      <c r="J1604" s="3">
        <v>5</v>
      </c>
      <c r="K1604" s="3">
        <v>4</v>
      </c>
      <c r="L1604" s="3">
        <v>0</v>
      </c>
      <c r="M1604" s="3">
        <v>1</v>
      </c>
      <c r="N1604" s="3">
        <v>5</v>
      </c>
      <c r="O1604" s="3">
        <v>0.18</v>
      </c>
      <c r="P1604" s="3">
        <v>0</v>
      </c>
      <c r="Q1604" s="3">
        <v>0</v>
      </c>
      <c r="R1604" s="3">
        <v>0</v>
      </c>
    </row>
    <row r="1605" spans="1:18">
      <c r="A1605" s="3" t="s">
        <v>621</v>
      </c>
      <c r="B1605" s="3" t="s">
        <v>622</v>
      </c>
      <c r="C1605" s="3" t="s">
        <v>622</v>
      </c>
      <c r="D1605" s="3" t="s">
        <v>623</v>
      </c>
      <c r="E1605" s="3" t="s">
        <v>867</v>
      </c>
      <c r="F1605" s="3">
        <v>19.98</v>
      </c>
      <c r="G1605" s="3" t="s">
        <v>3391</v>
      </c>
      <c r="H1605" s="3"/>
      <c r="I1605" s="3" t="s">
        <v>3392</v>
      </c>
      <c r="J1605" s="3">
        <v>18</v>
      </c>
      <c r="K1605" s="3">
        <v>15</v>
      </c>
      <c r="L1605" s="3">
        <v>0</v>
      </c>
      <c r="M1605" s="3">
        <v>3</v>
      </c>
      <c r="N1605" s="3">
        <v>18</v>
      </c>
      <c r="O1605" s="3">
        <v>0.1</v>
      </c>
      <c r="P1605" s="3">
        <v>0</v>
      </c>
      <c r="Q1605" s="3">
        <v>0</v>
      </c>
      <c r="R1605" s="3">
        <v>0</v>
      </c>
    </row>
    <row r="1606" spans="1:18">
      <c r="A1606" s="3" t="s">
        <v>618</v>
      </c>
      <c r="B1606" s="3" t="s">
        <v>619</v>
      </c>
      <c r="C1606" s="3" t="s">
        <v>619</v>
      </c>
      <c r="D1606" s="3" t="s">
        <v>620</v>
      </c>
      <c r="E1606" s="3" t="s">
        <v>867</v>
      </c>
      <c r="F1606" s="3">
        <v>39.98</v>
      </c>
      <c r="G1606" s="3" t="s">
        <v>3391</v>
      </c>
      <c r="H1606" s="3"/>
      <c r="I1606" s="3" t="s">
        <v>3392</v>
      </c>
      <c r="J1606" s="3">
        <v>23</v>
      </c>
      <c r="K1606" s="3">
        <v>21</v>
      </c>
      <c r="L1606" s="3">
        <v>0</v>
      </c>
      <c r="M1606" s="3">
        <v>2</v>
      </c>
      <c r="N1606" s="3">
        <v>23</v>
      </c>
      <c r="O1606" s="3">
        <v>0.09</v>
      </c>
      <c r="P1606" s="3">
        <v>0</v>
      </c>
      <c r="Q1606" s="3">
        <v>0</v>
      </c>
      <c r="R1606" s="3">
        <v>0</v>
      </c>
    </row>
    <row r="1607" spans="1:18">
      <c r="A1607" s="3" t="s">
        <v>1327</v>
      </c>
      <c r="B1607" s="3" t="s">
        <v>1328</v>
      </c>
      <c r="C1607" s="3" t="s">
        <v>1328</v>
      </c>
      <c r="D1607" s="3" t="s">
        <v>5070</v>
      </c>
      <c r="E1607" s="3" t="s">
        <v>867</v>
      </c>
      <c r="F1607" s="3">
        <v>23.99</v>
      </c>
      <c r="G1607" s="3" t="s">
        <v>3391</v>
      </c>
      <c r="H1607" s="3"/>
      <c r="I1607" s="3" t="s">
        <v>3392</v>
      </c>
      <c r="J1607" s="3">
        <v>18</v>
      </c>
      <c r="K1607" s="3">
        <v>18</v>
      </c>
      <c r="L1607" s="3">
        <v>0</v>
      </c>
      <c r="M1607" s="3">
        <v>0</v>
      </c>
      <c r="N1607" s="3">
        <v>18</v>
      </c>
      <c r="O1607" s="3">
        <v>0.21</v>
      </c>
      <c r="P1607" s="3">
        <v>0</v>
      </c>
      <c r="Q1607" s="3">
        <v>0</v>
      </c>
      <c r="R1607" s="3">
        <v>0</v>
      </c>
    </row>
    <row r="1608" spans="1:18">
      <c r="A1608" s="3" t="s">
        <v>2860</v>
      </c>
      <c r="B1608" s="3" t="s">
        <v>2861</v>
      </c>
      <c r="C1608" s="3" t="s">
        <v>2861</v>
      </c>
      <c r="D1608" s="3" t="s">
        <v>2160</v>
      </c>
      <c r="E1608" s="3" t="s">
        <v>867</v>
      </c>
      <c r="F1608" s="3">
        <v>39.98</v>
      </c>
      <c r="G1608" s="3" t="s">
        <v>3391</v>
      </c>
      <c r="H1608" s="3"/>
      <c r="I1608" s="3" t="s">
        <v>3392</v>
      </c>
      <c r="J1608" s="3">
        <v>8</v>
      </c>
      <c r="K1608" s="3">
        <v>8</v>
      </c>
      <c r="L1608" s="3">
        <v>0</v>
      </c>
      <c r="M1608" s="3">
        <v>0</v>
      </c>
      <c r="N1608" s="3">
        <v>8</v>
      </c>
      <c r="O1608" s="3">
        <v>0.1</v>
      </c>
      <c r="P1608" s="3">
        <v>0</v>
      </c>
      <c r="Q1608" s="3">
        <v>0</v>
      </c>
      <c r="R1608" s="3">
        <v>0</v>
      </c>
    </row>
    <row r="1609" spans="1:18">
      <c r="A1609" s="3" t="s">
        <v>624</v>
      </c>
      <c r="B1609" s="3" t="s">
        <v>473</v>
      </c>
      <c r="C1609" s="3" t="s">
        <v>473</v>
      </c>
      <c r="D1609" s="3" t="s">
        <v>474</v>
      </c>
      <c r="E1609" s="3" t="s">
        <v>867</v>
      </c>
      <c r="F1609" s="3">
        <v>39.98</v>
      </c>
      <c r="G1609" s="3" t="s">
        <v>3391</v>
      </c>
      <c r="H1609" s="3"/>
      <c r="I1609" s="3" t="s">
        <v>3392</v>
      </c>
      <c r="J1609" s="3">
        <v>15</v>
      </c>
      <c r="K1609" s="3">
        <v>14</v>
      </c>
      <c r="L1609" s="3">
        <v>0</v>
      </c>
      <c r="M1609" s="3">
        <v>1</v>
      </c>
      <c r="N1609" s="3">
        <v>15</v>
      </c>
      <c r="O1609" s="3">
        <v>0.09</v>
      </c>
      <c r="P1609" s="3">
        <v>0</v>
      </c>
      <c r="Q1609" s="3">
        <v>0</v>
      </c>
      <c r="R1609" s="3">
        <v>0</v>
      </c>
    </row>
    <row r="1610" spans="1:18">
      <c r="A1610" s="3" t="s">
        <v>5337</v>
      </c>
      <c r="B1610" s="3" t="s">
        <v>465</v>
      </c>
      <c r="C1610" s="3" t="s">
        <v>465</v>
      </c>
      <c r="D1610" s="3" t="s">
        <v>466</v>
      </c>
      <c r="E1610" s="3" t="s">
        <v>867</v>
      </c>
      <c r="F1610" s="3">
        <v>39.98</v>
      </c>
      <c r="G1610" s="3" t="s">
        <v>3391</v>
      </c>
      <c r="H1610" s="3"/>
      <c r="I1610" s="3" t="s">
        <v>3392</v>
      </c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>
        <v>0.11</v>
      </c>
      <c r="P1610" s="3">
        <v>0</v>
      </c>
      <c r="Q1610" s="3">
        <v>0</v>
      </c>
      <c r="R1610" s="3">
        <v>0</v>
      </c>
    </row>
    <row r="1611" spans="1:18">
      <c r="A1611" s="3" t="s">
        <v>1120</v>
      </c>
      <c r="B1611" s="3" t="s">
        <v>461</v>
      </c>
      <c r="C1611" s="3" t="s">
        <v>461</v>
      </c>
      <c r="D1611" s="3" t="s">
        <v>462</v>
      </c>
      <c r="E1611" s="3" t="s">
        <v>867</v>
      </c>
      <c r="F1611" s="3">
        <v>39.98</v>
      </c>
      <c r="G1611" s="3" t="s">
        <v>3391</v>
      </c>
      <c r="H1611" s="3"/>
      <c r="I1611" s="3" t="s">
        <v>3392</v>
      </c>
      <c r="J1611" s="3">
        <v>2</v>
      </c>
      <c r="K1611" s="3">
        <v>2</v>
      </c>
      <c r="L1611" s="3">
        <v>0</v>
      </c>
      <c r="M1611" s="3">
        <v>0</v>
      </c>
      <c r="N1611" s="3">
        <v>2</v>
      </c>
      <c r="O1611" s="3">
        <v>0.21</v>
      </c>
      <c r="P1611" s="3">
        <v>0</v>
      </c>
      <c r="Q1611" s="3">
        <v>0</v>
      </c>
      <c r="R1611" s="3">
        <v>0</v>
      </c>
    </row>
    <row r="1612" spans="1:18">
      <c r="A1612" s="3" t="s">
        <v>5338</v>
      </c>
      <c r="B1612" s="3" t="s">
        <v>5093</v>
      </c>
      <c r="C1612" s="3" t="s">
        <v>5093</v>
      </c>
      <c r="D1612" s="3" t="s">
        <v>5094</v>
      </c>
      <c r="E1612" s="3" t="s">
        <v>867</v>
      </c>
      <c r="F1612" s="3">
        <v>23.98</v>
      </c>
      <c r="G1612" s="3" t="s">
        <v>3391</v>
      </c>
      <c r="H1612" s="3"/>
      <c r="I1612" s="3" t="s">
        <v>3392</v>
      </c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>
        <v>0.1</v>
      </c>
      <c r="P1612" s="3">
        <v>0</v>
      </c>
      <c r="Q1612" s="3">
        <v>0</v>
      </c>
      <c r="R1612" s="3">
        <v>0</v>
      </c>
    </row>
    <row r="1613" spans="1:18">
      <c r="A1613" s="3" t="s">
        <v>1552</v>
      </c>
      <c r="B1613" s="3" t="s">
        <v>1553</v>
      </c>
      <c r="C1613" s="3" t="s">
        <v>1553</v>
      </c>
      <c r="D1613" s="3" t="s">
        <v>1554</v>
      </c>
      <c r="E1613" s="3" t="s">
        <v>867</v>
      </c>
      <c r="F1613" s="3">
        <v>39.98</v>
      </c>
      <c r="G1613" s="3" t="s">
        <v>3391</v>
      </c>
      <c r="H1613" s="3"/>
      <c r="I1613" s="3" t="s">
        <v>3392</v>
      </c>
      <c r="J1613" s="3">
        <v>8</v>
      </c>
      <c r="K1613" s="3">
        <v>8</v>
      </c>
      <c r="L1613" s="3">
        <v>0</v>
      </c>
      <c r="M1613" s="3">
        <v>0</v>
      </c>
      <c r="N1613" s="3">
        <v>8</v>
      </c>
      <c r="O1613" s="3">
        <v>0.1</v>
      </c>
      <c r="P1613" s="3">
        <v>0</v>
      </c>
      <c r="Q1613" s="3">
        <v>0</v>
      </c>
      <c r="R1613" s="3">
        <v>0</v>
      </c>
    </row>
    <row r="1614" spans="1:18">
      <c r="A1614" s="3" t="s">
        <v>2265</v>
      </c>
      <c r="B1614" s="3" t="s">
        <v>2266</v>
      </c>
      <c r="C1614" s="3" t="s">
        <v>2266</v>
      </c>
      <c r="D1614" s="3" t="s">
        <v>2267</v>
      </c>
      <c r="E1614" s="3" t="s">
        <v>867</v>
      </c>
      <c r="F1614" s="3">
        <v>39.98</v>
      </c>
      <c r="G1614" s="3" t="s">
        <v>3391</v>
      </c>
      <c r="H1614" s="3"/>
      <c r="I1614" s="3" t="s">
        <v>3392</v>
      </c>
      <c r="J1614" s="3">
        <v>47</v>
      </c>
      <c r="K1614" s="3">
        <v>47</v>
      </c>
      <c r="L1614" s="3">
        <v>0</v>
      </c>
      <c r="M1614" s="3">
        <v>0</v>
      </c>
      <c r="N1614" s="3">
        <v>47</v>
      </c>
      <c r="O1614" s="3">
        <v>0.21</v>
      </c>
      <c r="P1614" s="3">
        <v>0</v>
      </c>
      <c r="Q1614" s="3">
        <v>0</v>
      </c>
      <c r="R1614" s="3">
        <v>0</v>
      </c>
    </row>
    <row r="1615" spans="1:18">
      <c r="A1615" s="3" t="s">
        <v>625</v>
      </c>
      <c r="B1615" s="3" t="s">
        <v>626</v>
      </c>
      <c r="C1615" s="3" t="s">
        <v>626</v>
      </c>
      <c r="D1615" s="3" t="s">
        <v>627</v>
      </c>
      <c r="E1615" s="3" t="s">
        <v>867</v>
      </c>
      <c r="F1615" s="3">
        <v>23.98</v>
      </c>
      <c r="G1615" s="3" t="s">
        <v>3391</v>
      </c>
      <c r="H1615" s="3"/>
      <c r="I1615" s="3" t="s">
        <v>3392</v>
      </c>
      <c r="J1615" s="3">
        <v>24</v>
      </c>
      <c r="K1615" s="3">
        <v>23</v>
      </c>
      <c r="L1615" s="3">
        <v>0</v>
      </c>
      <c r="M1615" s="3">
        <v>1</v>
      </c>
      <c r="N1615" s="3">
        <v>24</v>
      </c>
      <c r="O1615" s="3">
        <v>0.21</v>
      </c>
      <c r="P1615" s="3">
        <v>0</v>
      </c>
      <c r="Q1615" s="3">
        <v>0</v>
      </c>
      <c r="R1615" s="3">
        <v>0</v>
      </c>
    </row>
    <row r="1616" spans="1:18">
      <c r="A1616" s="3" t="s">
        <v>5339</v>
      </c>
      <c r="B1616" s="3" t="s">
        <v>480</v>
      </c>
      <c r="C1616" s="3" t="s">
        <v>480</v>
      </c>
      <c r="D1616" s="3"/>
      <c r="E1616" s="3" t="s">
        <v>3293</v>
      </c>
      <c r="F1616" s="3"/>
      <c r="G1616" s="3"/>
      <c r="H1616" s="3"/>
      <c r="I1616" s="3"/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/>
      <c r="P1616" s="3">
        <v>0</v>
      </c>
      <c r="Q1616" s="3">
        <v>0</v>
      </c>
      <c r="R1616" s="3">
        <v>0</v>
      </c>
    </row>
    <row r="1617" spans="1:18">
      <c r="A1617" s="3" t="s">
        <v>631</v>
      </c>
      <c r="B1617" s="3" t="s">
        <v>632</v>
      </c>
      <c r="C1617" s="3" t="s">
        <v>632</v>
      </c>
      <c r="D1617" s="3" t="s">
        <v>633</v>
      </c>
      <c r="E1617" s="3" t="s">
        <v>867</v>
      </c>
      <c r="F1617" s="3">
        <v>39.98</v>
      </c>
      <c r="G1617" s="3" t="s">
        <v>3391</v>
      </c>
      <c r="H1617" s="3"/>
      <c r="I1617" s="3" t="s">
        <v>3392</v>
      </c>
      <c r="J1617" s="3">
        <v>1</v>
      </c>
      <c r="K1617" s="3">
        <v>0</v>
      </c>
      <c r="L1617" s="3">
        <v>0</v>
      </c>
      <c r="M1617" s="3">
        <v>1</v>
      </c>
      <c r="N1617" s="3">
        <v>1</v>
      </c>
      <c r="O1617" s="3">
        <v>0.09</v>
      </c>
      <c r="P1617" s="3">
        <v>0</v>
      </c>
      <c r="Q1617" s="3">
        <v>0</v>
      </c>
      <c r="R1617" s="3">
        <v>0</v>
      </c>
    </row>
    <row r="1618" spans="1:18">
      <c r="A1618" s="3" t="s">
        <v>5340</v>
      </c>
      <c r="B1618" s="3" t="s">
        <v>469</v>
      </c>
      <c r="C1618" s="3" t="s">
        <v>469</v>
      </c>
      <c r="D1618" s="3" t="s">
        <v>470</v>
      </c>
      <c r="E1618" s="3" t="s">
        <v>867</v>
      </c>
      <c r="F1618" s="3">
        <v>23.98</v>
      </c>
      <c r="G1618" s="3" t="s">
        <v>3391</v>
      </c>
      <c r="H1618" s="3"/>
      <c r="I1618" s="3" t="s">
        <v>3392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0.11</v>
      </c>
      <c r="P1618" s="3">
        <v>0</v>
      </c>
      <c r="Q1618" s="3">
        <v>0</v>
      </c>
      <c r="R1618" s="3">
        <v>0</v>
      </c>
    </row>
    <row r="1619" spans="1:18">
      <c r="A1619" s="3" t="s">
        <v>5341</v>
      </c>
      <c r="B1619" s="3" t="s">
        <v>4676</v>
      </c>
      <c r="C1619" s="3" t="s">
        <v>4676</v>
      </c>
      <c r="D1619" s="3" t="s">
        <v>5342</v>
      </c>
      <c r="E1619" s="3" t="s">
        <v>867</v>
      </c>
      <c r="F1619" s="3">
        <v>39.98</v>
      </c>
      <c r="G1619" s="3" t="s">
        <v>3391</v>
      </c>
      <c r="H1619" s="3"/>
      <c r="I1619" s="3" t="s">
        <v>3392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0.21</v>
      </c>
      <c r="P1619" s="3">
        <v>0</v>
      </c>
      <c r="Q1619" s="3">
        <v>0</v>
      </c>
      <c r="R1619" s="3">
        <v>0</v>
      </c>
    </row>
    <row r="1620" spans="1:18">
      <c r="A1620" s="3" t="s">
        <v>5343</v>
      </c>
      <c r="B1620" s="3" t="s">
        <v>438</v>
      </c>
      <c r="C1620" s="3" t="s">
        <v>438</v>
      </c>
      <c r="D1620" s="3" t="s">
        <v>439</v>
      </c>
      <c r="E1620" s="3" t="s">
        <v>867</v>
      </c>
      <c r="F1620" s="3">
        <v>39.98</v>
      </c>
      <c r="G1620" s="3" t="s">
        <v>3391</v>
      </c>
      <c r="H1620" s="3"/>
      <c r="I1620" s="3" t="s">
        <v>3392</v>
      </c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>
        <v>0.08</v>
      </c>
      <c r="P1620" s="3">
        <v>0</v>
      </c>
      <c r="Q1620" s="3">
        <v>0</v>
      </c>
      <c r="R1620" s="3">
        <v>0</v>
      </c>
    </row>
    <row r="1621" spans="1:18">
      <c r="A1621" s="3" t="s">
        <v>5344</v>
      </c>
      <c r="B1621" s="3" t="s">
        <v>453</v>
      </c>
      <c r="C1621" s="3" t="s">
        <v>453</v>
      </c>
      <c r="D1621" s="3" t="s">
        <v>454</v>
      </c>
      <c r="E1621" s="3" t="s">
        <v>867</v>
      </c>
      <c r="F1621" s="3">
        <v>39.98</v>
      </c>
      <c r="G1621" s="3" t="s">
        <v>3391</v>
      </c>
      <c r="H1621" s="3"/>
      <c r="I1621" s="3" t="s">
        <v>3392</v>
      </c>
      <c r="J1621" s="3">
        <v>1</v>
      </c>
      <c r="K1621" s="3">
        <v>0</v>
      </c>
      <c r="L1621" s="3">
        <v>1</v>
      </c>
      <c r="M1621" s="3">
        <v>0</v>
      </c>
      <c r="N1621" s="3">
        <v>1</v>
      </c>
      <c r="O1621" s="3">
        <v>0.08</v>
      </c>
      <c r="P1621" s="3">
        <v>0</v>
      </c>
      <c r="Q1621" s="3">
        <v>0</v>
      </c>
      <c r="R1621" s="3">
        <v>0</v>
      </c>
    </row>
    <row r="1622" spans="1:18">
      <c r="A1622" s="3" t="s">
        <v>2927</v>
      </c>
      <c r="B1622" s="3" t="s">
        <v>2928</v>
      </c>
      <c r="C1622" s="3" t="s">
        <v>2928</v>
      </c>
      <c r="D1622" s="3" t="s">
        <v>3064</v>
      </c>
      <c r="E1622" s="3" t="s">
        <v>867</v>
      </c>
      <c r="F1622" s="3">
        <v>23.99</v>
      </c>
      <c r="G1622" s="3" t="s">
        <v>3391</v>
      </c>
      <c r="H1622" s="3"/>
      <c r="I1622" s="3" t="s">
        <v>3392</v>
      </c>
      <c r="J1622" s="3">
        <v>26</v>
      </c>
      <c r="K1622" s="3">
        <v>26</v>
      </c>
      <c r="L1622" s="3">
        <v>0</v>
      </c>
      <c r="M1622" s="3">
        <v>0</v>
      </c>
      <c r="N1622" s="3">
        <v>26</v>
      </c>
      <c r="O1622" s="3">
        <v>0.21</v>
      </c>
      <c r="P1622" s="3">
        <v>0</v>
      </c>
      <c r="Q1622" s="3">
        <v>0</v>
      </c>
      <c r="R1622" s="3">
        <v>0</v>
      </c>
    </row>
    <row r="1623" spans="1:18">
      <c r="A1623" s="3" t="s">
        <v>5345</v>
      </c>
      <c r="B1623" s="3" t="s">
        <v>5346</v>
      </c>
      <c r="C1623" s="3" t="s">
        <v>5346</v>
      </c>
      <c r="D1623" s="3" t="s">
        <v>5347</v>
      </c>
      <c r="E1623" s="3" t="s">
        <v>867</v>
      </c>
      <c r="F1623" s="3">
        <v>39.98</v>
      </c>
      <c r="G1623" s="3" t="s">
        <v>3391</v>
      </c>
      <c r="H1623" s="3"/>
      <c r="I1623" s="3" t="s">
        <v>3392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0.21</v>
      </c>
      <c r="P1623" s="3">
        <v>0</v>
      </c>
      <c r="Q1623" s="3">
        <v>0</v>
      </c>
      <c r="R1623" s="3">
        <v>0</v>
      </c>
    </row>
    <row r="1624" spans="1:18">
      <c r="A1624" s="3" t="s">
        <v>5348</v>
      </c>
      <c r="B1624" s="3" t="s">
        <v>442</v>
      </c>
      <c r="C1624" s="3" t="s">
        <v>442</v>
      </c>
      <c r="D1624" s="3" t="s">
        <v>443</v>
      </c>
      <c r="E1624" s="3" t="s">
        <v>867</v>
      </c>
      <c r="F1624" s="3">
        <v>23.98</v>
      </c>
      <c r="G1624" s="3" t="s">
        <v>3391</v>
      </c>
      <c r="H1624" s="3"/>
      <c r="I1624" s="3" t="s">
        <v>3392</v>
      </c>
      <c r="J1624" s="3">
        <v>1</v>
      </c>
      <c r="K1624" s="3">
        <v>0</v>
      </c>
      <c r="L1624" s="3">
        <v>1</v>
      </c>
      <c r="M1624" s="3">
        <v>0</v>
      </c>
      <c r="N1624" s="3">
        <v>1</v>
      </c>
      <c r="O1624" s="3">
        <v>0.21</v>
      </c>
      <c r="P1624" s="3">
        <v>0</v>
      </c>
      <c r="Q1624" s="3">
        <v>0</v>
      </c>
      <c r="R1624" s="3">
        <v>0</v>
      </c>
    </row>
    <row r="1625" spans="1:18">
      <c r="A1625" s="3" t="s">
        <v>5349</v>
      </c>
      <c r="B1625" s="3" t="s">
        <v>2433</v>
      </c>
      <c r="C1625" s="3" t="s">
        <v>2433</v>
      </c>
      <c r="D1625" s="3" t="s">
        <v>4939</v>
      </c>
      <c r="E1625" s="3" t="s">
        <v>867</v>
      </c>
      <c r="F1625" s="3">
        <v>39.98</v>
      </c>
      <c r="G1625" s="3" t="s">
        <v>3391</v>
      </c>
      <c r="H1625" s="3"/>
      <c r="I1625" s="3" t="s">
        <v>3392</v>
      </c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>
        <v>0.11</v>
      </c>
      <c r="P1625" s="3">
        <v>0</v>
      </c>
      <c r="Q1625" s="3">
        <v>0</v>
      </c>
      <c r="R1625" s="3">
        <v>0</v>
      </c>
    </row>
    <row r="1626" spans="1:18">
      <c r="A1626" s="3" t="s">
        <v>5350</v>
      </c>
      <c r="B1626" s="3" t="s">
        <v>5351</v>
      </c>
      <c r="C1626" s="3" t="s">
        <v>5352</v>
      </c>
      <c r="D1626" s="3" t="s">
        <v>1154</v>
      </c>
      <c r="E1626" s="3" t="s">
        <v>867</v>
      </c>
      <c r="F1626" s="3">
        <v>22.98</v>
      </c>
      <c r="G1626" s="3" t="s">
        <v>3391</v>
      </c>
      <c r="H1626" s="3"/>
      <c r="I1626" s="3" t="s">
        <v>3392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0.02</v>
      </c>
      <c r="P1626" s="3">
        <v>0</v>
      </c>
      <c r="Q1626" s="3">
        <v>0</v>
      </c>
      <c r="R1626" s="3">
        <v>0</v>
      </c>
    </row>
    <row r="1627" spans="1:18">
      <c r="A1627" s="3" t="s">
        <v>5353</v>
      </c>
      <c r="B1627" s="3" t="s">
        <v>5354</v>
      </c>
      <c r="C1627" s="3" t="s">
        <v>5355</v>
      </c>
      <c r="D1627" s="3" t="s">
        <v>3926</v>
      </c>
      <c r="E1627" s="3" t="s">
        <v>867</v>
      </c>
      <c r="F1627" s="3">
        <v>22.98</v>
      </c>
      <c r="G1627" s="3" t="s">
        <v>3391</v>
      </c>
      <c r="H1627" s="3"/>
      <c r="I1627" s="3" t="s">
        <v>3392</v>
      </c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>
        <v>0.02</v>
      </c>
      <c r="P1627" s="3">
        <v>0</v>
      </c>
      <c r="Q1627" s="3">
        <v>0</v>
      </c>
      <c r="R1627" s="3">
        <v>0</v>
      </c>
    </row>
    <row r="1628" spans="1:18">
      <c r="A1628" s="3" t="s">
        <v>5356</v>
      </c>
      <c r="B1628" s="3" t="s">
        <v>5357</v>
      </c>
      <c r="C1628" s="3" t="s">
        <v>5358</v>
      </c>
      <c r="D1628" s="3" t="s">
        <v>2324</v>
      </c>
      <c r="E1628" s="3" t="s">
        <v>867</v>
      </c>
      <c r="F1628" s="3">
        <v>22.98</v>
      </c>
      <c r="G1628" s="3" t="s">
        <v>3391</v>
      </c>
      <c r="H1628" s="3"/>
      <c r="I1628" s="3" t="s">
        <v>3392</v>
      </c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>
        <v>0.02</v>
      </c>
      <c r="P1628" s="3">
        <v>0</v>
      </c>
      <c r="Q1628" s="3">
        <v>0</v>
      </c>
      <c r="R1628" s="3">
        <v>0</v>
      </c>
    </row>
    <row r="1629" spans="1:18">
      <c r="A1629" s="3" t="s">
        <v>5359</v>
      </c>
      <c r="B1629" s="3" t="s">
        <v>5360</v>
      </c>
      <c r="C1629" s="3" t="s">
        <v>5361</v>
      </c>
      <c r="D1629" s="3" t="s">
        <v>2917</v>
      </c>
      <c r="E1629" s="3" t="s">
        <v>867</v>
      </c>
      <c r="F1629" s="3">
        <v>22.98</v>
      </c>
      <c r="G1629" s="3" t="s">
        <v>3391</v>
      </c>
      <c r="H1629" s="3"/>
      <c r="I1629" s="3" t="s">
        <v>3392</v>
      </c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>
        <v>0.02</v>
      </c>
      <c r="P1629" s="3">
        <v>0</v>
      </c>
      <c r="Q1629" s="3">
        <v>0</v>
      </c>
      <c r="R1629" s="3">
        <v>0</v>
      </c>
    </row>
    <row r="1630" spans="1:18">
      <c r="A1630" s="3" t="s">
        <v>5362</v>
      </c>
      <c r="B1630" s="3" t="s">
        <v>5363</v>
      </c>
      <c r="C1630" s="3" t="s">
        <v>5364</v>
      </c>
      <c r="D1630" s="3" t="s">
        <v>3183</v>
      </c>
      <c r="E1630" s="3" t="s">
        <v>867</v>
      </c>
      <c r="F1630" s="3">
        <v>22.98</v>
      </c>
      <c r="G1630" s="3" t="s">
        <v>3391</v>
      </c>
      <c r="H1630" s="3"/>
      <c r="I1630" s="3" t="s">
        <v>3392</v>
      </c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>
        <v>0.02</v>
      </c>
      <c r="P1630" s="3">
        <v>0</v>
      </c>
      <c r="Q1630" s="3">
        <v>0</v>
      </c>
      <c r="R1630" s="3">
        <v>0</v>
      </c>
    </row>
    <row r="1631" spans="1:18">
      <c r="A1631" s="3" t="s">
        <v>5365</v>
      </c>
      <c r="B1631" s="3" t="s">
        <v>5366</v>
      </c>
      <c r="C1631" s="3" t="s">
        <v>5367</v>
      </c>
      <c r="D1631" s="3" t="s">
        <v>2787</v>
      </c>
      <c r="E1631" s="3" t="s">
        <v>867</v>
      </c>
      <c r="F1631" s="3">
        <v>22.98</v>
      </c>
      <c r="G1631" s="3" t="s">
        <v>3391</v>
      </c>
      <c r="H1631" s="3"/>
      <c r="I1631" s="3" t="s">
        <v>3392</v>
      </c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>
        <v>0.02</v>
      </c>
      <c r="P1631" s="3">
        <v>0</v>
      </c>
      <c r="Q1631" s="3">
        <v>0</v>
      </c>
      <c r="R1631" s="3">
        <v>0</v>
      </c>
    </row>
    <row r="1632" spans="1:18">
      <c r="A1632" s="3" t="s">
        <v>5368</v>
      </c>
      <c r="B1632" s="3" t="s">
        <v>5369</v>
      </c>
      <c r="C1632" s="3" t="s">
        <v>5370</v>
      </c>
      <c r="D1632" s="3" t="s">
        <v>3232</v>
      </c>
      <c r="E1632" s="3" t="s">
        <v>867</v>
      </c>
      <c r="F1632" s="3">
        <v>22.98</v>
      </c>
      <c r="G1632" s="3" t="s">
        <v>3391</v>
      </c>
      <c r="H1632" s="3"/>
      <c r="I1632" s="3" t="s">
        <v>3392</v>
      </c>
      <c r="J1632" s="3">
        <v>0</v>
      </c>
      <c r="K1632" s="3">
        <v>0</v>
      </c>
      <c r="L1632" s="3">
        <v>0</v>
      </c>
      <c r="M1632" s="3">
        <v>0</v>
      </c>
      <c r="N1632" s="3">
        <v>0</v>
      </c>
      <c r="O1632" s="3">
        <v>0.02</v>
      </c>
      <c r="P1632" s="3">
        <v>0</v>
      </c>
      <c r="Q1632" s="3">
        <v>0</v>
      </c>
      <c r="R1632" s="3">
        <v>0</v>
      </c>
    </row>
    <row r="1633" spans="1:18">
      <c r="A1633" s="3" t="s">
        <v>5371</v>
      </c>
      <c r="B1633" s="3" t="s">
        <v>5372</v>
      </c>
      <c r="C1633" s="3" t="s">
        <v>5373</v>
      </c>
      <c r="D1633" s="3" t="s">
        <v>1769</v>
      </c>
      <c r="E1633" s="3" t="s">
        <v>867</v>
      </c>
      <c r="F1633" s="3">
        <v>22.98</v>
      </c>
      <c r="G1633" s="3" t="s">
        <v>3391</v>
      </c>
      <c r="H1633" s="3"/>
      <c r="I1633" s="3" t="s">
        <v>3392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0.02</v>
      </c>
      <c r="P1633" s="3">
        <v>0</v>
      </c>
      <c r="Q1633" s="3">
        <v>0</v>
      </c>
      <c r="R1633" s="3">
        <v>0</v>
      </c>
    </row>
    <row r="1634" spans="1:18">
      <c r="A1634" s="3" t="s">
        <v>5374</v>
      </c>
      <c r="B1634" s="3" t="s">
        <v>5375</v>
      </c>
      <c r="C1634" s="3" t="s">
        <v>5376</v>
      </c>
      <c r="D1634" s="3" t="s">
        <v>3980</v>
      </c>
      <c r="E1634" s="3" t="s">
        <v>867</v>
      </c>
      <c r="F1634" s="3">
        <v>22.98</v>
      </c>
      <c r="G1634" s="3" t="s">
        <v>3391</v>
      </c>
      <c r="H1634" s="3"/>
      <c r="I1634" s="3" t="s">
        <v>3392</v>
      </c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>
        <v>0.02</v>
      </c>
      <c r="P1634" s="3">
        <v>0</v>
      </c>
      <c r="Q1634" s="3">
        <v>0</v>
      </c>
      <c r="R1634" s="3">
        <v>0</v>
      </c>
    </row>
    <row r="1635" spans="1:18">
      <c r="A1635" s="3" t="s">
        <v>5377</v>
      </c>
      <c r="B1635" s="3" t="s">
        <v>5378</v>
      </c>
      <c r="C1635" s="3" t="s">
        <v>5379</v>
      </c>
      <c r="D1635" s="3" t="s">
        <v>190</v>
      </c>
      <c r="E1635" s="3" t="s">
        <v>867</v>
      </c>
      <c r="F1635" s="3">
        <v>39.98</v>
      </c>
      <c r="G1635" s="3" t="s">
        <v>3391</v>
      </c>
      <c r="H1635" s="3"/>
      <c r="I1635" s="3" t="s">
        <v>3392</v>
      </c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</row>
    <row r="1636" spans="1:18">
      <c r="A1636" s="3" t="s">
        <v>5380</v>
      </c>
      <c r="B1636" s="3" t="s">
        <v>5381</v>
      </c>
      <c r="C1636" s="3" t="s">
        <v>5382</v>
      </c>
      <c r="D1636" s="3" t="s">
        <v>1101</v>
      </c>
      <c r="E1636" s="3" t="s">
        <v>867</v>
      </c>
      <c r="F1636" s="3">
        <v>39.98</v>
      </c>
      <c r="G1636" s="3" t="s">
        <v>3391</v>
      </c>
      <c r="H1636" s="3"/>
      <c r="I1636" s="3" t="s">
        <v>3392</v>
      </c>
      <c r="J1636" s="3">
        <v>0</v>
      </c>
      <c r="K1636" s="3">
        <v>0</v>
      </c>
      <c r="L1636" s="3">
        <v>0</v>
      </c>
      <c r="M1636" s="3">
        <v>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</row>
    <row r="1637" spans="1:18">
      <c r="A1637" s="3" t="s">
        <v>5383</v>
      </c>
      <c r="B1637" s="3" t="s">
        <v>5384</v>
      </c>
      <c r="C1637" s="3" t="s">
        <v>5385</v>
      </c>
      <c r="D1637" s="3" t="s">
        <v>1715</v>
      </c>
      <c r="E1637" s="3" t="s">
        <v>867</v>
      </c>
      <c r="F1637" s="3">
        <v>39.98</v>
      </c>
      <c r="G1637" s="3" t="s">
        <v>3391</v>
      </c>
      <c r="H1637" s="3"/>
      <c r="I1637" s="3" t="s">
        <v>3392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</row>
    <row r="1638" spans="1:18">
      <c r="A1638" s="3" t="s">
        <v>5386</v>
      </c>
      <c r="B1638" s="3" t="s">
        <v>5387</v>
      </c>
      <c r="C1638" s="3" t="s">
        <v>5388</v>
      </c>
      <c r="D1638" s="3" t="s">
        <v>1708</v>
      </c>
      <c r="E1638" s="3" t="s">
        <v>867</v>
      </c>
      <c r="F1638" s="3">
        <v>39.98</v>
      </c>
      <c r="G1638" s="3" t="s">
        <v>3391</v>
      </c>
      <c r="H1638" s="3"/>
      <c r="I1638" s="3" t="s">
        <v>3392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</row>
    <row r="1639" spans="1:18">
      <c r="A1639" s="3" t="s">
        <v>5389</v>
      </c>
      <c r="B1639" s="3" t="s">
        <v>5390</v>
      </c>
      <c r="C1639" s="3" t="s">
        <v>5391</v>
      </c>
      <c r="D1639" s="3" t="s">
        <v>4272</v>
      </c>
      <c r="E1639" s="3" t="s">
        <v>867</v>
      </c>
      <c r="F1639" s="3">
        <v>39.98</v>
      </c>
      <c r="G1639" s="3" t="s">
        <v>3391</v>
      </c>
      <c r="H1639" s="3"/>
      <c r="I1639" s="3" t="s">
        <v>3392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</row>
    <row r="1640" spans="1:18">
      <c r="A1640" s="3" t="s">
        <v>5392</v>
      </c>
      <c r="B1640" s="3" t="s">
        <v>5393</v>
      </c>
      <c r="C1640" s="3" t="s">
        <v>5394</v>
      </c>
      <c r="D1640" s="3" t="s">
        <v>2617</v>
      </c>
      <c r="E1640" s="3" t="s">
        <v>867</v>
      </c>
      <c r="F1640" s="3">
        <v>39.98</v>
      </c>
      <c r="G1640" s="3" t="s">
        <v>3391</v>
      </c>
      <c r="H1640" s="3"/>
      <c r="I1640" s="3" t="s">
        <v>3392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</row>
    <row r="1641" spans="1:18">
      <c r="A1641" s="3" t="s">
        <v>5395</v>
      </c>
      <c r="B1641" s="3" t="s">
        <v>5396</v>
      </c>
      <c r="C1641" s="3" t="s">
        <v>5397</v>
      </c>
      <c r="D1641" s="3" t="s">
        <v>1342</v>
      </c>
      <c r="E1641" s="3" t="s">
        <v>867</v>
      </c>
      <c r="F1641" s="3">
        <v>39.98</v>
      </c>
      <c r="G1641" s="3" t="s">
        <v>3391</v>
      </c>
      <c r="H1641" s="3"/>
      <c r="I1641" s="3" t="s">
        <v>3392</v>
      </c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</row>
    <row r="1642" spans="1:18">
      <c r="A1642" s="3" t="s">
        <v>5398</v>
      </c>
      <c r="B1642" s="3" t="s">
        <v>5399</v>
      </c>
      <c r="C1642" s="3" t="s">
        <v>5400</v>
      </c>
      <c r="D1642" s="3" t="s">
        <v>182</v>
      </c>
      <c r="E1642" s="3" t="s">
        <v>867</v>
      </c>
      <c r="F1642" s="3">
        <v>39.98</v>
      </c>
      <c r="G1642" s="3" t="s">
        <v>3391</v>
      </c>
      <c r="H1642" s="3"/>
      <c r="I1642" s="3" t="s">
        <v>3392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</row>
    <row r="1643" spans="1:18">
      <c r="A1643" s="3" t="s">
        <v>5401</v>
      </c>
      <c r="B1643" s="3" t="s">
        <v>5402</v>
      </c>
      <c r="C1643" s="3" t="s">
        <v>5403</v>
      </c>
      <c r="D1643" s="3" t="s">
        <v>965</v>
      </c>
      <c r="E1643" s="3" t="s">
        <v>867</v>
      </c>
      <c r="F1643" s="3">
        <v>39.98</v>
      </c>
      <c r="G1643" s="3" t="s">
        <v>3391</v>
      </c>
      <c r="H1643" s="3"/>
      <c r="I1643" s="3" t="s">
        <v>3392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</row>
    <row r="1644" spans="1:18">
      <c r="A1644" s="3" t="s">
        <v>5404</v>
      </c>
      <c r="B1644" s="3" t="s">
        <v>5405</v>
      </c>
      <c r="C1644" s="3" t="s">
        <v>5406</v>
      </c>
      <c r="D1644" s="3" t="s">
        <v>34</v>
      </c>
      <c r="E1644" s="3" t="s">
        <v>867</v>
      </c>
      <c r="F1644" s="3">
        <v>39.98</v>
      </c>
      <c r="G1644" s="3" t="s">
        <v>3391</v>
      </c>
      <c r="H1644" s="3"/>
      <c r="I1644" s="3" t="s">
        <v>3392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</row>
    <row r="1645" spans="1:18">
      <c r="A1645" s="3" t="s">
        <v>5407</v>
      </c>
      <c r="B1645" s="3" t="s">
        <v>5408</v>
      </c>
      <c r="C1645" s="3" t="s">
        <v>5409</v>
      </c>
      <c r="D1645" s="3" t="s">
        <v>1228</v>
      </c>
      <c r="E1645" s="3" t="s">
        <v>867</v>
      </c>
      <c r="F1645" s="3">
        <v>39.98</v>
      </c>
      <c r="G1645" s="3" t="s">
        <v>3391</v>
      </c>
      <c r="H1645" s="3"/>
      <c r="I1645" s="3" t="s">
        <v>3392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</row>
    <row r="1646" spans="1:18">
      <c r="A1646" s="3" t="s">
        <v>5410</v>
      </c>
      <c r="B1646" s="3" t="s">
        <v>5411</v>
      </c>
      <c r="C1646" s="3" t="s">
        <v>5412</v>
      </c>
      <c r="D1646" s="3" t="s">
        <v>2341</v>
      </c>
      <c r="E1646" s="3" t="s">
        <v>867</v>
      </c>
      <c r="F1646" s="3">
        <v>39.98</v>
      </c>
      <c r="G1646" s="3" t="s">
        <v>3391</v>
      </c>
      <c r="H1646" s="3"/>
      <c r="I1646" s="3" t="s">
        <v>3392</v>
      </c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</row>
    <row r="1647" spans="1:18">
      <c r="A1647" s="3" t="s">
        <v>5413</v>
      </c>
      <c r="B1647" s="3" t="s">
        <v>5414</v>
      </c>
      <c r="C1647" s="3" t="s">
        <v>5415</v>
      </c>
      <c r="D1647" s="3" t="s">
        <v>2173</v>
      </c>
      <c r="E1647" s="3" t="s">
        <v>867</v>
      </c>
      <c r="F1647" s="3">
        <v>39.98</v>
      </c>
      <c r="G1647" s="3" t="s">
        <v>3391</v>
      </c>
      <c r="H1647" s="3"/>
      <c r="I1647" s="3" t="s">
        <v>3392</v>
      </c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</row>
    <row r="1648" spans="1:18">
      <c r="A1648" s="3" t="s">
        <v>5416</v>
      </c>
      <c r="B1648" s="3" t="s">
        <v>5417</v>
      </c>
      <c r="C1648" s="3" t="s">
        <v>5418</v>
      </c>
      <c r="D1648" s="3" t="s">
        <v>522</v>
      </c>
      <c r="E1648" s="3" t="s">
        <v>867</v>
      </c>
      <c r="F1648" s="3">
        <v>39.98</v>
      </c>
      <c r="G1648" s="3" t="s">
        <v>3391</v>
      </c>
      <c r="H1648" s="3"/>
      <c r="I1648" s="3" t="s">
        <v>3392</v>
      </c>
      <c r="J1648" s="3">
        <v>0</v>
      </c>
      <c r="K1648" s="3">
        <v>0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</row>
    <row r="1649" spans="1:18">
      <c r="A1649" s="3" t="s">
        <v>5419</v>
      </c>
      <c r="B1649" s="3" t="s">
        <v>5420</v>
      </c>
      <c r="C1649" s="3" t="s">
        <v>5421</v>
      </c>
      <c r="D1649" s="3" t="s">
        <v>4075</v>
      </c>
      <c r="E1649" s="3" t="s">
        <v>867</v>
      </c>
      <c r="F1649" s="3">
        <v>39.98</v>
      </c>
      <c r="G1649" s="3" t="s">
        <v>3391</v>
      </c>
      <c r="H1649" s="3"/>
      <c r="I1649" s="3" t="s">
        <v>3392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</row>
    <row r="1650" spans="1:18">
      <c r="A1650" s="3" t="s">
        <v>5422</v>
      </c>
      <c r="B1650" s="3" t="s">
        <v>5423</v>
      </c>
      <c r="C1650" s="3" t="s">
        <v>5424</v>
      </c>
      <c r="D1650" s="3" t="s">
        <v>5425</v>
      </c>
      <c r="E1650" s="3" t="s">
        <v>867</v>
      </c>
      <c r="F1650" s="3">
        <v>22.98</v>
      </c>
      <c r="G1650" s="3" t="s">
        <v>3391</v>
      </c>
      <c r="H1650" s="3"/>
      <c r="I1650" s="3" t="s">
        <v>3392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0.02</v>
      </c>
      <c r="P1650" s="3">
        <v>0</v>
      </c>
      <c r="Q1650" s="3">
        <v>0</v>
      </c>
      <c r="R1650" s="3">
        <v>0</v>
      </c>
    </row>
    <row r="1651" spans="1:18">
      <c r="A1651" s="3" t="s">
        <v>5426</v>
      </c>
      <c r="B1651" s="3" t="s">
        <v>5427</v>
      </c>
      <c r="C1651" s="3" t="s">
        <v>5428</v>
      </c>
      <c r="D1651" s="3" t="s">
        <v>5429</v>
      </c>
      <c r="E1651" s="3" t="s">
        <v>867</v>
      </c>
      <c r="F1651" s="3">
        <v>22.98</v>
      </c>
      <c r="G1651" s="3" t="s">
        <v>3391</v>
      </c>
      <c r="H1651" s="3"/>
      <c r="I1651" s="3" t="s">
        <v>3392</v>
      </c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>
        <v>0.02</v>
      </c>
      <c r="P1651" s="3">
        <v>0</v>
      </c>
      <c r="Q1651" s="3">
        <v>0</v>
      </c>
      <c r="R1651" s="3">
        <v>0</v>
      </c>
    </row>
    <row r="1652" spans="1:18">
      <c r="A1652" s="3" t="s">
        <v>5430</v>
      </c>
      <c r="B1652" s="3" t="s">
        <v>5431</v>
      </c>
      <c r="C1652" s="3" t="s">
        <v>5432</v>
      </c>
      <c r="D1652" s="3" t="s">
        <v>5433</v>
      </c>
      <c r="E1652" s="3" t="s">
        <v>867</v>
      </c>
      <c r="F1652" s="3">
        <v>22.98</v>
      </c>
      <c r="G1652" s="3" t="s">
        <v>3391</v>
      </c>
      <c r="H1652" s="3"/>
      <c r="I1652" s="3" t="s">
        <v>3392</v>
      </c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>
        <v>0.02</v>
      </c>
      <c r="P1652" s="3">
        <v>0</v>
      </c>
      <c r="Q1652" s="3">
        <v>0</v>
      </c>
      <c r="R1652" s="3">
        <v>0</v>
      </c>
    </row>
    <row r="1653" spans="1:18">
      <c r="A1653" s="3" t="s">
        <v>5434</v>
      </c>
      <c r="B1653" s="3" t="s">
        <v>5435</v>
      </c>
      <c r="C1653" s="3" t="s">
        <v>5436</v>
      </c>
      <c r="D1653" s="3" t="s">
        <v>5437</v>
      </c>
      <c r="E1653" s="3" t="s">
        <v>867</v>
      </c>
      <c r="F1653" s="3">
        <v>22.98</v>
      </c>
      <c r="G1653" s="3" t="s">
        <v>3391</v>
      </c>
      <c r="H1653" s="3"/>
      <c r="I1653" s="3" t="s">
        <v>3392</v>
      </c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>
        <v>0.02</v>
      </c>
      <c r="P1653" s="3">
        <v>0</v>
      </c>
      <c r="Q1653" s="3">
        <v>0</v>
      </c>
      <c r="R1653" s="3">
        <v>0</v>
      </c>
    </row>
    <row r="1654" spans="1:18">
      <c r="A1654" s="3" t="s">
        <v>5438</v>
      </c>
      <c r="B1654" s="3" t="s">
        <v>5439</v>
      </c>
      <c r="C1654" s="3" t="s">
        <v>5440</v>
      </c>
      <c r="D1654" s="3" t="s">
        <v>5441</v>
      </c>
      <c r="E1654" s="3" t="s">
        <v>867</v>
      </c>
      <c r="F1654" s="3">
        <v>22.98</v>
      </c>
      <c r="G1654" s="3" t="s">
        <v>3391</v>
      </c>
      <c r="H1654" s="3"/>
      <c r="I1654" s="3" t="s">
        <v>3392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0.02</v>
      </c>
      <c r="P1654" s="3">
        <v>0</v>
      </c>
      <c r="Q1654" s="3">
        <v>0</v>
      </c>
      <c r="R1654" s="3">
        <v>0</v>
      </c>
    </row>
    <row r="1655" spans="1:18">
      <c r="A1655" s="3" t="s">
        <v>5442</v>
      </c>
      <c r="B1655" s="3" t="s">
        <v>5443</v>
      </c>
      <c r="C1655" s="3" t="s">
        <v>5444</v>
      </c>
      <c r="D1655" s="3" t="s">
        <v>5445</v>
      </c>
      <c r="E1655" s="3" t="s">
        <v>867</v>
      </c>
      <c r="F1655" s="3">
        <v>22.98</v>
      </c>
      <c r="G1655" s="3" t="s">
        <v>3391</v>
      </c>
      <c r="H1655" s="3"/>
      <c r="I1655" s="3" t="s">
        <v>3392</v>
      </c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>
        <v>0.02</v>
      </c>
      <c r="P1655" s="3">
        <v>0</v>
      </c>
      <c r="Q1655" s="3">
        <v>0</v>
      </c>
      <c r="R1655" s="3">
        <v>0</v>
      </c>
    </row>
    <row r="1656" spans="1:18">
      <c r="A1656" s="3" t="s">
        <v>5446</v>
      </c>
      <c r="B1656" s="3" t="s">
        <v>5447</v>
      </c>
      <c r="C1656" s="3" t="s">
        <v>5448</v>
      </c>
      <c r="D1656" s="3" t="s">
        <v>1837</v>
      </c>
      <c r="E1656" s="3" t="s">
        <v>867</v>
      </c>
      <c r="F1656" s="3">
        <v>22.98</v>
      </c>
      <c r="G1656" s="3" t="s">
        <v>3391</v>
      </c>
      <c r="H1656" s="3"/>
      <c r="I1656" s="3" t="s">
        <v>3392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0.02</v>
      </c>
      <c r="P1656" s="3">
        <v>0</v>
      </c>
      <c r="Q1656" s="3">
        <v>0</v>
      </c>
      <c r="R1656" s="3">
        <v>0</v>
      </c>
    </row>
    <row r="1657" spans="1:18">
      <c r="A1657" s="3" t="s">
        <v>5449</v>
      </c>
      <c r="B1657" s="3" t="s">
        <v>5450</v>
      </c>
      <c r="C1657" s="3" t="s">
        <v>5451</v>
      </c>
      <c r="D1657" s="3" t="s">
        <v>1266</v>
      </c>
      <c r="E1657" s="3" t="s">
        <v>867</v>
      </c>
      <c r="F1657" s="3">
        <v>22.98</v>
      </c>
      <c r="G1657" s="3" t="s">
        <v>3391</v>
      </c>
      <c r="H1657" s="3"/>
      <c r="I1657" s="3" t="s">
        <v>3392</v>
      </c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>
        <v>0.02</v>
      </c>
      <c r="P1657" s="3">
        <v>0</v>
      </c>
      <c r="Q1657" s="3">
        <v>0</v>
      </c>
      <c r="R1657" s="3">
        <v>0</v>
      </c>
    </row>
    <row r="1658" spans="1:18">
      <c r="A1658" s="3" t="s">
        <v>5452</v>
      </c>
      <c r="B1658" s="3" t="s">
        <v>5453</v>
      </c>
      <c r="C1658" s="3" t="s">
        <v>5454</v>
      </c>
      <c r="D1658" s="3" t="s">
        <v>5455</v>
      </c>
      <c r="E1658" s="3" t="s">
        <v>867</v>
      </c>
      <c r="F1658" s="3">
        <v>22.98</v>
      </c>
      <c r="G1658" s="3" t="s">
        <v>3391</v>
      </c>
      <c r="H1658" s="3"/>
      <c r="I1658" s="3" t="s">
        <v>3392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0.02</v>
      </c>
      <c r="P1658" s="3">
        <v>0</v>
      </c>
      <c r="Q1658" s="3">
        <v>0</v>
      </c>
      <c r="R1658" s="3">
        <v>0</v>
      </c>
    </row>
    <row r="1659" spans="1:18">
      <c r="A1659" s="3" t="s">
        <v>5456</v>
      </c>
      <c r="B1659" s="3" t="s">
        <v>5457</v>
      </c>
      <c r="C1659" s="3" t="s">
        <v>5458</v>
      </c>
      <c r="D1659" s="3" t="s">
        <v>5459</v>
      </c>
      <c r="E1659" s="3" t="s">
        <v>867</v>
      </c>
      <c r="F1659" s="3">
        <v>22.98</v>
      </c>
      <c r="G1659" s="3" t="s">
        <v>3391</v>
      </c>
      <c r="H1659" s="3"/>
      <c r="I1659" s="3" t="s">
        <v>3392</v>
      </c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>
        <v>0.02</v>
      </c>
      <c r="P1659" s="3">
        <v>0</v>
      </c>
      <c r="Q1659" s="3">
        <v>0</v>
      </c>
      <c r="R1659" s="3">
        <v>0</v>
      </c>
    </row>
    <row r="1660" spans="1:18">
      <c r="A1660" s="3" t="s">
        <v>5460</v>
      </c>
      <c r="B1660" s="3" t="s">
        <v>5461</v>
      </c>
      <c r="C1660" s="3" t="s">
        <v>5462</v>
      </c>
      <c r="D1660" s="3" t="s">
        <v>5463</v>
      </c>
      <c r="E1660" s="3" t="s">
        <v>867</v>
      </c>
      <c r="F1660" s="3">
        <v>22.98</v>
      </c>
      <c r="G1660" s="3" t="s">
        <v>3391</v>
      </c>
      <c r="H1660" s="3"/>
      <c r="I1660" s="3" t="s">
        <v>3392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0.02</v>
      </c>
      <c r="P1660" s="3">
        <v>0</v>
      </c>
      <c r="Q1660" s="3">
        <v>0</v>
      </c>
      <c r="R1660" s="3">
        <v>0</v>
      </c>
    </row>
    <row r="1661" spans="1:18">
      <c r="A1661" s="3" t="s">
        <v>5464</v>
      </c>
      <c r="B1661" s="3" t="s">
        <v>5465</v>
      </c>
      <c r="C1661" s="3" t="s">
        <v>5466</v>
      </c>
      <c r="D1661" s="3" t="s">
        <v>5467</v>
      </c>
      <c r="E1661" s="3" t="s">
        <v>867</v>
      </c>
      <c r="F1661" s="3">
        <v>22.98</v>
      </c>
      <c r="G1661" s="3" t="s">
        <v>3391</v>
      </c>
      <c r="H1661" s="3"/>
      <c r="I1661" s="3" t="s">
        <v>3392</v>
      </c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>
        <v>0.02</v>
      </c>
      <c r="P1661" s="3">
        <v>0</v>
      </c>
      <c r="Q1661" s="3">
        <v>0</v>
      </c>
      <c r="R1661" s="3">
        <v>0</v>
      </c>
    </row>
    <row r="1662" spans="1:18">
      <c r="A1662" s="3" t="s">
        <v>5468</v>
      </c>
      <c r="B1662" s="3" t="s">
        <v>5469</v>
      </c>
      <c r="C1662" s="3" t="s">
        <v>5470</v>
      </c>
      <c r="D1662" s="3" t="s">
        <v>5471</v>
      </c>
      <c r="E1662" s="3" t="s">
        <v>867</v>
      </c>
      <c r="F1662" s="3">
        <v>22.98</v>
      </c>
      <c r="G1662" s="3" t="s">
        <v>3391</v>
      </c>
      <c r="H1662" s="3"/>
      <c r="I1662" s="3" t="s">
        <v>3392</v>
      </c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>
        <v>0.02</v>
      </c>
      <c r="P1662" s="3">
        <v>0</v>
      </c>
      <c r="Q1662" s="3">
        <v>0</v>
      </c>
      <c r="R1662" s="3">
        <v>0</v>
      </c>
    </row>
    <row r="1663" spans="1:18">
      <c r="A1663" s="3" t="s">
        <v>5472</v>
      </c>
      <c r="B1663" s="3" t="s">
        <v>5473</v>
      </c>
      <c r="C1663" s="3" t="s">
        <v>5474</v>
      </c>
      <c r="D1663" s="3" t="s">
        <v>5475</v>
      </c>
      <c r="E1663" s="3" t="s">
        <v>867</v>
      </c>
      <c r="F1663" s="3">
        <v>22.98</v>
      </c>
      <c r="G1663" s="3" t="s">
        <v>3391</v>
      </c>
      <c r="H1663" s="3"/>
      <c r="I1663" s="3" t="s">
        <v>3392</v>
      </c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>
        <v>0.02</v>
      </c>
      <c r="P1663" s="3">
        <v>0</v>
      </c>
      <c r="Q1663" s="3">
        <v>0</v>
      </c>
      <c r="R1663" s="3">
        <v>0</v>
      </c>
    </row>
    <row r="1664" spans="1:18">
      <c r="A1664" s="3" t="s">
        <v>5476</v>
      </c>
      <c r="B1664" s="3" t="s">
        <v>5477</v>
      </c>
      <c r="C1664" s="3" t="s">
        <v>5478</v>
      </c>
      <c r="D1664" s="3" t="s">
        <v>5479</v>
      </c>
      <c r="E1664" s="3" t="s">
        <v>867</v>
      </c>
      <c r="F1664" s="3">
        <v>22.98</v>
      </c>
      <c r="G1664" s="3" t="s">
        <v>3391</v>
      </c>
      <c r="H1664" s="3"/>
      <c r="I1664" s="3" t="s">
        <v>3392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0.02</v>
      </c>
      <c r="P1664" s="3">
        <v>0</v>
      </c>
      <c r="Q1664" s="3">
        <v>0</v>
      </c>
      <c r="R1664" s="3">
        <v>0</v>
      </c>
    </row>
    <row r="1665" spans="1:18">
      <c r="A1665" s="3" t="s">
        <v>5480</v>
      </c>
      <c r="B1665" s="3" t="s">
        <v>5481</v>
      </c>
      <c r="C1665" s="3" t="s">
        <v>5482</v>
      </c>
      <c r="D1665" s="3" t="s">
        <v>5483</v>
      </c>
      <c r="E1665" s="3" t="s">
        <v>867</v>
      </c>
      <c r="F1665" s="3">
        <v>22.98</v>
      </c>
      <c r="G1665" s="3" t="s">
        <v>3391</v>
      </c>
      <c r="H1665" s="3"/>
      <c r="I1665" s="3" t="s">
        <v>3392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0.02</v>
      </c>
      <c r="P1665" s="3">
        <v>0</v>
      </c>
      <c r="Q1665" s="3">
        <v>0</v>
      </c>
      <c r="R1665" s="3">
        <v>0</v>
      </c>
    </row>
    <row r="1666" spans="1:18">
      <c r="A1666" s="3" t="s">
        <v>5484</v>
      </c>
      <c r="B1666" s="3" t="s">
        <v>5485</v>
      </c>
      <c r="C1666" s="3" t="s">
        <v>5486</v>
      </c>
      <c r="D1666" s="3" t="s">
        <v>5487</v>
      </c>
      <c r="E1666" s="3" t="s">
        <v>867</v>
      </c>
      <c r="F1666" s="3">
        <v>22.98</v>
      </c>
      <c r="G1666" s="3" t="s">
        <v>3391</v>
      </c>
      <c r="H1666" s="3"/>
      <c r="I1666" s="3" t="s">
        <v>3392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0.02</v>
      </c>
      <c r="P1666" s="3">
        <v>0</v>
      </c>
      <c r="Q1666" s="3">
        <v>0</v>
      </c>
      <c r="R1666" s="3">
        <v>0</v>
      </c>
    </row>
    <row r="1667" spans="1:18">
      <c r="A1667" s="3" t="s">
        <v>5488</v>
      </c>
      <c r="B1667" s="3" t="s">
        <v>5489</v>
      </c>
      <c r="C1667" s="3" t="s">
        <v>5490</v>
      </c>
      <c r="D1667" s="3" t="s">
        <v>5491</v>
      </c>
      <c r="E1667" s="3" t="s">
        <v>867</v>
      </c>
      <c r="F1667" s="3">
        <v>22.98</v>
      </c>
      <c r="G1667" s="3" t="s">
        <v>3391</v>
      </c>
      <c r="H1667" s="3"/>
      <c r="I1667" s="3" t="s">
        <v>3392</v>
      </c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>
        <v>0.02</v>
      </c>
      <c r="P1667" s="3">
        <v>0</v>
      </c>
      <c r="Q1667" s="3">
        <v>0</v>
      </c>
      <c r="R1667" s="3">
        <v>0</v>
      </c>
    </row>
    <row r="1668" spans="1:18">
      <c r="A1668" s="3" t="s">
        <v>5492</v>
      </c>
      <c r="B1668" s="3" t="s">
        <v>5493</v>
      </c>
      <c r="C1668" s="3" t="s">
        <v>5494</v>
      </c>
      <c r="D1668" s="3" t="s">
        <v>5495</v>
      </c>
      <c r="E1668" s="3" t="s">
        <v>867</v>
      </c>
      <c r="F1668" s="3">
        <v>49.98</v>
      </c>
      <c r="G1668" s="3" t="s">
        <v>3391</v>
      </c>
      <c r="H1668" s="3"/>
      <c r="I1668" s="3" t="s">
        <v>3392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</row>
    <row r="1669" spans="1:18">
      <c r="A1669" s="3" t="s">
        <v>5496</v>
      </c>
      <c r="B1669" s="3" t="s">
        <v>5497</v>
      </c>
      <c r="C1669" s="3" t="s">
        <v>5498</v>
      </c>
      <c r="D1669" s="3" t="s">
        <v>5499</v>
      </c>
      <c r="E1669" s="3" t="s">
        <v>867</v>
      </c>
      <c r="F1669" s="3">
        <v>49.98</v>
      </c>
      <c r="G1669" s="3" t="s">
        <v>3391</v>
      </c>
      <c r="H1669" s="3"/>
      <c r="I1669" s="3" t="s">
        <v>3392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</row>
    <row r="1670" spans="1:18">
      <c r="A1670" s="3" t="s">
        <v>5500</v>
      </c>
      <c r="B1670" s="3" t="s">
        <v>5501</v>
      </c>
      <c r="C1670" s="3" t="s">
        <v>5502</v>
      </c>
      <c r="D1670" s="3" t="s">
        <v>5503</v>
      </c>
      <c r="E1670" s="3" t="s">
        <v>867</v>
      </c>
      <c r="F1670" s="3">
        <v>49.98</v>
      </c>
      <c r="G1670" s="3" t="s">
        <v>3391</v>
      </c>
      <c r="H1670" s="3"/>
      <c r="I1670" s="3" t="s">
        <v>3392</v>
      </c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</row>
    <row r="1671" spans="1:18">
      <c r="A1671" s="3" t="s">
        <v>5504</v>
      </c>
      <c r="B1671" s="3" t="s">
        <v>5505</v>
      </c>
      <c r="C1671" s="3" t="s">
        <v>5506</v>
      </c>
      <c r="D1671" s="3" t="s">
        <v>5507</v>
      </c>
      <c r="E1671" s="3" t="s">
        <v>867</v>
      </c>
      <c r="F1671" s="3">
        <v>49.98</v>
      </c>
      <c r="G1671" s="3" t="s">
        <v>3391</v>
      </c>
      <c r="H1671" s="3"/>
      <c r="I1671" s="3" t="s">
        <v>3392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</row>
    <row r="1672" spans="1:18">
      <c r="A1672" s="3" t="s">
        <v>5508</v>
      </c>
      <c r="B1672" s="3" t="s">
        <v>5509</v>
      </c>
      <c r="C1672" s="3" t="s">
        <v>5510</v>
      </c>
      <c r="D1672" s="3" t="s">
        <v>5511</v>
      </c>
      <c r="E1672" s="3" t="s">
        <v>867</v>
      </c>
      <c r="F1672" s="3">
        <v>49.98</v>
      </c>
      <c r="G1672" s="3" t="s">
        <v>3391</v>
      </c>
      <c r="H1672" s="3"/>
      <c r="I1672" s="3" t="s">
        <v>3392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</row>
    <row r="1673" spans="1:18">
      <c r="A1673" s="3" t="s">
        <v>5512</v>
      </c>
      <c r="B1673" s="3" t="s">
        <v>5513</v>
      </c>
      <c r="C1673" s="3" t="s">
        <v>5514</v>
      </c>
      <c r="D1673" s="3" t="s">
        <v>5515</v>
      </c>
      <c r="E1673" s="3" t="s">
        <v>867</v>
      </c>
      <c r="F1673" s="3">
        <v>49.98</v>
      </c>
      <c r="G1673" s="3" t="s">
        <v>3391</v>
      </c>
      <c r="H1673" s="3"/>
      <c r="I1673" s="3" t="s">
        <v>3392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</row>
    <row r="1674" spans="1:18">
      <c r="A1674" s="3" t="s">
        <v>5516</v>
      </c>
      <c r="B1674" s="3" t="s">
        <v>5517</v>
      </c>
      <c r="C1674" s="3" t="s">
        <v>5518</v>
      </c>
      <c r="D1674" s="3" t="s">
        <v>5519</v>
      </c>
      <c r="E1674" s="3" t="s">
        <v>867</v>
      </c>
      <c r="F1674" s="3">
        <v>49.98</v>
      </c>
      <c r="G1674" s="3" t="s">
        <v>3391</v>
      </c>
      <c r="H1674" s="3"/>
      <c r="I1674" s="3" t="s">
        <v>3392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</row>
    <row r="1675" spans="1:18">
      <c r="A1675" s="3" t="s">
        <v>5520</v>
      </c>
      <c r="B1675" s="3" t="s">
        <v>5521</v>
      </c>
      <c r="C1675" s="3" t="s">
        <v>5522</v>
      </c>
      <c r="D1675" s="3" t="s">
        <v>5523</v>
      </c>
      <c r="E1675" s="3" t="s">
        <v>867</v>
      </c>
      <c r="F1675" s="3">
        <v>49.98</v>
      </c>
      <c r="G1675" s="3" t="s">
        <v>3391</v>
      </c>
      <c r="H1675" s="3"/>
      <c r="I1675" s="3" t="s">
        <v>3392</v>
      </c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</row>
    <row r="1676" spans="1:18">
      <c r="A1676" s="3" t="s">
        <v>5524</v>
      </c>
      <c r="B1676" s="3" t="s">
        <v>5525</v>
      </c>
      <c r="C1676" s="3" t="s">
        <v>5526</v>
      </c>
      <c r="D1676" s="3" t="s">
        <v>5527</v>
      </c>
      <c r="E1676" s="3" t="s">
        <v>867</v>
      </c>
      <c r="F1676" s="3">
        <v>49.98</v>
      </c>
      <c r="G1676" s="3" t="s">
        <v>3391</v>
      </c>
      <c r="H1676" s="3"/>
      <c r="I1676" s="3" t="s">
        <v>3392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</row>
    <row r="1677" spans="1:18">
      <c r="A1677" s="3" t="s">
        <v>5528</v>
      </c>
      <c r="B1677" s="3" t="s">
        <v>5529</v>
      </c>
      <c r="C1677" s="3" t="s">
        <v>5530</v>
      </c>
      <c r="D1677" s="3" t="s">
        <v>5531</v>
      </c>
      <c r="E1677" s="3" t="s">
        <v>867</v>
      </c>
      <c r="F1677" s="3">
        <v>49.98</v>
      </c>
      <c r="G1677" s="3" t="s">
        <v>3391</v>
      </c>
      <c r="H1677" s="3"/>
      <c r="I1677" s="3" t="s">
        <v>3392</v>
      </c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</row>
    <row r="1678" spans="1:18">
      <c r="A1678" s="3" t="s">
        <v>5532</v>
      </c>
      <c r="B1678" s="3" t="s">
        <v>5533</v>
      </c>
      <c r="C1678" s="3" t="s">
        <v>5534</v>
      </c>
      <c r="D1678" s="3" t="s">
        <v>5535</v>
      </c>
      <c r="E1678" s="3" t="s">
        <v>867</v>
      </c>
      <c r="F1678" s="3">
        <v>49.98</v>
      </c>
      <c r="G1678" s="3" t="s">
        <v>3391</v>
      </c>
      <c r="H1678" s="3"/>
      <c r="I1678" s="3" t="s">
        <v>3392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</row>
    <row r="1679" spans="1:18">
      <c r="A1679" s="3" t="s">
        <v>5536</v>
      </c>
      <c r="B1679" s="3" t="s">
        <v>5537</v>
      </c>
      <c r="C1679" s="3" t="s">
        <v>5538</v>
      </c>
      <c r="D1679" s="3" t="s">
        <v>5539</v>
      </c>
      <c r="E1679" s="3" t="s">
        <v>867</v>
      </c>
      <c r="F1679" s="3">
        <v>49.98</v>
      </c>
      <c r="G1679" s="3" t="s">
        <v>3391</v>
      </c>
      <c r="H1679" s="3"/>
      <c r="I1679" s="3" t="s">
        <v>3392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</row>
    <row r="1680" spans="1:18">
      <c r="A1680" s="3" t="s">
        <v>5540</v>
      </c>
      <c r="B1680" s="3" t="s">
        <v>5541</v>
      </c>
      <c r="C1680" s="3" t="s">
        <v>5542</v>
      </c>
      <c r="D1680" s="3" t="s">
        <v>5543</v>
      </c>
      <c r="E1680" s="3" t="s">
        <v>867</v>
      </c>
      <c r="F1680" s="3">
        <v>49.98</v>
      </c>
      <c r="G1680" s="3" t="s">
        <v>3391</v>
      </c>
      <c r="H1680" s="3"/>
      <c r="I1680" s="3" t="s">
        <v>3392</v>
      </c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</row>
    <row r="1681" spans="1:18">
      <c r="A1681" s="3" t="s">
        <v>5544</v>
      </c>
      <c r="B1681" s="3" t="s">
        <v>5545</v>
      </c>
      <c r="C1681" s="3" t="s">
        <v>5546</v>
      </c>
      <c r="D1681" s="3" t="s">
        <v>5547</v>
      </c>
      <c r="E1681" s="3" t="s">
        <v>867</v>
      </c>
      <c r="F1681" s="3">
        <v>49.98</v>
      </c>
      <c r="G1681" s="3" t="s">
        <v>3391</v>
      </c>
      <c r="H1681" s="3"/>
      <c r="I1681" s="3" t="s">
        <v>3392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</row>
    <row r="1682" spans="1:18">
      <c r="A1682" s="3" t="s">
        <v>5548</v>
      </c>
      <c r="B1682" s="3" t="s">
        <v>5549</v>
      </c>
      <c r="C1682" s="3" t="s">
        <v>5550</v>
      </c>
      <c r="D1682" s="3" t="s">
        <v>5551</v>
      </c>
      <c r="E1682" s="3" t="s">
        <v>867</v>
      </c>
      <c r="F1682" s="3">
        <v>49.98</v>
      </c>
      <c r="G1682" s="3" t="s">
        <v>3391</v>
      </c>
      <c r="H1682" s="3"/>
      <c r="I1682" s="3" t="s">
        <v>3392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</row>
    <row r="1683" spans="1:18">
      <c r="A1683" s="3" t="s">
        <v>5552</v>
      </c>
      <c r="B1683" s="3" t="s">
        <v>5553</v>
      </c>
      <c r="C1683" s="3" t="s">
        <v>5554</v>
      </c>
      <c r="D1683" s="3" t="s">
        <v>5555</v>
      </c>
      <c r="E1683" s="3" t="s">
        <v>867</v>
      </c>
      <c r="F1683" s="3">
        <v>49.98</v>
      </c>
      <c r="G1683" s="3" t="s">
        <v>3391</v>
      </c>
      <c r="H1683" s="3"/>
      <c r="I1683" s="3" t="s">
        <v>3392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</row>
    <row r="1684" spans="1:18">
      <c r="A1684" s="3" t="s">
        <v>5556</v>
      </c>
      <c r="B1684" s="3" t="s">
        <v>5557</v>
      </c>
      <c r="C1684" s="3" t="s">
        <v>5558</v>
      </c>
      <c r="D1684" s="3" t="s">
        <v>5559</v>
      </c>
      <c r="E1684" s="3" t="s">
        <v>867</v>
      </c>
      <c r="F1684" s="3">
        <v>49.98</v>
      </c>
      <c r="G1684" s="3" t="s">
        <v>3391</v>
      </c>
      <c r="H1684" s="3"/>
      <c r="I1684" s="3" t="s">
        <v>3392</v>
      </c>
      <c r="J1684" s="3">
        <v>0</v>
      </c>
      <c r="K1684" s="3">
        <v>0</v>
      </c>
      <c r="L1684" s="3">
        <v>0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</row>
    <row r="1685" spans="1:18">
      <c r="A1685" s="3" t="s">
        <v>5560</v>
      </c>
      <c r="B1685" s="3" t="s">
        <v>5561</v>
      </c>
      <c r="C1685" s="3" t="s">
        <v>5562</v>
      </c>
      <c r="D1685" s="3" t="s">
        <v>5563</v>
      </c>
      <c r="E1685" s="3" t="s">
        <v>867</v>
      </c>
      <c r="F1685" s="3">
        <v>49.98</v>
      </c>
      <c r="G1685" s="3" t="s">
        <v>3391</v>
      </c>
      <c r="H1685" s="3"/>
      <c r="I1685" s="3" t="s">
        <v>3392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</row>
    <row r="1686" spans="1:18">
      <c r="A1686" s="3" t="s">
        <v>5564</v>
      </c>
      <c r="B1686" s="3" t="s">
        <v>5565</v>
      </c>
      <c r="C1686" s="3" t="s">
        <v>5566</v>
      </c>
      <c r="D1686" s="3" t="s">
        <v>5567</v>
      </c>
      <c r="E1686" s="3" t="s">
        <v>867</v>
      </c>
      <c r="F1686" s="3">
        <v>49.98</v>
      </c>
      <c r="G1686" s="3" t="s">
        <v>3391</v>
      </c>
      <c r="H1686" s="3"/>
      <c r="I1686" s="3" t="s">
        <v>3392</v>
      </c>
      <c r="J1686" s="3">
        <v>0</v>
      </c>
      <c r="K1686" s="3">
        <v>0</v>
      </c>
      <c r="L1686" s="3">
        <v>0</v>
      </c>
      <c r="M1686" s="3">
        <v>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</row>
    <row r="1687" spans="1:18">
      <c r="A1687" s="3" t="s">
        <v>5568</v>
      </c>
      <c r="B1687" s="3" t="s">
        <v>5569</v>
      </c>
      <c r="C1687" s="3" t="s">
        <v>5570</v>
      </c>
      <c r="D1687" s="3" t="s">
        <v>5571</v>
      </c>
      <c r="E1687" s="3" t="s">
        <v>867</v>
      </c>
      <c r="F1687" s="3">
        <v>49.98</v>
      </c>
      <c r="G1687" s="3" t="s">
        <v>3391</v>
      </c>
      <c r="H1687" s="3"/>
      <c r="I1687" s="3" t="s">
        <v>3392</v>
      </c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</row>
    <row r="1688" spans="1:18">
      <c r="A1688" s="3" t="s">
        <v>5572</v>
      </c>
      <c r="B1688" s="3" t="s">
        <v>5573</v>
      </c>
      <c r="C1688" s="3" t="s">
        <v>5574</v>
      </c>
      <c r="D1688" s="3" t="s">
        <v>5575</v>
      </c>
      <c r="E1688" s="3" t="s">
        <v>867</v>
      </c>
      <c r="F1688" s="3">
        <v>49.98</v>
      </c>
      <c r="G1688" s="3" t="s">
        <v>3391</v>
      </c>
      <c r="H1688" s="3"/>
      <c r="I1688" s="3" t="s">
        <v>3392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</row>
    <row r="1689" spans="1:18">
      <c r="A1689" s="3" t="s">
        <v>5576</v>
      </c>
      <c r="B1689" s="3" t="s">
        <v>5577</v>
      </c>
      <c r="C1689" s="3" t="s">
        <v>5578</v>
      </c>
      <c r="D1689" s="3" t="s">
        <v>5579</v>
      </c>
      <c r="E1689" s="3" t="s">
        <v>867</v>
      </c>
      <c r="F1689" s="3">
        <v>49.98</v>
      </c>
      <c r="G1689" s="3" t="s">
        <v>3391</v>
      </c>
      <c r="H1689" s="3"/>
      <c r="I1689" s="3" t="s">
        <v>3392</v>
      </c>
      <c r="J1689" s="3">
        <v>0</v>
      </c>
      <c r="K1689" s="3">
        <v>0</v>
      </c>
      <c r="L1689" s="3">
        <v>0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</row>
    <row r="1690" spans="1:18">
      <c r="A1690" s="3" t="s">
        <v>5580</v>
      </c>
      <c r="B1690" s="3" t="s">
        <v>5581</v>
      </c>
      <c r="C1690" s="3" t="s">
        <v>5582</v>
      </c>
      <c r="D1690" s="3" t="s">
        <v>4202</v>
      </c>
      <c r="E1690" s="3" t="s">
        <v>867</v>
      </c>
      <c r="F1690" s="3">
        <v>49.98</v>
      </c>
      <c r="G1690" s="3" t="s">
        <v>3391</v>
      </c>
      <c r="H1690" s="3"/>
      <c r="I1690" s="3" t="s">
        <v>3392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</row>
    <row r="1691" spans="1:18">
      <c r="A1691" s="3" t="s">
        <v>5583</v>
      </c>
      <c r="B1691" s="3" t="s">
        <v>5584</v>
      </c>
      <c r="C1691" s="3" t="s">
        <v>5585</v>
      </c>
      <c r="D1691" s="3" t="s">
        <v>5586</v>
      </c>
      <c r="E1691" s="3" t="s">
        <v>867</v>
      </c>
      <c r="F1691" s="3">
        <v>49.98</v>
      </c>
      <c r="G1691" s="3" t="s">
        <v>3391</v>
      </c>
      <c r="H1691" s="3"/>
      <c r="I1691" s="3" t="s">
        <v>3392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</row>
    <row r="1692" spans="1:18">
      <c r="A1692" s="3" t="s">
        <v>5587</v>
      </c>
      <c r="B1692" s="3" t="s">
        <v>5588</v>
      </c>
      <c r="C1692" s="3" t="s">
        <v>5589</v>
      </c>
      <c r="D1692" s="3" t="s">
        <v>5590</v>
      </c>
      <c r="E1692" s="3" t="s">
        <v>867</v>
      </c>
      <c r="F1692" s="3">
        <v>49.98</v>
      </c>
      <c r="G1692" s="3" t="s">
        <v>3391</v>
      </c>
      <c r="H1692" s="3"/>
      <c r="I1692" s="3" t="s">
        <v>3392</v>
      </c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</row>
    <row r="1693" spans="1:18">
      <c r="A1693" s="3" t="s">
        <v>5591</v>
      </c>
      <c r="B1693" s="3" t="s">
        <v>5592</v>
      </c>
      <c r="C1693" s="3" t="s">
        <v>5593</v>
      </c>
      <c r="D1693" s="3" t="s">
        <v>5594</v>
      </c>
      <c r="E1693" s="3" t="s">
        <v>867</v>
      </c>
      <c r="F1693" s="3">
        <v>49.98</v>
      </c>
      <c r="G1693" s="3" t="s">
        <v>3391</v>
      </c>
      <c r="H1693" s="3"/>
      <c r="I1693" s="3" t="s">
        <v>3392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</row>
    <row r="1694" spans="1:18">
      <c r="A1694" s="3" t="s">
        <v>5595</v>
      </c>
      <c r="B1694" s="3" t="s">
        <v>5596</v>
      </c>
      <c r="C1694" s="3" t="s">
        <v>5597</v>
      </c>
      <c r="D1694" s="3" t="s">
        <v>5598</v>
      </c>
      <c r="E1694" s="3" t="s">
        <v>867</v>
      </c>
      <c r="F1694" s="3">
        <v>49.98</v>
      </c>
      <c r="G1694" s="3" t="s">
        <v>3391</v>
      </c>
      <c r="H1694" s="3"/>
      <c r="I1694" s="3" t="s">
        <v>3392</v>
      </c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</row>
    <row r="1695" spans="1:18">
      <c r="A1695" s="3" t="s">
        <v>5599</v>
      </c>
      <c r="B1695" s="3" t="s">
        <v>5600</v>
      </c>
      <c r="C1695" s="3" t="s">
        <v>5601</v>
      </c>
      <c r="D1695" s="3" t="s">
        <v>5602</v>
      </c>
      <c r="E1695" s="3" t="s">
        <v>867</v>
      </c>
      <c r="F1695" s="3">
        <v>49.98</v>
      </c>
      <c r="G1695" s="3" t="s">
        <v>3391</v>
      </c>
      <c r="H1695" s="3"/>
      <c r="I1695" s="3" t="s">
        <v>3392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</row>
    <row r="1696" spans="1:18">
      <c r="A1696" s="3" t="s">
        <v>5603</v>
      </c>
      <c r="B1696" s="3" t="s">
        <v>5604</v>
      </c>
      <c r="C1696" s="3" t="s">
        <v>5605</v>
      </c>
      <c r="D1696" s="3" t="s">
        <v>5606</v>
      </c>
      <c r="E1696" s="3" t="s">
        <v>867</v>
      </c>
      <c r="F1696" s="3">
        <v>49.98</v>
      </c>
      <c r="G1696" s="3" t="s">
        <v>3391</v>
      </c>
      <c r="H1696" s="3"/>
      <c r="I1696" s="3" t="s">
        <v>3392</v>
      </c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</row>
    <row r="1697" spans="1:18">
      <c r="A1697" s="3" t="s">
        <v>5607</v>
      </c>
      <c r="B1697" s="3" t="s">
        <v>5608</v>
      </c>
      <c r="C1697" s="3" t="s">
        <v>5609</v>
      </c>
      <c r="D1697" s="3" t="s">
        <v>5610</v>
      </c>
      <c r="E1697" s="3" t="s">
        <v>867</v>
      </c>
      <c r="F1697" s="3">
        <v>49.98</v>
      </c>
      <c r="G1697" s="3" t="s">
        <v>3391</v>
      </c>
      <c r="H1697" s="3"/>
      <c r="I1697" s="3" t="s">
        <v>3392</v>
      </c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</row>
    <row r="1698" spans="1:18">
      <c r="A1698" s="3" t="s">
        <v>5611</v>
      </c>
      <c r="B1698" s="3" t="s">
        <v>5612</v>
      </c>
      <c r="C1698" s="3" t="s">
        <v>5613</v>
      </c>
      <c r="D1698" s="3" t="s">
        <v>2388</v>
      </c>
      <c r="E1698" s="3" t="s">
        <v>867</v>
      </c>
      <c r="F1698" s="3">
        <v>39.98</v>
      </c>
      <c r="G1698" s="3" t="s">
        <v>3391</v>
      </c>
      <c r="H1698" s="3"/>
      <c r="I1698" s="3" t="s">
        <v>3392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</row>
    <row r="1699" spans="1:18">
      <c r="A1699" s="3" t="s">
        <v>5614</v>
      </c>
      <c r="B1699" s="3" t="s">
        <v>5615</v>
      </c>
      <c r="C1699" s="3" t="s">
        <v>5616</v>
      </c>
      <c r="D1699" s="3" t="s">
        <v>5187</v>
      </c>
      <c r="E1699" s="3" t="s">
        <v>867</v>
      </c>
      <c r="F1699" s="3">
        <v>23.99</v>
      </c>
      <c r="G1699" s="3" t="s">
        <v>3391</v>
      </c>
      <c r="H1699" s="3"/>
      <c r="I1699" s="3" t="s">
        <v>3392</v>
      </c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</row>
    <row r="1700" spans="1:18">
      <c r="A1700" s="3" t="s">
        <v>5617</v>
      </c>
      <c r="B1700" s="3" t="s">
        <v>5618</v>
      </c>
      <c r="C1700" s="3" t="s">
        <v>5619</v>
      </c>
      <c r="D1700" s="3" t="s">
        <v>894</v>
      </c>
      <c r="E1700" s="3" t="s">
        <v>867</v>
      </c>
      <c r="F1700" s="3">
        <v>39.98</v>
      </c>
      <c r="G1700" s="3" t="s">
        <v>3391</v>
      </c>
      <c r="H1700" s="3"/>
      <c r="I1700" s="3" t="s">
        <v>3392</v>
      </c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</row>
    <row r="1701" spans="1:18">
      <c r="A1701" s="3" t="s">
        <v>5620</v>
      </c>
      <c r="B1701" s="3" t="s">
        <v>5621</v>
      </c>
      <c r="C1701" s="3" t="s">
        <v>5622</v>
      </c>
      <c r="D1701" s="3" t="s">
        <v>1582</v>
      </c>
      <c r="E1701" s="3" t="s">
        <v>867</v>
      </c>
      <c r="F1701" s="3">
        <v>39.98</v>
      </c>
      <c r="G1701" s="3" t="s">
        <v>3391</v>
      </c>
      <c r="H1701" s="3"/>
      <c r="I1701" s="3" t="s">
        <v>3392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</row>
    <row r="1702" spans="1:18">
      <c r="A1702" s="3" t="s">
        <v>5623</v>
      </c>
      <c r="B1702" s="3" t="s">
        <v>5624</v>
      </c>
      <c r="C1702" s="3" t="s">
        <v>5625</v>
      </c>
      <c r="D1702" s="3" t="s">
        <v>1181</v>
      </c>
      <c r="E1702" s="3" t="s">
        <v>867</v>
      </c>
      <c r="F1702" s="3">
        <v>39.98</v>
      </c>
      <c r="G1702" s="3" t="s">
        <v>3391</v>
      </c>
      <c r="H1702" s="3"/>
      <c r="I1702" s="3" t="s">
        <v>3392</v>
      </c>
      <c r="J1702" s="3">
        <v>0</v>
      </c>
      <c r="K1702" s="3">
        <v>0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</row>
    <row r="1703" spans="1:18">
      <c r="A1703" s="3" t="s">
        <v>5626</v>
      </c>
      <c r="B1703" s="3" t="s">
        <v>5627</v>
      </c>
      <c r="C1703" s="3" t="s">
        <v>5628</v>
      </c>
      <c r="D1703" s="3" t="s">
        <v>977</v>
      </c>
      <c r="E1703" s="3" t="s">
        <v>867</v>
      </c>
      <c r="F1703" s="3">
        <v>39.98</v>
      </c>
      <c r="G1703" s="3" t="s">
        <v>3391</v>
      </c>
      <c r="H1703" s="3"/>
      <c r="I1703" s="3" t="s">
        <v>3392</v>
      </c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</row>
    <row r="1704" spans="1:18">
      <c r="A1704" s="3" t="s">
        <v>5629</v>
      </c>
      <c r="B1704" s="3" t="s">
        <v>5630</v>
      </c>
      <c r="C1704" s="3" t="s">
        <v>5631</v>
      </c>
      <c r="D1704" s="3" t="s">
        <v>5632</v>
      </c>
      <c r="E1704" s="3" t="s">
        <v>867</v>
      </c>
      <c r="F1704" s="3">
        <v>39.98</v>
      </c>
      <c r="G1704" s="3" t="s">
        <v>3391</v>
      </c>
      <c r="H1704" s="3"/>
      <c r="I1704" s="3" t="s">
        <v>3392</v>
      </c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</row>
    <row r="1705" spans="1:18">
      <c r="A1705" s="3" t="s">
        <v>5633</v>
      </c>
      <c r="B1705" s="3" t="s">
        <v>5634</v>
      </c>
      <c r="C1705" s="3" t="s">
        <v>5635</v>
      </c>
      <c r="D1705" s="3" t="s">
        <v>2344</v>
      </c>
      <c r="E1705" s="3" t="s">
        <v>867</v>
      </c>
      <c r="F1705" s="3">
        <v>39.98</v>
      </c>
      <c r="G1705" s="3" t="s">
        <v>3391</v>
      </c>
      <c r="H1705" s="3"/>
      <c r="I1705" s="3" t="s">
        <v>3392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</row>
    <row r="1706" spans="1:18">
      <c r="A1706" s="3" t="s">
        <v>5636</v>
      </c>
      <c r="B1706" s="3" t="s">
        <v>5637</v>
      </c>
      <c r="C1706" s="3" t="s">
        <v>5638</v>
      </c>
      <c r="D1706" s="3" t="s">
        <v>3204</v>
      </c>
      <c r="E1706" s="3" t="s">
        <v>867</v>
      </c>
      <c r="F1706" s="3">
        <v>39.98</v>
      </c>
      <c r="G1706" s="3" t="s">
        <v>3391</v>
      </c>
      <c r="H1706" s="3"/>
      <c r="I1706" s="3" t="s">
        <v>3392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</row>
    <row r="1707" spans="1:18">
      <c r="A1707" s="3" t="s">
        <v>5639</v>
      </c>
      <c r="B1707" s="3" t="s">
        <v>5640</v>
      </c>
      <c r="C1707" s="3" t="s">
        <v>5641</v>
      </c>
      <c r="D1707" s="3" t="s">
        <v>5204</v>
      </c>
      <c r="E1707" s="3" t="s">
        <v>867</v>
      </c>
      <c r="F1707" s="3">
        <v>69.98</v>
      </c>
      <c r="G1707" s="3" t="s">
        <v>3391</v>
      </c>
      <c r="H1707" s="3"/>
      <c r="I1707" s="3" t="s">
        <v>3392</v>
      </c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>
        <v>0</v>
      </c>
      <c r="P1707" s="3">
        <v>0</v>
      </c>
      <c r="Q1707" s="3">
        <v>0</v>
      </c>
      <c r="R1707" s="3">
        <v>0</v>
      </c>
    </row>
    <row r="1708" spans="1:18">
      <c r="A1708" s="3" t="s">
        <v>5642</v>
      </c>
      <c r="B1708" s="3" t="s">
        <v>5643</v>
      </c>
      <c r="C1708" s="3" t="s">
        <v>5644</v>
      </c>
      <c r="D1708" s="3" t="s">
        <v>5645</v>
      </c>
      <c r="E1708" s="3" t="s">
        <v>867</v>
      </c>
      <c r="F1708" s="3">
        <v>69.98</v>
      </c>
      <c r="G1708" s="3" t="s">
        <v>3391</v>
      </c>
      <c r="H1708" s="3"/>
      <c r="I1708" s="3" t="s">
        <v>3392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</row>
    <row r="1709" spans="1:18">
      <c r="A1709" s="3" t="s">
        <v>5646</v>
      </c>
      <c r="B1709" s="3" t="s">
        <v>5647</v>
      </c>
      <c r="C1709" s="3" t="s">
        <v>5648</v>
      </c>
      <c r="D1709" s="3" t="s">
        <v>5209</v>
      </c>
      <c r="E1709" s="3" t="s">
        <v>867</v>
      </c>
      <c r="F1709" s="3">
        <v>69.98</v>
      </c>
      <c r="G1709" s="3" t="s">
        <v>3391</v>
      </c>
      <c r="H1709" s="3"/>
      <c r="I1709" s="3" t="s">
        <v>3392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</row>
    <row r="1710" spans="1:18">
      <c r="A1710" s="3" t="s">
        <v>5649</v>
      </c>
      <c r="B1710" s="3" t="s">
        <v>5650</v>
      </c>
      <c r="C1710" s="3" t="s">
        <v>5651</v>
      </c>
      <c r="D1710" s="3" t="s">
        <v>2630</v>
      </c>
      <c r="E1710" s="3" t="s">
        <v>867</v>
      </c>
      <c r="F1710" s="3">
        <v>69.98</v>
      </c>
      <c r="G1710" s="3" t="s">
        <v>3391</v>
      </c>
      <c r="H1710" s="3"/>
      <c r="I1710" s="3" t="s">
        <v>3392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</row>
    <row r="1711" spans="1:18">
      <c r="A1711" s="3" t="s">
        <v>5652</v>
      </c>
      <c r="B1711" s="3" t="s">
        <v>5653</v>
      </c>
      <c r="C1711" s="3" t="s">
        <v>5654</v>
      </c>
      <c r="D1711" s="3" t="s">
        <v>1088</v>
      </c>
      <c r="E1711" s="3" t="s">
        <v>867</v>
      </c>
      <c r="F1711" s="3">
        <v>69.98</v>
      </c>
      <c r="G1711" s="3" t="s">
        <v>3391</v>
      </c>
      <c r="H1711" s="3"/>
      <c r="I1711" s="3" t="s">
        <v>3392</v>
      </c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</row>
    <row r="1712" spans="1:18">
      <c r="A1712" s="3" t="s">
        <v>5655</v>
      </c>
      <c r="B1712" s="3" t="s">
        <v>5656</v>
      </c>
      <c r="C1712" s="3" t="s">
        <v>5657</v>
      </c>
      <c r="D1712" s="3" t="s">
        <v>5658</v>
      </c>
      <c r="E1712" s="3" t="s">
        <v>867</v>
      </c>
      <c r="F1712" s="3">
        <v>69.98</v>
      </c>
      <c r="G1712" s="3" t="s">
        <v>3391</v>
      </c>
      <c r="H1712" s="3"/>
      <c r="I1712" s="3" t="s">
        <v>3392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</row>
    <row r="1713" spans="1:18">
      <c r="A1713" s="3" t="s">
        <v>5659</v>
      </c>
      <c r="B1713" s="3" t="s">
        <v>5660</v>
      </c>
      <c r="C1713" s="3" t="s">
        <v>5661</v>
      </c>
      <c r="D1713" s="3" t="s">
        <v>2304</v>
      </c>
      <c r="E1713" s="3" t="s">
        <v>867</v>
      </c>
      <c r="F1713" s="3">
        <v>69.98</v>
      </c>
      <c r="G1713" s="3" t="s">
        <v>3391</v>
      </c>
      <c r="H1713" s="3"/>
      <c r="I1713" s="3" t="s">
        <v>3392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</row>
    <row r="1714" spans="1:18">
      <c r="A1714" s="3" t="s">
        <v>5662</v>
      </c>
      <c r="B1714" s="3" t="s">
        <v>5663</v>
      </c>
      <c r="C1714" s="3" t="s">
        <v>5664</v>
      </c>
      <c r="D1714" s="3" t="s">
        <v>2846</v>
      </c>
      <c r="E1714" s="3" t="s">
        <v>867</v>
      </c>
      <c r="F1714" s="3">
        <v>69.98</v>
      </c>
      <c r="G1714" s="3" t="s">
        <v>3391</v>
      </c>
      <c r="H1714" s="3"/>
      <c r="I1714" s="3" t="s">
        <v>3392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</row>
    <row r="1715" spans="1:18">
      <c r="A1715" s="3" t="s">
        <v>5665</v>
      </c>
      <c r="B1715" s="3" t="s">
        <v>5666</v>
      </c>
      <c r="C1715" s="3" t="s">
        <v>5667</v>
      </c>
      <c r="D1715" s="3" t="s">
        <v>2016</v>
      </c>
      <c r="E1715" s="3" t="s">
        <v>867</v>
      </c>
      <c r="F1715" s="3">
        <v>69.98</v>
      </c>
      <c r="G1715" s="3" t="s">
        <v>3391</v>
      </c>
      <c r="H1715" s="3"/>
      <c r="I1715" s="3" t="s">
        <v>3392</v>
      </c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</row>
    <row r="1716" spans="1:18">
      <c r="A1716" s="3" t="s">
        <v>5668</v>
      </c>
      <c r="B1716" s="3" t="s">
        <v>5669</v>
      </c>
      <c r="C1716" s="3" t="s">
        <v>5670</v>
      </c>
      <c r="D1716" s="3" t="s">
        <v>190</v>
      </c>
      <c r="E1716" s="3" t="s">
        <v>867</v>
      </c>
      <c r="F1716" s="3">
        <v>49.98</v>
      </c>
      <c r="G1716" s="3" t="s">
        <v>3391</v>
      </c>
      <c r="H1716" s="3"/>
      <c r="I1716" s="3" t="s">
        <v>3392</v>
      </c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</row>
    <row r="1717" spans="1:18">
      <c r="A1717" s="3" t="s">
        <v>5671</v>
      </c>
      <c r="B1717" s="3" t="s">
        <v>5672</v>
      </c>
      <c r="C1717" s="3" t="s">
        <v>5673</v>
      </c>
      <c r="D1717" s="3" t="s">
        <v>1101</v>
      </c>
      <c r="E1717" s="3" t="s">
        <v>867</v>
      </c>
      <c r="F1717" s="3">
        <v>49.98</v>
      </c>
      <c r="G1717" s="3" t="s">
        <v>3391</v>
      </c>
      <c r="H1717" s="3"/>
      <c r="I1717" s="3" t="s">
        <v>3392</v>
      </c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</row>
    <row r="1718" spans="1:18">
      <c r="A1718" s="3" t="s">
        <v>5674</v>
      </c>
      <c r="B1718" s="3" t="s">
        <v>5675</v>
      </c>
      <c r="C1718" s="3" t="s">
        <v>5676</v>
      </c>
      <c r="D1718" s="3" t="s">
        <v>1715</v>
      </c>
      <c r="E1718" s="3" t="s">
        <v>867</v>
      </c>
      <c r="F1718" s="3">
        <v>49.98</v>
      </c>
      <c r="G1718" s="3" t="s">
        <v>3391</v>
      </c>
      <c r="H1718" s="3"/>
      <c r="I1718" s="3" t="s">
        <v>3392</v>
      </c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</row>
    <row r="1719" spans="1:18">
      <c r="A1719" s="3" t="s">
        <v>5677</v>
      </c>
      <c r="B1719" s="3" t="s">
        <v>5678</v>
      </c>
      <c r="C1719" s="3" t="s">
        <v>5679</v>
      </c>
      <c r="D1719" s="3" t="s">
        <v>2025</v>
      </c>
      <c r="E1719" s="3" t="s">
        <v>867</v>
      </c>
      <c r="F1719" s="3">
        <v>49.98</v>
      </c>
      <c r="G1719" s="3" t="s">
        <v>3391</v>
      </c>
      <c r="H1719" s="3"/>
      <c r="I1719" s="3" t="s">
        <v>3392</v>
      </c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</row>
    <row r="1720" spans="1:18">
      <c r="A1720" s="3" t="s">
        <v>5680</v>
      </c>
      <c r="B1720" s="3" t="s">
        <v>5681</v>
      </c>
      <c r="C1720" s="3" t="s">
        <v>5682</v>
      </c>
      <c r="D1720" s="3" t="s">
        <v>1708</v>
      </c>
      <c r="E1720" s="3" t="s">
        <v>867</v>
      </c>
      <c r="F1720" s="3">
        <v>49.98</v>
      </c>
      <c r="G1720" s="3" t="s">
        <v>3391</v>
      </c>
      <c r="H1720" s="3"/>
      <c r="I1720" s="3" t="s">
        <v>3392</v>
      </c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</row>
    <row r="1721" spans="1:18">
      <c r="A1721" s="3" t="s">
        <v>5683</v>
      </c>
      <c r="B1721" s="3" t="s">
        <v>5684</v>
      </c>
      <c r="C1721" s="3" t="s">
        <v>5685</v>
      </c>
      <c r="D1721" s="3" t="s">
        <v>28</v>
      </c>
      <c r="E1721" s="3" t="s">
        <v>867</v>
      </c>
      <c r="F1721" s="3">
        <v>49.98</v>
      </c>
      <c r="G1721" s="3" t="s">
        <v>3391</v>
      </c>
      <c r="H1721" s="3"/>
      <c r="I1721" s="3" t="s">
        <v>3392</v>
      </c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</row>
    <row r="1722" spans="1:18">
      <c r="A1722" s="3" t="s">
        <v>5686</v>
      </c>
      <c r="B1722" s="3" t="s">
        <v>5687</v>
      </c>
      <c r="C1722" s="3" t="s">
        <v>5688</v>
      </c>
      <c r="D1722" s="3" t="s">
        <v>3214</v>
      </c>
      <c r="E1722" s="3" t="s">
        <v>867</v>
      </c>
      <c r="F1722" s="3">
        <v>49.98</v>
      </c>
      <c r="G1722" s="3" t="s">
        <v>3391</v>
      </c>
      <c r="H1722" s="3"/>
      <c r="I1722" s="3" t="s">
        <v>3392</v>
      </c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>
        <v>0</v>
      </c>
      <c r="P1722" s="3">
        <v>0</v>
      </c>
      <c r="Q1722" s="3">
        <v>0</v>
      </c>
      <c r="R1722" s="3">
        <v>0</v>
      </c>
    </row>
    <row r="1723" spans="1:18">
      <c r="A1723" s="3" t="s">
        <v>5689</v>
      </c>
      <c r="B1723" s="3" t="s">
        <v>5690</v>
      </c>
      <c r="C1723" s="3" t="s">
        <v>5691</v>
      </c>
      <c r="D1723" s="3" t="s">
        <v>4272</v>
      </c>
      <c r="E1723" s="3" t="s">
        <v>867</v>
      </c>
      <c r="F1723" s="3">
        <v>49.98</v>
      </c>
      <c r="G1723" s="3" t="s">
        <v>3391</v>
      </c>
      <c r="H1723" s="3"/>
      <c r="I1723" s="3" t="s">
        <v>3392</v>
      </c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</row>
    <row r="1724" spans="1:18">
      <c r="A1724" s="3" t="s">
        <v>5692</v>
      </c>
      <c r="B1724" s="3" t="s">
        <v>5693</v>
      </c>
      <c r="C1724" s="3" t="s">
        <v>5694</v>
      </c>
      <c r="D1724" s="3" t="s">
        <v>31</v>
      </c>
      <c r="E1724" s="3" t="s">
        <v>867</v>
      </c>
      <c r="F1724" s="3">
        <v>49.98</v>
      </c>
      <c r="G1724" s="3" t="s">
        <v>3391</v>
      </c>
      <c r="H1724" s="3"/>
      <c r="I1724" s="3" t="s">
        <v>3392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</row>
    <row r="1725" spans="1:18">
      <c r="A1725" s="3" t="s">
        <v>5695</v>
      </c>
      <c r="B1725" s="3" t="s">
        <v>5696</v>
      </c>
      <c r="C1725" s="3" t="s">
        <v>5697</v>
      </c>
      <c r="D1725" s="3" t="s">
        <v>2617</v>
      </c>
      <c r="E1725" s="3" t="s">
        <v>867</v>
      </c>
      <c r="F1725" s="3">
        <v>49.98</v>
      </c>
      <c r="G1725" s="3" t="s">
        <v>3391</v>
      </c>
      <c r="H1725" s="3"/>
      <c r="I1725" s="3" t="s">
        <v>3392</v>
      </c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</row>
    <row r="1726" spans="1:18">
      <c r="A1726" s="3" t="s">
        <v>5698</v>
      </c>
      <c r="B1726" s="3" t="s">
        <v>5699</v>
      </c>
      <c r="C1726" s="3" t="s">
        <v>5700</v>
      </c>
      <c r="D1726" s="3" t="s">
        <v>107</v>
      </c>
      <c r="E1726" s="3" t="s">
        <v>867</v>
      </c>
      <c r="F1726" s="3">
        <v>49.98</v>
      </c>
      <c r="G1726" s="3" t="s">
        <v>3391</v>
      </c>
      <c r="H1726" s="3"/>
      <c r="I1726" s="3" t="s">
        <v>3392</v>
      </c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</row>
    <row r="1727" spans="1:18">
      <c r="A1727" s="3" t="s">
        <v>5701</v>
      </c>
      <c r="B1727" s="3" t="s">
        <v>5702</v>
      </c>
      <c r="C1727" s="3" t="s">
        <v>5703</v>
      </c>
      <c r="D1727" s="3" t="s">
        <v>2113</v>
      </c>
      <c r="E1727" s="3" t="s">
        <v>867</v>
      </c>
      <c r="F1727" s="3">
        <v>49.98</v>
      </c>
      <c r="G1727" s="3" t="s">
        <v>3391</v>
      </c>
      <c r="H1727" s="3"/>
      <c r="I1727" s="3" t="s">
        <v>3392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</row>
    <row r="1728" spans="1:18">
      <c r="A1728" s="3" t="s">
        <v>5704</v>
      </c>
      <c r="B1728" s="3" t="s">
        <v>5705</v>
      </c>
      <c r="C1728" s="3" t="s">
        <v>5706</v>
      </c>
      <c r="D1728" s="3" t="s">
        <v>2170</v>
      </c>
      <c r="E1728" s="3" t="s">
        <v>867</v>
      </c>
      <c r="F1728" s="3">
        <v>49.98</v>
      </c>
      <c r="G1728" s="3" t="s">
        <v>3391</v>
      </c>
      <c r="H1728" s="3"/>
      <c r="I1728" s="3" t="s">
        <v>3392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</row>
    <row r="1729" spans="1:18">
      <c r="A1729" s="3" t="s">
        <v>5707</v>
      </c>
      <c r="B1729" s="3" t="s">
        <v>5708</v>
      </c>
      <c r="C1729" s="3" t="s">
        <v>5709</v>
      </c>
      <c r="D1729" s="3" t="s">
        <v>1143</v>
      </c>
      <c r="E1729" s="3" t="s">
        <v>867</v>
      </c>
      <c r="F1729" s="3">
        <v>49.98</v>
      </c>
      <c r="G1729" s="3" t="s">
        <v>3391</v>
      </c>
      <c r="H1729" s="3"/>
      <c r="I1729" s="3" t="s">
        <v>3392</v>
      </c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</row>
    <row r="1730" spans="1:18">
      <c r="A1730" s="3" t="s">
        <v>5710</v>
      </c>
      <c r="B1730" s="3" t="s">
        <v>5711</v>
      </c>
      <c r="C1730" s="3" t="s">
        <v>5712</v>
      </c>
      <c r="D1730" s="3" t="s">
        <v>1060</v>
      </c>
      <c r="E1730" s="3" t="s">
        <v>867</v>
      </c>
      <c r="F1730" s="3">
        <v>49.98</v>
      </c>
      <c r="G1730" s="3" t="s">
        <v>3391</v>
      </c>
      <c r="H1730" s="3"/>
      <c r="I1730" s="3" t="s">
        <v>3392</v>
      </c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</row>
    <row r="1731" spans="1:18">
      <c r="A1731" s="3" t="s">
        <v>5713</v>
      </c>
      <c r="B1731" s="3" t="s">
        <v>5714</v>
      </c>
      <c r="C1731" s="3" t="s">
        <v>5715</v>
      </c>
      <c r="D1731" s="3" t="s">
        <v>1342</v>
      </c>
      <c r="E1731" s="3" t="s">
        <v>867</v>
      </c>
      <c r="F1731" s="3">
        <v>49.98</v>
      </c>
      <c r="G1731" s="3" t="s">
        <v>3391</v>
      </c>
      <c r="H1731" s="3"/>
      <c r="I1731" s="3" t="s">
        <v>3392</v>
      </c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</row>
    <row r="1732" spans="1:18">
      <c r="A1732" s="3" t="s">
        <v>5716</v>
      </c>
      <c r="B1732" s="3" t="s">
        <v>5717</v>
      </c>
      <c r="C1732" s="3" t="s">
        <v>5718</v>
      </c>
      <c r="D1732" s="3" t="s">
        <v>2147</v>
      </c>
      <c r="E1732" s="3" t="s">
        <v>867</v>
      </c>
      <c r="F1732" s="3">
        <v>49.98</v>
      </c>
      <c r="G1732" s="3" t="s">
        <v>3391</v>
      </c>
      <c r="H1732" s="3"/>
      <c r="I1732" s="3" t="s">
        <v>3392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</row>
    <row r="1733" spans="1:18">
      <c r="A1733" s="3" t="s">
        <v>5719</v>
      </c>
      <c r="B1733" s="3" t="s">
        <v>5720</v>
      </c>
      <c r="C1733" s="3" t="s">
        <v>5721</v>
      </c>
      <c r="D1733" s="3" t="s">
        <v>182</v>
      </c>
      <c r="E1733" s="3" t="s">
        <v>867</v>
      </c>
      <c r="F1733" s="3">
        <v>49.98</v>
      </c>
      <c r="G1733" s="3" t="s">
        <v>3391</v>
      </c>
      <c r="H1733" s="3"/>
      <c r="I1733" s="3" t="s">
        <v>3392</v>
      </c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</row>
    <row r="1734" spans="1:18">
      <c r="A1734" s="3" t="s">
        <v>5722</v>
      </c>
      <c r="B1734" s="3" t="s">
        <v>5723</v>
      </c>
      <c r="C1734" s="3" t="s">
        <v>5724</v>
      </c>
      <c r="D1734" s="3" t="s">
        <v>965</v>
      </c>
      <c r="E1734" s="3" t="s">
        <v>867</v>
      </c>
      <c r="F1734" s="3">
        <v>49.98</v>
      </c>
      <c r="G1734" s="3" t="s">
        <v>3391</v>
      </c>
      <c r="H1734" s="3"/>
      <c r="I1734" s="3" t="s">
        <v>3392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</row>
    <row r="1735" spans="1:18">
      <c r="A1735" s="3" t="s">
        <v>5725</v>
      </c>
      <c r="B1735" s="3" t="s">
        <v>5726</v>
      </c>
      <c r="C1735" s="3" t="s">
        <v>5727</v>
      </c>
      <c r="D1735" s="3" t="s">
        <v>34</v>
      </c>
      <c r="E1735" s="3" t="s">
        <v>867</v>
      </c>
      <c r="F1735" s="3">
        <v>49.98</v>
      </c>
      <c r="G1735" s="3" t="s">
        <v>3391</v>
      </c>
      <c r="H1735" s="3"/>
      <c r="I1735" s="3" t="s">
        <v>3392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</row>
    <row r="1736" spans="1:18">
      <c r="A1736" s="3" t="s">
        <v>5728</v>
      </c>
      <c r="B1736" s="3" t="s">
        <v>5729</v>
      </c>
      <c r="C1736" s="3" t="s">
        <v>5730</v>
      </c>
      <c r="D1736" s="3" t="s">
        <v>2988</v>
      </c>
      <c r="E1736" s="3" t="s">
        <v>867</v>
      </c>
      <c r="F1736" s="3">
        <v>24.98</v>
      </c>
      <c r="G1736" s="3" t="s">
        <v>3391</v>
      </c>
      <c r="H1736" s="3"/>
      <c r="I1736" s="3" t="s">
        <v>3392</v>
      </c>
      <c r="J1736" s="3">
        <v>0</v>
      </c>
      <c r="K1736" s="3">
        <v>0</v>
      </c>
      <c r="L1736" s="3">
        <v>0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</row>
    <row r="1737" spans="1:18">
      <c r="A1737" s="3" t="s">
        <v>5731</v>
      </c>
      <c r="B1737" s="3" t="s">
        <v>5732</v>
      </c>
      <c r="C1737" s="3" t="s">
        <v>5733</v>
      </c>
      <c r="D1737" s="3" t="s">
        <v>2745</v>
      </c>
      <c r="E1737" s="3" t="s">
        <v>867</v>
      </c>
      <c r="F1737" s="3">
        <v>24.98</v>
      </c>
      <c r="G1737" s="3" t="s">
        <v>3391</v>
      </c>
      <c r="H1737" s="3"/>
      <c r="I1737" s="3" t="s">
        <v>3392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</row>
    <row r="1738" spans="1:18">
      <c r="A1738" s="3" t="s">
        <v>5734</v>
      </c>
      <c r="B1738" s="3" t="s">
        <v>5735</v>
      </c>
      <c r="C1738" s="3" t="s">
        <v>5736</v>
      </c>
      <c r="D1738" s="3" t="s">
        <v>2596</v>
      </c>
      <c r="E1738" s="3" t="s">
        <v>867</v>
      </c>
      <c r="F1738" s="3">
        <v>24.98</v>
      </c>
      <c r="G1738" s="3" t="s">
        <v>3391</v>
      </c>
      <c r="H1738" s="3"/>
      <c r="I1738" s="3" t="s">
        <v>3392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</row>
    <row r="1739" spans="1:18">
      <c r="A1739" s="3" t="s">
        <v>5737</v>
      </c>
      <c r="B1739" s="3" t="s">
        <v>5738</v>
      </c>
      <c r="C1739" s="3" t="s">
        <v>5739</v>
      </c>
      <c r="D1739" s="3" t="s">
        <v>3534</v>
      </c>
      <c r="E1739" s="3" t="s">
        <v>867</v>
      </c>
      <c r="F1739" s="3">
        <v>24.98</v>
      </c>
      <c r="G1739" s="3" t="s">
        <v>3391</v>
      </c>
      <c r="H1739" s="3"/>
      <c r="I1739" s="3" t="s">
        <v>3392</v>
      </c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</row>
    <row r="1740" spans="1:18">
      <c r="A1740" s="3" t="s">
        <v>5740</v>
      </c>
      <c r="B1740" s="3" t="s">
        <v>5741</v>
      </c>
      <c r="C1740" s="3" t="s">
        <v>5742</v>
      </c>
      <c r="D1740" s="3" t="s">
        <v>879</v>
      </c>
      <c r="E1740" s="3" t="s">
        <v>867</v>
      </c>
      <c r="F1740" s="3">
        <v>24.98</v>
      </c>
      <c r="G1740" s="3" t="s">
        <v>3391</v>
      </c>
      <c r="H1740" s="3"/>
      <c r="I1740" s="3" t="s">
        <v>3392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</row>
    <row r="1741" spans="1:18">
      <c r="A1741" s="3" t="s">
        <v>5743</v>
      </c>
      <c r="B1741" s="3" t="s">
        <v>5744</v>
      </c>
      <c r="C1741" s="3" t="s">
        <v>5745</v>
      </c>
      <c r="D1741" s="3" t="s">
        <v>1825</v>
      </c>
      <c r="E1741" s="3" t="s">
        <v>867</v>
      </c>
      <c r="F1741" s="3">
        <v>24.98</v>
      </c>
      <c r="G1741" s="3" t="s">
        <v>3391</v>
      </c>
      <c r="H1741" s="3"/>
      <c r="I1741" s="3" t="s">
        <v>3392</v>
      </c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</row>
    <row r="1742" spans="1:18">
      <c r="A1742" s="3" t="s">
        <v>5746</v>
      </c>
      <c r="B1742" s="3" t="s">
        <v>5747</v>
      </c>
      <c r="C1742" s="3" t="s">
        <v>5748</v>
      </c>
      <c r="D1742" s="3" t="s">
        <v>1490</v>
      </c>
      <c r="E1742" s="3" t="s">
        <v>867</v>
      </c>
      <c r="F1742" s="3">
        <v>24.98</v>
      </c>
      <c r="G1742" s="3" t="s">
        <v>3391</v>
      </c>
      <c r="H1742" s="3"/>
      <c r="I1742" s="3" t="s">
        <v>3392</v>
      </c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</row>
    <row r="1743" spans="1:18">
      <c r="A1743" s="3" t="s">
        <v>5749</v>
      </c>
      <c r="B1743" s="3" t="s">
        <v>5750</v>
      </c>
      <c r="C1743" s="3" t="s">
        <v>5751</v>
      </c>
      <c r="D1743" s="3" t="s">
        <v>2732</v>
      </c>
      <c r="E1743" s="3" t="s">
        <v>867</v>
      </c>
      <c r="F1743" s="3">
        <v>24.98</v>
      </c>
      <c r="G1743" s="3" t="s">
        <v>3391</v>
      </c>
      <c r="H1743" s="3"/>
      <c r="I1743" s="3" t="s">
        <v>3392</v>
      </c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</row>
    <row r="1744" spans="1:18">
      <c r="A1744" s="3" t="s">
        <v>5752</v>
      </c>
      <c r="B1744" s="3" t="s">
        <v>5753</v>
      </c>
      <c r="C1744" s="3" t="s">
        <v>5754</v>
      </c>
      <c r="D1744" s="3" t="s">
        <v>2658</v>
      </c>
      <c r="E1744" s="3" t="s">
        <v>867</v>
      </c>
      <c r="F1744" s="3">
        <v>24.98</v>
      </c>
      <c r="G1744" s="3" t="s">
        <v>3391</v>
      </c>
      <c r="H1744" s="3"/>
      <c r="I1744" s="3" t="s">
        <v>3392</v>
      </c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</row>
    <row r="1745" spans="1:18">
      <c r="A1745" s="3" t="s">
        <v>5755</v>
      </c>
      <c r="B1745" s="3" t="s">
        <v>5756</v>
      </c>
      <c r="C1745" s="3" t="s">
        <v>5757</v>
      </c>
      <c r="D1745" s="3" t="s">
        <v>1137</v>
      </c>
      <c r="E1745" s="3" t="s">
        <v>867</v>
      </c>
      <c r="F1745" s="3">
        <v>24.98</v>
      </c>
      <c r="G1745" s="3" t="s">
        <v>3391</v>
      </c>
      <c r="H1745" s="3"/>
      <c r="I1745" s="3" t="s">
        <v>3392</v>
      </c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</row>
    <row r="1746" spans="1:18">
      <c r="A1746" s="3" t="s">
        <v>5758</v>
      </c>
      <c r="B1746" s="3" t="s">
        <v>5759</v>
      </c>
      <c r="C1746" s="3" t="s">
        <v>5760</v>
      </c>
      <c r="D1746" s="3" t="s">
        <v>2515</v>
      </c>
      <c r="E1746" s="3" t="s">
        <v>867</v>
      </c>
      <c r="F1746" s="3">
        <v>24.98</v>
      </c>
      <c r="G1746" s="3" t="s">
        <v>3391</v>
      </c>
      <c r="H1746" s="3"/>
      <c r="I1746" s="3" t="s">
        <v>3392</v>
      </c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</row>
    <row r="1747" spans="1:18">
      <c r="A1747" s="3" t="s">
        <v>5761</v>
      </c>
      <c r="B1747" s="3" t="s">
        <v>5762</v>
      </c>
      <c r="C1747" s="3" t="s">
        <v>5763</v>
      </c>
      <c r="D1747" s="3" t="s">
        <v>3018</v>
      </c>
      <c r="E1747" s="3" t="s">
        <v>867</v>
      </c>
      <c r="F1747" s="3">
        <v>24.98</v>
      </c>
      <c r="G1747" s="3" t="s">
        <v>3391</v>
      </c>
      <c r="H1747" s="3"/>
      <c r="I1747" s="3" t="s">
        <v>3392</v>
      </c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</row>
    <row r="1748" spans="1:18">
      <c r="A1748" s="3" t="s">
        <v>5764</v>
      </c>
      <c r="B1748" s="3" t="s">
        <v>5765</v>
      </c>
      <c r="C1748" s="3" t="s">
        <v>5766</v>
      </c>
      <c r="D1748" s="3" t="s">
        <v>1815</v>
      </c>
      <c r="E1748" s="3" t="s">
        <v>867</v>
      </c>
      <c r="F1748" s="3">
        <v>24.98</v>
      </c>
      <c r="G1748" s="3" t="s">
        <v>3391</v>
      </c>
      <c r="H1748" s="3"/>
      <c r="I1748" s="3" t="s">
        <v>3392</v>
      </c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</row>
    <row r="1749" spans="1:18">
      <c r="A1749" s="3" t="s">
        <v>5767</v>
      </c>
      <c r="B1749" s="3" t="s">
        <v>5768</v>
      </c>
      <c r="C1749" s="3" t="s">
        <v>5769</v>
      </c>
      <c r="D1749" s="3" t="s">
        <v>1919</v>
      </c>
      <c r="E1749" s="3" t="s">
        <v>867</v>
      </c>
      <c r="F1749" s="3">
        <v>24.98</v>
      </c>
      <c r="G1749" s="3" t="s">
        <v>3391</v>
      </c>
      <c r="H1749" s="3"/>
      <c r="I1749" s="3" t="s">
        <v>3392</v>
      </c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</row>
    <row r="1750" spans="1:18">
      <c r="A1750" s="3" t="s">
        <v>5770</v>
      </c>
      <c r="B1750" s="3" t="s">
        <v>5771</v>
      </c>
      <c r="C1750" s="3" t="s">
        <v>5772</v>
      </c>
      <c r="D1750" s="3" t="s">
        <v>2797</v>
      </c>
      <c r="E1750" s="3" t="s">
        <v>867</v>
      </c>
      <c r="F1750" s="3">
        <v>24.98</v>
      </c>
      <c r="G1750" s="3" t="s">
        <v>3391</v>
      </c>
      <c r="H1750" s="3"/>
      <c r="I1750" s="3" t="s">
        <v>3392</v>
      </c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</row>
    <row r="1751" spans="1:18">
      <c r="A1751" s="3" t="s">
        <v>5773</v>
      </c>
      <c r="B1751" s="3" t="s">
        <v>5774</v>
      </c>
      <c r="C1751" s="3" t="s">
        <v>5775</v>
      </c>
      <c r="D1751" s="3" t="s">
        <v>2926</v>
      </c>
      <c r="E1751" s="3" t="s">
        <v>867</v>
      </c>
      <c r="F1751" s="3">
        <v>24.98</v>
      </c>
      <c r="G1751" s="3" t="s">
        <v>3391</v>
      </c>
      <c r="H1751" s="3"/>
      <c r="I1751" s="3" t="s">
        <v>3392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</row>
    <row r="1752" spans="1:18">
      <c r="A1752" s="3" t="s">
        <v>5776</v>
      </c>
      <c r="B1752" s="3" t="s">
        <v>5777</v>
      </c>
      <c r="C1752" s="3" t="s">
        <v>5778</v>
      </c>
      <c r="D1752" s="3" t="s">
        <v>3009</v>
      </c>
      <c r="E1752" s="3" t="s">
        <v>867</v>
      </c>
      <c r="F1752" s="3">
        <v>24.98</v>
      </c>
      <c r="G1752" s="3" t="s">
        <v>3391</v>
      </c>
      <c r="H1752" s="3"/>
      <c r="I1752" s="3" t="s">
        <v>3392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</row>
    <row r="1753" spans="1:18">
      <c r="A1753" s="3" t="s">
        <v>5779</v>
      </c>
      <c r="B1753" s="3" t="s">
        <v>5780</v>
      </c>
      <c r="C1753" s="3" t="s">
        <v>5781</v>
      </c>
      <c r="D1753" s="3" t="s">
        <v>1431</v>
      </c>
      <c r="E1753" s="3" t="s">
        <v>867</v>
      </c>
      <c r="F1753" s="3">
        <v>24.98</v>
      </c>
      <c r="G1753" s="3" t="s">
        <v>3391</v>
      </c>
      <c r="H1753" s="3"/>
      <c r="I1753" s="3" t="s">
        <v>3392</v>
      </c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</row>
    <row r="1754" spans="1:18">
      <c r="A1754" s="3" t="s">
        <v>5782</v>
      </c>
      <c r="B1754" s="3" t="s">
        <v>5783</v>
      </c>
      <c r="C1754" s="3" t="s">
        <v>5784</v>
      </c>
      <c r="D1754" s="3" t="s">
        <v>1428</v>
      </c>
      <c r="E1754" s="3" t="s">
        <v>867</v>
      </c>
      <c r="F1754" s="3">
        <v>24.98</v>
      </c>
      <c r="G1754" s="3" t="s">
        <v>3391</v>
      </c>
      <c r="H1754" s="3"/>
      <c r="I1754" s="3" t="s">
        <v>3392</v>
      </c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</row>
    <row r="1755" spans="1:18">
      <c r="A1755" s="3" t="s">
        <v>5785</v>
      </c>
      <c r="B1755" s="3" t="s">
        <v>5786</v>
      </c>
      <c r="C1755" s="3" t="s">
        <v>5787</v>
      </c>
      <c r="D1755" s="3" t="s">
        <v>3548</v>
      </c>
      <c r="E1755" s="3" t="s">
        <v>867</v>
      </c>
      <c r="F1755" s="3">
        <v>24.98</v>
      </c>
      <c r="G1755" s="3" t="s">
        <v>3391</v>
      </c>
      <c r="H1755" s="3"/>
      <c r="I1755" s="3" t="s">
        <v>3392</v>
      </c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</row>
    <row r="1756" spans="1:18">
      <c r="A1756" s="3" t="s">
        <v>5788</v>
      </c>
      <c r="B1756" s="3" t="s">
        <v>5789</v>
      </c>
      <c r="C1756" s="3" t="s">
        <v>5790</v>
      </c>
      <c r="D1756" s="3" t="s">
        <v>4312</v>
      </c>
      <c r="E1756" s="3" t="s">
        <v>867</v>
      </c>
      <c r="F1756" s="3">
        <v>22.98</v>
      </c>
      <c r="G1756" s="3" t="s">
        <v>3391</v>
      </c>
      <c r="H1756" s="3"/>
      <c r="I1756" s="3" t="s">
        <v>3392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</row>
    <row r="1757" spans="1:18">
      <c r="A1757" s="3" t="s">
        <v>5791</v>
      </c>
      <c r="B1757" s="3" t="s">
        <v>5792</v>
      </c>
      <c r="C1757" s="3" t="s">
        <v>5793</v>
      </c>
      <c r="D1757" s="3" t="s">
        <v>1187</v>
      </c>
      <c r="E1757" s="3" t="s">
        <v>867</v>
      </c>
      <c r="F1757" s="3">
        <v>22.98</v>
      </c>
      <c r="G1757" s="3" t="s">
        <v>3391</v>
      </c>
      <c r="H1757" s="3"/>
      <c r="I1757" s="3" t="s">
        <v>3392</v>
      </c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</row>
    <row r="1758" spans="1:18">
      <c r="A1758" s="3" t="s">
        <v>5794</v>
      </c>
      <c r="B1758" s="3" t="s">
        <v>5795</v>
      </c>
      <c r="C1758" s="3" t="s">
        <v>5796</v>
      </c>
      <c r="D1758" s="3" t="s">
        <v>2784</v>
      </c>
      <c r="E1758" s="3" t="s">
        <v>867</v>
      </c>
      <c r="F1758" s="3">
        <v>22.98</v>
      </c>
      <c r="G1758" s="3" t="s">
        <v>3391</v>
      </c>
      <c r="H1758" s="3"/>
      <c r="I1758" s="3" t="s">
        <v>3392</v>
      </c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>
        <v>0</v>
      </c>
      <c r="P1758" s="3">
        <v>0</v>
      </c>
      <c r="Q1758" s="3">
        <v>0</v>
      </c>
      <c r="R1758" s="3">
        <v>0</v>
      </c>
    </row>
    <row r="1759" spans="1:18">
      <c r="A1759" s="3" t="s">
        <v>5797</v>
      </c>
      <c r="B1759" s="3" t="s">
        <v>5798</v>
      </c>
      <c r="C1759" s="3" t="s">
        <v>5799</v>
      </c>
      <c r="D1759" s="3" t="s">
        <v>2561</v>
      </c>
      <c r="E1759" s="3" t="s">
        <v>867</v>
      </c>
      <c r="F1759" s="3">
        <v>22.98</v>
      </c>
      <c r="G1759" s="3" t="s">
        <v>3391</v>
      </c>
      <c r="H1759" s="3"/>
      <c r="I1759" s="3" t="s">
        <v>3392</v>
      </c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>
        <v>0</v>
      </c>
      <c r="P1759" s="3">
        <v>0</v>
      </c>
      <c r="Q1759" s="3">
        <v>0</v>
      </c>
      <c r="R1759" s="3">
        <v>0</v>
      </c>
    </row>
    <row r="1760" spans="1:18">
      <c r="A1760" s="3" t="s">
        <v>5800</v>
      </c>
      <c r="B1760" s="3" t="s">
        <v>5801</v>
      </c>
      <c r="C1760" s="3" t="s">
        <v>5802</v>
      </c>
      <c r="D1760" s="3" t="s">
        <v>1487</v>
      </c>
      <c r="E1760" s="3" t="s">
        <v>867</v>
      </c>
      <c r="F1760" s="3">
        <v>22.98</v>
      </c>
      <c r="G1760" s="3" t="s">
        <v>3391</v>
      </c>
      <c r="H1760" s="3"/>
      <c r="I1760" s="3" t="s">
        <v>3392</v>
      </c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>
        <v>0</v>
      </c>
      <c r="P1760" s="3">
        <v>0</v>
      </c>
      <c r="Q1760" s="3">
        <v>0</v>
      </c>
      <c r="R1760" s="3">
        <v>0</v>
      </c>
    </row>
    <row r="1761" spans="1:18">
      <c r="A1761" s="3" t="s">
        <v>5803</v>
      </c>
      <c r="B1761" s="3" t="s">
        <v>5804</v>
      </c>
      <c r="C1761" s="3" t="s">
        <v>5805</v>
      </c>
      <c r="D1761" s="3" t="s">
        <v>1566</v>
      </c>
      <c r="E1761" s="3" t="s">
        <v>867</v>
      </c>
      <c r="F1761" s="3">
        <v>22.98</v>
      </c>
      <c r="G1761" s="3" t="s">
        <v>3391</v>
      </c>
      <c r="H1761" s="3"/>
      <c r="I1761" s="3" t="s">
        <v>3392</v>
      </c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>
        <v>0</v>
      </c>
      <c r="P1761" s="3">
        <v>0</v>
      </c>
      <c r="Q1761" s="3">
        <v>0</v>
      </c>
      <c r="R1761" s="3">
        <v>0</v>
      </c>
    </row>
    <row r="1762" spans="1:18">
      <c r="A1762" s="3" t="s">
        <v>5806</v>
      </c>
      <c r="B1762" s="3" t="s">
        <v>5807</v>
      </c>
      <c r="C1762" s="3" t="s">
        <v>5808</v>
      </c>
      <c r="D1762" s="3" t="s">
        <v>186</v>
      </c>
      <c r="E1762" s="3" t="s">
        <v>867</v>
      </c>
      <c r="F1762" s="3">
        <v>22.98</v>
      </c>
      <c r="G1762" s="3" t="s">
        <v>3391</v>
      </c>
      <c r="H1762" s="3"/>
      <c r="I1762" s="3" t="s">
        <v>3392</v>
      </c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>
        <v>0</v>
      </c>
      <c r="P1762" s="3">
        <v>0</v>
      </c>
      <c r="Q1762" s="3">
        <v>0</v>
      </c>
      <c r="R1762" s="3">
        <v>0</v>
      </c>
    </row>
    <row r="1763" spans="1:18">
      <c r="A1763" s="3" t="s">
        <v>5809</v>
      </c>
      <c r="B1763" s="3" t="s">
        <v>5810</v>
      </c>
      <c r="C1763" s="3" t="s">
        <v>5811</v>
      </c>
      <c r="D1763" s="3" t="s">
        <v>13</v>
      </c>
      <c r="E1763" s="3" t="s">
        <v>867</v>
      </c>
      <c r="F1763" s="3">
        <v>22.98</v>
      </c>
      <c r="G1763" s="3" t="s">
        <v>3391</v>
      </c>
      <c r="H1763" s="3"/>
      <c r="I1763" s="3" t="s">
        <v>3392</v>
      </c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>
        <v>0</v>
      </c>
      <c r="P1763" s="3">
        <v>0</v>
      </c>
      <c r="Q1763" s="3">
        <v>0</v>
      </c>
      <c r="R1763" s="3">
        <v>0</v>
      </c>
    </row>
    <row r="1764" spans="1:18">
      <c r="A1764" s="3" t="s">
        <v>5812</v>
      </c>
      <c r="B1764" s="3" t="s">
        <v>5813</v>
      </c>
      <c r="C1764" s="3" t="s">
        <v>5814</v>
      </c>
      <c r="D1764" s="3" t="s">
        <v>3239</v>
      </c>
      <c r="E1764" s="3" t="s">
        <v>867</v>
      </c>
      <c r="F1764" s="3">
        <v>22.98</v>
      </c>
      <c r="G1764" s="3" t="s">
        <v>3391</v>
      </c>
      <c r="H1764" s="3"/>
      <c r="I1764" s="3" t="s">
        <v>3392</v>
      </c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>
        <v>0</v>
      </c>
      <c r="P1764" s="3">
        <v>0</v>
      </c>
      <c r="Q1764" s="3">
        <v>0</v>
      </c>
      <c r="R1764" s="3">
        <v>0</v>
      </c>
    </row>
    <row r="1765" spans="1:18">
      <c r="A1765" s="3" t="s">
        <v>5815</v>
      </c>
      <c r="B1765" s="3" t="s">
        <v>5816</v>
      </c>
      <c r="C1765" s="3" t="s">
        <v>5817</v>
      </c>
      <c r="D1765" s="3" t="s">
        <v>163</v>
      </c>
      <c r="E1765" s="3" t="s">
        <v>867</v>
      </c>
      <c r="F1765" s="3">
        <v>22.98</v>
      </c>
      <c r="G1765" s="3" t="s">
        <v>3391</v>
      </c>
      <c r="H1765" s="3"/>
      <c r="I1765" s="3" t="s">
        <v>3392</v>
      </c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>
        <v>0</v>
      </c>
      <c r="P1765" s="3">
        <v>0</v>
      </c>
      <c r="Q1765" s="3">
        <v>0</v>
      </c>
      <c r="R1765" s="3">
        <v>0</v>
      </c>
    </row>
    <row r="1766" spans="1:18">
      <c r="A1766" s="3" t="s">
        <v>5818</v>
      </c>
      <c r="B1766" s="3" t="s">
        <v>5819</v>
      </c>
      <c r="C1766" s="3" t="s">
        <v>5820</v>
      </c>
      <c r="D1766" s="3" t="s">
        <v>1994</v>
      </c>
      <c r="E1766" s="3" t="s">
        <v>867</v>
      </c>
      <c r="F1766" s="3">
        <v>22.98</v>
      </c>
      <c r="G1766" s="3" t="s">
        <v>3391</v>
      </c>
      <c r="H1766" s="3"/>
      <c r="I1766" s="3" t="s">
        <v>3392</v>
      </c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>
        <v>0</v>
      </c>
      <c r="P1766" s="3">
        <v>0</v>
      </c>
      <c r="Q1766" s="3">
        <v>0</v>
      </c>
      <c r="R1766" s="3">
        <v>0</v>
      </c>
    </row>
    <row r="1767" spans="1:18">
      <c r="A1767" s="3" t="s">
        <v>5821</v>
      </c>
      <c r="B1767" s="3" t="s">
        <v>5822</v>
      </c>
      <c r="C1767" s="3" t="s">
        <v>5823</v>
      </c>
      <c r="D1767" s="3" t="s">
        <v>1840</v>
      </c>
      <c r="E1767" s="3" t="s">
        <v>867</v>
      </c>
      <c r="F1767" s="3">
        <v>22.98</v>
      </c>
      <c r="G1767" s="3" t="s">
        <v>3391</v>
      </c>
      <c r="H1767" s="3"/>
      <c r="I1767" s="3" t="s">
        <v>3392</v>
      </c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>
        <v>0</v>
      </c>
      <c r="P1767" s="3">
        <v>0</v>
      </c>
      <c r="Q1767" s="3">
        <v>0</v>
      </c>
      <c r="R1767" s="3">
        <v>0</v>
      </c>
    </row>
    <row r="1768" spans="1:18">
      <c r="A1768" s="3" t="s">
        <v>5824</v>
      </c>
      <c r="B1768" s="3" t="s">
        <v>5825</v>
      </c>
      <c r="C1768" s="3" t="s">
        <v>5826</v>
      </c>
      <c r="D1768" s="3" t="s">
        <v>1415</v>
      </c>
      <c r="E1768" s="3" t="s">
        <v>867</v>
      </c>
      <c r="F1768" s="3">
        <v>22.98</v>
      </c>
      <c r="G1768" s="3" t="s">
        <v>3391</v>
      </c>
      <c r="H1768" s="3"/>
      <c r="I1768" s="3" t="s">
        <v>3392</v>
      </c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>
        <v>0</v>
      </c>
      <c r="P1768" s="3">
        <v>0</v>
      </c>
      <c r="Q1768" s="3">
        <v>0</v>
      </c>
      <c r="R1768" s="3">
        <v>0</v>
      </c>
    </row>
    <row r="1769" spans="1:18">
      <c r="A1769" s="3" t="s">
        <v>5827</v>
      </c>
      <c r="B1769" s="3" t="s">
        <v>5828</v>
      </c>
      <c r="C1769" s="3" t="s">
        <v>5829</v>
      </c>
      <c r="D1769" s="3" t="s">
        <v>3207</v>
      </c>
      <c r="E1769" s="3" t="s">
        <v>867</v>
      </c>
      <c r="F1769" s="3">
        <v>22.98</v>
      </c>
      <c r="G1769" s="3" t="s">
        <v>3391</v>
      </c>
      <c r="H1769" s="3"/>
      <c r="I1769" s="3" t="s">
        <v>3392</v>
      </c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>
        <v>0</v>
      </c>
      <c r="P1769" s="3">
        <v>0</v>
      </c>
      <c r="Q1769" s="3">
        <v>0</v>
      </c>
      <c r="R1769" s="3">
        <v>0</v>
      </c>
    </row>
    <row r="1770" spans="1:18">
      <c r="A1770" s="3" t="s">
        <v>5830</v>
      </c>
      <c r="B1770" s="3" t="s">
        <v>5831</v>
      </c>
      <c r="C1770" s="3" t="s">
        <v>5832</v>
      </c>
      <c r="D1770" s="3" t="s">
        <v>2542</v>
      </c>
      <c r="E1770" s="3" t="s">
        <v>867</v>
      </c>
      <c r="F1770" s="3">
        <v>22.98</v>
      </c>
      <c r="G1770" s="3" t="s">
        <v>3391</v>
      </c>
      <c r="H1770" s="3"/>
      <c r="I1770" s="3" t="s">
        <v>3392</v>
      </c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>
        <v>0</v>
      </c>
      <c r="P1770" s="3">
        <v>0</v>
      </c>
      <c r="Q1770" s="3">
        <v>0</v>
      </c>
      <c r="R1770" s="3">
        <v>0</v>
      </c>
    </row>
    <row r="1771" spans="1:18">
      <c r="A1771" s="3" t="s">
        <v>5833</v>
      </c>
      <c r="B1771" s="3" t="s">
        <v>5834</v>
      </c>
      <c r="C1771" s="3" t="s">
        <v>5835</v>
      </c>
      <c r="D1771" s="3" t="s">
        <v>1922</v>
      </c>
      <c r="E1771" s="3" t="s">
        <v>867</v>
      </c>
      <c r="F1771" s="3">
        <v>22.98</v>
      </c>
      <c r="G1771" s="3" t="s">
        <v>3391</v>
      </c>
      <c r="H1771" s="3"/>
      <c r="I1771" s="3" t="s">
        <v>3392</v>
      </c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>
        <v>0</v>
      </c>
      <c r="P1771" s="3">
        <v>0</v>
      </c>
      <c r="Q1771" s="3">
        <v>0</v>
      </c>
      <c r="R1771" s="3">
        <v>0</v>
      </c>
    </row>
    <row r="1772" spans="1:18">
      <c r="A1772" s="3" t="s">
        <v>5836</v>
      </c>
      <c r="B1772" s="3" t="s">
        <v>5837</v>
      </c>
      <c r="C1772" s="3" t="s">
        <v>5838</v>
      </c>
      <c r="D1772" s="3" t="s">
        <v>2154</v>
      </c>
      <c r="E1772" s="3" t="s">
        <v>867</v>
      </c>
      <c r="F1772" s="3">
        <v>22.98</v>
      </c>
      <c r="G1772" s="3" t="s">
        <v>3391</v>
      </c>
      <c r="H1772" s="3"/>
      <c r="I1772" s="3" t="s">
        <v>3392</v>
      </c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>
        <v>0</v>
      </c>
      <c r="P1772" s="3">
        <v>0</v>
      </c>
      <c r="Q1772" s="3">
        <v>0</v>
      </c>
      <c r="R1772" s="3">
        <v>0</v>
      </c>
    </row>
    <row r="1773" spans="1:18">
      <c r="A1773" s="3" t="s">
        <v>5839</v>
      </c>
      <c r="B1773" s="3" t="s">
        <v>5840</v>
      </c>
      <c r="C1773" s="3" t="s">
        <v>5841</v>
      </c>
      <c r="D1773" s="3" t="s">
        <v>1696</v>
      </c>
      <c r="E1773" s="3" t="s">
        <v>867</v>
      </c>
      <c r="F1773" s="3">
        <v>22.98</v>
      </c>
      <c r="G1773" s="3" t="s">
        <v>3391</v>
      </c>
      <c r="H1773" s="3"/>
      <c r="I1773" s="3" t="s">
        <v>3392</v>
      </c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>
        <v>0</v>
      </c>
      <c r="P1773" s="3">
        <v>0</v>
      </c>
      <c r="Q1773" s="3">
        <v>0</v>
      </c>
      <c r="R1773" s="3">
        <v>0</v>
      </c>
    </row>
    <row r="1774" spans="1:18">
      <c r="A1774" s="3" t="s">
        <v>5842</v>
      </c>
      <c r="B1774" s="3" t="s">
        <v>5843</v>
      </c>
      <c r="C1774" s="3" t="s">
        <v>5844</v>
      </c>
      <c r="D1774" s="3" t="s">
        <v>4370</v>
      </c>
      <c r="E1774" s="3" t="s">
        <v>867</v>
      </c>
      <c r="F1774" s="3">
        <v>22.98</v>
      </c>
      <c r="G1774" s="3" t="s">
        <v>3391</v>
      </c>
      <c r="H1774" s="3"/>
      <c r="I1774" s="3" t="s">
        <v>3392</v>
      </c>
      <c r="J1774" s="3">
        <v>0</v>
      </c>
      <c r="K1774" s="3">
        <v>0</v>
      </c>
      <c r="L1774" s="3">
        <v>0</v>
      </c>
      <c r="M1774" s="3">
        <v>0</v>
      </c>
      <c r="N1774" s="3">
        <v>0</v>
      </c>
      <c r="O1774" s="3">
        <v>0</v>
      </c>
      <c r="P1774" s="3">
        <v>0</v>
      </c>
      <c r="Q1774" s="3">
        <v>0</v>
      </c>
      <c r="R1774" s="3">
        <v>0</v>
      </c>
    </row>
    <row r="1775" spans="1:18">
      <c r="A1775" s="3" t="s">
        <v>5845</v>
      </c>
      <c r="B1775" s="3" t="s">
        <v>5846</v>
      </c>
      <c r="C1775" s="3" t="s">
        <v>5847</v>
      </c>
      <c r="D1775" s="3" t="s">
        <v>1699</v>
      </c>
      <c r="E1775" s="3" t="s">
        <v>867</v>
      </c>
      <c r="F1775" s="3">
        <v>22.98</v>
      </c>
      <c r="G1775" s="3" t="s">
        <v>3391</v>
      </c>
      <c r="H1775" s="3"/>
      <c r="I1775" s="3" t="s">
        <v>3392</v>
      </c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>
        <v>0</v>
      </c>
      <c r="P1775" s="3">
        <v>0</v>
      </c>
      <c r="Q1775" s="3">
        <v>0</v>
      </c>
      <c r="R1775" s="3">
        <v>0</v>
      </c>
    </row>
    <row r="1776" spans="1:18">
      <c r="A1776" s="3" t="s">
        <v>5848</v>
      </c>
      <c r="B1776" s="3" t="s">
        <v>5849</v>
      </c>
      <c r="C1776" s="3" t="s">
        <v>5850</v>
      </c>
      <c r="D1776" s="3" t="s">
        <v>1243</v>
      </c>
      <c r="E1776" s="3" t="s">
        <v>867</v>
      </c>
      <c r="F1776" s="3">
        <v>22.98</v>
      </c>
      <c r="G1776" s="3" t="s">
        <v>3391</v>
      </c>
      <c r="H1776" s="3"/>
      <c r="I1776" s="3" t="s">
        <v>3392</v>
      </c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>
        <v>0</v>
      </c>
      <c r="P1776" s="3">
        <v>0</v>
      </c>
      <c r="Q1776" s="3">
        <v>0</v>
      </c>
      <c r="R1776" s="3">
        <v>0</v>
      </c>
    </row>
    <row r="1777" spans="1:18">
      <c r="A1777" s="3" t="s">
        <v>5851</v>
      </c>
      <c r="B1777" s="3" t="s">
        <v>5852</v>
      </c>
      <c r="C1777" s="3" t="s">
        <v>5853</v>
      </c>
      <c r="D1777" s="3" t="s">
        <v>292</v>
      </c>
      <c r="E1777" s="3" t="s">
        <v>867</v>
      </c>
      <c r="F1777" s="3">
        <v>22.98</v>
      </c>
      <c r="G1777" s="3" t="s">
        <v>3391</v>
      </c>
      <c r="H1777" s="3"/>
      <c r="I1777" s="3" t="s">
        <v>3392</v>
      </c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>
        <v>0</v>
      </c>
      <c r="P1777" s="3">
        <v>0</v>
      </c>
      <c r="Q1777" s="3">
        <v>0</v>
      </c>
      <c r="R1777" s="3">
        <v>0</v>
      </c>
    </row>
    <row r="1778" spans="1:18">
      <c r="A1778" s="3" t="s">
        <v>5854</v>
      </c>
      <c r="B1778" s="3" t="s">
        <v>5855</v>
      </c>
      <c r="C1778" s="3" t="s">
        <v>5856</v>
      </c>
      <c r="D1778" s="3" t="s">
        <v>229</v>
      </c>
      <c r="E1778" s="3" t="s">
        <v>867</v>
      </c>
      <c r="F1778" s="3">
        <v>22.98</v>
      </c>
      <c r="G1778" s="3" t="s">
        <v>3391</v>
      </c>
      <c r="H1778" s="3"/>
      <c r="I1778" s="3" t="s">
        <v>3392</v>
      </c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>
        <v>0</v>
      </c>
      <c r="P1778" s="3">
        <v>0</v>
      </c>
      <c r="Q1778" s="3">
        <v>0</v>
      </c>
      <c r="R1778" s="3">
        <v>0</v>
      </c>
    </row>
    <row r="1779" spans="1:18">
      <c r="A1779" s="3" t="s">
        <v>5857</v>
      </c>
      <c r="B1779" s="3" t="s">
        <v>5858</v>
      </c>
      <c r="C1779" s="3" t="s">
        <v>5859</v>
      </c>
      <c r="D1779" s="3" t="s">
        <v>340</v>
      </c>
      <c r="E1779" s="3" t="s">
        <v>867</v>
      </c>
      <c r="F1779" s="3">
        <v>22.98</v>
      </c>
      <c r="G1779" s="3" t="s">
        <v>3391</v>
      </c>
      <c r="H1779" s="3"/>
      <c r="I1779" s="3" t="s">
        <v>3392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0</v>
      </c>
      <c r="P1779" s="3">
        <v>0</v>
      </c>
      <c r="Q1779" s="3">
        <v>0</v>
      </c>
      <c r="R1779" s="3">
        <v>0</v>
      </c>
    </row>
    <row r="1780" spans="1:18">
      <c r="A1780" s="3" t="s">
        <v>5860</v>
      </c>
      <c r="B1780" s="3" t="s">
        <v>5861</v>
      </c>
      <c r="C1780" s="3" t="s">
        <v>5862</v>
      </c>
      <c r="D1780" s="3" t="s">
        <v>1928</v>
      </c>
      <c r="E1780" s="3" t="s">
        <v>867</v>
      </c>
      <c r="F1780" s="3">
        <v>39.98</v>
      </c>
      <c r="G1780" s="3" t="s">
        <v>3391</v>
      </c>
      <c r="H1780" s="3"/>
      <c r="I1780" s="3" t="s">
        <v>3392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0</v>
      </c>
      <c r="P1780" s="3">
        <v>0</v>
      </c>
      <c r="Q1780" s="3">
        <v>0</v>
      </c>
      <c r="R1780" s="3">
        <v>0</v>
      </c>
    </row>
    <row r="1781" spans="1:18">
      <c r="A1781" s="3" t="s">
        <v>5863</v>
      </c>
      <c r="B1781" s="3" t="s">
        <v>5864</v>
      </c>
      <c r="C1781" s="3" t="s">
        <v>5865</v>
      </c>
      <c r="D1781" s="3" t="s">
        <v>2624</v>
      </c>
      <c r="E1781" s="3" t="s">
        <v>867</v>
      </c>
      <c r="F1781" s="3">
        <v>39.98</v>
      </c>
      <c r="G1781" s="3" t="s">
        <v>3391</v>
      </c>
      <c r="H1781" s="3"/>
      <c r="I1781" s="3" t="s">
        <v>3392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0</v>
      </c>
      <c r="P1781" s="3">
        <v>0</v>
      </c>
      <c r="Q1781" s="3">
        <v>0</v>
      </c>
      <c r="R1781" s="3">
        <v>0</v>
      </c>
    </row>
    <row r="1782" spans="1:18">
      <c r="A1782" s="3" t="s">
        <v>5866</v>
      </c>
      <c r="B1782" s="3" t="s">
        <v>5867</v>
      </c>
      <c r="C1782" s="3" t="s">
        <v>5868</v>
      </c>
      <c r="D1782" s="3" t="s">
        <v>3210</v>
      </c>
      <c r="E1782" s="3" t="s">
        <v>867</v>
      </c>
      <c r="F1782" s="3">
        <v>39.98</v>
      </c>
      <c r="G1782" s="3" t="s">
        <v>3391</v>
      </c>
      <c r="H1782" s="3"/>
      <c r="I1782" s="3" t="s">
        <v>3392</v>
      </c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>
        <v>0</v>
      </c>
      <c r="P1782" s="3">
        <v>0</v>
      </c>
      <c r="Q1782" s="3">
        <v>0</v>
      </c>
      <c r="R1782" s="3">
        <v>0</v>
      </c>
    </row>
    <row r="1783" spans="1:18">
      <c r="A1783" s="3" t="s">
        <v>5869</v>
      </c>
      <c r="B1783" s="3" t="s">
        <v>5870</v>
      </c>
      <c r="C1783" s="3" t="s">
        <v>5871</v>
      </c>
      <c r="D1783" s="3" t="s">
        <v>2179</v>
      </c>
      <c r="E1783" s="3" t="s">
        <v>867</v>
      </c>
      <c r="F1783" s="3">
        <v>39.98</v>
      </c>
      <c r="G1783" s="3" t="s">
        <v>3391</v>
      </c>
      <c r="H1783" s="3"/>
      <c r="I1783" s="3" t="s">
        <v>3392</v>
      </c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>
        <v>0</v>
      </c>
      <c r="P1783" s="3">
        <v>0</v>
      </c>
      <c r="Q1783" s="3">
        <v>0</v>
      </c>
      <c r="R1783" s="3">
        <v>0</v>
      </c>
    </row>
    <row r="1784" spans="1:18">
      <c r="A1784" s="3" t="s">
        <v>5872</v>
      </c>
      <c r="B1784" s="3" t="s">
        <v>5873</v>
      </c>
      <c r="C1784" s="3" t="s">
        <v>5874</v>
      </c>
      <c r="D1784" s="3" t="s">
        <v>2582</v>
      </c>
      <c r="E1784" s="3" t="s">
        <v>867</v>
      </c>
      <c r="F1784" s="3">
        <v>39.98</v>
      </c>
      <c r="G1784" s="3" t="s">
        <v>3391</v>
      </c>
      <c r="H1784" s="3"/>
      <c r="I1784" s="3" t="s">
        <v>3392</v>
      </c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>
        <v>0</v>
      </c>
      <c r="P1784" s="3">
        <v>0</v>
      </c>
      <c r="Q1784" s="3">
        <v>0</v>
      </c>
      <c r="R1784" s="3">
        <v>0</v>
      </c>
    </row>
    <row r="1785" spans="1:18">
      <c r="A1785" s="3" t="s">
        <v>5875</v>
      </c>
      <c r="B1785" s="3" t="s">
        <v>5876</v>
      </c>
      <c r="C1785" s="3" t="s">
        <v>5877</v>
      </c>
      <c r="D1785" s="3" t="s">
        <v>1592</v>
      </c>
      <c r="E1785" s="3" t="s">
        <v>867</v>
      </c>
      <c r="F1785" s="3">
        <v>39.98</v>
      </c>
      <c r="G1785" s="3" t="s">
        <v>3391</v>
      </c>
      <c r="H1785" s="3"/>
      <c r="I1785" s="3" t="s">
        <v>3392</v>
      </c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>
        <v>0</v>
      </c>
      <c r="P1785" s="3">
        <v>0</v>
      </c>
      <c r="Q1785" s="3">
        <v>0</v>
      </c>
      <c r="R1785" s="3">
        <v>0</v>
      </c>
    </row>
    <row r="1786" spans="1:18">
      <c r="A1786" s="3" t="s">
        <v>5878</v>
      </c>
      <c r="B1786" s="3" t="s">
        <v>5879</v>
      </c>
      <c r="C1786" s="3" t="s">
        <v>5880</v>
      </c>
      <c r="D1786" s="3" t="s">
        <v>2072</v>
      </c>
      <c r="E1786" s="3" t="s">
        <v>867</v>
      </c>
      <c r="F1786" s="3">
        <v>39.98</v>
      </c>
      <c r="G1786" s="3" t="s">
        <v>3391</v>
      </c>
      <c r="H1786" s="3"/>
      <c r="I1786" s="3" t="s">
        <v>3392</v>
      </c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>
        <v>0</v>
      </c>
      <c r="P1786" s="3">
        <v>0</v>
      </c>
      <c r="Q1786" s="3">
        <v>0</v>
      </c>
      <c r="R1786" s="3">
        <v>0</v>
      </c>
    </row>
    <row r="1787" spans="1:18">
      <c r="A1787" s="3" t="s">
        <v>5881</v>
      </c>
      <c r="B1787" s="3" t="s">
        <v>5882</v>
      </c>
      <c r="C1787" s="3" t="s">
        <v>5883</v>
      </c>
      <c r="D1787" s="3" t="s">
        <v>4738</v>
      </c>
      <c r="E1787" s="3" t="s">
        <v>867</v>
      </c>
      <c r="F1787" s="3">
        <v>39.98</v>
      </c>
      <c r="G1787" s="3" t="s">
        <v>3391</v>
      </c>
      <c r="H1787" s="3"/>
      <c r="I1787" s="3" t="s">
        <v>3392</v>
      </c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>
        <v>0</v>
      </c>
      <c r="P1787" s="3">
        <v>0</v>
      </c>
      <c r="Q1787" s="3">
        <v>0</v>
      </c>
      <c r="R1787" s="3">
        <v>0</v>
      </c>
    </row>
    <row r="1788" spans="1:18">
      <c r="A1788" s="3" t="s">
        <v>5884</v>
      </c>
      <c r="B1788" s="3" t="s">
        <v>5885</v>
      </c>
      <c r="C1788" s="3" t="s">
        <v>5886</v>
      </c>
      <c r="D1788" s="3" t="s">
        <v>1310</v>
      </c>
      <c r="E1788" s="3" t="s">
        <v>867</v>
      </c>
      <c r="F1788" s="3">
        <v>39.98</v>
      </c>
      <c r="G1788" s="3" t="s">
        <v>3391</v>
      </c>
      <c r="H1788" s="3"/>
      <c r="I1788" s="3" t="s">
        <v>3392</v>
      </c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>
        <v>0</v>
      </c>
      <c r="P1788" s="3">
        <v>0</v>
      </c>
      <c r="Q1788" s="3">
        <v>0</v>
      </c>
      <c r="R1788" s="3">
        <v>0</v>
      </c>
    </row>
    <row r="1789" spans="1:18">
      <c r="A1789" s="3" t="s">
        <v>5887</v>
      </c>
      <c r="B1789" s="3" t="s">
        <v>5888</v>
      </c>
      <c r="C1789" s="3" t="s">
        <v>5889</v>
      </c>
      <c r="D1789" s="3" t="s">
        <v>4741</v>
      </c>
      <c r="E1789" s="3" t="s">
        <v>867</v>
      </c>
      <c r="F1789" s="3">
        <v>39.98</v>
      </c>
      <c r="G1789" s="3" t="s">
        <v>3391</v>
      </c>
      <c r="H1789" s="3"/>
      <c r="I1789" s="3" t="s">
        <v>3392</v>
      </c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>
        <v>0</v>
      </c>
      <c r="P1789" s="3">
        <v>0</v>
      </c>
      <c r="Q1789" s="3">
        <v>0</v>
      </c>
      <c r="R1789" s="3">
        <v>0</v>
      </c>
    </row>
    <row r="1790" spans="1:18">
      <c r="A1790" s="3" t="s">
        <v>5890</v>
      </c>
      <c r="B1790" s="3" t="s">
        <v>5891</v>
      </c>
      <c r="C1790" s="3" t="s">
        <v>5892</v>
      </c>
      <c r="D1790" s="3" t="s">
        <v>4749</v>
      </c>
      <c r="E1790" s="3" t="s">
        <v>867</v>
      </c>
      <c r="F1790" s="3">
        <v>39.98</v>
      </c>
      <c r="G1790" s="3" t="s">
        <v>3391</v>
      </c>
      <c r="H1790" s="3"/>
      <c r="I1790" s="3" t="s">
        <v>3392</v>
      </c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>
        <v>0</v>
      </c>
      <c r="P1790" s="3">
        <v>0</v>
      </c>
      <c r="Q1790" s="3">
        <v>0</v>
      </c>
      <c r="R1790" s="3">
        <v>0</v>
      </c>
    </row>
    <row r="1791" spans="1:18">
      <c r="A1791" s="3" t="s">
        <v>5893</v>
      </c>
      <c r="B1791" s="3" t="s">
        <v>5894</v>
      </c>
      <c r="C1791" s="3" t="s">
        <v>5895</v>
      </c>
      <c r="D1791" s="3" t="s">
        <v>4752</v>
      </c>
      <c r="E1791" s="3" t="s">
        <v>867</v>
      </c>
      <c r="F1791" s="3">
        <v>39.98</v>
      </c>
      <c r="G1791" s="3" t="s">
        <v>3391</v>
      </c>
      <c r="H1791" s="3"/>
      <c r="I1791" s="3" t="s">
        <v>3392</v>
      </c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>
        <v>0</v>
      </c>
      <c r="P1791" s="3">
        <v>0</v>
      </c>
      <c r="Q1791" s="3">
        <v>0</v>
      </c>
      <c r="R1791" s="3">
        <v>0</v>
      </c>
    </row>
    <row r="1792" spans="1:18">
      <c r="A1792" s="3" t="s">
        <v>5896</v>
      </c>
      <c r="B1792" s="3" t="s">
        <v>5897</v>
      </c>
      <c r="C1792" s="3" t="s">
        <v>5898</v>
      </c>
      <c r="D1792" s="3" t="s">
        <v>4755</v>
      </c>
      <c r="E1792" s="3" t="s">
        <v>867</v>
      </c>
      <c r="F1792" s="3">
        <v>39.98</v>
      </c>
      <c r="G1792" s="3" t="s">
        <v>3391</v>
      </c>
      <c r="H1792" s="3"/>
      <c r="I1792" s="3" t="s">
        <v>3392</v>
      </c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>
        <v>0</v>
      </c>
      <c r="P1792" s="3">
        <v>0</v>
      </c>
      <c r="Q1792" s="3">
        <v>0</v>
      </c>
      <c r="R1792" s="3">
        <v>0</v>
      </c>
    </row>
    <row r="1793" spans="1:18">
      <c r="A1793" s="3" t="s">
        <v>5899</v>
      </c>
      <c r="B1793" s="3" t="s">
        <v>5900</v>
      </c>
      <c r="C1793" s="3" t="s">
        <v>5901</v>
      </c>
      <c r="D1793" s="3" t="s">
        <v>2006</v>
      </c>
      <c r="E1793" s="3" t="s">
        <v>867</v>
      </c>
      <c r="F1793" s="3">
        <v>39.98</v>
      </c>
      <c r="G1793" s="3" t="s">
        <v>3391</v>
      </c>
      <c r="H1793" s="3"/>
      <c r="I1793" s="3" t="s">
        <v>3392</v>
      </c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>
        <v>0</v>
      </c>
      <c r="P1793" s="3">
        <v>0</v>
      </c>
      <c r="Q1793" s="3">
        <v>0</v>
      </c>
      <c r="R1793" s="3">
        <v>0</v>
      </c>
    </row>
    <row r="1794" spans="1:18">
      <c r="A1794" s="3" t="s">
        <v>5902</v>
      </c>
      <c r="B1794" s="3" t="s">
        <v>5903</v>
      </c>
      <c r="C1794" s="3" t="s">
        <v>5904</v>
      </c>
      <c r="D1794" s="3" t="s">
        <v>4758</v>
      </c>
      <c r="E1794" s="3" t="s">
        <v>867</v>
      </c>
      <c r="F1794" s="3">
        <v>39.98</v>
      </c>
      <c r="G1794" s="3" t="s">
        <v>3391</v>
      </c>
      <c r="H1794" s="3"/>
      <c r="I1794" s="3" t="s">
        <v>3392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</v>
      </c>
      <c r="P1794" s="3">
        <v>0</v>
      </c>
      <c r="Q1794" s="3">
        <v>0</v>
      </c>
      <c r="R1794" s="3">
        <v>0</v>
      </c>
    </row>
    <row r="1795" spans="1:18">
      <c r="A1795" s="3" t="s">
        <v>5905</v>
      </c>
      <c r="B1795" s="3" t="s">
        <v>5906</v>
      </c>
      <c r="C1795" s="3" t="s">
        <v>5907</v>
      </c>
      <c r="D1795" s="3" t="s">
        <v>5908</v>
      </c>
      <c r="E1795" s="3" t="s">
        <v>867</v>
      </c>
      <c r="F1795" s="3">
        <v>39.98</v>
      </c>
      <c r="G1795" s="3" t="s">
        <v>3391</v>
      </c>
      <c r="H1795" s="3"/>
      <c r="I1795" s="3" t="s">
        <v>3392</v>
      </c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>
        <v>0</v>
      </c>
      <c r="P1795" s="3">
        <v>0</v>
      </c>
      <c r="Q1795" s="3">
        <v>0</v>
      </c>
      <c r="R1795" s="3">
        <v>0</v>
      </c>
    </row>
    <row r="1796" spans="1:18">
      <c r="A1796" s="3" t="s">
        <v>5909</v>
      </c>
      <c r="B1796" s="3" t="s">
        <v>5910</v>
      </c>
      <c r="C1796" s="3" t="s">
        <v>5911</v>
      </c>
      <c r="D1796" s="3" t="s">
        <v>5912</v>
      </c>
      <c r="E1796" s="3" t="s">
        <v>867</v>
      </c>
      <c r="F1796" s="3">
        <v>39.98</v>
      </c>
      <c r="G1796" s="3" t="s">
        <v>3391</v>
      </c>
      <c r="H1796" s="3"/>
      <c r="I1796" s="3" t="s">
        <v>3392</v>
      </c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>
        <v>0</v>
      </c>
      <c r="P1796" s="3">
        <v>0</v>
      </c>
      <c r="Q1796" s="3">
        <v>0</v>
      </c>
      <c r="R1796" s="3">
        <v>0</v>
      </c>
    </row>
    <row r="1797" spans="1:18">
      <c r="A1797" s="3" t="s">
        <v>5913</v>
      </c>
      <c r="B1797" s="3" t="s">
        <v>5914</v>
      </c>
      <c r="C1797" s="3" t="s">
        <v>5915</v>
      </c>
      <c r="D1797" s="3" t="s">
        <v>4767</v>
      </c>
      <c r="E1797" s="3" t="s">
        <v>867</v>
      </c>
      <c r="F1797" s="3">
        <v>39.98</v>
      </c>
      <c r="G1797" s="3" t="s">
        <v>3391</v>
      </c>
      <c r="H1797" s="3"/>
      <c r="I1797" s="3" t="s">
        <v>3392</v>
      </c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>
        <v>0</v>
      </c>
      <c r="P1797" s="3">
        <v>0</v>
      </c>
      <c r="Q1797" s="3">
        <v>0</v>
      </c>
      <c r="R1797" s="3">
        <v>0</v>
      </c>
    </row>
    <row r="1798" spans="1:18">
      <c r="A1798" s="3" t="s">
        <v>5916</v>
      </c>
      <c r="B1798" s="3" t="s">
        <v>5917</v>
      </c>
      <c r="C1798" s="3" t="s">
        <v>5918</v>
      </c>
      <c r="D1798" s="3" t="s">
        <v>1338</v>
      </c>
      <c r="E1798" s="3" t="s">
        <v>867</v>
      </c>
      <c r="F1798" s="3">
        <v>39.98</v>
      </c>
      <c r="G1798" s="3" t="s">
        <v>3391</v>
      </c>
      <c r="H1798" s="3"/>
      <c r="I1798" s="3" t="s">
        <v>3392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>
        <v>0</v>
      </c>
      <c r="P1798" s="3">
        <v>0</v>
      </c>
      <c r="Q1798" s="3">
        <v>0</v>
      </c>
      <c r="R1798" s="3">
        <v>0</v>
      </c>
    </row>
    <row r="1799" spans="1:18">
      <c r="A1799" s="3" t="s">
        <v>5919</v>
      </c>
      <c r="B1799" s="3" t="s">
        <v>5920</v>
      </c>
      <c r="C1799" s="3" t="s">
        <v>5921</v>
      </c>
      <c r="D1799" s="3" t="s">
        <v>3175</v>
      </c>
      <c r="E1799" s="3" t="s">
        <v>867</v>
      </c>
      <c r="F1799" s="3">
        <v>39.98</v>
      </c>
      <c r="G1799" s="3" t="s">
        <v>3391</v>
      </c>
      <c r="H1799" s="3"/>
      <c r="I1799" s="3" t="s">
        <v>3392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0</v>
      </c>
      <c r="P1799" s="3">
        <v>0</v>
      </c>
      <c r="Q1799" s="3">
        <v>0</v>
      </c>
      <c r="R1799" s="3">
        <v>0</v>
      </c>
    </row>
    <row r="1800" spans="1:18">
      <c r="A1800" s="3" t="s">
        <v>5922</v>
      </c>
      <c r="B1800" s="3" t="s">
        <v>5923</v>
      </c>
      <c r="C1800" s="3" t="s">
        <v>5924</v>
      </c>
      <c r="D1800" s="3" t="s">
        <v>2883</v>
      </c>
      <c r="E1800" s="3" t="s">
        <v>867</v>
      </c>
      <c r="F1800" s="3">
        <v>39.98</v>
      </c>
      <c r="G1800" s="3" t="s">
        <v>3391</v>
      </c>
      <c r="H1800" s="3"/>
      <c r="I1800" s="3" t="s">
        <v>3392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0</v>
      </c>
      <c r="P1800" s="3">
        <v>0</v>
      </c>
      <c r="Q1800" s="3">
        <v>0</v>
      </c>
      <c r="R1800" s="3">
        <v>0</v>
      </c>
    </row>
    <row r="1801" spans="1:18">
      <c r="A1801" s="3" t="s">
        <v>5925</v>
      </c>
      <c r="B1801" s="3" t="s">
        <v>5926</v>
      </c>
      <c r="C1801" s="3" t="s">
        <v>5927</v>
      </c>
      <c r="D1801" s="3" t="s">
        <v>912</v>
      </c>
      <c r="E1801" s="3" t="s">
        <v>867</v>
      </c>
      <c r="F1801" s="3">
        <v>39.98</v>
      </c>
      <c r="G1801" s="3" t="s">
        <v>3391</v>
      </c>
      <c r="H1801" s="3"/>
      <c r="I1801" s="3" t="s">
        <v>3392</v>
      </c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>
        <v>0</v>
      </c>
      <c r="P1801" s="3">
        <v>0</v>
      </c>
      <c r="Q1801" s="3">
        <v>0</v>
      </c>
      <c r="R1801" s="3">
        <v>0</v>
      </c>
    </row>
    <row r="1802" spans="1:18">
      <c r="A1802" s="3" t="s">
        <v>5928</v>
      </c>
      <c r="B1802" s="3" t="s">
        <v>5929</v>
      </c>
      <c r="C1802" s="3" t="s">
        <v>5930</v>
      </c>
      <c r="D1802" s="3" t="s">
        <v>4777</v>
      </c>
      <c r="E1802" s="3" t="s">
        <v>867</v>
      </c>
      <c r="F1802" s="3">
        <v>39.98</v>
      </c>
      <c r="G1802" s="3" t="s">
        <v>3391</v>
      </c>
      <c r="H1802" s="3"/>
      <c r="I1802" s="3" t="s">
        <v>3392</v>
      </c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>
        <v>0</v>
      </c>
      <c r="P1802" s="3">
        <v>0</v>
      </c>
      <c r="Q1802" s="3">
        <v>0</v>
      </c>
      <c r="R1802" s="3">
        <v>0</v>
      </c>
    </row>
    <row r="1803" spans="1:18">
      <c r="A1803" s="3" t="s">
        <v>5931</v>
      </c>
      <c r="B1803" s="3" t="s">
        <v>5932</v>
      </c>
      <c r="C1803" s="3" t="s">
        <v>5933</v>
      </c>
      <c r="D1803" s="3" t="s">
        <v>5934</v>
      </c>
      <c r="E1803" s="3" t="s">
        <v>867</v>
      </c>
      <c r="F1803" s="3">
        <v>39.98</v>
      </c>
      <c r="G1803" s="3" t="s">
        <v>3391</v>
      </c>
      <c r="H1803" s="3"/>
      <c r="I1803" s="3" t="s">
        <v>3392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0</v>
      </c>
      <c r="P1803" s="3">
        <v>0</v>
      </c>
      <c r="Q1803" s="3">
        <v>0</v>
      </c>
      <c r="R1803" s="3">
        <v>0</v>
      </c>
    </row>
    <row r="1804" spans="1:18">
      <c r="A1804" s="3" t="s">
        <v>5935</v>
      </c>
      <c r="B1804" s="3" t="s">
        <v>5936</v>
      </c>
      <c r="C1804" s="3" t="s">
        <v>5937</v>
      </c>
      <c r="D1804" s="3" t="s">
        <v>5938</v>
      </c>
      <c r="E1804" s="3" t="s">
        <v>867</v>
      </c>
      <c r="F1804" s="3">
        <v>39.98</v>
      </c>
      <c r="G1804" s="3" t="s">
        <v>3391</v>
      </c>
      <c r="H1804" s="3"/>
      <c r="I1804" s="3" t="s">
        <v>3392</v>
      </c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>
        <v>0</v>
      </c>
      <c r="P1804" s="3">
        <v>0</v>
      </c>
      <c r="Q1804" s="3">
        <v>0</v>
      </c>
      <c r="R1804" s="3">
        <v>0</v>
      </c>
    </row>
    <row r="1805" spans="1:18">
      <c r="A1805" s="3" t="s">
        <v>5939</v>
      </c>
      <c r="B1805" s="3" t="s">
        <v>5940</v>
      </c>
      <c r="C1805" s="3" t="s">
        <v>5941</v>
      </c>
      <c r="D1805" s="3" t="s">
        <v>5942</v>
      </c>
      <c r="E1805" s="3" t="s">
        <v>867</v>
      </c>
      <c r="F1805" s="3">
        <v>39.98</v>
      </c>
      <c r="G1805" s="3" t="s">
        <v>3391</v>
      </c>
      <c r="H1805" s="3"/>
      <c r="I1805" s="3" t="s">
        <v>3392</v>
      </c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>
        <v>0</v>
      </c>
      <c r="P1805" s="3">
        <v>0</v>
      </c>
      <c r="Q1805" s="3">
        <v>0</v>
      </c>
      <c r="R1805" s="3">
        <v>0</v>
      </c>
    </row>
    <row r="1806" spans="1:18">
      <c r="A1806" s="3" t="s">
        <v>5943</v>
      </c>
      <c r="B1806" s="3" t="s">
        <v>5944</v>
      </c>
      <c r="C1806" s="3" t="s">
        <v>5945</v>
      </c>
      <c r="D1806" s="3" t="s">
        <v>1303</v>
      </c>
      <c r="E1806" s="3" t="s">
        <v>867</v>
      </c>
      <c r="F1806" s="3">
        <v>39.98</v>
      </c>
      <c r="G1806" s="3" t="s">
        <v>3391</v>
      </c>
      <c r="H1806" s="3"/>
      <c r="I1806" s="3" t="s">
        <v>3392</v>
      </c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>
        <v>0</v>
      </c>
      <c r="P1806" s="3">
        <v>0</v>
      </c>
      <c r="Q1806" s="3">
        <v>0</v>
      </c>
      <c r="R1806" s="3">
        <v>0</v>
      </c>
    </row>
    <row r="1807" spans="1:18">
      <c r="A1807" s="3" t="s">
        <v>5946</v>
      </c>
      <c r="B1807" s="3" t="s">
        <v>5947</v>
      </c>
      <c r="C1807" s="3" t="s">
        <v>5948</v>
      </c>
      <c r="D1807" s="3" t="s">
        <v>5949</v>
      </c>
      <c r="E1807" s="3" t="s">
        <v>867</v>
      </c>
      <c r="F1807" s="3">
        <v>39.98</v>
      </c>
      <c r="G1807" s="3" t="s">
        <v>3391</v>
      </c>
      <c r="H1807" s="3"/>
      <c r="I1807" s="3" t="s">
        <v>3392</v>
      </c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>
        <v>0</v>
      </c>
      <c r="P1807" s="3">
        <v>0</v>
      </c>
      <c r="Q1807" s="3">
        <v>0</v>
      </c>
      <c r="R1807" s="3">
        <v>0</v>
      </c>
    </row>
    <row r="1808" spans="1:18">
      <c r="A1808" s="3" t="s">
        <v>5950</v>
      </c>
      <c r="B1808" s="3" t="s">
        <v>5951</v>
      </c>
      <c r="C1808" s="3" t="s">
        <v>5952</v>
      </c>
      <c r="D1808" s="3" t="s">
        <v>5953</v>
      </c>
      <c r="E1808" s="3" t="s">
        <v>867</v>
      </c>
      <c r="F1808" s="3">
        <v>39.98</v>
      </c>
      <c r="G1808" s="3" t="s">
        <v>3391</v>
      </c>
      <c r="H1808" s="3"/>
      <c r="I1808" s="3" t="s">
        <v>3392</v>
      </c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>
        <v>0</v>
      </c>
      <c r="P1808" s="3">
        <v>0</v>
      </c>
      <c r="Q1808" s="3">
        <v>0</v>
      </c>
      <c r="R1808" s="3">
        <v>0</v>
      </c>
    </row>
    <row r="1809" spans="1:18">
      <c r="A1809" s="3" t="s">
        <v>5954</v>
      </c>
      <c r="B1809" s="3" t="s">
        <v>5955</v>
      </c>
      <c r="C1809" s="3" t="s">
        <v>5956</v>
      </c>
      <c r="D1809" s="3" t="s">
        <v>5957</v>
      </c>
      <c r="E1809" s="3" t="s">
        <v>867</v>
      </c>
      <c r="F1809" s="3">
        <v>39.98</v>
      </c>
      <c r="G1809" s="3" t="s">
        <v>3391</v>
      </c>
      <c r="H1809" s="3"/>
      <c r="I1809" s="3" t="s">
        <v>3392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0</v>
      </c>
      <c r="P1809" s="3">
        <v>0</v>
      </c>
      <c r="Q1809" s="3">
        <v>0</v>
      </c>
      <c r="R1809" s="3">
        <v>0</v>
      </c>
    </row>
    <row r="1810" spans="1:18">
      <c r="A1810" s="3" t="s">
        <v>5958</v>
      </c>
      <c r="B1810" s="3" t="s">
        <v>5959</v>
      </c>
      <c r="C1810" s="3" t="s">
        <v>5960</v>
      </c>
      <c r="D1810" s="3" t="s">
        <v>567</v>
      </c>
      <c r="E1810" s="3" t="s">
        <v>867</v>
      </c>
      <c r="F1810" s="3">
        <v>39.98</v>
      </c>
      <c r="G1810" s="3" t="s">
        <v>3391</v>
      </c>
      <c r="H1810" s="3"/>
      <c r="I1810" s="3" t="s">
        <v>3392</v>
      </c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>
        <v>0</v>
      </c>
      <c r="P1810" s="3">
        <v>0</v>
      </c>
      <c r="Q1810" s="3">
        <v>0</v>
      </c>
      <c r="R1810" s="3">
        <v>0</v>
      </c>
    </row>
    <row r="1811" spans="1:18">
      <c r="A1811" s="3" t="s">
        <v>5961</v>
      </c>
      <c r="B1811" s="3" t="s">
        <v>5962</v>
      </c>
      <c r="C1811" s="3" t="s">
        <v>5963</v>
      </c>
      <c r="D1811" s="3" t="s">
        <v>1151</v>
      </c>
      <c r="E1811" s="3" t="s">
        <v>867</v>
      </c>
      <c r="F1811" s="3">
        <v>39.98</v>
      </c>
      <c r="G1811" s="3" t="s">
        <v>3391</v>
      </c>
      <c r="H1811" s="3"/>
      <c r="I1811" s="3" t="s">
        <v>3392</v>
      </c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>
        <v>0</v>
      </c>
      <c r="P1811" s="3">
        <v>0</v>
      </c>
      <c r="Q1811" s="3">
        <v>0</v>
      </c>
      <c r="R1811" s="3">
        <v>0</v>
      </c>
    </row>
    <row r="1812" spans="1:18">
      <c r="A1812" s="3" t="s">
        <v>5964</v>
      </c>
      <c r="B1812" s="3" t="s">
        <v>5965</v>
      </c>
      <c r="C1812" s="3" t="s">
        <v>5966</v>
      </c>
      <c r="D1812" s="3" t="s">
        <v>2518</v>
      </c>
      <c r="E1812" s="3" t="s">
        <v>867</v>
      </c>
      <c r="F1812" s="3">
        <v>39.98</v>
      </c>
      <c r="G1812" s="3" t="s">
        <v>3391</v>
      </c>
      <c r="H1812" s="3"/>
      <c r="I1812" s="3" t="s">
        <v>3392</v>
      </c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>
        <v>0</v>
      </c>
      <c r="P1812" s="3">
        <v>0</v>
      </c>
      <c r="Q1812" s="3">
        <v>0</v>
      </c>
      <c r="R1812" s="3">
        <v>0</v>
      </c>
    </row>
    <row r="1813" spans="1:18">
      <c r="A1813" s="3" t="s">
        <v>5967</v>
      </c>
      <c r="B1813" s="3" t="s">
        <v>5968</v>
      </c>
      <c r="C1813" s="3" t="s">
        <v>5969</v>
      </c>
      <c r="D1813" s="3" t="s">
        <v>959</v>
      </c>
      <c r="E1813" s="3" t="s">
        <v>867</v>
      </c>
      <c r="F1813" s="3">
        <v>39.98</v>
      </c>
      <c r="G1813" s="3" t="s">
        <v>3391</v>
      </c>
      <c r="H1813" s="3"/>
      <c r="I1813" s="3" t="s">
        <v>3392</v>
      </c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>
        <v>0</v>
      </c>
      <c r="P1813" s="3">
        <v>0</v>
      </c>
      <c r="Q1813" s="3">
        <v>0</v>
      </c>
      <c r="R1813" s="3">
        <v>0</v>
      </c>
    </row>
    <row r="1814" spans="1:18">
      <c r="A1814" s="3" t="s">
        <v>5970</v>
      </c>
      <c r="B1814" s="3" t="s">
        <v>5971</v>
      </c>
      <c r="C1814" s="3" t="s">
        <v>5972</v>
      </c>
      <c r="D1814" s="3" t="s">
        <v>2057</v>
      </c>
      <c r="E1814" s="3" t="s">
        <v>867</v>
      </c>
      <c r="F1814" s="3">
        <v>39.98</v>
      </c>
      <c r="G1814" s="3" t="s">
        <v>3391</v>
      </c>
      <c r="H1814" s="3"/>
      <c r="I1814" s="3" t="s">
        <v>3392</v>
      </c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>
        <v>0</v>
      </c>
      <c r="P1814" s="3">
        <v>0</v>
      </c>
      <c r="Q1814" s="3">
        <v>0</v>
      </c>
      <c r="R1814" s="3">
        <v>0</v>
      </c>
    </row>
    <row r="1815" spans="1:18">
      <c r="A1815" s="3" t="s">
        <v>5973</v>
      </c>
      <c r="B1815" s="3" t="s">
        <v>5974</v>
      </c>
      <c r="C1815" s="3" t="s">
        <v>5975</v>
      </c>
      <c r="D1815" s="3" t="s">
        <v>2077</v>
      </c>
      <c r="E1815" s="3" t="s">
        <v>867</v>
      </c>
      <c r="F1815" s="3">
        <v>39.98</v>
      </c>
      <c r="G1815" s="3" t="s">
        <v>3391</v>
      </c>
      <c r="H1815" s="3"/>
      <c r="I1815" s="3" t="s">
        <v>3392</v>
      </c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>
        <v>0</v>
      </c>
      <c r="P1815" s="3">
        <v>0</v>
      </c>
      <c r="Q1815" s="3">
        <v>0</v>
      </c>
      <c r="R1815" s="3">
        <v>0</v>
      </c>
    </row>
    <row r="1816" spans="1:18">
      <c r="A1816" s="3" t="s">
        <v>5976</v>
      </c>
      <c r="B1816" s="3" t="s">
        <v>5977</v>
      </c>
      <c r="C1816" s="3" t="s">
        <v>5978</v>
      </c>
      <c r="D1816" s="3" t="s">
        <v>4412</v>
      </c>
      <c r="E1816" s="3" t="s">
        <v>867</v>
      </c>
      <c r="F1816" s="3">
        <v>39.98</v>
      </c>
      <c r="G1816" s="3" t="s">
        <v>3391</v>
      </c>
      <c r="H1816" s="3"/>
      <c r="I1816" s="3" t="s">
        <v>3392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0</v>
      </c>
      <c r="P1816" s="3">
        <v>0</v>
      </c>
      <c r="Q1816" s="3">
        <v>0</v>
      </c>
      <c r="R1816" s="3">
        <v>0</v>
      </c>
    </row>
    <row r="1817" spans="1:18">
      <c r="A1817" s="3" t="s">
        <v>5979</v>
      </c>
      <c r="B1817" s="3" t="s">
        <v>5980</v>
      </c>
      <c r="C1817" s="3" t="s">
        <v>5981</v>
      </c>
      <c r="D1817" s="3" t="s">
        <v>3012</v>
      </c>
      <c r="E1817" s="3" t="s">
        <v>867</v>
      </c>
      <c r="F1817" s="3">
        <v>39.98</v>
      </c>
      <c r="G1817" s="3" t="s">
        <v>3391</v>
      </c>
      <c r="H1817" s="3"/>
      <c r="I1817" s="3" t="s">
        <v>3392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0</v>
      </c>
      <c r="P1817" s="3">
        <v>0</v>
      </c>
      <c r="Q1817" s="3">
        <v>0</v>
      </c>
      <c r="R1817" s="3">
        <v>0</v>
      </c>
    </row>
    <row r="1818" spans="1:18">
      <c r="A1818" s="3" t="s">
        <v>5982</v>
      </c>
      <c r="B1818" s="3" t="s">
        <v>5983</v>
      </c>
      <c r="C1818" s="3" t="s">
        <v>5984</v>
      </c>
      <c r="D1818" s="3" t="s">
        <v>572</v>
      </c>
      <c r="E1818" s="3" t="s">
        <v>867</v>
      </c>
      <c r="F1818" s="3">
        <v>39.98</v>
      </c>
      <c r="G1818" s="3" t="s">
        <v>3391</v>
      </c>
      <c r="H1818" s="3"/>
      <c r="I1818" s="3" t="s">
        <v>3392</v>
      </c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>
        <v>0</v>
      </c>
      <c r="P1818" s="3">
        <v>0</v>
      </c>
      <c r="Q1818" s="3">
        <v>0</v>
      </c>
      <c r="R1818" s="3">
        <v>0</v>
      </c>
    </row>
    <row r="1819" spans="1:18">
      <c r="A1819" s="3" t="s">
        <v>5985</v>
      </c>
      <c r="B1819" s="3" t="s">
        <v>5986</v>
      </c>
      <c r="C1819" s="3" t="s">
        <v>5987</v>
      </c>
      <c r="D1819" s="3" t="s">
        <v>3271</v>
      </c>
      <c r="E1819" s="3" t="s">
        <v>867</v>
      </c>
      <c r="F1819" s="3">
        <v>39.98</v>
      </c>
      <c r="G1819" s="3" t="s">
        <v>3391</v>
      </c>
      <c r="H1819" s="3"/>
      <c r="I1819" s="3" t="s">
        <v>3392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0</v>
      </c>
      <c r="P1819" s="3">
        <v>0</v>
      </c>
      <c r="Q1819" s="3">
        <v>0</v>
      </c>
      <c r="R1819" s="3">
        <v>0</v>
      </c>
    </row>
    <row r="1820" spans="1:18">
      <c r="A1820" s="3" t="s">
        <v>5988</v>
      </c>
      <c r="B1820" s="3" t="s">
        <v>5989</v>
      </c>
      <c r="C1820" s="3" t="s">
        <v>5990</v>
      </c>
      <c r="D1820" s="3" t="s">
        <v>3040</v>
      </c>
      <c r="E1820" s="3" t="s">
        <v>867</v>
      </c>
      <c r="F1820" s="3">
        <v>39.98</v>
      </c>
      <c r="G1820" s="3" t="s">
        <v>3391</v>
      </c>
      <c r="H1820" s="3"/>
      <c r="I1820" s="3" t="s">
        <v>3392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</v>
      </c>
      <c r="P1820" s="3">
        <v>0</v>
      </c>
      <c r="Q1820" s="3">
        <v>0</v>
      </c>
      <c r="R1820" s="3">
        <v>0</v>
      </c>
    </row>
    <row r="1821" spans="1:18">
      <c r="A1821" s="3" t="s">
        <v>5991</v>
      </c>
      <c r="B1821" s="3" t="s">
        <v>5992</v>
      </c>
      <c r="C1821" s="3" t="s">
        <v>5993</v>
      </c>
      <c r="D1821" s="3" t="s">
        <v>2246</v>
      </c>
      <c r="E1821" s="3" t="s">
        <v>867</v>
      </c>
      <c r="F1821" s="3">
        <v>39.98</v>
      </c>
      <c r="G1821" s="3" t="s">
        <v>3391</v>
      </c>
      <c r="H1821" s="3"/>
      <c r="I1821" s="3" t="s">
        <v>3392</v>
      </c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>
        <v>0</v>
      </c>
      <c r="P1821" s="3">
        <v>0</v>
      </c>
      <c r="Q1821" s="3">
        <v>0</v>
      </c>
      <c r="R1821" s="3">
        <v>0</v>
      </c>
    </row>
    <row r="1822" spans="1:18">
      <c r="A1822" s="3" t="s">
        <v>5994</v>
      </c>
      <c r="B1822" s="3" t="s">
        <v>5995</v>
      </c>
      <c r="C1822" s="3" t="s">
        <v>5996</v>
      </c>
      <c r="D1822" s="3" t="s">
        <v>1269</v>
      </c>
      <c r="E1822" s="3" t="s">
        <v>867</v>
      </c>
      <c r="F1822" s="3">
        <v>39.98</v>
      </c>
      <c r="G1822" s="3" t="s">
        <v>3391</v>
      </c>
      <c r="H1822" s="3"/>
      <c r="I1822" s="3" t="s">
        <v>3392</v>
      </c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>
        <v>0</v>
      </c>
      <c r="P1822" s="3">
        <v>0</v>
      </c>
      <c r="Q1822" s="3">
        <v>0</v>
      </c>
      <c r="R1822" s="3">
        <v>0</v>
      </c>
    </row>
    <row r="1823" spans="1:18">
      <c r="A1823" s="3" t="s">
        <v>5997</v>
      </c>
      <c r="B1823" s="3" t="s">
        <v>5998</v>
      </c>
      <c r="C1823" s="3" t="s">
        <v>5999</v>
      </c>
      <c r="D1823" s="3" t="s">
        <v>273</v>
      </c>
      <c r="E1823" s="3" t="s">
        <v>867</v>
      </c>
      <c r="F1823" s="3">
        <v>39.98</v>
      </c>
      <c r="G1823" s="3" t="s">
        <v>3391</v>
      </c>
      <c r="H1823" s="3"/>
      <c r="I1823" s="3" t="s">
        <v>3392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0</v>
      </c>
      <c r="P1823" s="3">
        <v>0</v>
      </c>
      <c r="Q1823" s="3">
        <v>0</v>
      </c>
      <c r="R1823" s="3">
        <v>0</v>
      </c>
    </row>
    <row r="1824" spans="1:18">
      <c r="A1824" s="3" t="s">
        <v>6000</v>
      </c>
      <c r="B1824" s="3" t="s">
        <v>6001</v>
      </c>
      <c r="C1824" s="3" t="s">
        <v>6002</v>
      </c>
      <c r="D1824" s="3" t="s">
        <v>1294</v>
      </c>
      <c r="E1824" s="3" t="s">
        <v>867</v>
      </c>
      <c r="F1824" s="3">
        <v>39.98</v>
      </c>
      <c r="G1824" s="3" t="s">
        <v>3391</v>
      </c>
      <c r="H1824" s="3"/>
      <c r="I1824" s="3" t="s">
        <v>3392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</v>
      </c>
      <c r="P1824" s="3">
        <v>0</v>
      </c>
      <c r="Q1824" s="3">
        <v>0</v>
      </c>
      <c r="R1824" s="3">
        <v>0</v>
      </c>
    </row>
    <row r="1825" spans="1:18">
      <c r="A1825" s="3" t="s">
        <v>6003</v>
      </c>
      <c r="B1825" s="3" t="s">
        <v>6004</v>
      </c>
      <c r="C1825" s="3" t="s">
        <v>6005</v>
      </c>
      <c r="D1825" s="3" t="s">
        <v>1272</v>
      </c>
      <c r="E1825" s="3" t="s">
        <v>867</v>
      </c>
      <c r="F1825" s="3">
        <v>39.98</v>
      </c>
      <c r="G1825" s="3" t="s">
        <v>3391</v>
      </c>
      <c r="H1825" s="3"/>
      <c r="I1825" s="3" t="s">
        <v>3392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0</v>
      </c>
      <c r="P1825" s="3">
        <v>0</v>
      </c>
      <c r="Q1825" s="3">
        <v>0</v>
      </c>
      <c r="R1825" s="3">
        <v>0</v>
      </c>
    </row>
    <row r="1826" spans="1:18">
      <c r="A1826" s="3" t="s">
        <v>6006</v>
      </c>
      <c r="B1826" s="3" t="s">
        <v>6007</v>
      </c>
      <c r="C1826" s="3" t="s">
        <v>6008</v>
      </c>
      <c r="D1826" s="3" t="s">
        <v>3075</v>
      </c>
      <c r="E1826" s="3" t="s">
        <v>867</v>
      </c>
      <c r="F1826" s="3">
        <v>39.98</v>
      </c>
      <c r="G1826" s="3" t="s">
        <v>3391</v>
      </c>
      <c r="H1826" s="3"/>
      <c r="I1826" s="3" t="s">
        <v>3392</v>
      </c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>
        <v>0</v>
      </c>
      <c r="P1826" s="3">
        <v>0</v>
      </c>
      <c r="Q1826" s="3">
        <v>0</v>
      </c>
      <c r="R1826" s="3">
        <v>0</v>
      </c>
    </row>
    <row r="1827" spans="1:18">
      <c r="A1827" s="3" t="s">
        <v>6009</v>
      </c>
      <c r="B1827" s="3" t="s">
        <v>6010</v>
      </c>
      <c r="C1827" s="3" t="s">
        <v>6011</v>
      </c>
      <c r="D1827" s="3" t="s">
        <v>6012</v>
      </c>
      <c r="E1827" s="3" t="s">
        <v>867</v>
      </c>
      <c r="F1827" s="3">
        <v>39.98</v>
      </c>
      <c r="G1827" s="3" t="s">
        <v>3391</v>
      </c>
      <c r="H1827" s="3"/>
      <c r="I1827" s="3" t="s">
        <v>3392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</v>
      </c>
      <c r="P1827" s="3">
        <v>0</v>
      </c>
      <c r="Q1827" s="3">
        <v>0</v>
      </c>
      <c r="R1827" s="3">
        <v>0</v>
      </c>
    </row>
    <row r="1828" spans="1:18">
      <c r="A1828" s="3" t="s">
        <v>6013</v>
      </c>
      <c r="B1828" s="3" t="s">
        <v>6014</v>
      </c>
      <c r="C1828" s="3" t="s">
        <v>6015</v>
      </c>
      <c r="D1828" s="3" t="s">
        <v>6016</v>
      </c>
      <c r="E1828" s="3" t="s">
        <v>867</v>
      </c>
      <c r="F1828" s="3">
        <v>39.98</v>
      </c>
      <c r="G1828" s="3" t="s">
        <v>3391</v>
      </c>
      <c r="H1828" s="3"/>
      <c r="I1828" s="3" t="s">
        <v>3392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0</v>
      </c>
      <c r="P1828" s="3">
        <v>0</v>
      </c>
      <c r="Q1828" s="3">
        <v>0</v>
      </c>
      <c r="R1828" s="3">
        <v>0</v>
      </c>
    </row>
    <row r="1829" spans="1:18">
      <c r="A1829" s="3" t="s">
        <v>6017</v>
      </c>
      <c r="B1829" s="3" t="s">
        <v>6018</v>
      </c>
      <c r="C1829" s="3" t="s">
        <v>6019</v>
      </c>
      <c r="D1829" s="3" t="s">
        <v>6020</v>
      </c>
      <c r="E1829" s="3" t="s">
        <v>867</v>
      </c>
      <c r="F1829" s="3">
        <v>39.98</v>
      </c>
      <c r="G1829" s="3" t="s">
        <v>3391</v>
      </c>
      <c r="H1829" s="3"/>
      <c r="I1829" s="3" t="s">
        <v>3392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0</v>
      </c>
      <c r="P1829" s="3">
        <v>0</v>
      </c>
      <c r="Q1829" s="3">
        <v>0</v>
      </c>
      <c r="R1829" s="3">
        <v>0</v>
      </c>
    </row>
    <row r="1830" spans="1:18">
      <c r="A1830" s="3" t="s">
        <v>6021</v>
      </c>
      <c r="B1830" s="3" t="s">
        <v>6022</v>
      </c>
      <c r="C1830" s="3" t="s">
        <v>6023</v>
      </c>
      <c r="D1830" s="3" t="s">
        <v>6024</v>
      </c>
      <c r="E1830" s="3" t="s">
        <v>867</v>
      </c>
      <c r="F1830" s="3">
        <v>39.98</v>
      </c>
      <c r="G1830" s="3" t="s">
        <v>3391</v>
      </c>
      <c r="H1830" s="3"/>
      <c r="I1830" s="3" t="s">
        <v>3392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0</v>
      </c>
      <c r="P1830" s="3">
        <v>0</v>
      </c>
      <c r="Q1830" s="3">
        <v>0</v>
      </c>
      <c r="R1830" s="3">
        <v>0</v>
      </c>
    </row>
    <row r="1831" spans="1:18">
      <c r="A1831" s="3" t="s">
        <v>6025</v>
      </c>
      <c r="B1831" s="3" t="s">
        <v>6026</v>
      </c>
      <c r="C1831" s="3" t="s">
        <v>6027</v>
      </c>
      <c r="D1831" s="3" t="s">
        <v>6028</v>
      </c>
      <c r="E1831" s="3" t="s">
        <v>867</v>
      </c>
      <c r="F1831" s="3">
        <v>39.98</v>
      </c>
      <c r="G1831" s="3" t="s">
        <v>3391</v>
      </c>
      <c r="H1831" s="3"/>
      <c r="I1831" s="3" t="s">
        <v>3392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0</v>
      </c>
      <c r="P1831" s="3">
        <v>0</v>
      </c>
      <c r="Q1831" s="3">
        <v>0</v>
      </c>
      <c r="R1831" s="3">
        <v>0</v>
      </c>
    </row>
    <row r="1832" spans="1:18">
      <c r="A1832" s="3" t="s">
        <v>6029</v>
      </c>
      <c r="B1832" s="3" t="s">
        <v>6030</v>
      </c>
      <c r="C1832" s="3" t="s">
        <v>6031</v>
      </c>
      <c r="D1832" s="3" t="s">
        <v>6032</v>
      </c>
      <c r="E1832" s="3" t="s">
        <v>867</v>
      </c>
      <c r="F1832" s="3">
        <v>39.98</v>
      </c>
      <c r="G1832" s="3" t="s">
        <v>3391</v>
      </c>
      <c r="H1832" s="3"/>
      <c r="I1832" s="3" t="s">
        <v>3392</v>
      </c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>
        <v>0</v>
      </c>
      <c r="P1832" s="3">
        <v>0</v>
      </c>
      <c r="Q1832" s="3">
        <v>0</v>
      </c>
      <c r="R1832" s="3">
        <v>0</v>
      </c>
    </row>
    <row r="1833" spans="1:18">
      <c r="A1833" s="3" t="s">
        <v>6033</v>
      </c>
      <c r="B1833" s="3" t="s">
        <v>6034</v>
      </c>
      <c r="C1833" s="3" t="s">
        <v>6035</v>
      </c>
      <c r="D1833" s="3" t="s">
        <v>1063</v>
      </c>
      <c r="E1833" s="3" t="s">
        <v>867</v>
      </c>
      <c r="F1833" s="3">
        <v>39.98</v>
      </c>
      <c r="G1833" s="3" t="s">
        <v>3391</v>
      </c>
      <c r="H1833" s="3"/>
      <c r="I1833" s="3" t="s">
        <v>3392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0</v>
      </c>
      <c r="P1833" s="3">
        <v>0</v>
      </c>
      <c r="Q1833" s="3">
        <v>0</v>
      </c>
      <c r="R1833" s="3">
        <v>0</v>
      </c>
    </row>
    <row r="1834" spans="1:18">
      <c r="A1834" s="3" t="s">
        <v>6036</v>
      </c>
      <c r="B1834" s="3" t="s">
        <v>6037</v>
      </c>
      <c r="C1834" s="3" t="s">
        <v>6038</v>
      </c>
      <c r="D1834" s="3" t="s">
        <v>1775</v>
      </c>
      <c r="E1834" s="3" t="s">
        <v>867</v>
      </c>
      <c r="F1834" s="3">
        <v>39.98</v>
      </c>
      <c r="G1834" s="3" t="s">
        <v>3391</v>
      </c>
      <c r="H1834" s="3"/>
      <c r="I1834" s="3" t="s">
        <v>3392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0</v>
      </c>
      <c r="P1834" s="3">
        <v>0</v>
      </c>
      <c r="Q1834" s="3">
        <v>0</v>
      </c>
      <c r="R1834" s="3">
        <v>0</v>
      </c>
    </row>
    <row r="1835" spans="1:18">
      <c r="A1835" s="3" t="s">
        <v>6039</v>
      </c>
      <c r="B1835" s="3" t="s">
        <v>6040</v>
      </c>
      <c r="C1835" s="3" t="s">
        <v>6041</v>
      </c>
      <c r="D1835" s="3" t="s">
        <v>905</v>
      </c>
      <c r="E1835" s="3" t="s">
        <v>867</v>
      </c>
      <c r="F1835" s="3">
        <v>39.98</v>
      </c>
      <c r="G1835" s="3" t="s">
        <v>3391</v>
      </c>
      <c r="H1835" s="3"/>
      <c r="I1835" s="3" t="s">
        <v>3392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0</v>
      </c>
      <c r="P1835" s="3">
        <v>0</v>
      </c>
      <c r="Q1835" s="3">
        <v>0</v>
      </c>
      <c r="R1835" s="3">
        <v>0</v>
      </c>
    </row>
    <row r="1836" spans="1:18">
      <c r="A1836" s="3" t="s">
        <v>6042</v>
      </c>
      <c r="B1836" s="3" t="s">
        <v>6043</v>
      </c>
      <c r="C1836" s="3" t="s">
        <v>6044</v>
      </c>
      <c r="D1836" s="3" t="s">
        <v>3021</v>
      </c>
      <c r="E1836" s="3" t="s">
        <v>867</v>
      </c>
      <c r="F1836" s="3">
        <v>39.98</v>
      </c>
      <c r="G1836" s="3" t="s">
        <v>3391</v>
      </c>
      <c r="H1836" s="3"/>
      <c r="I1836" s="3" t="s">
        <v>3392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0</v>
      </c>
      <c r="P1836" s="3">
        <v>0</v>
      </c>
      <c r="Q1836" s="3">
        <v>0</v>
      </c>
      <c r="R1836" s="3">
        <v>0</v>
      </c>
    </row>
    <row r="1837" spans="1:18">
      <c r="A1837" s="3" t="s">
        <v>6045</v>
      </c>
      <c r="B1837" s="3" t="s">
        <v>6046</v>
      </c>
      <c r="C1837" s="3" t="s">
        <v>6047</v>
      </c>
      <c r="D1837" s="3" t="s">
        <v>1652</v>
      </c>
      <c r="E1837" s="3" t="s">
        <v>867</v>
      </c>
      <c r="F1837" s="3">
        <v>39.98</v>
      </c>
      <c r="G1837" s="3" t="s">
        <v>3391</v>
      </c>
      <c r="H1837" s="3"/>
      <c r="I1837" s="3" t="s">
        <v>3392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0</v>
      </c>
      <c r="P1837" s="3">
        <v>0</v>
      </c>
      <c r="Q1837" s="3">
        <v>0</v>
      </c>
      <c r="R1837" s="3">
        <v>0</v>
      </c>
    </row>
    <row r="1838" spans="1:18">
      <c r="A1838" s="3" t="s">
        <v>6048</v>
      </c>
      <c r="B1838" s="3" t="s">
        <v>6049</v>
      </c>
      <c r="C1838" s="3" t="s">
        <v>6050</v>
      </c>
      <c r="D1838" s="3" t="s">
        <v>1916</v>
      </c>
      <c r="E1838" s="3" t="s">
        <v>867</v>
      </c>
      <c r="F1838" s="3">
        <v>39.98</v>
      </c>
      <c r="G1838" s="3" t="s">
        <v>3391</v>
      </c>
      <c r="H1838" s="3"/>
      <c r="I1838" s="3" t="s">
        <v>3392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0</v>
      </c>
      <c r="P1838" s="3">
        <v>0</v>
      </c>
      <c r="Q1838" s="3">
        <v>0</v>
      </c>
      <c r="R1838" s="3">
        <v>0</v>
      </c>
    </row>
    <row r="1839" spans="1:18">
      <c r="A1839" s="3" t="s">
        <v>6051</v>
      </c>
      <c r="B1839" s="3" t="s">
        <v>6052</v>
      </c>
      <c r="C1839" s="3" t="s">
        <v>6053</v>
      </c>
      <c r="D1839" s="3" t="s">
        <v>1203</v>
      </c>
      <c r="E1839" s="3" t="s">
        <v>867</v>
      </c>
      <c r="F1839" s="3">
        <v>39.98</v>
      </c>
      <c r="G1839" s="3" t="s">
        <v>3391</v>
      </c>
      <c r="H1839" s="3"/>
      <c r="I1839" s="3" t="s">
        <v>3392</v>
      </c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>
        <v>0.12</v>
      </c>
      <c r="P1839" s="3">
        <v>0</v>
      </c>
      <c r="Q1839" s="3">
        <v>0</v>
      </c>
      <c r="R1839" s="3">
        <v>0</v>
      </c>
    </row>
    <row r="1840" spans="1:18">
      <c r="A1840" s="3" t="s">
        <v>6054</v>
      </c>
      <c r="B1840" s="3" t="s">
        <v>6055</v>
      </c>
      <c r="C1840" s="3" t="s">
        <v>6056</v>
      </c>
      <c r="D1840" s="3" t="s">
        <v>1551</v>
      </c>
      <c r="E1840" s="3" t="s">
        <v>867</v>
      </c>
      <c r="F1840" s="3">
        <v>39.98</v>
      </c>
      <c r="G1840" s="3" t="s">
        <v>3391</v>
      </c>
      <c r="H1840" s="3"/>
      <c r="I1840" s="3" t="s">
        <v>3392</v>
      </c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>
        <v>0</v>
      </c>
      <c r="P1840" s="3">
        <v>0</v>
      </c>
      <c r="Q1840" s="3">
        <v>0</v>
      </c>
      <c r="R1840" s="3">
        <v>0</v>
      </c>
    </row>
    <row r="1841" spans="1:18">
      <c r="A1841" s="3" t="s">
        <v>6057</v>
      </c>
      <c r="B1841" s="3" t="s">
        <v>6058</v>
      </c>
      <c r="C1841" s="3" t="s">
        <v>6059</v>
      </c>
      <c r="D1841" s="3" t="s">
        <v>6060</v>
      </c>
      <c r="E1841" s="3" t="s">
        <v>867</v>
      </c>
      <c r="F1841" s="3">
        <v>39.98</v>
      </c>
      <c r="G1841" s="3" t="s">
        <v>3391</v>
      </c>
      <c r="H1841" s="3"/>
      <c r="I1841" s="3" t="s">
        <v>3392</v>
      </c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>
        <v>0</v>
      </c>
      <c r="P1841" s="3">
        <v>0</v>
      </c>
      <c r="Q1841" s="3">
        <v>0</v>
      </c>
      <c r="R1841" s="3">
        <v>0</v>
      </c>
    </row>
    <row r="1842" spans="1:18">
      <c r="A1842" s="3" t="s">
        <v>6061</v>
      </c>
      <c r="B1842" s="3" t="s">
        <v>6062</v>
      </c>
      <c r="C1842" s="3" t="s">
        <v>6063</v>
      </c>
      <c r="D1842" s="3" t="s">
        <v>6064</v>
      </c>
      <c r="E1842" s="3" t="s">
        <v>867</v>
      </c>
      <c r="F1842" s="3">
        <v>39.98</v>
      </c>
      <c r="G1842" s="3" t="s">
        <v>3391</v>
      </c>
      <c r="H1842" s="3"/>
      <c r="I1842" s="3" t="s">
        <v>3392</v>
      </c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>
        <v>0</v>
      </c>
      <c r="P1842" s="3">
        <v>0</v>
      </c>
      <c r="Q1842" s="3">
        <v>0</v>
      </c>
      <c r="R1842" s="3">
        <v>0</v>
      </c>
    </row>
    <row r="1843" spans="1:18">
      <c r="A1843" s="3" t="s">
        <v>6065</v>
      </c>
      <c r="B1843" s="3" t="s">
        <v>6066</v>
      </c>
      <c r="C1843" s="3" t="s">
        <v>6067</v>
      </c>
      <c r="D1843" s="3" t="s">
        <v>4951</v>
      </c>
      <c r="E1843" s="3" t="s">
        <v>867</v>
      </c>
      <c r="F1843" s="3">
        <v>39.98</v>
      </c>
      <c r="G1843" s="3" t="s">
        <v>3391</v>
      </c>
      <c r="H1843" s="3"/>
      <c r="I1843" s="3" t="s">
        <v>3392</v>
      </c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>
        <v>0</v>
      </c>
      <c r="P1843" s="3">
        <v>0</v>
      </c>
      <c r="Q1843" s="3">
        <v>0</v>
      </c>
      <c r="R1843" s="3">
        <v>0</v>
      </c>
    </row>
    <row r="1844" spans="1:18">
      <c r="A1844" s="3" t="s">
        <v>6068</v>
      </c>
      <c r="B1844" s="3" t="s">
        <v>6069</v>
      </c>
      <c r="C1844" s="3" t="s">
        <v>6070</v>
      </c>
      <c r="D1844" s="3" t="s">
        <v>6071</v>
      </c>
      <c r="E1844" s="3" t="s">
        <v>867</v>
      </c>
      <c r="F1844" s="3">
        <v>39.98</v>
      </c>
      <c r="G1844" s="3" t="s">
        <v>3391</v>
      </c>
      <c r="H1844" s="3"/>
      <c r="I1844" s="3" t="s">
        <v>3392</v>
      </c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>
        <v>0</v>
      </c>
      <c r="P1844" s="3">
        <v>0</v>
      </c>
      <c r="Q1844" s="3">
        <v>0</v>
      </c>
      <c r="R1844" s="3">
        <v>0</v>
      </c>
    </row>
    <row r="1845" spans="1:18">
      <c r="A1845" s="3" t="s">
        <v>6072</v>
      </c>
      <c r="B1845" s="3" t="s">
        <v>6073</v>
      </c>
      <c r="C1845" s="3" t="s">
        <v>6074</v>
      </c>
      <c r="D1845" s="3" t="s">
        <v>6075</v>
      </c>
      <c r="E1845" s="3" t="s">
        <v>867</v>
      </c>
      <c r="F1845" s="3">
        <v>39.98</v>
      </c>
      <c r="G1845" s="3" t="s">
        <v>3391</v>
      </c>
      <c r="H1845" s="3"/>
      <c r="I1845" s="3" t="s">
        <v>3392</v>
      </c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>
        <v>0</v>
      </c>
      <c r="P1845" s="3">
        <v>0</v>
      </c>
      <c r="Q1845" s="3">
        <v>0</v>
      </c>
      <c r="R1845" s="3">
        <v>0</v>
      </c>
    </row>
    <row r="1846" spans="1:18">
      <c r="A1846" s="3" t="s">
        <v>6076</v>
      </c>
      <c r="B1846" s="3" t="s">
        <v>6077</v>
      </c>
      <c r="C1846" s="3" t="s">
        <v>6078</v>
      </c>
      <c r="D1846" s="3" t="s">
        <v>4963</v>
      </c>
      <c r="E1846" s="3" t="s">
        <v>867</v>
      </c>
      <c r="F1846" s="3">
        <v>39.98</v>
      </c>
      <c r="G1846" s="3" t="s">
        <v>3391</v>
      </c>
      <c r="H1846" s="3"/>
      <c r="I1846" s="3" t="s">
        <v>3392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0</v>
      </c>
      <c r="P1846" s="3">
        <v>0</v>
      </c>
      <c r="Q1846" s="3">
        <v>0</v>
      </c>
      <c r="R1846" s="3">
        <v>0</v>
      </c>
    </row>
    <row r="1847" spans="1:18">
      <c r="A1847" s="3" t="s">
        <v>6079</v>
      </c>
      <c r="B1847" s="3" t="s">
        <v>6080</v>
      </c>
      <c r="C1847" s="3" t="s">
        <v>6081</v>
      </c>
      <c r="D1847" s="3" t="s">
        <v>4967</v>
      </c>
      <c r="E1847" s="3" t="s">
        <v>867</v>
      </c>
      <c r="F1847" s="3">
        <v>39.98</v>
      </c>
      <c r="G1847" s="3" t="s">
        <v>3391</v>
      </c>
      <c r="H1847" s="3"/>
      <c r="I1847" s="3" t="s">
        <v>3392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0</v>
      </c>
      <c r="P1847" s="3">
        <v>0</v>
      </c>
      <c r="Q1847" s="3">
        <v>0</v>
      </c>
      <c r="R1847" s="3">
        <v>0</v>
      </c>
    </row>
    <row r="1848" spans="1:18">
      <c r="A1848" s="3" t="s">
        <v>6082</v>
      </c>
      <c r="B1848" s="3" t="s">
        <v>6083</v>
      </c>
      <c r="C1848" s="3" t="s">
        <v>6084</v>
      </c>
      <c r="D1848" s="3" t="s">
        <v>4971</v>
      </c>
      <c r="E1848" s="3" t="s">
        <v>867</v>
      </c>
      <c r="F1848" s="3">
        <v>39.98</v>
      </c>
      <c r="G1848" s="3" t="s">
        <v>3391</v>
      </c>
      <c r="H1848" s="3"/>
      <c r="I1848" s="3" t="s">
        <v>3392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0</v>
      </c>
      <c r="P1848" s="3">
        <v>0</v>
      </c>
      <c r="Q1848" s="3">
        <v>0</v>
      </c>
      <c r="R1848" s="3">
        <v>0</v>
      </c>
    </row>
    <row r="1849" spans="1:18">
      <c r="A1849" s="3" t="s">
        <v>6085</v>
      </c>
      <c r="B1849" s="3" t="s">
        <v>6086</v>
      </c>
      <c r="C1849" s="3" t="s">
        <v>6087</v>
      </c>
      <c r="D1849" s="3" t="s">
        <v>4975</v>
      </c>
      <c r="E1849" s="3" t="s">
        <v>867</v>
      </c>
      <c r="F1849" s="3">
        <v>39.98</v>
      </c>
      <c r="G1849" s="3" t="s">
        <v>3391</v>
      </c>
      <c r="H1849" s="3"/>
      <c r="I1849" s="3" t="s">
        <v>3392</v>
      </c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>
        <v>0</v>
      </c>
      <c r="P1849" s="3">
        <v>0</v>
      </c>
      <c r="Q1849" s="3">
        <v>0</v>
      </c>
      <c r="R1849" s="3">
        <v>0</v>
      </c>
    </row>
    <row r="1850" spans="1:18">
      <c r="A1850" s="3" t="s">
        <v>6088</v>
      </c>
      <c r="B1850" s="3" t="s">
        <v>6089</v>
      </c>
      <c r="C1850" s="3" t="s">
        <v>6090</v>
      </c>
      <c r="D1850" s="3" t="s">
        <v>4979</v>
      </c>
      <c r="E1850" s="3" t="s">
        <v>867</v>
      </c>
      <c r="F1850" s="3">
        <v>39.98</v>
      </c>
      <c r="G1850" s="3" t="s">
        <v>3391</v>
      </c>
      <c r="H1850" s="3"/>
      <c r="I1850" s="3" t="s">
        <v>3392</v>
      </c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>
        <v>0</v>
      </c>
      <c r="P1850" s="3">
        <v>0</v>
      </c>
      <c r="Q1850" s="3">
        <v>0</v>
      </c>
      <c r="R1850" s="3">
        <v>0</v>
      </c>
    </row>
    <row r="1851" spans="1:18">
      <c r="A1851" s="3" t="s">
        <v>6091</v>
      </c>
      <c r="B1851" s="3" t="s">
        <v>6092</v>
      </c>
      <c r="C1851" s="3" t="s">
        <v>6093</v>
      </c>
      <c r="D1851" s="3" t="s">
        <v>4983</v>
      </c>
      <c r="E1851" s="3" t="s">
        <v>867</v>
      </c>
      <c r="F1851" s="3">
        <v>39.98</v>
      </c>
      <c r="G1851" s="3" t="s">
        <v>3391</v>
      </c>
      <c r="H1851" s="3"/>
      <c r="I1851" s="3" t="s">
        <v>3392</v>
      </c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>
        <v>0</v>
      </c>
      <c r="P1851" s="3">
        <v>0</v>
      </c>
      <c r="Q1851" s="3">
        <v>0</v>
      </c>
      <c r="R1851" s="3">
        <v>0</v>
      </c>
    </row>
    <row r="1852" spans="1:18">
      <c r="A1852" s="3" t="s">
        <v>6094</v>
      </c>
      <c r="B1852" s="3" t="s">
        <v>6095</v>
      </c>
      <c r="C1852" s="3" t="s">
        <v>6096</v>
      </c>
      <c r="D1852" s="3" t="s">
        <v>1611</v>
      </c>
      <c r="E1852" s="3" t="s">
        <v>867</v>
      </c>
      <c r="F1852" s="3">
        <v>39.98</v>
      </c>
      <c r="G1852" s="3" t="s">
        <v>3391</v>
      </c>
      <c r="H1852" s="3"/>
      <c r="I1852" s="3" t="s">
        <v>3392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0</v>
      </c>
      <c r="P1852" s="3">
        <v>0</v>
      </c>
      <c r="Q1852" s="3">
        <v>0</v>
      </c>
      <c r="R1852" s="3">
        <v>0</v>
      </c>
    </row>
    <row r="1853" spans="1:18">
      <c r="A1853" s="3" t="s">
        <v>6097</v>
      </c>
      <c r="B1853" s="3" t="s">
        <v>6098</v>
      </c>
      <c r="C1853" s="3" t="s">
        <v>6099</v>
      </c>
      <c r="D1853" s="3" t="s">
        <v>1788</v>
      </c>
      <c r="E1853" s="3" t="s">
        <v>867</v>
      </c>
      <c r="F1853" s="3">
        <v>39.98</v>
      </c>
      <c r="G1853" s="3" t="s">
        <v>3391</v>
      </c>
      <c r="H1853" s="3"/>
      <c r="I1853" s="3" t="s">
        <v>3392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0</v>
      </c>
      <c r="P1853" s="3">
        <v>0</v>
      </c>
      <c r="Q1853" s="3">
        <v>0</v>
      </c>
      <c r="R1853" s="3">
        <v>0</v>
      </c>
    </row>
    <row r="1854" spans="1:18">
      <c r="A1854" s="3" t="s">
        <v>6100</v>
      </c>
      <c r="B1854" s="3" t="s">
        <v>6101</v>
      </c>
      <c r="C1854" s="3" t="s">
        <v>6102</v>
      </c>
      <c r="D1854" s="3" t="s">
        <v>6103</v>
      </c>
      <c r="E1854" s="3" t="s">
        <v>867</v>
      </c>
      <c r="F1854" s="3">
        <v>39.98</v>
      </c>
      <c r="G1854" s="3" t="s">
        <v>3391</v>
      </c>
      <c r="H1854" s="3"/>
      <c r="I1854" s="3" t="s">
        <v>3392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0</v>
      </c>
      <c r="P1854" s="3">
        <v>0</v>
      </c>
      <c r="Q1854" s="3">
        <v>0</v>
      </c>
      <c r="R1854" s="3">
        <v>0</v>
      </c>
    </row>
    <row r="1855" spans="1:18">
      <c r="A1855" s="3" t="s">
        <v>6104</v>
      </c>
      <c r="B1855" s="3" t="s">
        <v>6105</v>
      </c>
      <c r="C1855" s="3" t="s">
        <v>6106</v>
      </c>
      <c r="D1855" s="3" t="s">
        <v>6107</v>
      </c>
      <c r="E1855" s="3" t="s">
        <v>867</v>
      </c>
      <c r="F1855" s="3">
        <v>39.98</v>
      </c>
      <c r="G1855" s="3" t="s">
        <v>3391</v>
      </c>
      <c r="H1855" s="3"/>
      <c r="I1855" s="3" t="s">
        <v>3392</v>
      </c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>
        <v>0</v>
      </c>
      <c r="P1855" s="3">
        <v>0</v>
      </c>
      <c r="Q1855" s="3">
        <v>0</v>
      </c>
      <c r="R1855" s="3">
        <v>0</v>
      </c>
    </row>
    <row r="1856" spans="1:18">
      <c r="A1856" s="3" t="s">
        <v>6108</v>
      </c>
      <c r="B1856" s="3" t="s">
        <v>6109</v>
      </c>
      <c r="C1856" s="3" t="s">
        <v>6110</v>
      </c>
      <c r="D1856" s="3" t="s">
        <v>1075</v>
      </c>
      <c r="E1856" s="3" t="s">
        <v>867</v>
      </c>
      <c r="F1856" s="3">
        <v>39.98</v>
      </c>
      <c r="G1856" s="3" t="s">
        <v>3391</v>
      </c>
      <c r="H1856" s="3"/>
      <c r="I1856" s="3" t="s">
        <v>3392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0</v>
      </c>
      <c r="P1856" s="3">
        <v>0</v>
      </c>
      <c r="Q1856" s="3">
        <v>0</v>
      </c>
      <c r="R1856" s="3">
        <v>0</v>
      </c>
    </row>
    <row r="1857" spans="1:18">
      <c r="A1857" s="3" t="s">
        <v>6111</v>
      </c>
      <c r="B1857" s="3" t="s">
        <v>6112</v>
      </c>
      <c r="C1857" s="3" t="s">
        <v>6113</v>
      </c>
      <c r="D1857" s="3" t="s">
        <v>2742</v>
      </c>
      <c r="E1857" s="3" t="s">
        <v>867</v>
      </c>
      <c r="F1857" s="3">
        <v>39.98</v>
      </c>
      <c r="G1857" s="3" t="s">
        <v>3391</v>
      </c>
      <c r="H1857" s="3"/>
      <c r="I1857" s="3" t="s">
        <v>3392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0</v>
      </c>
      <c r="P1857" s="3">
        <v>0</v>
      </c>
      <c r="Q1857" s="3">
        <v>0</v>
      </c>
      <c r="R1857" s="3">
        <v>0</v>
      </c>
    </row>
    <row r="1858" spans="1:18">
      <c r="A1858" s="3" t="s">
        <v>6114</v>
      </c>
      <c r="B1858" s="3" t="s">
        <v>6115</v>
      </c>
      <c r="C1858" s="3" t="s">
        <v>6116</v>
      </c>
      <c r="D1858" s="3" t="s">
        <v>4909</v>
      </c>
      <c r="E1858" s="3" t="s">
        <v>867</v>
      </c>
      <c r="F1858" s="3">
        <v>39.98</v>
      </c>
      <c r="G1858" s="3" t="s">
        <v>3391</v>
      </c>
      <c r="H1858" s="3"/>
      <c r="I1858" s="3" t="s">
        <v>3392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0</v>
      </c>
      <c r="P1858" s="3">
        <v>0</v>
      </c>
      <c r="Q1858" s="3">
        <v>0</v>
      </c>
      <c r="R1858" s="3">
        <v>0</v>
      </c>
    </row>
    <row r="1859" spans="1:18">
      <c r="A1859" s="3" t="s">
        <v>6117</v>
      </c>
      <c r="B1859" s="3" t="s">
        <v>6118</v>
      </c>
      <c r="C1859" s="3" t="s">
        <v>6119</v>
      </c>
      <c r="D1859" s="3" t="s">
        <v>4910</v>
      </c>
      <c r="E1859" s="3" t="s">
        <v>867</v>
      </c>
      <c r="F1859" s="3">
        <v>39.98</v>
      </c>
      <c r="G1859" s="3" t="s">
        <v>3391</v>
      </c>
      <c r="H1859" s="3"/>
      <c r="I1859" s="3" t="s">
        <v>3392</v>
      </c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>
        <v>0</v>
      </c>
      <c r="P1859" s="3">
        <v>0</v>
      </c>
      <c r="Q1859" s="3">
        <v>0</v>
      </c>
      <c r="R1859" s="3">
        <v>0</v>
      </c>
    </row>
    <row r="1860" spans="1:18">
      <c r="A1860" s="3" t="s">
        <v>6120</v>
      </c>
      <c r="B1860" s="3" t="s">
        <v>6121</v>
      </c>
      <c r="C1860" s="3" t="s">
        <v>6122</v>
      </c>
      <c r="D1860" s="3" t="s">
        <v>6123</v>
      </c>
      <c r="E1860" s="3" t="s">
        <v>867</v>
      </c>
      <c r="F1860" s="3">
        <v>39.98</v>
      </c>
      <c r="G1860" s="3" t="s">
        <v>3391</v>
      </c>
      <c r="H1860" s="3"/>
      <c r="I1860" s="3" t="s">
        <v>3392</v>
      </c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>
        <v>0</v>
      </c>
      <c r="P1860" s="3">
        <v>0</v>
      </c>
      <c r="Q1860" s="3">
        <v>0</v>
      </c>
      <c r="R1860" s="3">
        <v>0</v>
      </c>
    </row>
    <row r="1861" spans="1:18">
      <c r="A1861" s="3" t="s">
        <v>6124</v>
      </c>
      <c r="B1861" s="3" t="s">
        <v>6125</v>
      </c>
      <c r="C1861" s="3" t="s">
        <v>6126</v>
      </c>
      <c r="D1861" s="3" t="s">
        <v>4912</v>
      </c>
      <c r="E1861" s="3" t="s">
        <v>867</v>
      </c>
      <c r="F1861" s="3">
        <v>39.98</v>
      </c>
      <c r="G1861" s="3" t="s">
        <v>3391</v>
      </c>
      <c r="H1861" s="3"/>
      <c r="I1861" s="3" t="s">
        <v>3392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0</v>
      </c>
      <c r="P1861" s="3">
        <v>0</v>
      </c>
      <c r="Q1861" s="3">
        <v>0</v>
      </c>
      <c r="R1861" s="3">
        <v>0</v>
      </c>
    </row>
    <row r="1862" spans="1:18">
      <c r="A1862" s="3" t="s">
        <v>6127</v>
      </c>
      <c r="B1862" s="3" t="s">
        <v>6128</v>
      </c>
      <c r="C1862" s="3" t="s">
        <v>6129</v>
      </c>
      <c r="D1862" s="3" t="s">
        <v>4913</v>
      </c>
      <c r="E1862" s="3" t="s">
        <v>867</v>
      </c>
      <c r="F1862" s="3">
        <v>39.98</v>
      </c>
      <c r="G1862" s="3" t="s">
        <v>3391</v>
      </c>
      <c r="H1862" s="3"/>
      <c r="I1862" s="3" t="s">
        <v>3392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0</v>
      </c>
      <c r="P1862" s="3">
        <v>0</v>
      </c>
      <c r="Q1862" s="3">
        <v>0</v>
      </c>
      <c r="R1862" s="3">
        <v>0</v>
      </c>
    </row>
    <row r="1863" spans="1:18">
      <c r="A1863" s="3" t="s">
        <v>6130</v>
      </c>
      <c r="B1863" s="3" t="s">
        <v>6131</v>
      </c>
      <c r="C1863" s="3" t="s">
        <v>6132</v>
      </c>
      <c r="D1863" s="3" t="s">
        <v>5021</v>
      </c>
      <c r="E1863" s="3" t="s">
        <v>867</v>
      </c>
      <c r="F1863" s="3">
        <v>39.98</v>
      </c>
      <c r="G1863" s="3" t="s">
        <v>3391</v>
      </c>
      <c r="H1863" s="3"/>
      <c r="I1863" s="3" t="s">
        <v>3392</v>
      </c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>
        <v>0</v>
      </c>
      <c r="P1863" s="3">
        <v>0</v>
      </c>
      <c r="Q1863" s="3">
        <v>0</v>
      </c>
      <c r="R1863" s="3">
        <v>0</v>
      </c>
    </row>
    <row r="1864" spans="1:18">
      <c r="A1864" s="3" t="s">
        <v>6133</v>
      </c>
      <c r="B1864" s="3" t="s">
        <v>6134</v>
      </c>
      <c r="C1864" s="3" t="s">
        <v>6135</v>
      </c>
      <c r="D1864" s="3" t="s">
        <v>611</v>
      </c>
      <c r="E1864" s="3" t="s">
        <v>867</v>
      </c>
      <c r="F1864" s="3">
        <v>39.98</v>
      </c>
      <c r="G1864" s="3" t="s">
        <v>3391</v>
      </c>
      <c r="H1864" s="3"/>
      <c r="I1864" s="3" t="s">
        <v>3392</v>
      </c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>
        <v>0</v>
      </c>
      <c r="P1864" s="3">
        <v>0</v>
      </c>
      <c r="Q1864" s="3">
        <v>0</v>
      </c>
      <c r="R1864" s="3">
        <v>0</v>
      </c>
    </row>
    <row r="1865" spans="1:18">
      <c r="A1865" s="3" t="s">
        <v>6136</v>
      </c>
      <c r="B1865" s="3" t="s">
        <v>6137</v>
      </c>
      <c r="C1865" s="3" t="s">
        <v>6138</v>
      </c>
      <c r="D1865" s="3" t="s">
        <v>3001</v>
      </c>
      <c r="E1865" s="3" t="s">
        <v>867</v>
      </c>
      <c r="F1865" s="3">
        <v>39.98</v>
      </c>
      <c r="G1865" s="3" t="s">
        <v>3391</v>
      </c>
      <c r="H1865" s="3"/>
      <c r="I1865" s="3" t="s">
        <v>3392</v>
      </c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>
        <v>0</v>
      </c>
      <c r="P1865" s="3">
        <v>0</v>
      </c>
      <c r="Q1865" s="3">
        <v>0</v>
      </c>
      <c r="R1865" s="3">
        <v>0</v>
      </c>
    </row>
    <row r="1866" spans="1:18">
      <c r="A1866" s="3" t="s">
        <v>6139</v>
      </c>
      <c r="B1866" s="3" t="s">
        <v>6140</v>
      </c>
      <c r="C1866" s="3" t="s">
        <v>6141</v>
      </c>
      <c r="D1866" s="3" t="s">
        <v>5044</v>
      </c>
      <c r="E1866" s="3" t="s">
        <v>867</v>
      </c>
      <c r="F1866" s="3">
        <v>39.98</v>
      </c>
      <c r="G1866" s="3" t="s">
        <v>3391</v>
      </c>
      <c r="H1866" s="3"/>
      <c r="I1866" s="3" t="s">
        <v>3392</v>
      </c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>
        <v>0</v>
      </c>
      <c r="P1866" s="3">
        <v>0</v>
      </c>
      <c r="Q1866" s="3">
        <v>0</v>
      </c>
      <c r="R1866" s="3">
        <v>0</v>
      </c>
    </row>
    <row r="1867" spans="1:18">
      <c r="A1867" s="3" t="s">
        <v>6142</v>
      </c>
      <c r="B1867" s="3" t="s">
        <v>6143</v>
      </c>
      <c r="C1867" s="3" t="s">
        <v>6144</v>
      </c>
      <c r="D1867" s="3" t="s">
        <v>1889</v>
      </c>
      <c r="E1867" s="3" t="s">
        <v>867</v>
      </c>
      <c r="F1867" s="3">
        <v>39.98</v>
      </c>
      <c r="G1867" s="3" t="s">
        <v>3391</v>
      </c>
      <c r="H1867" s="3"/>
      <c r="I1867" s="3" t="s">
        <v>3392</v>
      </c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>
        <v>0</v>
      </c>
      <c r="P1867" s="3">
        <v>0</v>
      </c>
      <c r="Q1867" s="3">
        <v>0</v>
      </c>
      <c r="R1867" s="3">
        <v>0</v>
      </c>
    </row>
    <row r="1868" spans="1:18">
      <c r="A1868" s="3" t="s">
        <v>6145</v>
      </c>
      <c r="B1868" s="3" t="s">
        <v>6146</v>
      </c>
      <c r="C1868" s="3" t="s">
        <v>6147</v>
      </c>
      <c r="D1868" s="3" t="s">
        <v>5052</v>
      </c>
      <c r="E1868" s="3" t="s">
        <v>867</v>
      </c>
      <c r="F1868" s="3">
        <v>39.98</v>
      </c>
      <c r="G1868" s="3" t="s">
        <v>3391</v>
      </c>
      <c r="H1868" s="3"/>
      <c r="I1868" s="3" t="s">
        <v>3392</v>
      </c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>
        <v>0</v>
      </c>
      <c r="P1868" s="3">
        <v>0</v>
      </c>
      <c r="Q1868" s="3">
        <v>0</v>
      </c>
      <c r="R1868" s="3">
        <v>0</v>
      </c>
    </row>
    <row r="1869" spans="1:18">
      <c r="A1869" s="3" t="s">
        <v>6148</v>
      </c>
      <c r="B1869" s="3" t="s">
        <v>6149</v>
      </c>
      <c r="C1869" s="3" t="s">
        <v>6150</v>
      </c>
      <c r="D1869" s="3" t="s">
        <v>5056</v>
      </c>
      <c r="E1869" s="3" t="s">
        <v>867</v>
      </c>
      <c r="F1869" s="3">
        <v>39.98</v>
      </c>
      <c r="G1869" s="3" t="s">
        <v>3391</v>
      </c>
      <c r="H1869" s="3"/>
      <c r="I1869" s="3" t="s">
        <v>3392</v>
      </c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>
        <v>0</v>
      </c>
      <c r="P1869" s="3">
        <v>0</v>
      </c>
      <c r="Q1869" s="3">
        <v>0</v>
      </c>
      <c r="R1869" s="3">
        <v>0</v>
      </c>
    </row>
    <row r="1870" spans="1:18">
      <c r="A1870" s="3" t="s">
        <v>6151</v>
      </c>
      <c r="B1870" s="3" t="s">
        <v>6152</v>
      </c>
      <c r="C1870" s="3" t="s">
        <v>6153</v>
      </c>
      <c r="D1870" s="3" t="s">
        <v>6154</v>
      </c>
      <c r="E1870" s="3" t="s">
        <v>867</v>
      </c>
      <c r="F1870" s="3">
        <v>35.98</v>
      </c>
      <c r="G1870" s="3" t="s">
        <v>3391</v>
      </c>
      <c r="H1870" s="3"/>
      <c r="I1870" s="3" t="s">
        <v>3392</v>
      </c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>
        <v>0</v>
      </c>
      <c r="P1870" s="3">
        <v>0</v>
      </c>
      <c r="Q1870" s="3">
        <v>0</v>
      </c>
      <c r="R1870" s="3">
        <v>0</v>
      </c>
    </row>
    <row r="1871" spans="1:18">
      <c r="A1871" s="3" t="s">
        <v>6155</v>
      </c>
      <c r="B1871" s="3" t="s">
        <v>6156</v>
      </c>
      <c r="C1871" s="3" t="s">
        <v>6157</v>
      </c>
      <c r="D1871" s="3" t="s">
        <v>6158</v>
      </c>
      <c r="E1871" s="3" t="s">
        <v>867</v>
      </c>
      <c r="F1871" s="3">
        <v>35.98</v>
      </c>
      <c r="G1871" s="3" t="s">
        <v>3391</v>
      </c>
      <c r="H1871" s="3"/>
      <c r="I1871" s="3" t="s">
        <v>3392</v>
      </c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>
        <v>0</v>
      </c>
      <c r="P1871" s="3">
        <v>0</v>
      </c>
      <c r="Q1871" s="3">
        <v>0</v>
      </c>
      <c r="R1871" s="3">
        <v>0</v>
      </c>
    </row>
    <row r="1872" spans="1:18">
      <c r="A1872" s="3" t="s">
        <v>6159</v>
      </c>
      <c r="B1872" s="3" t="s">
        <v>6160</v>
      </c>
      <c r="C1872" s="3" t="s">
        <v>6161</v>
      </c>
      <c r="D1872" s="3" t="s">
        <v>6162</v>
      </c>
      <c r="E1872" s="3" t="s">
        <v>867</v>
      </c>
      <c r="F1872" s="3">
        <v>35.98</v>
      </c>
      <c r="G1872" s="3" t="s">
        <v>3391</v>
      </c>
      <c r="H1872" s="3"/>
      <c r="I1872" s="3" t="s">
        <v>3392</v>
      </c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>
        <v>0</v>
      </c>
      <c r="P1872" s="3">
        <v>0</v>
      </c>
      <c r="Q1872" s="3">
        <v>0</v>
      </c>
      <c r="R1872" s="3">
        <v>0</v>
      </c>
    </row>
    <row r="1873" spans="1:18">
      <c r="A1873" s="3" t="s">
        <v>6163</v>
      </c>
      <c r="B1873" s="3" t="s">
        <v>6164</v>
      </c>
      <c r="C1873" s="3" t="s">
        <v>6165</v>
      </c>
      <c r="D1873" s="3" t="s">
        <v>6166</v>
      </c>
      <c r="E1873" s="3" t="s">
        <v>867</v>
      </c>
      <c r="F1873" s="3">
        <v>35.98</v>
      </c>
      <c r="G1873" s="3" t="s">
        <v>3391</v>
      </c>
      <c r="H1873" s="3"/>
      <c r="I1873" s="3" t="s">
        <v>3392</v>
      </c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>
        <v>0</v>
      </c>
      <c r="P1873" s="3">
        <v>0</v>
      </c>
      <c r="Q1873" s="3">
        <v>0</v>
      </c>
      <c r="R1873" s="3">
        <v>0</v>
      </c>
    </row>
    <row r="1874" spans="1:18">
      <c r="A1874" s="3" t="s">
        <v>6167</v>
      </c>
      <c r="B1874" s="3" t="s">
        <v>6168</v>
      </c>
      <c r="C1874" s="3" t="s">
        <v>6169</v>
      </c>
      <c r="D1874" s="3" t="s">
        <v>6170</v>
      </c>
      <c r="E1874" s="3" t="s">
        <v>867</v>
      </c>
      <c r="F1874" s="3">
        <v>35.98</v>
      </c>
      <c r="G1874" s="3" t="s">
        <v>3391</v>
      </c>
      <c r="H1874" s="3"/>
      <c r="I1874" s="3" t="s">
        <v>3392</v>
      </c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>
        <v>0</v>
      </c>
      <c r="P1874" s="3">
        <v>0</v>
      </c>
      <c r="Q1874" s="3">
        <v>0</v>
      </c>
      <c r="R1874" s="3">
        <v>0</v>
      </c>
    </row>
    <row r="1875" spans="1:18">
      <c r="A1875" s="3" t="s">
        <v>6171</v>
      </c>
      <c r="B1875" s="3" t="s">
        <v>6172</v>
      </c>
      <c r="C1875" s="3" t="s">
        <v>6173</v>
      </c>
      <c r="D1875" s="3" t="s">
        <v>6174</v>
      </c>
      <c r="E1875" s="3" t="s">
        <v>867</v>
      </c>
      <c r="F1875" s="3">
        <v>35.98</v>
      </c>
      <c r="G1875" s="3" t="s">
        <v>3391</v>
      </c>
      <c r="H1875" s="3"/>
      <c r="I1875" s="3" t="s">
        <v>3392</v>
      </c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>
        <v>0</v>
      </c>
      <c r="P1875" s="3">
        <v>0</v>
      </c>
      <c r="Q1875" s="3">
        <v>0</v>
      </c>
      <c r="R1875" s="3">
        <v>0</v>
      </c>
    </row>
    <row r="1876" spans="1:18">
      <c r="A1876" s="3" t="s">
        <v>6175</v>
      </c>
      <c r="B1876" s="3" t="s">
        <v>6176</v>
      </c>
      <c r="C1876" s="3" t="s">
        <v>6177</v>
      </c>
      <c r="D1876" s="3" t="s">
        <v>6178</v>
      </c>
      <c r="E1876" s="3" t="s">
        <v>867</v>
      </c>
      <c r="F1876" s="3">
        <v>35.98</v>
      </c>
      <c r="G1876" s="3" t="s">
        <v>3391</v>
      </c>
      <c r="H1876" s="3"/>
      <c r="I1876" s="3" t="s">
        <v>3392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0</v>
      </c>
      <c r="P1876" s="3">
        <v>0</v>
      </c>
      <c r="Q1876" s="3">
        <v>0</v>
      </c>
      <c r="R1876" s="3">
        <v>0</v>
      </c>
    </row>
    <row r="1877" spans="1:18">
      <c r="A1877" s="3" t="s">
        <v>6179</v>
      </c>
      <c r="B1877" s="3" t="s">
        <v>6180</v>
      </c>
      <c r="C1877" s="3" t="s">
        <v>6181</v>
      </c>
      <c r="D1877" s="3" t="s">
        <v>6182</v>
      </c>
      <c r="E1877" s="3" t="s">
        <v>867</v>
      </c>
      <c r="F1877" s="3">
        <v>35.98</v>
      </c>
      <c r="G1877" s="3" t="s">
        <v>3391</v>
      </c>
      <c r="H1877" s="3"/>
      <c r="I1877" s="3" t="s">
        <v>3392</v>
      </c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>
        <v>0</v>
      </c>
      <c r="P1877" s="3">
        <v>0</v>
      </c>
      <c r="Q1877" s="3">
        <v>0</v>
      </c>
      <c r="R1877" s="3">
        <v>0</v>
      </c>
    </row>
    <row r="1878" spans="1:18">
      <c r="A1878" s="3" t="s">
        <v>6183</v>
      </c>
      <c r="B1878" s="3" t="s">
        <v>6184</v>
      </c>
      <c r="C1878" s="3" t="s">
        <v>6185</v>
      </c>
      <c r="D1878" s="3" t="s">
        <v>6186</v>
      </c>
      <c r="E1878" s="3" t="s">
        <v>867</v>
      </c>
      <c r="F1878" s="3">
        <v>35.98</v>
      </c>
      <c r="G1878" s="3" t="s">
        <v>3391</v>
      </c>
      <c r="H1878" s="3"/>
      <c r="I1878" s="3" t="s">
        <v>3392</v>
      </c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>
        <v>0</v>
      </c>
      <c r="P1878" s="3">
        <v>0</v>
      </c>
      <c r="Q1878" s="3">
        <v>0</v>
      </c>
      <c r="R1878" s="3">
        <v>0</v>
      </c>
    </row>
    <row r="1879" spans="1:18">
      <c r="A1879" s="3" t="s">
        <v>6187</v>
      </c>
      <c r="B1879" s="3" t="s">
        <v>6188</v>
      </c>
      <c r="C1879" s="3" t="s">
        <v>6189</v>
      </c>
      <c r="D1879" s="3" t="s">
        <v>6190</v>
      </c>
      <c r="E1879" s="3" t="s">
        <v>867</v>
      </c>
      <c r="F1879" s="3">
        <v>35.98</v>
      </c>
      <c r="G1879" s="3" t="s">
        <v>3391</v>
      </c>
      <c r="H1879" s="3"/>
      <c r="I1879" s="3" t="s">
        <v>3392</v>
      </c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>
        <v>0</v>
      </c>
      <c r="P1879" s="3">
        <v>0</v>
      </c>
      <c r="Q1879" s="3">
        <v>0</v>
      </c>
      <c r="R1879" s="3">
        <v>0</v>
      </c>
    </row>
    <row r="1880" spans="1:18">
      <c r="A1880" s="3" t="s">
        <v>6191</v>
      </c>
      <c r="B1880" s="3" t="s">
        <v>6192</v>
      </c>
      <c r="C1880" s="3" t="s">
        <v>6193</v>
      </c>
      <c r="D1880" s="3" t="s">
        <v>6194</v>
      </c>
      <c r="E1880" s="3" t="s">
        <v>867</v>
      </c>
      <c r="F1880" s="3">
        <v>35.98</v>
      </c>
      <c r="G1880" s="3" t="s">
        <v>3391</v>
      </c>
      <c r="H1880" s="3"/>
      <c r="I1880" s="3" t="s">
        <v>3392</v>
      </c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>
        <v>0</v>
      </c>
      <c r="P1880" s="3">
        <v>0</v>
      </c>
      <c r="Q1880" s="3">
        <v>0</v>
      </c>
      <c r="R1880" s="3">
        <v>0</v>
      </c>
    </row>
    <row r="1881" spans="1:18">
      <c r="A1881" s="3" t="s">
        <v>6195</v>
      </c>
      <c r="B1881" s="3" t="s">
        <v>6196</v>
      </c>
      <c r="C1881" s="3" t="s">
        <v>6197</v>
      </c>
      <c r="D1881" s="3" t="s">
        <v>6198</v>
      </c>
      <c r="E1881" s="3" t="s">
        <v>867</v>
      </c>
      <c r="F1881" s="3">
        <v>35.98</v>
      </c>
      <c r="G1881" s="3" t="s">
        <v>3391</v>
      </c>
      <c r="H1881" s="3"/>
      <c r="I1881" s="3" t="s">
        <v>3392</v>
      </c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>
        <v>0</v>
      </c>
      <c r="P1881" s="3">
        <v>0</v>
      </c>
      <c r="Q1881" s="3">
        <v>0</v>
      </c>
      <c r="R1881" s="3">
        <v>0</v>
      </c>
    </row>
    <row r="1882" spans="1:18">
      <c r="A1882" s="3" t="s">
        <v>6199</v>
      </c>
      <c r="B1882" s="3" t="s">
        <v>6200</v>
      </c>
      <c r="C1882" s="3" t="s">
        <v>6201</v>
      </c>
      <c r="D1882" s="3" t="s">
        <v>6202</v>
      </c>
      <c r="E1882" s="3" t="s">
        <v>867</v>
      </c>
      <c r="F1882" s="3">
        <v>35.98</v>
      </c>
      <c r="G1882" s="3" t="s">
        <v>3391</v>
      </c>
      <c r="H1882" s="3"/>
      <c r="I1882" s="3" t="s">
        <v>3392</v>
      </c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>
        <v>0</v>
      </c>
      <c r="P1882" s="3">
        <v>0</v>
      </c>
      <c r="Q1882" s="3">
        <v>0</v>
      </c>
      <c r="R1882" s="3">
        <v>0</v>
      </c>
    </row>
    <row r="1883" spans="1:18">
      <c r="A1883" s="3" t="s">
        <v>6203</v>
      </c>
      <c r="B1883" s="3" t="s">
        <v>6204</v>
      </c>
      <c r="C1883" s="3" t="s">
        <v>6205</v>
      </c>
      <c r="D1883" s="3" t="s">
        <v>6206</v>
      </c>
      <c r="E1883" s="3" t="s">
        <v>867</v>
      </c>
      <c r="F1883" s="3">
        <v>35.98</v>
      </c>
      <c r="G1883" s="3" t="s">
        <v>3391</v>
      </c>
      <c r="H1883" s="3"/>
      <c r="I1883" s="3" t="s">
        <v>3392</v>
      </c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>
        <v>0</v>
      </c>
      <c r="P1883" s="3">
        <v>0</v>
      </c>
      <c r="Q1883" s="3">
        <v>0</v>
      </c>
      <c r="R1883" s="3">
        <v>0</v>
      </c>
    </row>
    <row r="1884" spans="1:18">
      <c r="A1884" s="3" t="s">
        <v>6207</v>
      </c>
      <c r="B1884" s="3" t="s">
        <v>6208</v>
      </c>
      <c r="C1884" s="3" t="s">
        <v>6209</v>
      </c>
      <c r="D1884" s="3" t="s">
        <v>6210</v>
      </c>
      <c r="E1884" s="3" t="s">
        <v>867</v>
      </c>
      <c r="F1884" s="3">
        <v>35.98</v>
      </c>
      <c r="G1884" s="3" t="s">
        <v>3391</v>
      </c>
      <c r="H1884" s="3"/>
      <c r="I1884" s="3" t="s">
        <v>3392</v>
      </c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>
        <v>0</v>
      </c>
      <c r="P1884" s="3">
        <v>0</v>
      </c>
      <c r="Q1884" s="3">
        <v>0</v>
      </c>
      <c r="R1884" s="3">
        <v>0</v>
      </c>
    </row>
    <row r="1885" spans="1:18">
      <c r="A1885" s="3" t="s">
        <v>6211</v>
      </c>
      <c r="B1885" s="3" t="s">
        <v>6212</v>
      </c>
      <c r="C1885" s="3" t="s">
        <v>6213</v>
      </c>
      <c r="D1885" s="3" t="s">
        <v>6214</v>
      </c>
      <c r="E1885" s="3" t="s">
        <v>867</v>
      </c>
      <c r="F1885" s="3">
        <v>35.98</v>
      </c>
      <c r="G1885" s="3" t="s">
        <v>3391</v>
      </c>
      <c r="H1885" s="3"/>
      <c r="I1885" s="3" t="s">
        <v>3392</v>
      </c>
      <c r="J1885" s="3">
        <v>0</v>
      </c>
      <c r="K1885" s="3">
        <v>0</v>
      </c>
      <c r="L1885" s="3">
        <v>0</v>
      </c>
      <c r="M1885" s="3">
        <v>0</v>
      </c>
      <c r="N1885" s="3">
        <v>0</v>
      </c>
      <c r="O1885" s="3">
        <v>0</v>
      </c>
      <c r="P1885" s="3">
        <v>0</v>
      </c>
      <c r="Q1885" s="3">
        <v>0</v>
      </c>
      <c r="R1885" s="3">
        <v>0</v>
      </c>
    </row>
    <row r="1886" spans="1:18">
      <c r="A1886" s="3" t="s">
        <v>6215</v>
      </c>
      <c r="B1886" s="3" t="s">
        <v>6216</v>
      </c>
      <c r="C1886" s="3" t="s">
        <v>6217</v>
      </c>
      <c r="D1886" s="3" t="s">
        <v>6218</v>
      </c>
      <c r="E1886" s="3" t="s">
        <v>867</v>
      </c>
      <c r="F1886" s="3">
        <v>35.98</v>
      </c>
      <c r="G1886" s="3" t="s">
        <v>3391</v>
      </c>
      <c r="H1886" s="3"/>
      <c r="I1886" s="3" t="s">
        <v>3392</v>
      </c>
      <c r="J1886" s="3">
        <v>0</v>
      </c>
      <c r="K1886" s="3">
        <v>0</v>
      </c>
      <c r="L1886" s="3">
        <v>0</v>
      </c>
      <c r="M1886" s="3">
        <v>0</v>
      </c>
      <c r="N1886" s="3">
        <v>0</v>
      </c>
      <c r="O1886" s="3">
        <v>0</v>
      </c>
      <c r="P1886" s="3">
        <v>0</v>
      </c>
      <c r="Q1886" s="3">
        <v>0</v>
      </c>
      <c r="R1886" s="3">
        <v>0</v>
      </c>
    </row>
    <row r="1887" spans="1:18">
      <c r="A1887" s="3" t="s">
        <v>6219</v>
      </c>
      <c r="B1887" s="3" t="s">
        <v>6220</v>
      </c>
      <c r="C1887" s="3" t="s">
        <v>6221</v>
      </c>
      <c r="D1887" s="3" t="s">
        <v>6222</v>
      </c>
      <c r="E1887" s="3" t="s">
        <v>867</v>
      </c>
      <c r="F1887" s="3">
        <v>35.98</v>
      </c>
      <c r="G1887" s="3" t="s">
        <v>3391</v>
      </c>
      <c r="H1887" s="3"/>
      <c r="I1887" s="3" t="s">
        <v>3392</v>
      </c>
      <c r="J1887" s="3">
        <v>0</v>
      </c>
      <c r="K1887" s="3">
        <v>0</v>
      </c>
      <c r="L1887" s="3">
        <v>0</v>
      </c>
      <c r="M1887" s="3">
        <v>0</v>
      </c>
      <c r="N1887" s="3">
        <v>0</v>
      </c>
      <c r="O1887" s="3">
        <v>0</v>
      </c>
      <c r="P1887" s="3">
        <v>0</v>
      </c>
      <c r="Q1887" s="3">
        <v>0</v>
      </c>
      <c r="R1887" s="3">
        <v>0</v>
      </c>
    </row>
    <row r="1888" spans="1:18">
      <c r="A1888" s="3" t="s">
        <v>6223</v>
      </c>
      <c r="B1888" s="3" t="s">
        <v>6224</v>
      </c>
      <c r="C1888" s="3" t="s">
        <v>6225</v>
      </c>
      <c r="D1888" s="3" t="s">
        <v>6226</v>
      </c>
      <c r="E1888" s="3" t="s">
        <v>867</v>
      </c>
      <c r="F1888" s="3">
        <v>35.98</v>
      </c>
      <c r="G1888" s="3" t="s">
        <v>3391</v>
      </c>
      <c r="H1888" s="3"/>
      <c r="I1888" s="3" t="s">
        <v>3392</v>
      </c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>
        <v>0</v>
      </c>
      <c r="P1888" s="3">
        <v>0</v>
      </c>
      <c r="Q1888" s="3">
        <v>0</v>
      </c>
      <c r="R1888" s="3">
        <v>0</v>
      </c>
    </row>
    <row r="1889" spans="1:18">
      <c r="A1889" s="3" t="s">
        <v>6227</v>
      </c>
      <c r="B1889" s="3" t="s">
        <v>6228</v>
      </c>
      <c r="C1889" s="3" t="s">
        <v>6229</v>
      </c>
      <c r="D1889" s="3" t="s">
        <v>6230</v>
      </c>
      <c r="E1889" s="3" t="s">
        <v>867</v>
      </c>
      <c r="F1889" s="3">
        <v>35.98</v>
      </c>
      <c r="G1889" s="3" t="s">
        <v>3391</v>
      </c>
      <c r="H1889" s="3"/>
      <c r="I1889" s="3" t="s">
        <v>3392</v>
      </c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>
        <v>0</v>
      </c>
      <c r="P1889" s="3">
        <v>0</v>
      </c>
      <c r="Q1889" s="3">
        <v>0</v>
      </c>
      <c r="R1889" s="3">
        <v>0</v>
      </c>
    </row>
    <row r="1890" spans="1:18">
      <c r="A1890" s="3" t="s">
        <v>6231</v>
      </c>
      <c r="B1890" s="3" t="s">
        <v>6232</v>
      </c>
      <c r="C1890" s="3" t="s">
        <v>6233</v>
      </c>
      <c r="D1890" s="3" t="s">
        <v>6234</v>
      </c>
      <c r="E1890" s="3" t="s">
        <v>867</v>
      </c>
      <c r="F1890" s="3">
        <v>35.98</v>
      </c>
      <c r="G1890" s="3" t="s">
        <v>3391</v>
      </c>
      <c r="H1890" s="3"/>
      <c r="I1890" s="3" t="s">
        <v>3392</v>
      </c>
      <c r="J1890" s="3">
        <v>0</v>
      </c>
      <c r="K1890" s="3">
        <v>0</v>
      </c>
      <c r="L1890" s="3">
        <v>0</v>
      </c>
      <c r="M1890" s="3">
        <v>0</v>
      </c>
      <c r="N1890" s="3">
        <v>0</v>
      </c>
      <c r="O1890" s="3">
        <v>0</v>
      </c>
      <c r="P1890" s="3">
        <v>0</v>
      </c>
      <c r="Q1890" s="3">
        <v>0</v>
      </c>
      <c r="R1890" s="3">
        <v>0</v>
      </c>
    </row>
    <row r="1891" spans="1:18">
      <c r="A1891" s="3" t="s">
        <v>6235</v>
      </c>
      <c r="B1891" s="3" t="s">
        <v>6236</v>
      </c>
      <c r="C1891" s="3" t="s">
        <v>6237</v>
      </c>
      <c r="D1891" s="3" t="s">
        <v>6238</v>
      </c>
      <c r="E1891" s="3" t="s">
        <v>867</v>
      </c>
      <c r="F1891" s="3">
        <v>35.98</v>
      </c>
      <c r="G1891" s="3" t="s">
        <v>3391</v>
      </c>
      <c r="H1891" s="3"/>
      <c r="I1891" s="3" t="s">
        <v>3392</v>
      </c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>
        <v>0</v>
      </c>
      <c r="P1891" s="3">
        <v>0</v>
      </c>
      <c r="Q1891" s="3">
        <v>0</v>
      </c>
      <c r="R1891" s="3">
        <v>0</v>
      </c>
    </row>
    <row r="1892" spans="1:18">
      <c r="A1892" s="3" t="s">
        <v>6239</v>
      </c>
      <c r="B1892" s="3" t="s">
        <v>6240</v>
      </c>
      <c r="C1892" s="3" t="s">
        <v>6241</v>
      </c>
      <c r="D1892" s="3" t="s">
        <v>6242</v>
      </c>
      <c r="E1892" s="3" t="s">
        <v>867</v>
      </c>
      <c r="F1892" s="3">
        <v>35.98</v>
      </c>
      <c r="G1892" s="3" t="s">
        <v>3391</v>
      </c>
      <c r="H1892" s="3"/>
      <c r="I1892" s="3" t="s">
        <v>3392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0</v>
      </c>
      <c r="P1892" s="3">
        <v>0</v>
      </c>
      <c r="Q1892" s="3">
        <v>0</v>
      </c>
      <c r="R1892" s="3">
        <v>0</v>
      </c>
    </row>
    <row r="1893" spans="1:18">
      <c r="A1893" s="3" t="s">
        <v>6243</v>
      </c>
      <c r="B1893" s="3" t="s">
        <v>6244</v>
      </c>
      <c r="C1893" s="3" t="s">
        <v>6245</v>
      </c>
      <c r="D1893" s="3" t="s">
        <v>6246</v>
      </c>
      <c r="E1893" s="3" t="s">
        <v>867</v>
      </c>
      <c r="F1893" s="3">
        <v>35.98</v>
      </c>
      <c r="G1893" s="3" t="s">
        <v>3391</v>
      </c>
      <c r="H1893" s="3"/>
      <c r="I1893" s="3" t="s">
        <v>3392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0</v>
      </c>
      <c r="P1893" s="3">
        <v>0</v>
      </c>
      <c r="Q1893" s="3">
        <v>0</v>
      </c>
      <c r="R1893" s="3">
        <v>0</v>
      </c>
    </row>
    <row r="1894" spans="1:18">
      <c r="A1894" s="3" t="s">
        <v>6247</v>
      </c>
      <c r="B1894" s="3" t="s">
        <v>6248</v>
      </c>
      <c r="C1894" s="3" t="s">
        <v>6249</v>
      </c>
      <c r="D1894" s="3" t="s">
        <v>6250</v>
      </c>
      <c r="E1894" s="3" t="s">
        <v>867</v>
      </c>
      <c r="F1894" s="3">
        <v>35.98</v>
      </c>
      <c r="G1894" s="3" t="s">
        <v>3391</v>
      </c>
      <c r="H1894" s="3"/>
      <c r="I1894" s="3" t="s">
        <v>3392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0</v>
      </c>
      <c r="P1894" s="3">
        <v>0</v>
      </c>
      <c r="Q1894" s="3">
        <v>0</v>
      </c>
      <c r="R1894" s="3">
        <v>0</v>
      </c>
    </row>
    <row r="1895" spans="1:18">
      <c r="A1895" s="3" t="s">
        <v>6251</v>
      </c>
      <c r="B1895" s="3" t="s">
        <v>6252</v>
      </c>
      <c r="C1895" s="3" t="s">
        <v>6253</v>
      </c>
      <c r="D1895" s="3" t="s">
        <v>6254</v>
      </c>
      <c r="E1895" s="3" t="s">
        <v>867</v>
      </c>
      <c r="F1895" s="3">
        <v>35.98</v>
      </c>
      <c r="G1895" s="3" t="s">
        <v>3391</v>
      </c>
      <c r="H1895" s="3"/>
      <c r="I1895" s="3" t="s">
        <v>3392</v>
      </c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>
        <v>0</v>
      </c>
      <c r="P1895" s="3">
        <v>0</v>
      </c>
      <c r="Q1895" s="3">
        <v>0</v>
      </c>
      <c r="R1895" s="3">
        <v>0</v>
      </c>
    </row>
    <row r="1896" spans="1:18">
      <c r="A1896" s="3" t="s">
        <v>6255</v>
      </c>
      <c r="B1896" s="3" t="s">
        <v>6256</v>
      </c>
      <c r="C1896" s="3" t="s">
        <v>6257</v>
      </c>
      <c r="D1896" s="3" t="s">
        <v>6258</v>
      </c>
      <c r="E1896" s="3" t="s">
        <v>867</v>
      </c>
      <c r="F1896" s="3">
        <v>35.98</v>
      </c>
      <c r="G1896" s="3" t="s">
        <v>3391</v>
      </c>
      <c r="H1896" s="3"/>
      <c r="I1896" s="3" t="s">
        <v>3392</v>
      </c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>
        <v>0</v>
      </c>
      <c r="P1896" s="3">
        <v>0</v>
      </c>
      <c r="Q1896" s="3">
        <v>0</v>
      </c>
      <c r="R1896" s="3">
        <v>0</v>
      </c>
    </row>
    <row r="1897" spans="1:18">
      <c r="A1897" s="3" t="s">
        <v>6259</v>
      </c>
      <c r="B1897" s="3" t="s">
        <v>6260</v>
      </c>
      <c r="C1897" s="3" t="s">
        <v>6261</v>
      </c>
      <c r="D1897" s="3" t="s">
        <v>6262</v>
      </c>
      <c r="E1897" s="3" t="s">
        <v>867</v>
      </c>
      <c r="F1897" s="3">
        <v>35.98</v>
      </c>
      <c r="G1897" s="3" t="s">
        <v>3391</v>
      </c>
      <c r="H1897" s="3"/>
      <c r="I1897" s="3" t="s">
        <v>3392</v>
      </c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>
        <v>0</v>
      </c>
      <c r="P1897" s="3">
        <v>0</v>
      </c>
      <c r="Q1897" s="3">
        <v>0</v>
      </c>
      <c r="R1897" s="3">
        <v>0</v>
      </c>
    </row>
    <row r="1898" spans="1:18">
      <c r="A1898" s="3" t="s">
        <v>6263</v>
      </c>
      <c r="B1898" s="3" t="s">
        <v>6264</v>
      </c>
      <c r="C1898" s="3" t="s">
        <v>6265</v>
      </c>
      <c r="D1898" s="3" t="s">
        <v>6266</v>
      </c>
      <c r="E1898" s="3" t="s">
        <v>867</v>
      </c>
      <c r="F1898" s="3">
        <v>35.98</v>
      </c>
      <c r="G1898" s="3" t="s">
        <v>3391</v>
      </c>
      <c r="H1898" s="3"/>
      <c r="I1898" s="3" t="s">
        <v>3392</v>
      </c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>
        <v>0</v>
      </c>
      <c r="P1898" s="3">
        <v>0</v>
      </c>
      <c r="Q1898" s="3">
        <v>0</v>
      </c>
      <c r="R1898" s="3">
        <v>0</v>
      </c>
    </row>
    <row r="1899" spans="1:18">
      <c r="A1899" s="3" t="s">
        <v>6267</v>
      </c>
      <c r="B1899" s="3" t="s">
        <v>6268</v>
      </c>
      <c r="C1899" s="3" t="s">
        <v>6269</v>
      </c>
      <c r="D1899" s="3" t="s">
        <v>6270</v>
      </c>
      <c r="E1899" s="3" t="s">
        <v>867</v>
      </c>
      <c r="F1899" s="3">
        <v>35.98</v>
      </c>
      <c r="G1899" s="3" t="s">
        <v>3391</v>
      </c>
      <c r="H1899" s="3"/>
      <c r="I1899" s="3" t="s">
        <v>3392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</v>
      </c>
      <c r="P1899" s="3">
        <v>0</v>
      </c>
      <c r="Q1899" s="3">
        <v>0</v>
      </c>
      <c r="R1899" s="3">
        <v>0</v>
      </c>
    </row>
    <row r="1900" spans="1:18">
      <c r="A1900" s="3" t="s">
        <v>6271</v>
      </c>
      <c r="B1900" s="3" t="s">
        <v>6272</v>
      </c>
      <c r="C1900" s="3" t="s">
        <v>6273</v>
      </c>
      <c r="D1900" s="3" t="s">
        <v>6274</v>
      </c>
      <c r="E1900" s="3" t="s">
        <v>867</v>
      </c>
      <c r="F1900" s="3">
        <v>35.98</v>
      </c>
      <c r="G1900" s="3" t="s">
        <v>3391</v>
      </c>
      <c r="H1900" s="3"/>
      <c r="I1900" s="3" t="s">
        <v>3392</v>
      </c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>
        <v>0</v>
      </c>
      <c r="P1900" s="3">
        <v>0</v>
      </c>
      <c r="Q1900" s="3">
        <v>0</v>
      </c>
      <c r="R1900" s="3">
        <v>0</v>
      </c>
    </row>
    <row r="1901" spans="1:18">
      <c r="A1901" s="3" t="s">
        <v>6275</v>
      </c>
      <c r="B1901" s="3" t="s">
        <v>6276</v>
      </c>
      <c r="C1901" s="3" t="s">
        <v>6277</v>
      </c>
      <c r="D1901" s="3" t="s">
        <v>6278</v>
      </c>
      <c r="E1901" s="3" t="s">
        <v>867</v>
      </c>
      <c r="F1901" s="3">
        <v>35.98</v>
      </c>
      <c r="G1901" s="3" t="s">
        <v>3391</v>
      </c>
      <c r="H1901" s="3"/>
      <c r="I1901" s="3" t="s">
        <v>3392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0</v>
      </c>
      <c r="P1901" s="3">
        <v>0</v>
      </c>
      <c r="Q1901" s="3">
        <v>0</v>
      </c>
      <c r="R1901" s="3">
        <v>0</v>
      </c>
    </row>
    <row r="1902" spans="1:18">
      <c r="A1902" s="3" t="s">
        <v>6279</v>
      </c>
      <c r="B1902" s="3" t="s">
        <v>6280</v>
      </c>
      <c r="C1902" s="3" t="s">
        <v>6281</v>
      </c>
      <c r="D1902" s="3" t="s">
        <v>6282</v>
      </c>
      <c r="E1902" s="3" t="s">
        <v>867</v>
      </c>
      <c r="F1902" s="3">
        <v>35.98</v>
      </c>
      <c r="G1902" s="3" t="s">
        <v>3391</v>
      </c>
      <c r="H1902" s="3"/>
      <c r="I1902" s="3" t="s">
        <v>3392</v>
      </c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>
        <v>0</v>
      </c>
      <c r="P1902" s="3">
        <v>0</v>
      </c>
      <c r="Q1902" s="3">
        <v>0</v>
      </c>
      <c r="R1902" s="3">
        <v>0</v>
      </c>
    </row>
    <row r="1903" spans="1:18">
      <c r="A1903" s="3" t="s">
        <v>6283</v>
      </c>
      <c r="B1903" s="3" t="s">
        <v>6284</v>
      </c>
      <c r="C1903" s="3" t="s">
        <v>6285</v>
      </c>
      <c r="D1903" s="3" t="s">
        <v>6286</v>
      </c>
      <c r="E1903" s="3" t="s">
        <v>867</v>
      </c>
      <c r="F1903" s="3">
        <v>35.98</v>
      </c>
      <c r="G1903" s="3" t="s">
        <v>3391</v>
      </c>
      <c r="H1903" s="3"/>
      <c r="I1903" s="3" t="s">
        <v>3392</v>
      </c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>
        <v>0</v>
      </c>
      <c r="P1903" s="3">
        <v>0</v>
      </c>
      <c r="Q1903" s="3">
        <v>0</v>
      </c>
      <c r="R1903" s="3">
        <v>0</v>
      </c>
    </row>
    <row r="1904" spans="1:18">
      <c r="A1904" s="3" t="s">
        <v>6287</v>
      </c>
      <c r="B1904" s="3" t="s">
        <v>6288</v>
      </c>
      <c r="C1904" s="3" t="s">
        <v>6289</v>
      </c>
      <c r="D1904" s="3" t="s">
        <v>6290</v>
      </c>
      <c r="E1904" s="3" t="s">
        <v>867</v>
      </c>
      <c r="F1904" s="3">
        <v>35.98</v>
      </c>
      <c r="G1904" s="3" t="s">
        <v>3391</v>
      </c>
      <c r="H1904" s="3"/>
      <c r="I1904" s="3" t="s">
        <v>3392</v>
      </c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>
        <v>0</v>
      </c>
      <c r="P1904" s="3">
        <v>0</v>
      </c>
      <c r="Q1904" s="3">
        <v>0</v>
      </c>
      <c r="R1904" s="3">
        <v>0</v>
      </c>
    </row>
    <row r="1905" spans="1:18">
      <c r="A1905" s="3" t="s">
        <v>6291</v>
      </c>
      <c r="B1905" s="3" t="s">
        <v>6292</v>
      </c>
      <c r="C1905" s="3" t="s">
        <v>6293</v>
      </c>
      <c r="D1905" s="3" t="s">
        <v>6294</v>
      </c>
      <c r="E1905" s="3" t="s">
        <v>867</v>
      </c>
      <c r="F1905" s="3">
        <v>35.98</v>
      </c>
      <c r="G1905" s="3" t="s">
        <v>3391</v>
      </c>
      <c r="H1905" s="3"/>
      <c r="I1905" s="3" t="s">
        <v>3392</v>
      </c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>
        <v>0</v>
      </c>
      <c r="P1905" s="3">
        <v>0</v>
      </c>
      <c r="Q1905" s="3">
        <v>0</v>
      </c>
      <c r="R1905" s="3">
        <v>0</v>
      </c>
    </row>
    <row r="1906" spans="1:18">
      <c r="A1906" s="3" t="s">
        <v>6295</v>
      </c>
      <c r="B1906" s="3" t="s">
        <v>6296</v>
      </c>
      <c r="C1906" s="3" t="s">
        <v>6297</v>
      </c>
      <c r="D1906" s="3" t="s">
        <v>6298</v>
      </c>
      <c r="E1906" s="3" t="s">
        <v>867</v>
      </c>
      <c r="F1906" s="3">
        <v>35.98</v>
      </c>
      <c r="G1906" s="3" t="s">
        <v>3391</v>
      </c>
      <c r="H1906" s="3"/>
      <c r="I1906" s="3" t="s">
        <v>3392</v>
      </c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>
        <v>0</v>
      </c>
      <c r="P1906" s="3">
        <v>0</v>
      </c>
      <c r="Q1906" s="3">
        <v>0</v>
      </c>
      <c r="R1906" s="3">
        <v>0</v>
      </c>
    </row>
    <row r="1907" spans="1:18">
      <c r="A1907" s="3" t="s">
        <v>6299</v>
      </c>
      <c r="B1907" s="3" t="s">
        <v>6300</v>
      </c>
      <c r="C1907" s="3" t="s">
        <v>6301</v>
      </c>
      <c r="D1907" s="3" t="s">
        <v>6302</v>
      </c>
      <c r="E1907" s="3" t="s">
        <v>867</v>
      </c>
      <c r="F1907" s="3">
        <v>35.98</v>
      </c>
      <c r="G1907" s="3" t="s">
        <v>3391</v>
      </c>
      <c r="H1907" s="3"/>
      <c r="I1907" s="3" t="s">
        <v>3392</v>
      </c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>
        <v>0</v>
      </c>
      <c r="P1907" s="3">
        <v>0</v>
      </c>
      <c r="Q1907" s="3">
        <v>0</v>
      </c>
      <c r="R1907" s="3">
        <v>0</v>
      </c>
    </row>
    <row r="1908" spans="1:18">
      <c r="A1908" s="3" t="s">
        <v>6303</v>
      </c>
      <c r="B1908" s="3" t="s">
        <v>6304</v>
      </c>
      <c r="C1908" s="3" t="s">
        <v>6305</v>
      </c>
      <c r="D1908" s="3" t="s">
        <v>6306</v>
      </c>
      <c r="E1908" s="3" t="s">
        <v>867</v>
      </c>
      <c r="F1908" s="3">
        <v>35.98</v>
      </c>
      <c r="G1908" s="3" t="s">
        <v>3391</v>
      </c>
      <c r="H1908" s="3"/>
      <c r="I1908" s="3" t="s">
        <v>3392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0</v>
      </c>
      <c r="P1908" s="3">
        <v>0</v>
      </c>
      <c r="Q1908" s="3">
        <v>0</v>
      </c>
      <c r="R1908" s="3">
        <v>0</v>
      </c>
    </row>
    <row r="1909" spans="1:18">
      <c r="A1909" s="3" t="s">
        <v>6307</v>
      </c>
      <c r="B1909" s="3" t="s">
        <v>6308</v>
      </c>
      <c r="C1909" s="3" t="s">
        <v>6309</v>
      </c>
      <c r="D1909" s="3" t="s">
        <v>6310</v>
      </c>
      <c r="E1909" s="3" t="s">
        <v>867</v>
      </c>
      <c r="F1909" s="3">
        <v>35.98</v>
      </c>
      <c r="G1909" s="3" t="s">
        <v>3391</v>
      </c>
      <c r="H1909" s="3"/>
      <c r="I1909" s="3" t="s">
        <v>3392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0</v>
      </c>
      <c r="P1909" s="3">
        <v>0</v>
      </c>
      <c r="Q1909" s="3">
        <v>0</v>
      </c>
      <c r="R1909" s="3">
        <v>0</v>
      </c>
    </row>
    <row r="1910" spans="1:18">
      <c r="A1910" s="3" t="s">
        <v>6311</v>
      </c>
      <c r="B1910" s="3" t="s">
        <v>6312</v>
      </c>
      <c r="C1910" s="3" t="s">
        <v>6313</v>
      </c>
      <c r="D1910" s="3" t="s">
        <v>6314</v>
      </c>
      <c r="E1910" s="3" t="s">
        <v>867</v>
      </c>
      <c r="F1910" s="3">
        <v>35.98</v>
      </c>
      <c r="G1910" s="3" t="s">
        <v>3391</v>
      </c>
      <c r="H1910" s="3"/>
      <c r="I1910" s="3" t="s">
        <v>3392</v>
      </c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>
        <v>0</v>
      </c>
      <c r="P1910" s="3">
        <v>0</v>
      </c>
      <c r="Q1910" s="3">
        <v>0</v>
      </c>
      <c r="R1910" s="3">
        <v>0</v>
      </c>
    </row>
    <row r="1911" spans="1:18">
      <c r="A1911" s="3" t="s">
        <v>6315</v>
      </c>
      <c r="B1911" s="3" t="s">
        <v>6316</v>
      </c>
      <c r="C1911" s="3" t="s">
        <v>6317</v>
      </c>
      <c r="D1911" s="3" t="s">
        <v>6318</v>
      </c>
      <c r="E1911" s="3" t="s">
        <v>867</v>
      </c>
      <c r="F1911" s="3">
        <v>35.98</v>
      </c>
      <c r="G1911" s="3" t="s">
        <v>3391</v>
      </c>
      <c r="H1911" s="3"/>
      <c r="I1911" s="3" t="s">
        <v>3392</v>
      </c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>
        <v>0</v>
      </c>
      <c r="P1911" s="3">
        <v>0</v>
      </c>
      <c r="Q1911" s="3">
        <v>0</v>
      </c>
      <c r="R1911" s="3">
        <v>0</v>
      </c>
    </row>
    <row r="1912" spans="1:18">
      <c r="A1912" s="3" t="s">
        <v>6319</v>
      </c>
      <c r="B1912" s="3" t="s">
        <v>6320</v>
      </c>
      <c r="C1912" s="3" t="s">
        <v>6321</v>
      </c>
      <c r="D1912" s="3" t="s">
        <v>6322</v>
      </c>
      <c r="E1912" s="3" t="s">
        <v>867</v>
      </c>
      <c r="F1912" s="3">
        <v>35.98</v>
      </c>
      <c r="G1912" s="3" t="s">
        <v>3391</v>
      </c>
      <c r="H1912" s="3"/>
      <c r="I1912" s="3" t="s">
        <v>3392</v>
      </c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>
        <v>0</v>
      </c>
      <c r="P1912" s="3">
        <v>0</v>
      </c>
      <c r="Q1912" s="3">
        <v>0</v>
      </c>
      <c r="R1912" s="3">
        <v>0</v>
      </c>
    </row>
    <row r="1913" spans="1:18">
      <c r="A1913" s="3" t="s">
        <v>6323</v>
      </c>
      <c r="B1913" s="3" t="s">
        <v>6324</v>
      </c>
      <c r="C1913" s="3" t="s">
        <v>6325</v>
      </c>
      <c r="D1913" s="3" t="s">
        <v>6326</v>
      </c>
      <c r="E1913" s="3" t="s">
        <v>867</v>
      </c>
      <c r="F1913" s="3">
        <v>35.98</v>
      </c>
      <c r="G1913" s="3" t="s">
        <v>3391</v>
      </c>
      <c r="H1913" s="3"/>
      <c r="I1913" s="3" t="s">
        <v>3392</v>
      </c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>
        <v>0</v>
      </c>
      <c r="P1913" s="3">
        <v>0</v>
      </c>
      <c r="Q1913" s="3">
        <v>0</v>
      </c>
      <c r="R1913" s="3">
        <v>0</v>
      </c>
    </row>
    <row r="1914" spans="1:18">
      <c r="A1914" s="3" t="s">
        <v>6327</v>
      </c>
      <c r="B1914" s="3" t="s">
        <v>6328</v>
      </c>
      <c r="C1914" s="3" t="s">
        <v>6329</v>
      </c>
      <c r="D1914" s="3" t="s">
        <v>6330</v>
      </c>
      <c r="E1914" s="3" t="s">
        <v>867</v>
      </c>
      <c r="F1914" s="3">
        <v>35.98</v>
      </c>
      <c r="G1914" s="3" t="s">
        <v>3391</v>
      </c>
      <c r="H1914" s="3"/>
      <c r="I1914" s="3" t="s">
        <v>3392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0</v>
      </c>
      <c r="P1914" s="3">
        <v>0</v>
      </c>
      <c r="Q1914" s="3">
        <v>0</v>
      </c>
      <c r="R1914" s="3">
        <v>0</v>
      </c>
    </row>
    <row r="1915" spans="1:18">
      <c r="A1915" s="3" t="s">
        <v>6331</v>
      </c>
      <c r="B1915" s="3" t="s">
        <v>6332</v>
      </c>
      <c r="C1915" s="3" t="s">
        <v>6333</v>
      </c>
      <c r="D1915" s="3" t="s">
        <v>5078</v>
      </c>
      <c r="E1915" s="3" t="s">
        <v>867</v>
      </c>
      <c r="F1915" s="3">
        <v>39.98</v>
      </c>
      <c r="G1915" s="3" t="s">
        <v>3391</v>
      </c>
      <c r="H1915" s="3"/>
      <c r="I1915" s="3" t="s">
        <v>3392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0</v>
      </c>
      <c r="P1915" s="3">
        <v>0</v>
      </c>
      <c r="Q1915" s="3">
        <v>0</v>
      </c>
      <c r="R1915" s="3">
        <v>0</v>
      </c>
    </row>
    <row r="1916" spans="1:18">
      <c r="A1916" s="3" t="s">
        <v>6334</v>
      </c>
      <c r="B1916" s="3" t="s">
        <v>6335</v>
      </c>
      <c r="C1916" s="3" t="s">
        <v>6336</v>
      </c>
      <c r="D1916" s="3" t="s">
        <v>5082</v>
      </c>
      <c r="E1916" s="3" t="s">
        <v>867</v>
      </c>
      <c r="F1916" s="3">
        <v>39.98</v>
      </c>
      <c r="G1916" s="3" t="s">
        <v>3391</v>
      </c>
      <c r="H1916" s="3"/>
      <c r="I1916" s="3" t="s">
        <v>3392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0</v>
      </c>
      <c r="P1916" s="3">
        <v>0</v>
      </c>
      <c r="Q1916" s="3">
        <v>0</v>
      </c>
      <c r="R1916" s="3">
        <v>0</v>
      </c>
    </row>
    <row r="1917" spans="1:18">
      <c r="A1917" s="3" t="s">
        <v>6337</v>
      </c>
      <c r="B1917" s="3" t="s">
        <v>6338</v>
      </c>
      <c r="C1917" s="3" t="s">
        <v>6339</v>
      </c>
      <c r="D1917" s="3" t="s">
        <v>5094</v>
      </c>
      <c r="E1917" s="3" t="s">
        <v>867</v>
      </c>
      <c r="F1917" s="3">
        <v>39.98</v>
      </c>
      <c r="G1917" s="3" t="s">
        <v>3391</v>
      </c>
      <c r="H1917" s="3"/>
      <c r="I1917" s="3" t="s">
        <v>3392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0</v>
      </c>
      <c r="P1917" s="3">
        <v>0</v>
      </c>
      <c r="Q1917" s="3">
        <v>0</v>
      </c>
      <c r="R1917" s="3">
        <v>0</v>
      </c>
    </row>
    <row r="1918" spans="1:18">
      <c r="A1918" s="3" t="s">
        <v>6340</v>
      </c>
      <c r="B1918" s="3" t="s">
        <v>6341</v>
      </c>
      <c r="C1918" s="3" t="s">
        <v>6342</v>
      </c>
      <c r="D1918" s="3" t="s">
        <v>2853</v>
      </c>
      <c r="E1918" s="3" t="s">
        <v>867</v>
      </c>
      <c r="F1918" s="3">
        <v>39.98</v>
      </c>
      <c r="G1918" s="3" t="s">
        <v>3391</v>
      </c>
      <c r="H1918" s="3"/>
      <c r="I1918" s="3" t="s">
        <v>3392</v>
      </c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>
        <v>0</v>
      </c>
      <c r="P1918" s="3">
        <v>0</v>
      </c>
      <c r="Q1918" s="3">
        <v>0</v>
      </c>
      <c r="R1918" s="3">
        <v>0</v>
      </c>
    </row>
    <row r="1919" spans="1:18">
      <c r="A1919" s="3" t="s">
        <v>6343</v>
      </c>
      <c r="B1919" s="3" t="s">
        <v>6344</v>
      </c>
      <c r="C1919" s="3" t="s">
        <v>6345</v>
      </c>
      <c r="D1919" s="3" t="s">
        <v>6346</v>
      </c>
      <c r="E1919" s="3" t="s">
        <v>867</v>
      </c>
      <c r="F1919" s="3">
        <v>39.98</v>
      </c>
      <c r="G1919" s="3" t="s">
        <v>3391</v>
      </c>
      <c r="H1919" s="3"/>
      <c r="I1919" s="3" t="s">
        <v>3392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0</v>
      </c>
      <c r="P1919" s="3">
        <v>0</v>
      </c>
      <c r="Q1919" s="3">
        <v>0</v>
      </c>
      <c r="R1919" s="3">
        <v>0</v>
      </c>
    </row>
    <row r="1920" spans="1:18">
      <c r="A1920" s="3" t="s">
        <v>6347</v>
      </c>
      <c r="B1920" s="3" t="s">
        <v>6348</v>
      </c>
      <c r="C1920" s="3" t="s">
        <v>6349</v>
      </c>
      <c r="D1920" s="3" t="s">
        <v>995</v>
      </c>
      <c r="E1920" s="3" t="s">
        <v>867</v>
      </c>
      <c r="F1920" s="3">
        <v>39.98</v>
      </c>
      <c r="G1920" s="3" t="s">
        <v>3391</v>
      </c>
      <c r="H1920" s="3"/>
      <c r="I1920" s="3" t="s">
        <v>3392</v>
      </c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>
        <v>0</v>
      </c>
      <c r="P1920" s="3">
        <v>0</v>
      </c>
      <c r="Q1920" s="3">
        <v>0</v>
      </c>
      <c r="R1920" s="3">
        <v>0</v>
      </c>
    </row>
    <row r="1921" spans="1:18">
      <c r="A1921" s="3" t="s">
        <v>6350</v>
      </c>
      <c r="B1921" s="3" t="s">
        <v>6351</v>
      </c>
      <c r="C1921" s="3" t="s">
        <v>6352</v>
      </c>
      <c r="D1921" s="3" t="s">
        <v>5106</v>
      </c>
      <c r="E1921" s="3" t="s">
        <v>867</v>
      </c>
      <c r="F1921" s="3">
        <v>39.98</v>
      </c>
      <c r="G1921" s="3" t="s">
        <v>3391</v>
      </c>
      <c r="H1921" s="3"/>
      <c r="I1921" s="3" t="s">
        <v>3392</v>
      </c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>
        <v>0</v>
      </c>
      <c r="P1921" s="3">
        <v>0</v>
      </c>
      <c r="Q1921" s="3">
        <v>0</v>
      </c>
      <c r="R1921" s="3">
        <v>0</v>
      </c>
    </row>
    <row r="1922" spans="1:18">
      <c r="A1922" s="3" t="s">
        <v>6353</v>
      </c>
      <c r="B1922" s="3" t="s">
        <v>6354</v>
      </c>
      <c r="C1922" s="3" t="s">
        <v>6355</v>
      </c>
      <c r="D1922" s="3" t="s">
        <v>6356</v>
      </c>
      <c r="E1922" s="3" t="s">
        <v>867</v>
      </c>
      <c r="F1922" s="3">
        <v>39.98</v>
      </c>
      <c r="G1922" s="3" t="s">
        <v>3391</v>
      </c>
      <c r="H1922" s="3"/>
      <c r="I1922" s="3" t="s">
        <v>3392</v>
      </c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>
        <v>0</v>
      </c>
      <c r="P1922" s="3">
        <v>0</v>
      </c>
      <c r="Q1922" s="3">
        <v>0</v>
      </c>
      <c r="R1922" s="3">
        <v>0</v>
      </c>
    </row>
    <row r="1923" spans="1:18">
      <c r="A1923" s="3" t="s">
        <v>6357</v>
      </c>
      <c r="B1923" s="3" t="s">
        <v>6358</v>
      </c>
      <c r="C1923" s="3" t="s">
        <v>6359</v>
      </c>
      <c r="D1923" s="3" t="s">
        <v>1554</v>
      </c>
      <c r="E1923" s="3" t="s">
        <v>867</v>
      </c>
      <c r="F1923" s="3">
        <v>39.98</v>
      </c>
      <c r="G1923" s="3" t="s">
        <v>3391</v>
      </c>
      <c r="H1923" s="3"/>
      <c r="I1923" s="3" t="s">
        <v>3392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0</v>
      </c>
      <c r="P1923" s="3">
        <v>0</v>
      </c>
      <c r="Q1923" s="3">
        <v>0</v>
      </c>
      <c r="R1923" s="3">
        <v>0</v>
      </c>
    </row>
    <row r="1924" spans="1:18">
      <c r="A1924" s="3" t="s">
        <v>6360</v>
      </c>
      <c r="B1924" s="3" t="s">
        <v>6361</v>
      </c>
      <c r="C1924" s="3" t="s">
        <v>6362</v>
      </c>
      <c r="D1924" s="3" t="s">
        <v>5086</v>
      </c>
      <c r="E1924" s="3" t="s">
        <v>867</v>
      </c>
      <c r="F1924" s="3">
        <v>39.98</v>
      </c>
      <c r="G1924" s="3" t="s">
        <v>3391</v>
      </c>
      <c r="H1924" s="3"/>
      <c r="I1924" s="3" t="s">
        <v>3392</v>
      </c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>
        <v>0</v>
      </c>
      <c r="P1924" s="3">
        <v>0</v>
      </c>
      <c r="Q1924" s="3">
        <v>0</v>
      </c>
      <c r="R1924" s="3">
        <v>0</v>
      </c>
    </row>
    <row r="1925" spans="1:18">
      <c r="A1925" s="3" t="s">
        <v>6363</v>
      </c>
      <c r="B1925" s="3" t="s">
        <v>6364</v>
      </c>
      <c r="C1925" s="3" t="s">
        <v>6364</v>
      </c>
      <c r="D1925" s="3" t="s">
        <v>6365</v>
      </c>
      <c r="E1925" s="3" t="s">
        <v>867</v>
      </c>
      <c r="F1925" s="3">
        <v>39.98</v>
      </c>
      <c r="G1925" s="3" t="s">
        <v>3391</v>
      </c>
      <c r="H1925" s="3"/>
      <c r="I1925" s="3" t="s">
        <v>3392</v>
      </c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>
        <v>0.14</v>
      </c>
      <c r="P1925" s="3">
        <v>0</v>
      </c>
      <c r="Q1925" s="3">
        <v>0</v>
      </c>
      <c r="R1925" s="3">
        <v>0</v>
      </c>
    </row>
    <row r="1926" spans="1:18">
      <c r="A1926" s="3" t="s">
        <v>6366</v>
      </c>
      <c r="B1926" s="3" t="s">
        <v>6367</v>
      </c>
      <c r="C1926" s="3" t="s">
        <v>6367</v>
      </c>
      <c r="D1926" s="3" t="s">
        <v>6368</v>
      </c>
      <c r="E1926" s="3" t="s">
        <v>867</v>
      </c>
      <c r="F1926" s="3">
        <v>39.98</v>
      </c>
      <c r="G1926" s="3" t="s">
        <v>3391</v>
      </c>
      <c r="H1926" s="3"/>
      <c r="I1926" s="3" t="s">
        <v>3392</v>
      </c>
      <c r="J1926" s="3">
        <v>0</v>
      </c>
      <c r="K1926" s="3">
        <v>0</v>
      </c>
      <c r="L1926" s="3">
        <v>0</v>
      </c>
      <c r="M1926" s="3">
        <v>0</v>
      </c>
      <c r="N1926" s="3">
        <v>0</v>
      </c>
      <c r="O1926" s="3">
        <v>0.14</v>
      </c>
      <c r="P1926" s="3">
        <v>0</v>
      </c>
      <c r="Q1926" s="3">
        <v>0</v>
      </c>
      <c r="R1926" s="3">
        <v>0</v>
      </c>
    </row>
    <row r="1927" spans="1:18">
      <c r="A1927" s="3" t="s">
        <v>634</v>
      </c>
      <c r="B1927" s="3" t="s">
        <v>635</v>
      </c>
      <c r="C1927" s="3" t="s">
        <v>635</v>
      </c>
      <c r="D1927" s="3" t="s">
        <v>636</v>
      </c>
      <c r="E1927" s="3" t="s">
        <v>867</v>
      </c>
      <c r="F1927" s="3">
        <v>39.98</v>
      </c>
      <c r="G1927" s="3" t="s">
        <v>3391</v>
      </c>
      <c r="H1927" s="3"/>
      <c r="I1927" s="3" t="s">
        <v>3392</v>
      </c>
      <c r="J1927" s="3">
        <v>1</v>
      </c>
      <c r="K1927" s="3">
        <v>0</v>
      </c>
      <c r="L1927" s="3">
        <v>0</v>
      </c>
      <c r="M1927" s="3">
        <v>1</v>
      </c>
      <c r="N1927" s="3">
        <v>1</v>
      </c>
      <c r="O1927" s="3">
        <v>0.14</v>
      </c>
      <c r="P1927" s="3">
        <v>0</v>
      </c>
      <c r="Q1927" s="3">
        <v>0</v>
      </c>
      <c r="R1927" s="3">
        <v>0</v>
      </c>
    </row>
    <row r="1928" spans="1:18">
      <c r="A1928" s="3" t="s">
        <v>6369</v>
      </c>
      <c r="B1928" s="3" t="s">
        <v>6370</v>
      </c>
      <c r="C1928" s="3" t="s">
        <v>6370</v>
      </c>
      <c r="D1928" s="3" t="s">
        <v>6371</v>
      </c>
      <c r="E1928" s="3" t="s">
        <v>867</v>
      </c>
      <c r="F1928" s="3">
        <v>39.98</v>
      </c>
      <c r="G1928" s="3" t="s">
        <v>3391</v>
      </c>
      <c r="H1928" s="3"/>
      <c r="I1928" s="3" t="s">
        <v>3392</v>
      </c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>
        <v>0.14</v>
      </c>
      <c r="P1928" s="3">
        <v>0</v>
      </c>
      <c r="Q1928" s="3">
        <v>0</v>
      </c>
      <c r="R1928" s="3">
        <v>0</v>
      </c>
    </row>
    <row r="1929" spans="1:18">
      <c r="A1929" s="3" t="s">
        <v>6372</v>
      </c>
      <c r="B1929" s="3" t="s">
        <v>6373</v>
      </c>
      <c r="C1929" s="3" t="s">
        <v>6373</v>
      </c>
      <c r="D1929" s="3" t="s">
        <v>6374</v>
      </c>
      <c r="E1929" s="3" t="s">
        <v>867</v>
      </c>
      <c r="F1929" s="3">
        <v>39.98</v>
      </c>
      <c r="G1929" s="3" t="s">
        <v>3391</v>
      </c>
      <c r="H1929" s="3"/>
      <c r="I1929" s="3" t="s">
        <v>3392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0.14</v>
      </c>
      <c r="P1929" s="3">
        <v>0</v>
      </c>
      <c r="Q1929" s="3">
        <v>0</v>
      </c>
      <c r="R1929" s="3">
        <v>0</v>
      </c>
    </row>
    <row r="1930" spans="1:18">
      <c r="A1930" s="3" t="s">
        <v>6375</v>
      </c>
      <c r="B1930" s="3" t="s">
        <v>6376</v>
      </c>
      <c r="C1930" s="3" t="s">
        <v>6376</v>
      </c>
      <c r="D1930" s="3" t="s">
        <v>6377</v>
      </c>
      <c r="E1930" s="3" t="s">
        <v>867</v>
      </c>
      <c r="F1930" s="3">
        <v>39.98</v>
      </c>
      <c r="G1930" s="3" t="s">
        <v>3391</v>
      </c>
      <c r="H1930" s="3"/>
      <c r="I1930" s="3" t="s">
        <v>3392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0.14</v>
      </c>
      <c r="P1930" s="3">
        <v>0</v>
      </c>
      <c r="Q1930" s="3">
        <v>0</v>
      </c>
      <c r="R1930" s="3">
        <v>0</v>
      </c>
    </row>
    <row r="1931" spans="1:18">
      <c r="A1931" s="3" t="s">
        <v>6378</v>
      </c>
      <c r="B1931" s="3" t="s">
        <v>6379</v>
      </c>
      <c r="C1931" s="3" t="s">
        <v>6379</v>
      </c>
      <c r="D1931" s="3" t="s">
        <v>6380</v>
      </c>
      <c r="E1931" s="3" t="s">
        <v>867</v>
      </c>
      <c r="F1931" s="3">
        <v>39.98</v>
      </c>
      <c r="G1931" s="3" t="s">
        <v>3391</v>
      </c>
      <c r="H1931" s="3"/>
      <c r="I1931" s="3" t="s">
        <v>3392</v>
      </c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>
        <v>0.14</v>
      </c>
      <c r="P1931" s="3">
        <v>0</v>
      </c>
      <c r="Q1931" s="3">
        <v>0</v>
      </c>
      <c r="R1931" s="3">
        <v>0</v>
      </c>
    </row>
    <row r="1932" spans="1:18">
      <c r="A1932" s="3" t="s">
        <v>6381</v>
      </c>
      <c r="B1932" s="3" t="s">
        <v>6382</v>
      </c>
      <c r="C1932" s="3" t="s">
        <v>6382</v>
      </c>
      <c r="D1932" s="3" t="s">
        <v>6383</v>
      </c>
      <c r="E1932" s="3" t="s">
        <v>867</v>
      </c>
      <c r="F1932" s="3">
        <v>39.98</v>
      </c>
      <c r="G1932" s="3" t="s">
        <v>3391</v>
      </c>
      <c r="H1932" s="3"/>
      <c r="I1932" s="3" t="s">
        <v>3392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0.14</v>
      </c>
      <c r="P1932" s="3">
        <v>0</v>
      </c>
      <c r="Q1932" s="3">
        <v>0</v>
      </c>
      <c r="R1932" s="3">
        <v>0</v>
      </c>
    </row>
    <row r="1933" spans="1:18">
      <c r="A1933" s="3" t="s">
        <v>6384</v>
      </c>
      <c r="B1933" s="3" t="s">
        <v>6385</v>
      </c>
      <c r="C1933" s="3" t="s">
        <v>6385</v>
      </c>
      <c r="D1933" s="3" t="s">
        <v>6386</v>
      </c>
      <c r="E1933" s="3" t="s">
        <v>867</v>
      </c>
      <c r="F1933" s="3">
        <v>39.98</v>
      </c>
      <c r="G1933" s="3" t="s">
        <v>3391</v>
      </c>
      <c r="H1933" s="3"/>
      <c r="I1933" s="3" t="s">
        <v>3392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0.14</v>
      </c>
      <c r="P1933" s="3">
        <v>0</v>
      </c>
      <c r="Q1933" s="3">
        <v>0</v>
      </c>
      <c r="R1933" s="3">
        <v>0</v>
      </c>
    </row>
    <row r="1934" spans="1:18">
      <c r="A1934" s="3" t="s">
        <v>3070</v>
      </c>
      <c r="B1934" s="3" t="s">
        <v>3071</v>
      </c>
      <c r="C1934" s="3" t="s">
        <v>3071</v>
      </c>
      <c r="D1934" s="3" t="s">
        <v>3072</v>
      </c>
      <c r="E1934" s="3" t="s">
        <v>867</v>
      </c>
      <c r="F1934" s="3">
        <v>39.98</v>
      </c>
      <c r="G1934" s="3" t="s">
        <v>3391</v>
      </c>
      <c r="H1934" s="3"/>
      <c r="I1934" s="3" t="s">
        <v>3392</v>
      </c>
      <c r="J1934" s="3">
        <v>1</v>
      </c>
      <c r="K1934" s="3">
        <v>1</v>
      </c>
      <c r="L1934" s="3">
        <v>0</v>
      </c>
      <c r="M1934" s="3">
        <v>0</v>
      </c>
      <c r="N1934" s="3">
        <v>1</v>
      </c>
      <c r="O1934" s="3">
        <v>0.14</v>
      </c>
      <c r="P1934" s="3">
        <v>0</v>
      </c>
      <c r="Q1934" s="3">
        <v>0</v>
      </c>
      <c r="R1934" s="3">
        <v>0</v>
      </c>
    </row>
    <row r="1935" spans="1:18">
      <c r="A1935" s="3" t="s">
        <v>2278</v>
      </c>
      <c r="B1935" s="3" t="s">
        <v>2279</v>
      </c>
      <c r="C1935" s="3" t="s">
        <v>2279</v>
      </c>
      <c r="D1935" s="3" t="s">
        <v>2280</v>
      </c>
      <c r="E1935" s="3" t="s">
        <v>867</v>
      </c>
      <c r="F1935" s="3">
        <v>39.98</v>
      </c>
      <c r="G1935" s="3" t="s">
        <v>3391</v>
      </c>
      <c r="H1935" s="3"/>
      <c r="I1935" s="3" t="s">
        <v>3392</v>
      </c>
      <c r="J1935" s="3">
        <v>3</v>
      </c>
      <c r="K1935" s="3">
        <v>3</v>
      </c>
      <c r="L1935" s="3">
        <v>0</v>
      </c>
      <c r="M1935" s="3">
        <v>0</v>
      </c>
      <c r="N1935" s="3">
        <v>3</v>
      </c>
      <c r="O1935" s="3">
        <v>0.08</v>
      </c>
      <c r="P1935" s="3">
        <v>0</v>
      </c>
      <c r="Q1935" s="3">
        <v>0</v>
      </c>
      <c r="R1935" s="3">
        <v>0</v>
      </c>
    </row>
    <row r="1936" spans="1:18">
      <c r="A1936" s="3" t="s">
        <v>6387</v>
      </c>
      <c r="B1936" s="3" t="s">
        <v>6388</v>
      </c>
      <c r="C1936" s="3" t="s">
        <v>6388</v>
      </c>
      <c r="D1936" s="3" t="s">
        <v>6389</v>
      </c>
      <c r="E1936" s="3" t="s">
        <v>867</v>
      </c>
      <c r="F1936" s="3">
        <v>39.98</v>
      </c>
      <c r="G1936" s="3" t="s">
        <v>3391</v>
      </c>
      <c r="H1936" s="3"/>
      <c r="I1936" s="3" t="s">
        <v>3392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0.08</v>
      </c>
      <c r="P1936" s="3">
        <v>0</v>
      </c>
      <c r="Q1936" s="3">
        <v>0</v>
      </c>
      <c r="R1936" s="3">
        <v>0</v>
      </c>
    </row>
    <row r="1937" spans="1:18">
      <c r="A1937" s="3" t="s">
        <v>6390</v>
      </c>
      <c r="B1937" s="3" t="s">
        <v>6391</v>
      </c>
      <c r="C1937" s="3" t="s">
        <v>6391</v>
      </c>
      <c r="D1937" s="3" t="s">
        <v>6392</v>
      </c>
      <c r="E1937" s="3" t="s">
        <v>867</v>
      </c>
      <c r="F1937" s="3">
        <v>39.98</v>
      </c>
      <c r="G1937" s="3" t="s">
        <v>3391</v>
      </c>
      <c r="H1937" s="3"/>
      <c r="I1937" s="3" t="s">
        <v>3392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0.08</v>
      </c>
      <c r="P1937" s="3">
        <v>0</v>
      </c>
      <c r="Q1937" s="3">
        <v>0</v>
      </c>
      <c r="R1937" s="3">
        <v>0</v>
      </c>
    </row>
    <row r="1938" spans="1:18">
      <c r="A1938" s="3" t="s">
        <v>6393</v>
      </c>
      <c r="B1938" s="3" t="s">
        <v>6394</v>
      </c>
      <c r="C1938" s="3" t="s">
        <v>6394</v>
      </c>
      <c r="D1938" s="3" t="s">
        <v>6395</v>
      </c>
      <c r="E1938" s="3" t="s">
        <v>867</v>
      </c>
      <c r="F1938" s="3">
        <v>39.98</v>
      </c>
      <c r="G1938" s="3" t="s">
        <v>3391</v>
      </c>
      <c r="H1938" s="3"/>
      <c r="I1938" s="3" t="s">
        <v>3392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0.08</v>
      </c>
      <c r="P1938" s="3">
        <v>0</v>
      </c>
      <c r="Q1938" s="3">
        <v>0</v>
      </c>
      <c r="R1938" s="3">
        <v>0</v>
      </c>
    </row>
    <row r="1939" spans="1:18">
      <c r="A1939" s="3" t="s">
        <v>6396</v>
      </c>
      <c r="B1939" s="3" t="s">
        <v>6397</v>
      </c>
      <c r="C1939" s="3" t="s">
        <v>6397</v>
      </c>
      <c r="D1939" s="3" t="s">
        <v>6398</v>
      </c>
      <c r="E1939" s="3" t="s">
        <v>867</v>
      </c>
      <c r="F1939" s="3">
        <v>39.98</v>
      </c>
      <c r="G1939" s="3" t="s">
        <v>3391</v>
      </c>
      <c r="H1939" s="3"/>
      <c r="I1939" s="3" t="s">
        <v>3392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0.08</v>
      </c>
      <c r="P1939" s="3">
        <v>0</v>
      </c>
      <c r="Q1939" s="3">
        <v>0</v>
      </c>
      <c r="R1939" s="3">
        <v>0</v>
      </c>
    </row>
    <row r="1940" spans="1:18">
      <c r="A1940" s="3" t="s">
        <v>6399</v>
      </c>
      <c r="B1940" s="3" t="s">
        <v>6400</v>
      </c>
      <c r="C1940" s="3" t="s">
        <v>6400</v>
      </c>
      <c r="D1940" s="3" t="s">
        <v>6401</v>
      </c>
      <c r="E1940" s="3" t="s">
        <v>867</v>
      </c>
      <c r="F1940" s="3">
        <v>39.98</v>
      </c>
      <c r="G1940" s="3" t="s">
        <v>3391</v>
      </c>
      <c r="H1940" s="3"/>
      <c r="I1940" s="3" t="s">
        <v>3392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0.08</v>
      </c>
      <c r="P1940" s="3">
        <v>0</v>
      </c>
      <c r="Q1940" s="3">
        <v>0</v>
      </c>
      <c r="R1940" s="3">
        <v>0</v>
      </c>
    </row>
    <row r="1941" spans="1:18">
      <c r="A1941" s="3" t="s">
        <v>6402</v>
      </c>
      <c r="B1941" s="3" t="s">
        <v>6403</v>
      </c>
      <c r="C1941" s="3" t="s">
        <v>6403</v>
      </c>
      <c r="D1941" s="3" t="s">
        <v>6404</v>
      </c>
      <c r="E1941" s="3" t="s">
        <v>867</v>
      </c>
      <c r="F1941" s="3">
        <v>39.98</v>
      </c>
      <c r="G1941" s="3" t="s">
        <v>3391</v>
      </c>
      <c r="H1941" s="3"/>
      <c r="I1941" s="3" t="s">
        <v>3392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0.08</v>
      </c>
      <c r="P1941" s="3">
        <v>0</v>
      </c>
      <c r="Q1941" s="3">
        <v>0</v>
      </c>
      <c r="R1941" s="3">
        <v>0</v>
      </c>
    </row>
    <row r="1942" spans="1:18">
      <c r="A1942" s="3" t="s">
        <v>6405</v>
      </c>
      <c r="B1942" s="3" t="s">
        <v>6406</v>
      </c>
      <c r="C1942" s="3" t="s">
        <v>6406</v>
      </c>
      <c r="D1942" s="3" t="s">
        <v>6407</v>
      </c>
      <c r="E1942" s="3" t="s">
        <v>867</v>
      </c>
      <c r="F1942" s="3">
        <v>39.98</v>
      </c>
      <c r="G1942" s="3" t="s">
        <v>3391</v>
      </c>
      <c r="H1942" s="3"/>
      <c r="I1942" s="3" t="s">
        <v>3392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0.08</v>
      </c>
      <c r="P1942" s="3">
        <v>0</v>
      </c>
      <c r="Q1942" s="3">
        <v>0</v>
      </c>
      <c r="R1942" s="3">
        <v>0</v>
      </c>
    </row>
    <row r="1943" spans="1:18">
      <c r="A1943" s="3" t="s">
        <v>6408</v>
      </c>
      <c r="B1943" s="3" t="s">
        <v>6409</v>
      </c>
      <c r="C1943" s="3" t="s">
        <v>6409</v>
      </c>
      <c r="D1943" s="3" t="s">
        <v>6410</v>
      </c>
      <c r="E1943" s="3" t="s">
        <v>867</v>
      </c>
      <c r="F1943" s="3">
        <v>39.98</v>
      </c>
      <c r="G1943" s="3" t="s">
        <v>3391</v>
      </c>
      <c r="H1943" s="3"/>
      <c r="I1943" s="3" t="s">
        <v>3392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0.08</v>
      </c>
      <c r="P1943" s="3">
        <v>0</v>
      </c>
      <c r="Q1943" s="3">
        <v>0</v>
      </c>
      <c r="R1943" s="3">
        <v>0</v>
      </c>
    </row>
    <row r="1944" spans="1:18">
      <c r="A1944" s="3" t="s">
        <v>6411</v>
      </c>
      <c r="B1944" s="3" t="s">
        <v>6412</v>
      </c>
      <c r="C1944" s="3" t="s">
        <v>6412</v>
      </c>
      <c r="D1944" s="3" t="s">
        <v>6413</v>
      </c>
      <c r="E1944" s="3" t="s">
        <v>867</v>
      </c>
      <c r="F1944" s="3">
        <v>39.98</v>
      </c>
      <c r="G1944" s="3" t="s">
        <v>3391</v>
      </c>
      <c r="H1944" s="3"/>
      <c r="I1944" s="3" t="s">
        <v>3392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0.08</v>
      </c>
      <c r="P1944" s="3">
        <v>0</v>
      </c>
      <c r="Q1944" s="3">
        <v>0</v>
      </c>
      <c r="R1944" s="3">
        <v>0</v>
      </c>
    </row>
    <row r="1945" spans="1:18">
      <c r="A1945" s="3" t="s">
        <v>6414</v>
      </c>
      <c r="B1945" s="3" t="s">
        <v>6415</v>
      </c>
      <c r="C1945" s="3" t="s">
        <v>6415</v>
      </c>
      <c r="D1945" s="3" t="s">
        <v>6416</v>
      </c>
      <c r="E1945" s="3" t="s">
        <v>867</v>
      </c>
      <c r="F1945" s="3">
        <v>39.98</v>
      </c>
      <c r="G1945" s="3" t="s">
        <v>3391</v>
      </c>
      <c r="H1945" s="3"/>
      <c r="I1945" s="3" t="s">
        <v>3392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0.08</v>
      </c>
      <c r="P1945" s="3">
        <v>0</v>
      </c>
      <c r="Q1945" s="3">
        <v>0</v>
      </c>
      <c r="R1945" s="3">
        <v>0</v>
      </c>
    </row>
    <row r="1946" spans="1:18">
      <c r="A1946" s="3" t="s">
        <v>1234</v>
      </c>
      <c r="B1946" s="3" t="s">
        <v>1235</v>
      </c>
      <c r="C1946" s="3" t="s">
        <v>1235</v>
      </c>
      <c r="D1946" s="3" t="s">
        <v>1236</v>
      </c>
      <c r="E1946" s="3" t="s">
        <v>867</v>
      </c>
      <c r="F1946" s="3">
        <v>39.98</v>
      </c>
      <c r="G1946" s="3" t="s">
        <v>3391</v>
      </c>
      <c r="H1946" s="3"/>
      <c r="I1946" s="3" t="s">
        <v>3392</v>
      </c>
      <c r="J1946" s="3">
        <v>1</v>
      </c>
      <c r="K1946" s="3">
        <v>1</v>
      </c>
      <c r="L1946" s="3">
        <v>0</v>
      </c>
      <c r="M1946" s="3">
        <v>0</v>
      </c>
      <c r="N1946" s="3">
        <v>1</v>
      </c>
      <c r="O1946" s="3">
        <v>0.08</v>
      </c>
      <c r="P1946" s="3">
        <v>0</v>
      </c>
      <c r="Q1946" s="3">
        <v>0</v>
      </c>
      <c r="R1946" s="3">
        <v>0</v>
      </c>
    </row>
    <row r="1947" spans="1:18">
      <c r="A1947" s="3" t="s">
        <v>6417</v>
      </c>
      <c r="B1947" s="3" t="s">
        <v>6418</v>
      </c>
      <c r="C1947" s="3" t="s">
        <v>6418</v>
      </c>
      <c r="D1947" s="3" t="s">
        <v>6419</v>
      </c>
      <c r="E1947" s="3" t="s">
        <v>867</v>
      </c>
      <c r="F1947" s="3">
        <v>39.98</v>
      </c>
      <c r="G1947" s="3" t="s">
        <v>3391</v>
      </c>
      <c r="H1947" s="3"/>
      <c r="I1947" s="3" t="s">
        <v>3392</v>
      </c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>
        <v>0.08</v>
      </c>
      <c r="P1947" s="3">
        <v>0</v>
      </c>
      <c r="Q1947" s="3">
        <v>0</v>
      </c>
      <c r="R1947" s="3">
        <v>0</v>
      </c>
    </row>
    <row r="1948" spans="1:18">
      <c r="A1948" s="3" t="s">
        <v>6420</v>
      </c>
      <c r="B1948" s="3" t="s">
        <v>6421</v>
      </c>
      <c r="C1948" s="3" t="s">
        <v>6421</v>
      </c>
      <c r="D1948" s="3" t="s">
        <v>6422</v>
      </c>
      <c r="E1948" s="3" t="s">
        <v>867</v>
      </c>
      <c r="F1948" s="3">
        <v>39.98</v>
      </c>
      <c r="G1948" s="3" t="s">
        <v>3391</v>
      </c>
      <c r="H1948" s="3"/>
      <c r="I1948" s="3" t="s">
        <v>3392</v>
      </c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>
        <v>0.08</v>
      </c>
      <c r="P1948" s="3">
        <v>0</v>
      </c>
      <c r="Q1948" s="3">
        <v>0</v>
      </c>
      <c r="R1948" s="3">
        <v>0</v>
      </c>
    </row>
    <row r="1949" spans="1:18">
      <c r="A1949" s="3" t="s">
        <v>6423</v>
      </c>
      <c r="B1949" s="3" t="s">
        <v>6424</v>
      </c>
      <c r="C1949" s="3" t="s">
        <v>6424</v>
      </c>
      <c r="D1949" s="3" t="s">
        <v>6425</v>
      </c>
      <c r="E1949" s="3" t="s">
        <v>867</v>
      </c>
      <c r="F1949" s="3">
        <v>39.98</v>
      </c>
      <c r="G1949" s="3" t="s">
        <v>3391</v>
      </c>
      <c r="H1949" s="3"/>
      <c r="I1949" s="3" t="s">
        <v>3392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0.08</v>
      </c>
      <c r="P1949" s="3">
        <v>0</v>
      </c>
      <c r="Q1949" s="3">
        <v>0</v>
      </c>
      <c r="R1949" s="3">
        <v>0</v>
      </c>
    </row>
    <row r="1950" spans="1:18">
      <c r="A1950" s="3" t="s">
        <v>6426</v>
      </c>
      <c r="B1950" s="3" t="s">
        <v>6427</v>
      </c>
      <c r="C1950" s="3" t="s">
        <v>6427</v>
      </c>
      <c r="D1950" s="3"/>
      <c r="E1950" s="3" t="s">
        <v>3293</v>
      </c>
      <c r="F1950" s="3"/>
      <c r="G1950" s="3"/>
      <c r="H1950" s="3"/>
      <c r="I1950" s="3"/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/>
      <c r="P1950" s="3">
        <v>0</v>
      </c>
      <c r="Q1950" s="3">
        <v>0</v>
      </c>
      <c r="R1950" s="3">
        <v>0</v>
      </c>
    </row>
    <row r="1951" spans="1:18">
      <c r="A1951" s="3" t="s">
        <v>6428</v>
      </c>
      <c r="B1951" s="3" t="s">
        <v>6427</v>
      </c>
      <c r="C1951" s="3" t="s">
        <v>6427</v>
      </c>
      <c r="D1951" s="3"/>
      <c r="E1951" s="3" t="s">
        <v>3293</v>
      </c>
      <c r="F1951" s="3"/>
      <c r="G1951" s="3"/>
      <c r="H1951" s="3"/>
      <c r="I1951" s="3"/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/>
      <c r="P1951" s="3">
        <v>0</v>
      </c>
      <c r="Q1951" s="3">
        <v>0</v>
      </c>
      <c r="R1951" s="3">
        <v>0</v>
      </c>
    </row>
    <row r="1952" spans="1:18">
      <c r="A1952" s="3" t="s">
        <v>1473</v>
      </c>
      <c r="B1952" s="3" t="s">
        <v>1474</v>
      </c>
      <c r="C1952" s="3" t="s">
        <v>1475</v>
      </c>
      <c r="D1952" s="3" t="s">
        <v>1476</v>
      </c>
      <c r="E1952" s="3" t="s">
        <v>867</v>
      </c>
      <c r="F1952" s="3">
        <v>22.98</v>
      </c>
      <c r="G1952" s="3" t="s">
        <v>3391</v>
      </c>
      <c r="H1952" s="3"/>
      <c r="I1952" s="3" t="s">
        <v>3392</v>
      </c>
      <c r="J1952" s="3">
        <v>31</v>
      </c>
      <c r="K1952" s="3">
        <v>29</v>
      </c>
      <c r="L1952" s="3">
        <v>2</v>
      </c>
      <c r="M1952" s="3">
        <v>0</v>
      </c>
      <c r="N1952" s="3">
        <v>39</v>
      </c>
      <c r="O1952" s="3">
        <v>0.17</v>
      </c>
      <c r="P1952" s="3">
        <v>0</v>
      </c>
      <c r="Q1952" s="3">
        <v>8</v>
      </c>
      <c r="R1952" s="3">
        <v>0</v>
      </c>
    </row>
    <row r="1953" spans="1:18">
      <c r="A1953" s="3" t="s">
        <v>653</v>
      </c>
      <c r="B1953" s="3" t="s">
        <v>654</v>
      </c>
      <c r="C1953" s="3" t="s">
        <v>655</v>
      </c>
      <c r="D1953" s="3" t="s">
        <v>656</v>
      </c>
      <c r="E1953" s="3" t="s">
        <v>867</v>
      </c>
      <c r="F1953" s="3">
        <v>69.9</v>
      </c>
      <c r="G1953" s="3" t="s">
        <v>3391</v>
      </c>
      <c r="H1953" s="3"/>
      <c r="I1953" s="3" t="s">
        <v>3392</v>
      </c>
      <c r="J1953" s="3">
        <v>29</v>
      </c>
      <c r="K1953" s="3">
        <v>24</v>
      </c>
      <c r="L1953" s="3">
        <v>3</v>
      </c>
      <c r="M1953" s="3">
        <v>2</v>
      </c>
      <c r="N1953" s="3">
        <v>44</v>
      </c>
      <c r="O1953" s="3">
        <v>0.17</v>
      </c>
      <c r="P1953" s="3">
        <v>0</v>
      </c>
      <c r="Q1953" s="3">
        <v>15</v>
      </c>
      <c r="R1953" s="3">
        <v>0</v>
      </c>
    </row>
    <row r="1954" spans="1:18">
      <c r="A1954" s="3" t="s">
        <v>637</v>
      </c>
      <c r="B1954" s="3" t="s">
        <v>638</v>
      </c>
      <c r="C1954" s="3" t="s">
        <v>639</v>
      </c>
      <c r="D1954" s="3" t="s">
        <v>640</v>
      </c>
      <c r="E1954" s="3" t="s">
        <v>867</v>
      </c>
      <c r="F1954" s="3">
        <v>23.98</v>
      </c>
      <c r="G1954" s="3" t="s">
        <v>3391</v>
      </c>
      <c r="H1954" s="3"/>
      <c r="I1954" s="3" t="s">
        <v>3392</v>
      </c>
      <c r="J1954" s="3">
        <v>28</v>
      </c>
      <c r="K1954" s="3">
        <v>21</v>
      </c>
      <c r="L1954" s="3">
        <v>0</v>
      </c>
      <c r="M1954" s="3">
        <v>7</v>
      </c>
      <c r="N1954" s="3">
        <v>33</v>
      </c>
      <c r="O1954" s="3">
        <v>0.17</v>
      </c>
      <c r="P1954" s="3">
        <v>0</v>
      </c>
      <c r="Q1954" s="3">
        <v>5</v>
      </c>
      <c r="R1954" s="3">
        <v>0</v>
      </c>
    </row>
    <row r="1955" spans="1:18">
      <c r="A1955" s="3" t="s">
        <v>649</v>
      </c>
      <c r="B1955" s="3" t="s">
        <v>650</v>
      </c>
      <c r="C1955" s="3" t="s">
        <v>651</v>
      </c>
      <c r="D1955" s="3" t="s">
        <v>652</v>
      </c>
      <c r="E1955" s="3" t="s">
        <v>867</v>
      </c>
      <c r="F1955" s="3">
        <v>69.9</v>
      </c>
      <c r="G1955" s="3" t="s">
        <v>3391</v>
      </c>
      <c r="H1955" s="3"/>
      <c r="I1955" s="3" t="s">
        <v>3392</v>
      </c>
      <c r="J1955" s="3">
        <v>49</v>
      </c>
      <c r="K1955" s="3">
        <v>29</v>
      </c>
      <c r="L1955" s="3">
        <v>3</v>
      </c>
      <c r="M1955" s="3">
        <v>17</v>
      </c>
      <c r="N1955" s="3">
        <v>64</v>
      </c>
      <c r="O1955" s="3">
        <v>0.17</v>
      </c>
      <c r="P1955" s="3">
        <v>0</v>
      </c>
      <c r="Q1955" s="3">
        <v>15</v>
      </c>
      <c r="R1955" s="3">
        <v>0</v>
      </c>
    </row>
    <row r="1956" spans="1:18">
      <c r="A1956" s="3" t="s">
        <v>3184</v>
      </c>
      <c r="B1956" s="3" t="s">
        <v>3185</v>
      </c>
      <c r="C1956" s="3" t="s">
        <v>3186</v>
      </c>
      <c r="D1956" s="3" t="s">
        <v>3187</v>
      </c>
      <c r="E1956" s="3" t="s">
        <v>867</v>
      </c>
      <c r="F1956" s="3">
        <v>69.9</v>
      </c>
      <c r="G1956" s="3" t="s">
        <v>3391</v>
      </c>
      <c r="H1956" s="3"/>
      <c r="I1956" s="3" t="s">
        <v>3392</v>
      </c>
      <c r="J1956" s="3">
        <v>22</v>
      </c>
      <c r="K1956" s="3">
        <v>22</v>
      </c>
      <c r="L1956" s="3">
        <v>0</v>
      </c>
      <c r="M1956" s="3">
        <v>0</v>
      </c>
      <c r="N1956" s="3">
        <v>22</v>
      </c>
      <c r="O1956" s="3">
        <v>0.17</v>
      </c>
      <c r="P1956" s="3">
        <v>0</v>
      </c>
      <c r="Q1956" s="3">
        <v>0</v>
      </c>
      <c r="R1956" s="3">
        <v>0</v>
      </c>
    </row>
    <row r="1957" spans="1:18">
      <c r="A1957" s="3" t="s">
        <v>2505</v>
      </c>
      <c r="B1957" s="3" t="s">
        <v>2506</v>
      </c>
      <c r="C1957" s="3" t="s">
        <v>2507</v>
      </c>
      <c r="D1957" s="3" t="s">
        <v>2508</v>
      </c>
      <c r="E1957" s="3" t="s">
        <v>867</v>
      </c>
      <c r="F1957" s="3">
        <v>23.98</v>
      </c>
      <c r="G1957" s="3" t="s">
        <v>3391</v>
      </c>
      <c r="H1957" s="3"/>
      <c r="I1957" s="3" t="s">
        <v>3392</v>
      </c>
      <c r="J1957" s="3">
        <v>12</v>
      </c>
      <c r="K1957" s="3">
        <v>12</v>
      </c>
      <c r="L1957" s="3">
        <v>0</v>
      </c>
      <c r="M1957" s="3">
        <v>0</v>
      </c>
      <c r="N1957" s="3">
        <v>12</v>
      </c>
      <c r="O1957" s="3">
        <v>0.17</v>
      </c>
      <c r="P1957" s="3">
        <v>0</v>
      </c>
      <c r="Q1957" s="3">
        <v>0</v>
      </c>
      <c r="R1957" s="3">
        <v>0</v>
      </c>
    </row>
    <row r="1958" spans="1:18">
      <c r="A1958" s="3" t="s">
        <v>1311</v>
      </c>
      <c r="B1958" s="3" t="s">
        <v>1312</v>
      </c>
      <c r="C1958" s="3" t="s">
        <v>1313</v>
      </c>
      <c r="D1958" s="3" t="s">
        <v>1314</v>
      </c>
      <c r="E1958" s="3" t="s">
        <v>867</v>
      </c>
      <c r="F1958" s="3">
        <v>69.9</v>
      </c>
      <c r="G1958" s="3" t="s">
        <v>3391</v>
      </c>
      <c r="H1958" s="3"/>
      <c r="I1958" s="3" t="s">
        <v>3392</v>
      </c>
      <c r="J1958" s="3">
        <v>18</v>
      </c>
      <c r="K1958" s="3">
        <v>18</v>
      </c>
      <c r="L1958" s="3">
        <v>0</v>
      </c>
      <c r="M1958" s="3">
        <v>0</v>
      </c>
      <c r="N1958" s="3">
        <v>18</v>
      </c>
      <c r="O1958" s="3">
        <v>0.17</v>
      </c>
      <c r="P1958" s="3">
        <v>0</v>
      </c>
      <c r="Q1958" s="3">
        <v>0</v>
      </c>
      <c r="R1958" s="3">
        <v>0</v>
      </c>
    </row>
    <row r="1959" spans="1:18">
      <c r="A1959" s="3" t="s">
        <v>645</v>
      </c>
      <c r="B1959" s="3" t="s">
        <v>646</v>
      </c>
      <c r="C1959" s="3" t="s">
        <v>647</v>
      </c>
      <c r="D1959" s="3" t="s">
        <v>648</v>
      </c>
      <c r="E1959" s="3" t="s">
        <v>867</v>
      </c>
      <c r="F1959" s="3">
        <v>23.98</v>
      </c>
      <c r="G1959" s="3" t="s">
        <v>3391</v>
      </c>
      <c r="H1959" s="3"/>
      <c r="I1959" s="3" t="s">
        <v>3392</v>
      </c>
      <c r="J1959" s="3">
        <v>35</v>
      </c>
      <c r="K1959" s="3">
        <v>34</v>
      </c>
      <c r="L1959" s="3">
        <v>0</v>
      </c>
      <c r="M1959" s="3">
        <v>1</v>
      </c>
      <c r="N1959" s="3">
        <v>35</v>
      </c>
      <c r="O1959" s="3">
        <v>0.17</v>
      </c>
      <c r="P1959" s="3">
        <v>0</v>
      </c>
      <c r="Q1959" s="3">
        <v>0</v>
      </c>
      <c r="R1959" s="3">
        <v>0</v>
      </c>
    </row>
    <row r="1960" spans="1:18">
      <c r="A1960" s="3" t="s">
        <v>941</v>
      </c>
      <c r="B1960" s="3" t="s">
        <v>942</v>
      </c>
      <c r="C1960" s="3" t="s">
        <v>943</v>
      </c>
      <c r="D1960" s="3" t="s">
        <v>944</v>
      </c>
      <c r="E1960" s="3" t="s">
        <v>867</v>
      </c>
      <c r="F1960" s="3">
        <v>69.9</v>
      </c>
      <c r="G1960" s="3" t="s">
        <v>3391</v>
      </c>
      <c r="H1960" s="3"/>
      <c r="I1960" s="3" t="s">
        <v>3392</v>
      </c>
      <c r="J1960" s="3">
        <v>36</v>
      </c>
      <c r="K1960" s="3">
        <v>34</v>
      </c>
      <c r="L1960" s="3">
        <v>2</v>
      </c>
      <c r="M1960" s="3">
        <v>0</v>
      </c>
      <c r="N1960" s="3">
        <v>36</v>
      </c>
      <c r="O1960" s="3">
        <v>0.17</v>
      </c>
      <c r="P1960" s="3">
        <v>0</v>
      </c>
      <c r="Q1960" s="3">
        <v>0</v>
      </c>
      <c r="R1960" s="3">
        <v>0</v>
      </c>
    </row>
    <row r="1961" spans="1:18">
      <c r="A1961" s="3" t="s">
        <v>1853</v>
      </c>
      <c r="B1961" s="3" t="s">
        <v>1854</v>
      </c>
      <c r="C1961" s="3" t="s">
        <v>1855</v>
      </c>
      <c r="D1961" s="3" t="s">
        <v>1856</v>
      </c>
      <c r="E1961" s="3" t="s">
        <v>867</v>
      </c>
      <c r="F1961" s="3">
        <v>69.9</v>
      </c>
      <c r="G1961" s="3" t="s">
        <v>3391</v>
      </c>
      <c r="H1961" s="3"/>
      <c r="I1961" s="3" t="s">
        <v>3392</v>
      </c>
      <c r="J1961" s="3">
        <v>23</v>
      </c>
      <c r="K1961" s="3">
        <v>22</v>
      </c>
      <c r="L1961" s="3">
        <v>1</v>
      </c>
      <c r="M1961" s="3">
        <v>0</v>
      </c>
      <c r="N1961" s="3">
        <v>23</v>
      </c>
      <c r="O1961" s="3">
        <v>0.17</v>
      </c>
      <c r="P1961" s="3">
        <v>0</v>
      </c>
      <c r="Q1961" s="3">
        <v>0</v>
      </c>
      <c r="R1961" s="3">
        <v>0</v>
      </c>
    </row>
    <row r="1962" spans="1:18">
      <c r="A1962" s="3" t="s">
        <v>1541</v>
      </c>
      <c r="B1962" s="3" t="s">
        <v>1542</v>
      </c>
      <c r="C1962" s="3" t="s">
        <v>1543</v>
      </c>
      <c r="D1962" s="3" t="s">
        <v>1544</v>
      </c>
      <c r="E1962" s="3" t="s">
        <v>867</v>
      </c>
      <c r="F1962" s="3">
        <v>35.98</v>
      </c>
      <c r="G1962" s="3" t="s">
        <v>3391</v>
      </c>
      <c r="H1962" s="3"/>
      <c r="I1962" s="3" t="s">
        <v>3392</v>
      </c>
      <c r="J1962" s="3">
        <v>19</v>
      </c>
      <c r="K1962" s="3">
        <v>19</v>
      </c>
      <c r="L1962" s="3">
        <v>0</v>
      </c>
      <c r="M1962" s="3">
        <v>0</v>
      </c>
      <c r="N1962" s="3">
        <v>19</v>
      </c>
      <c r="O1962" s="3">
        <v>0.17</v>
      </c>
      <c r="P1962" s="3">
        <v>0</v>
      </c>
      <c r="Q1962" s="3">
        <v>0</v>
      </c>
      <c r="R1962" s="3">
        <v>0</v>
      </c>
    </row>
    <row r="1963" spans="1:18">
      <c r="A1963" s="3" t="s">
        <v>2788</v>
      </c>
      <c r="B1963" s="3" t="s">
        <v>2789</v>
      </c>
      <c r="C1963" s="3" t="s">
        <v>2790</v>
      </c>
      <c r="D1963" s="3" t="s">
        <v>2791</v>
      </c>
      <c r="E1963" s="3" t="s">
        <v>867</v>
      </c>
      <c r="F1963" s="3">
        <v>69.9</v>
      </c>
      <c r="G1963" s="3" t="s">
        <v>3391</v>
      </c>
      <c r="H1963" s="3"/>
      <c r="I1963" s="3" t="s">
        <v>3392</v>
      </c>
      <c r="J1963" s="3">
        <v>23</v>
      </c>
      <c r="K1963" s="3">
        <v>23</v>
      </c>
      <c r="L1963" s="3">
        <v>0</v>
      </c>
      <c r="M1963" s="3">
        <v>0</v>
      </c>
      <c r="N1963" s="3">
        <v>23</v>
      </c>
      <c r="O1963" s="3">
        <v>0.17</v>
      </c>
      <c r="P1963" s="3">
        <v>0</v>
      </c>
      <c r="Q1963" s="3">
        <v>0</v>
      </c>
      <c r="R1963" s="3">
        <v>0</v>
      </c>
    </row>
    <row r="1964" spans="1:18">
      <c r="A1964" s="3" t="s">
        <v>6429</v>
      </c>
      <c r="B1964" s="3" t="s">
        <v>6430</v>
      </c>
      <c r="C1964" s="3" t="s">
        <v>6431</v>
      </c>
      <c r="D1964" s="3" t="s">
        <v>6432</v>
      </c>
      <c r="E1964" s="3" t="s">
        <v>867</v>
      </c>
      <c r="F1964" s="3">
        <v>22.98</v>
      </c>
      <c r="G1964" s="3" t="s">
        <v>3391</v>
      </c>
      <c r="H1964" s="3"/>
      <c r="I1964" s="3" t="s">
        <v>3392</v>
      </c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>
        <v>0.02</v>
      </c>
      <c r="P1964" s="3">
        <v>0</v>
      </c>
      <c r="Q1964" s="3">
        <v>0</v>
      </c>
      <c r="R1964" s="3">
        <v>0</v>
      </c>
    </row>
    <row r="1965" spans="1:18">
      <c r="A1965" s="3" t="s">
        <v>6433</v>
      </c>
      <c r="B1965" s="3" t="s">
        <v>6434</v>
      </c>
      <c r="C1965" s="3" t="s">
        <v>6435</v>
      </c>
      <c r="D1965" s="3" t="s">
        <v>6436</v>
      </c>
      <c r="E1965" s="3" t="s">
        <v>867</v>
      </c>
      <c r="F1965" s="3">
        <v>22.98</v>
      </c>
      <c r="G1965" s="3" t="s">
        <v>3391</v>
      </c>
      <c r="H1965" s="3"/>
      <c r="I1965" s="3" t="s">
        <v>3392</v>
      </c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>
        <v>0.02</v>
      </c>
      <c r="P1965" s="3">
        <v>0</v>
      </c>
      <c r="Q1965" s="3">
        <v>0</v>
      </c>
      <c r="R1965" s="3">
        <v>0</v>
      </c>
    </row>
    <row r="1966" spans="1:18">
      <c r="A1966" s="3" t="s">
        <v>6437</v>
      </c>
      <c r="B1966" s="3" t="s">
        <v>6438</v>
      </c>
      <c r="C1966" s="3" t="s">
        <v>6439</v>
      </c>
      <c r="D1966" s="3" t="s">
        <v>6440</v>
      </c>
      <c r="E1966" s="3" t="s">
        <v>867</v>
      </c>
      <c r="F1966" s="3">
        <v>21.4</v>
      </c>
      <c r="G1966" s="3" t="s">
        <v>3391</v>
      </c>
      <c r="H1966" s="3"/>
      <c r="I1966" s="3" t="s">
        <v>3392</v>
      </c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>
        <v>0.02</v>
      </c>
      <c r="P1966" s="3">
        <v>0</v>
      </c>
      <c r="Q1966" s="3">
        <v>0</v>
      </c>
      <c r="R1966" s="3">
        <v>0</v>
      </c>
    </row>
    <row r="1967" spans="1:18">
      <c r="A1967" s="3" t="s">
        <v>6441</v>
      </c>
      <c r="B1967" s="3" t="s">
        <v>6442</v>
      </c>
      <c r="C1967" s="3" t="s">
        <v>6443</v>
      </c>
      <c r="D1967" s="3" t="s">
        <v>6444</v>
      </c>
      <c r="E1967" s="3" t="s">
        <v>867</v>
      </c>
      <c r="F1967" s="3">
        <v>21.4</v>
      </c>
      <c r="G1967" s="3" t="s">
        <v>3391</v>
      </c>
      <c r="H1967" s="3"/>
      <c r="I1967" s="3" t="s">
        <v>3392</v>
      </c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>
        <v>0.05</v>
      </c>
      <c r="P1967" s="3">
        <v>0</v>
      </c>
      <c r="Q1967" s="3">
        <v>0</v>
      </c>
      <c r="R1967" s="3">
        <v>0</v>
      </c>
    </row>
    <row r="1968" spans="1:18">
      <c r="A1968" s="3" t="s">
        <v>6445</v>
      </c>
      <c r="B1968" s="3" t="s">
        <v>6446</v>
      </c>
      <c r="C1968" s="3" t="s">
        <v>6447</v>
      </c>
      <c r="D1968" s="3" t="s">
        <v>6448</v>
      </c>
      <c r="E1968" s="3" t="s">
        <v>867</v>
      </c>
      <c r="F1968" s="3">
        <v>21.4</v>
      </c>
      <c r="G1968" s="3" t="s">
        <v>3391</v>
      </c>
      <c r="H1968" s="3"/>
      <c r="I1968" s="3" t="s">
        <v>3392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0.05</v>
      </c>
      <c r="P1968" s="3">
        <v>0</v>
      </c>
      <c r="Q1968" s="3">
        <v>0</v>
      </c>
      <c r="R1968" s="3">
        <v>0</v>
      </c>
    </row>
    <row r="1969" spans="1:18">
      <c r="A1969" s="3" t="s">
        <v>6449</v>
      </c>
      <c r="B1969" s="3" t="s">
        <v>6450</v>
      </c>
      <c r="C1969" s="3" t="s">
        <v>6451</v>
      </c>
      <c r="D1969" s="3" t="s">
        <v>6452</v>
      </c>
      <c r="E1969" s="3" t="s">
        <v>867</v>
      </c>
      <c r="F1969" s="3">
        <v>21.4</v>
      </c>
      <c r="G1969" s="3" t="s">
        <v>3391</v>
      </c>
      <c r="H1969" s="3"/>
      <c r="I1969" s="3" t="s">
        <v>3392</v>
      </c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>
        <v>0.05</v>
      </c>
      <c r="P1969" s="3">
        <v>0</v>
      </c>
      <c r="Q1969" s="3">
        <v>0</v>
      </c>
      <c r="R1969" s="3">
        <v>0</v>
      </c>
    </row>
    <row r="1970" spans="1:18">
      <c r="A1970" s="3" t="s">
        <v>6453</v>
      </c>
      <c r="B1970" s="3" t="s">
        <v>6454</v>
      </c>
      <c r="C1970" s="3" t="s">
        <v>6455</v>
      </c>
      <c r="D1970" s="3" t="s">
        <v>6456</v>
      </c>
      <c r="E1970" s="3" t="s">
        <v>867</v>
      </c>
      <c r="F1970" s="3">
        <v>22.7</v>
      </c>
      <c r="G1970" s="3" t="s">
        <v>3391</v>
      </c>
      <c r="H1970" s="3"/>
      <c r="I1970" s="3" t="s">
        <v>3392</v>
      </c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>
        <v>0.02</v>
      </c>
      <c r="P1970" s="3">
        <v>0</v>
      </c>
      <c r="Q1970" s="3">
        <v>0</v>
      </c>
      <c r="R1970" s="3">
        <v>0</v>
      </c>
    </row>
    <row r="1971" spans="1:18">
      <c r="A1971" s="3" t="s">
        <v>6457</v>
      </c>
      <c r="B1971" s="3" t="s">
        <v>6458</v>
      </c>
      <c r="C1971" s="3" t="s">
        <v>6459</v>
      </c>
      <c r="D1971" s="3" t="s">
        <v>6460</v>
      </c>
      <c r="E1971" s="3" t="s">
        <v>867</v>
      </c>
      <c r="F1971" s="3">
        <v>22.7</v>
      </c>
      <c r="G1971" s="3" t="s">
        <v>3391</v>
      </c>
      <c r="H1971" s="3"/>
      <c r="I1971" s="3" t="s">
        <v>3392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0.02</v>
      </c>
      <c r="P1971" s="3">
        <v>0</v>
      </c>
      <c r="Q1971" s="3">
        <v>0</v>
      </c>
      <c r="R1971" s="3">
        <v>0</v>
      </c>
    </row>
    <row r="1972" spans="1:18">
      <c r="A1972" s="3" t="s">
        <v>6461</v>
      </c>
      <c r="B1972" s="3" t="s">
        <v>6462</v>
      </c>
      <c r="C1972" s="3" t="s">
        <v>6463</v>
      </c>
      <c r="D1972" s="3" t="s">
        <v>6464</v>
      </c>
      <c r="E1972" s="3" t="s">
        <v>867</v>
      </c>
      <c r="F1972" s="3">
        <v>22.7</v>
      </c>
      <c r="G1972" s="3" t="s">
        <v>3391</v>
      </c>
      <c r="H1972" s="3"/>
      <c r="I1972" s="3" t="s">
        <v>3392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0.04</v>
      </c>
      <c r="P1972" s="3">
        <v>0</v>
      </c>
      <c r="Q1972" s="3">
        <v>0</v>
      </c>
      <c r="R1972" s="3">
        <v>0</v>
      </c>
    </row>
    <row r="1973" spans="1:18">
      <c r="A1973" s="3" t="s">
        <v>6465</v>
      </c>
      <c r="B1973" s="3" t="s">
        <v>6466</v>
      </c>
      <c r="C1973" s="3" t="s">
        <v>6467</v>
      </c>
      <c r="D1973" s="3" t="s">
        <v>6468</v>
      </c>
      <c r="E1973" s="3" t="s">
        <v>867</v>
      </c>
      <c r="F1973" s="3">
        <v>21.4</v>
      </c>
      <c r="G1973" s="3" t="s">
        <v>3391</v>
      </c>
      <c r="H1973" s="3"/>
      <c r="I1973" s="3" t="s">
        <v>3392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0.04</v>
      </c>
      <c r="P1973" s="3">
        <v>0</v>
      </c>
      <c r="Q1973" s="3">
        <v>0</v>
      </c>
      <c r="R1973" s="3">
        <v>0</v>
      </c>
    </row>
    <row r="1974" spans="1:18">
      <c r="A1974" s="3" t="s">
        <v>6469</v>
      </c>
      <c r="B1974" s="3" t="s">
        <v>6470</v>
      </c>
      <c r="C1974" s="3" t="s">
        <v>6471</v>
      </c>
      <c r="D1974" s="3" t="s">
        <v>6472</v>
      </c>
      <c r="E1974" s="3" t="s">
        <v>867</v>
      </c>
      <c r="F1974" s="3">
        <v>22.7</v>
      </c>
      <c r="G1974" s="3" t="s">
        <v>3391</v>
      </c>
      <c r="H1974" s="3"/>
      <c r="I1974" s="3" t="s">
        <v>3392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0.04</v>
      </c>
      <c r="P1974" s="3">
        <v>0</v>
      </c>
      <c r="Q1974" s="3">
        <v>0</v>
      </c>
      <c r="R1974" s="3">
        <v>0</v>
      </c>
    </row>
    <row r="1975" spans="1:18">
      <c r="A1975" s="3" t="s">
        <v>6473</v>
      </c>
      <c r="B1975" s="3" t="s">
        <v>6474</v>
      </c>
      <c r="C1975" s="3" t="s">
        <v>6475</v>
      </c>
      <c r="D1975" s="3" t="s">
        <v>6476</v>
      </c>
      <c r="E1975" s="3" t="s">
        <v>867</v>
      </c>
      <c r="F1975" s="3">
        <v>22.98</v>
      </c>
      <c r="G1975" s="3" t="s">
        <v>3391</v>
      </c>
      <c r="H1975" s="3"/>
      <c r="I1975" s="3" t="s">
        <v>3392</v>
      </c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>
        <v>0.02</v>
      </c>
      <c r="P1975" s="3">
        <v>0</v>
      </c>
      <c r="Q1975" s="3">
        <v>0</v>
      </c>
      <c r="R1975" s="3">
        <v>0</v>
      </c>
    </row>
    <row r="1976" spans="1:18">
      <c r="A1976" s="3" t="s">
        <v>6477</v>
      </c>
      <c r="B1976" s="3" t="s">
        <v>6478</v>
      </c>
      <c r="C1976" s="3" t="s">
        <v>6479</v>
      </c>
      <c r="D1976" s="3" t="s">
        <v>6480</v>
      </c>
      <c r="E1976" s="3" t="s">
        <v>867</v>
      </c>
      <c r="F1976" s="3">
        <v>22.7</v>
      </c>
      <c r="G1976" s="3" t="s">
        <v>3391</v>
      </c>
      <c r="H1976" s="3"/>
      <c r="I1976" s="3" t="s">
        <v>3392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0.07</v>
      </c>
      <c r="P1976" s="3">
        <v>0</v>
      </c>
      <c r="Q1976" s="3">
        <v>0</v>
      </c>
      <c r="R1976" s="3">
        <v>0</v>
      </c>
    </row>
    <row r="1977" spans="1:18">
      <c r="A1977" s="3" t="s">
        <v>641</v>
      </c>
      <c r="B1977" s="3" t="s">
        <v>642</v>
      </c>
      <c r="C1977" s="3" t="s">
        <v>643</v>
      </c>
      <c r="D1977" s="3" t="s">
        <v>644</v>
      </c>
      <c r="E1977" s="3" t="s">
        <v>867</v>
      </c>
      <c r="F1977" s="3">
        <v>69.9</v>
      </c>
      <c r="G1977" s="3" t="s">
        <v>3391</v>
      </c>
      <c r="H1977" s="3"/>
      <c r="I1977" s="3" t="s">
        <v>3392</v>
      </c>
      <c r="J1977" s="3">
        <v>40</v>
      </c>
      <c r="K1977" s="3">
        <v>38</v>
      </c>
      <c r="L1977" s="3">
        <v>1</v>
      </c>
      <c r="M1977" s="3">
        <v>1</v>
      </c>
      <c r="N1977" s="3">
        <v>40</v>
      </c>
      <c r="O1977" s="3">
        <v>0.17</v>
      </c>
      <c r="P1977" s="3">
        <v>0</v>
      </c>
      <c r="Q1977" s="3">
        <v>0</v>
      </c>
      <c r="R1977" s="3">
        <v>0</v>
      </c>
    </row>
    <row r="1978" spans="1:18">
      <c r="A1978" s="3" t="s">
        <v>2332</v>
      </c>
      <c r="B1978" s="3" t="s">
        <v>2333</v>
      </c>
      <c r="C1978" s="3" t="s">
        <v>2334</v>
      </c>
      <c r="D1978" s="3" t="s">
        <v>2335</v>
      </c>
      <c r="E1978" s="3" t="s">
        <v>867</v>
      </c>
      <c r="F1978" s="3">
        <v>69.9</v>
      </c>
      <c r="G1978" s="3" t="s">
        <v>3391</v>
      </c>
      <c r="H1978" s="3"/>
      <c r="I1978" s="3" t="s">
        <v>3392</v>
      </c>
      <c r="J1978" s="3">
        <v>44</v>
      </c>
      <c r="K1978" s="3">
        <v>41</v>
      </c>
      <c r="L1978" s="3">
        <v>3</v>
      </c>
      <c r="M1978" s="3">
        <v>0</v>
      </c>
      <c r="N1978" s="3">
        <v>44</v>
      </c>
      <c r="O1978" s="3">
        <v>0.17</v>
      </c>
      <c r="P1978" s="3">
        <v>0</v>
      </c>
      <c r="Q1978" s="3">
        <v>0</v>
      </c>
      <c r="R1978" s="3">
        <v>0</v>
      </c>
    </row>
    <row r="1979" spans="1:18">
      <c r="A1979" s="3" t="s">
        <v>2634</v>
      </c>
      <c r="B1979" s="3" t="s">
        <v>2635</v>
      </c>
      <c r="C1979" s="3" t="s">
        <v>2636</v>
      </c>
      <c r="D1979" s="3" t="s">
        <v>2637</v>
      </c>
      <c r="E1979" s="3" t="s">
        <v>867</v>
      </c>
      <c r="F1979" s="3">
        <v>69.9</v>
      </c>
      <c r="G1979" s="3" t="s">
        <v>3391</v>
      </c>
      <c r="H1979" s="3"/>
      <c r="I1979" s="3" t="s">
        <v>3392</v>
      </c>
      <c r="J1979" s="3">
        <v>43</v>
      </c>
      <c r="K1979" s="3">
        <v>41</v>
      </c>
      <c r="L1979" s="3">
        <v>2</v>
      </c>
      <c r="M1979" s="3">
        <v>0</v>
      </c>
      <c r="N1979" s="3">
        <v>43</v>
      </c>
      <c r="O1979" s="3">
        <v>0.17</v>
      </c>
      <c r="P1979" s="3">
        <v>0</v>
      </c>
      <c r="Q1979" s="3">
        <v>0</v>
      </c>
      <c r="R1979" s="3">
        <v>0</v>
      </c>
    </row>
    <row r="1980" spans="1:18">
      <c r="A1980" s="3" t="s">
        <v>2532</v>
      </c>
      <c r="B1980" s="3" t="s">
        <v>2533</v>
      </c>
      <c r="C1980" s="3" t="s">
        <v>2534</v>
      </c>
      <c r="D1980" s="3" t="s">
        <v>2535</v>
      </c>
      <c r="E1980" s="3" t="s">
        <v>867</v>
      </c>
      <c r="F1980" s="3">
        <v>36.98</v>
      </c>
      <c r="G1980" s="3" t="s">
        <v>3391</v>
      </c>
      <c r="H1980" s="3"/>
      <c r="I1980" s="3" t="s">
        <v>3392</v>
      </c>
      <c r="J1980" s="3">
        <v>6</v>
      </c>
      <c r="K1980" s="3">
        <v>6</v>
      </c>
      <c r="L1980" s="3">
        <v>0</v>
      </c>
      <c r="M1980" s="3">
        <v>0</v>
      </c>
      <c r="N1980" s="3">
        <v>6</v>
      </c>
      <c r="O1980" s="3">
        <v>0.14</v>
      </c>
      <c r="P1980" s="3">
        <v>0</v>
      </c>
      <c r="Q1980" s="3">
        <v>0</v>
      </c>
      <c r="R1980" s="3">
        <v>0</v>
      </c>
    </row>
    <row r="1981" spans="1:18">
      <c r="A1981" s="3" t="s">
        <v>2233</v>
      </c>
      <c r="B1981" s="3" t="s">
        <v>2234</v>
      </c>
      <c r="C1981" s="3" t="s">
        <v>2235</v>
      </c>
      <c r="D1981" s="3" t="s">
        <v>2236</v>
      </c>
      <c r="E1981" s="3" t="s">
        <v>867</v>
      </c>
      <c r="F1981" s="3">
        <v>36.98</v>
      </c>
      <c r="G1981" s="3" t="s">
        <v>3391</v>
      </c>
      <c r="H1981" s="3"/>
      <c r="I1981" s="3" t="s">
        <v>3392</v>
      </c>
      <c r="J1981" s="3">
        <v>6</v>
      </c>
      <c r="K1981" s="3">
        <v>6</v>
      </c>
      <c r="L1981" s="3">
        <v>0</v>
      </c>
      <c r="M1981" s="3">
        <v>0</v>
      </c>
      <c r="N1981" s="3">
        <v>6</v>
      </c>
      <c r="O1981" s="3">
        <v>0.19</v>
      </c>
      <c r="P1981" s="3">
        <v>0</v>
      </c>
      <c r="Q1981" s="3">
        <v>0</v>
      </c>
      <c r="R1981" s="3">
        <v>0</v>
      </c>
    </row>
    <row r="1982" spans="1:18">
      <c r="A1982" s="3" t="s">
        <v>1819</v>
      </c>
      <c r="B1982" s="3" t="s">
        <v>1820</v>
      </c>
      <c r="C1982" s="3" t="s">
        <v>1821</v>
      </c>
      <c r="D1982" s="3" t="s">
        <v>1822</v>
      </c>
      <c r="E1982" s="3" t="s">
        <v>867</v>
      </c>
      <c r="F1982" s="3">
        <v>36.98</v>
      </c>
      <c r="G1982" s="3" t="s">
        <v>3391</v>
      </c>
      <c r="H1982" s="3"/>
      <c r="I1982" s="3" t="s">
        <v>3392</v>
      </c>
      <c r="J1982" s="3">
        <v>6</v>
      </c>
      <c r="K1982" s="3">
        <v>6</v>
      </c>
      <c r="L1982" s="3">
        <v>0</v>
      </c>
      <c r="M1982" s="3">
        <v>0</v>
      </c>
      <c r="N1982" s="3">
        <v>6</v>
      </c>
      <c r="O1982" s="3">
        <v>0.19</v>
      </c>
      <c r="P1982" s="3">
        <v>0</v>
      </c>
      <c r="Q1982" s="3">
        <v>0</v>
      </c>
      <c r="R1982" s="3">
        <v>0</v>
      </c>
    </row>
    <row r="1983" spans="1:18">
      <c r="A1983" s="3" t="s">
        <v>1172</v>
      </c>
      <c r="B1983" s="3" t="s">
        <v>1173</v>
      </c>
      <c r="C1983" s="3" t="s">
        <v>1174</v>
      </c>
      <c r="D1983" s="3" t="s">
        <v>1175</v>
      </c>
      <c r="E1983" s="3" t="s">
        <v>867</v>
      </c>
      <c r="F1983" s="3">
        <v>36.98</v>
      </c>
      <c r="G1983" s="3" t="s">
        <v>3391</v>
      </c>
      <c r="H1983" s="3"/>
      <c r="I1983" s="3" t="s">
        <v>3392</v>
      </c>
      <c r="J1983" s="3">
        <v>6</v>
      </c>
      <c r="K1983" s="3">
        <v>6</v>
      </c>
      <c r="L1983" s="3">
        <v>0</v>
      </c>
      <c r="M1983" s="3">
        <v>0</v>
      </c>
      <c r="N1983" s="3">
        <v>6</v>
      </c>
      <c r="O1983" s="3">
        <v>0.19</v>
      </c>
      <c r="P1983" s="3">
        <v>0</v>
      </c>
      <c r="Q1983" s="3">
        <v>0</v>
      </c>
      <c r="R1983" s="3">
        <v>0</v>
      </c>
    </row>
    <row r="1984" spans="1:18">
      <c r="A1984" s="3" t="s">
        <v>1937</v>
      </c>
      <c r="B1984" s="3" t="s">
        <v>1938</v>
      </c>
      <c r="C1984" s="3" t="s">
        <v>1939</v>
      </c>
      <c r="D1984" s="3" t="s">
        <v>1940</v>
      </c>
      <c r="E1984" s="3" t="s">
        <v>867</v>
      </c>
      <c r="F1984" s="3">
        <v>35.98</v>
      </c>
      <c r="G1984" s="3" t="s">
        <v>3391</v>
      </c>
      <c r="H1984" s="3"/>
      <c r="I1984" s="3" t="s">
        <v>3392</v>
      </c>
      <c r="J1984" s="3">
        <v>6</v>
      </c>
      <c r="K1984" s="3">
        <v>6</v>
      </c>
      <c r="L1984" s="3">
        <v>0</v>
      </c>
      <c r="M1984" s="3">
        <v>0</v>
      </c>
      <c r="N1984" s="3">
        <v>6</v>
      </c>
      <c r="O1984" s="3">
        <v>0.22</v>
      </c>
      <c r="P1984" s="3">
        <v>0</v>
      </c>
      <c r="Q1984" s="3">
        <v>0</v>
      </c>
      <c r="R1984" s="3">
        <v>0</v>
      </c>
    </row>
    <row r="1985" spans="1:18">
      <c r="A1985" s="3" t="s">
        <v>1987</v>
      </c>
      <c r="B1985" s="3" t="s">
        <v>1988</v>
      </c>
      <c r="C1985" s="3" t="s">
        <v>1989</v>
      </c>
      <c r="D1985" s="3" t="s">
        <v>1990</v>
      </c>
      <c r="E1985" s="3" t="s">
        <v>867</v>
      </c>
      <c r="F1985" s="3">
        <v>35.98</v>
      </c>
      <c r="G1985" s="3" t="s">
        <v>3391</v>
      </c>
      <c r="H1985" s="3"/>
      <c r="I1985" s="3" t="s">
        <v>3392</v>
      </c>
      <c r="J1985" s="3">
        <v>6</v>
      </c>
      <c r="K1985" s="3">
        <v>6</v>
      </c>
      <c r="L1985" s="3">
        <v>0</v>
      </c>
      <c r="M1985" s="3">
        <v>0</v>
      </c>
      <c r="N1985" s="3">
        <v>6</v>
      </c>
      <c r="O1985" s="3">
        <v>0.14</v>
      </c>
      <c r="P1985" s="3">
        <v>0</v>
      </c>
      <c r="Q1985" s="3">
        <v>0</v>
      </c>
      <c r="R1985" s="3">
        <v>0</v>
      </c>
    </row>
    <row r="1986" spans="1:18">
      <c r="A1986" s="3" t="s">
        <v>1929</v>
      </c>
      <c r="B1986" s="3" t="s">
        <v>1930</v>
      </c>
      <c r="C1986" s="3" t="s">
        <v>1931</v>
      </c>
      <c r="D1986" s="3" t="s">
        <v>1932</v>
      </c>
      <c r="E1986" s="3" t="s">
        <v>867</v>
      </c>
      <c r="F1986" s="3">
        <v>35.98</v>
      </c>
      <c r="G1986" s="3" t="s">
        <v>3391</v>
      </c>
      <c r="H1986" s="3"/>
      <c r="I1986" s="3" t="s">
        <v>3392</v>
      </c>
      <c r="J1986" s="3">
        <v>6</v>
      </c>
      <c r="K1986" s="3">
        <v>6</v>
      </c>
      <c r="L1986" s="3">
        <v>0</v>
      </c>
      <c r="M1986" s="3">
        <v>0</v>
      </c>
      <c r="N1986" s="3">
        <v>6</v>
      </c>
      <c r="O1986" s="3">
        <v>0.21</v>
      </c>
      <c r="P1986" s="3">
        <v>0</v>
      </c>
      <c r="Q1986" s="3">
        <v>0</v>
      </c>
      <c r="R1986" s="3">
        <v>0</v>
      </c>
    </row>
    <row r="1987" spans="1:18">
      <c r="A1987" s="3" t="s">
        <v>2733</v>
      </c>
      <c r="B1987" s="3" t="s">
        <v>2734</v>
      </c>
      <c r="C1987" s="3" t="s">
        <v>2735</v>
      </c>
      <c r="D1987" s="3" t="s">
        <v>2736</v>
      </c>
      <c r="E1987" s="3" t="s">
        <v>867</v>
      </c>
      <c r="F1987" s="3">
        <v>35.98</v>
      </c>
      <c r="G1987" s="3" t="s">
        <v>3391</v>
      </c>
      <c r="H1987" s="3"/>
      <c r="I1987" s="3" t="s">
        <v>3392</v>
      </c>
      <c r="J1987" s="3">
        <v>6</v>
      </c>
      <c r="K1987" s="3">
        <v>6</v>
      </c>
      <c r="L1987" s="3">
        <v>0</v>
      </c>
      <c r="M1987" s="3">
        <v>0</v>
      </c>
      <c r="N1987" s="3">
        <v>6</v>
      </c>
      <c r="O1987" s="3">
        <v>0.22</v>
      </c>
      <c r="P1987" s="3">
        <v>0</v>
      </c>
      <c r="Q1987" s="3">
        <v>0</v>
      </c>
      <c r="R1987" s="3">
        <v>0</v>
      </c>
    </row>
    <row r="1988" spans="1:18">
      <c r="A1988" s="3" t="s">
        <v>2576</v>
      </c>
      <c r="B1988" s="3" t="s">
        <v>2577</v>
      </c>
      <c r="C1988" s="3" t="s">
        <v>2578</v>
      </c>
      <c r="D1988" s="3" t="s">
        <v>2579</v>
      </c>
      <c r="E1988" s="3" t="s">
        <v>867</v>
      </c>
      <c r="F1988" s="3">
        <v>35.98</v>
      </c>
      <c r="G1988" s="3" t="s">
        <v>3391</v>
      </c>
      <c r="H1988" s="3"/>
      <c r="I1988" s="3" t="s">
        <v>3392</v>
      </c>
      <c r="J1988" s="3">
        <v>6</v>
      </c>
      <c r="K1988" s="3">
        <v>6</v>
      </c>
      <c r="L1988" s="3">
        <v>0</v>
      </c>
      <c r="M1988" s="3">
        <v>0</v>
      </c>
      <c r="N1988" s="3">
        <v>6</v>
      </c>
      <c r="O1988" s="3">
        <v>0.14</v>
      </c>
      <c r="P1988" s="3">
        <v>0</v>
      </c>
      <c r="Q1988" s="3">
        <v>0</v>
      </c>
      <c r="R1988" s="3">
        <v>0</v>
      </c>
    </row>
    <row r="1989" spans="1:18">
      <c r="A1989" s="3" t="s">
        <v>2078</v>
      </c>
      <c r="B1989" s="3" t="s">
        <v>2079</v>
      </c>
      <c r="C1989" s="3" t="s">
        <v>2080</v>
      </c>
      <c r="D1989" s="3" t="s">
        <v>2081</v>
      </c>
      <c r="E1989" s="3" t="s">
        <v>867</v>
      </c>
      <c r="F1989" s="3">
        <v>35.98</v>
      </c>
      <c r="G1989" s="3" t="s">
        <v>3391</v>
      </c>
      <c r="H1989" s="3"/>
      <c r="I1989" s="3" t="s">
        <v>3392</v>
      </c>
      <c r="J1989" s="3">
        <v>5</v>
      </c>
      <c r="K1989" s="3">
        <v>5</v>
      </c>
      <c r="L1989" s="3">
        <v>0</v>
      </c>
      <c r="M1989" s="3">
        <v>0</v>
      </c>
      <c r="N1989" s="3">
        <v>5</v>
      </c>
      <c r="O1989" s="3">
        <v>0.21</v>
      </c>
      <c r="P1989" s="3">
        <v>0</v>
      </c>
      <c r="Q1989" s="3">
        <v>0</v>
      </c>
      <c r="R1989" s="3">
        <v>0</v>
      </c>
    </row>
    <row r="1990" spans="1:18">
      <c r="A1990" s="3" t="s">
        <v>2019</v>
      </c>
      <c r="B1990" s="3" t="s">
        <v>2020</v>
      </c>
      <c r="C1990" s="3" t="s">
        <v>2021</v>
      </c>
      <c r="D1990" s="3" t="s">
        <v>2022</v>
      </c>
      <c r="E1990" s="3" t="s">
        <v>867</v>
      </c>
      <c r="F1990" s="3">
        <v>35.98</v>
      </c>
      <c r="G1990" s="3" t="s">
        <v>3391</v>
      </c>
      <c r="H1990" s="3"/>
      <c r="I1990" s="3" t="s">
        <v>3392</v>
      </c>
      <c r="J1990" s="3">
        <v>6</v>
      </c>
      <c r="K1990" s="3">
        <v>6</v>
      </c>
      <c r="L1990" s="3">
        <v>0</v>
      </c>
      <c r="M1990" s="3">
        <v>0</v>
      </c>
      <c r="N1990" s="3">
        <v>6</v>
      </c>
      <c r="O1990" s="3">
        <v>0.22</v>
      </c>
      <c r="P1990" s="3">
        <v>0</v>
      </c>
      <c r="Q1990" s="3">
        <v>0</v>
      </c>
      <c r="R1990" s="3">
        <v>0</v>
      </c>
    </row>
    <row r="1991" spans="1:18">
      <c r="A1991" s="3" t="s">
        <v>921</v>
      </c>
      <c r="B1991" s="3" t="s">
        <v>922</v>
      </c>
      <c r="C1991" s="3" t="s">
        <v>923</v>
      </c>
      <c r="D1991" s="3" t="s">
        <v>924</v>
      </c>
      <c r="E1991" s="3" t="s">
        <v>867</v>
      </c>
      <c r="F1991" s="3">
        <v>35.98</v>
      </c>
      <c r="G1991" s="3" t="s">
        <v>3391</v>
      </c>
      <c r="H1991" s="3"/>
      <c r="I1991" s="3" t="s">
        <v>3392</v>
      </c>
      <c r="J1991" s="3">
        <v>6</v>
      </c>
      <c r="K1991" s="3">
        <v>6</v>
      </c>
      <c r="L1991" s="3">
        <v>0</v>
      </c>
      <c r="M1991" s="3">
        <v>0</v>
      </c>
      <c r="N1991" s="3">
        <v>6</v>
      </c>
      <c r="O1991" s="3">
        <v>0.14</v>
      </c>
      <c r="P1991" s="3">
        <v>0</v>
      </c>
      <c r="Q1991" s="3">
        <v>0</v>
      </c>
      <c r="R1991" s="3">
        <v>0</v>
      </c>
    </row>
    <row r="1992" spans="1:18">
      <c r="A1992" s="3" t="s">
        <v>1250</v>
      </c>
      <c r="B1992" s="3" t="s">
        <v>1251</v>
      </c>
      <c r="C1992" s="3" t="s">
        <v>1252</v>
      </c>
      <c r="D1992" s="3" t="s">
        <v>1253</v>
      </c>
      <c r="E1992" s="3" t="s">
        <v>867</v>
      </c>
      <c r="F1992" s="3">
        <v>35.98</v>
      </c>
      <c r="G1992" s="3" t="s">
        <v>3391</v>
      </c>
      <c r="H1992" s="3"/>
      <c r="I1992" s="3" t="s">
        <v>3392</v>
      </c>
      <c r="J1992" s="3">
        <v>6</v>
      </c>
      <c r="K1992" s="3">
        <v>6</v>
      </c>
      <c r="L1992" s="3">
        <v>0</v>
      </c>
      <c r="M1992" s="3">
        <v>0</v>
      </c>
      <c r="N1992" s="3">
        <v>6</v>
      </c>
      <c r="O1992" s="3">
        <v>0.21</v>
      </c>
      <c r="P1992" s="3">
        <v>0</v>
      </c>
      <c r="Q1992" s="3">
        <v>0</v>
      </c>
      <c r="R1992" s="3">
        <v>0</v>
      </c>
    </row>
    <row r="1993" spans="1:18">
      <c r="A1993" s="3" t="s">
        <v>2345</v>
      </c>
      <c r="B1993" s="3" t="s">
        <v>2346</v>
      </c>
      <c r="C1993" s="3" t="s">
        <v>2347</v>
      </c>
      <c r="D1993" s="3" t="s">
        <v>2348</v>
      </c>
      <c r="E1993" s="3" t="s">
        <v>867</v>
      </c>
      <c r="F1993" s="3">
        <v>36.98</v>
      </c>
      <c r="G1993" s="3" t="s">
        <v>3391</v>
      </c>
      <c r="H1993" s="3"/>
      <c r="I1993" s="3" t="s">
        <v>3392</v>
      </c>
      <c r="J1993" s="3">
        <v>6</v>
      </c>
      <c r="K1993" s="3">
        <v>6</v>
      </c>
      <c r="L1993" s="3">
        <v>0</v>
      </c>
      <c r="M1993" s="3">
        <v>0</v>
      </c>
      <c r="N1993" s="3">
        <v>6</v>
      </c>
      <c r="O1993" s="3">
        <v>0.19</v>
      </c>
      <c r="P1993" s="3">
        <v>0</v>
      </c>
      <c r="Q1993" s="3">
        <v>0</v>
      </c>
      <c r="R1993" s="3">
        <v>0</v>
      </c>
    </row>
    <row r="1994" spans="1:18">
      <c r="A1994" s="3" t="s">
        <v>2281</v>
      </c>
      <c r="B1994" s="3" t="s">
        <v>2282</v>
      </c>
      <c r="C1994" s="3" t="s">
        <v>2283</v>
      </c>
      <c r="D1994" s="3" t="s">
        <v>2284</v>
      </c>
      <c r="E1994" s="3" t="s">
        <v>867</v>
      </c>
      <c r="F1994" s="3">
        <v>36.98</v>
      </c>
      <c r="G1994" s="3" t="s">
        <v>3391</v>
      </c>
      <c r="H1994" s="3"/>
      <c r="I1994" s="3" t="s">
        <v>3392</v>
      </c>
      <c r="J1994" s="3">
        <v>5</v>
      </c>
      <c r="K1994" s="3">
        <v>5</v>
      </c>
      <c r="L1994" s="3">
        <v>0</v>
      </c>
      <c r="M1994" s="3">
        <v>0</v>
      </c>
      <c r="N1994" s="3">
        <v>5</v>
      </c>
      <c r="O1994" s="3">
        <v>0.19</v>
      </c>
      <c r="P1994" s="3">
        <v>0</v>
      </c>
      <c r="Q1994" s="3">
        <v>0</v>
      </c>
      <c r="R1994" s="3">
        <v>0</v>
      </c>
    </row>
    <row r="1995" spans="1:18">
      <c r="A1995" s="3" t="s">
        <v>1624</v>
      </c>
      <c r="B1995" s="3" t="s">
        <v>1625</v>
      </c>
      <c r="C1995" s="3" t="s">
        <v>1626</v>
      </c>
      <c r="D1995" s="3" t="s">
        <v>1627</v>
      </c>
      <c r="E1995" s="3" t="s">
        <v>867</v>
      </c>
      <c r="F1995" s="3">
        <v>36.98</v>
      </c>
      <c r="G1995" s="3" t="s">
        <v>3391</v>
      </c>
      <c r="H1995" s="3"/>
      <c r="I1995" s="3" t="s">
        <v>3392</v>
      </c>
      <c r="J1995" s="3">
        <v>6</v>
      </c>
      <c r="K1995" s="3">
        <v>6</v>
      </c>
      <c r="L1995" s="3">
        <v>0</v>
      </c>
      <c r="M1995" s="3">
        <v>0</v>
      </c>
      <c r="N1995" s="3">
        <v>6</v>
      </c>
      <c r="O1995" s="3">
        <v>0.16</v>
      </c>
      <c r="P1995" s="3">
        <v>0</v>
      </c>
      <c r="Q1995" s="3">
        <v>0</v>
      </c>
      <c r="R1995" s="3">
        <v>0</v>
      </c>
    </row>
    <row r="1996" spans="1:18">
      <c r="A1996" s="3" t="s">
        <v>1188</v>
      </c>
      <c r="B1996" s="3" t="s">
        <v>1189</v>
      </c>
      <c r="C1996" s="3" t="s">
        <v>1190</v>
      </c>
      <c r="D1996" s="3" t="s">
        <v>1191</v>
      </c>
      <c r="E1996" s="3" t="s">
        <v>867</v>
      </c>
      <c r="F1996" s="3">
        <v>36.98</v>
      </c>
      <c r="G1996" s="3" t="s">
        <v>3391</v>
      </c>
      <c r="H1996" s="3"/>
      <c r="I1996" s="3" t="s">
        <v>3392</v>
      </c>
      <c r="J1996" s="3">
        <v>5</v>
      </c>
      <c r="K1996" s="3">
        <v>5</v>
      </c>
      <c r="L1996" s="3">
        <v>0</v>
      </c>
      <c r="M1996" s="3">
        <v>0</v>
      </c>
      <c r="N1996" s="3">
        <v>5</v>
      </c>
      <c r="O1996" s="3">
        <v>0.19</v>
      </c>
      <c r="P1996" s="3">
        <v>0</v>
      </c>
      <c r="Q1996" s="3">
        <v>0</v>
      </c>
      <c r="R1996" s="3">
        <v>0</v>
      </c>
    </row>
    <row r="1997" spans="1:18">
      <c r="A1997" s="3" t="s">
        <v>2947</v>
      </c>
      <c r="B1997" s="3" t="s">
        <v>2948</v>
      </c>
      <c r="C1997" s="3" t="s">
        <v>2949</v>
      </c>
      <c r="D1997" s="3" t="s">
        <v>2950</v>
      </c>
      <c r="E1997" s="3" t="s">
        <v>867</v>
      </c>
      <c r="F1997" s="3">
        <v>35.98</v>
      </c>
      <c r="G1997" s="3" t="s">
        <v>3391</v>
      </c>
      <c r="H1997" s="3"/>
      <c r="I1997" s="3" t="s">
        <v>3392</v>
      </c>
      <c r="J1997" s="3">
        <v>6</v>
      </c>
      <c r="K1997" s="3">
        <v>6</v>
      </c>
      <c r="L1997" s="3">
        <v>0</v>
      </c>
      <c r="M1997" s="3">
        <v>0</v>
      </c>
      <c r="N1997" s="3">
        <v>6</v>
      </c>
      <c r="O1997" s="3">
        <v>0.22</v>
      </c>
      <c r="P1997" s="3">
        <v>0</v>
      </c>
      <c r="Q1997" s="3">
        <v>0</v>
      </c>
      <c r="R1997" s="3">
        <v>0</v>
      </c>
    </row>
    <row r="1998" spans="1:18">
      <c r="A1998" s="3" t="s">
        <v>1395</v>
      </c>
      <c r="B1998" s="3" t="s">
        <v>1396</v>
      </c>
      <c r="C1998" s="3" t="s">
        <v>1397</v>
      </c>
      <c r="D1998" s="3" t="s">
        <v>1398</v>
      </c>
      <c r="E1998" s="3" t="s">
        <v>867</v>
      </c>
      <c r="F1998" s="3">
        <v>35.98</v>
      </c>
      <c r="G1998" s="3" t="s">
        <v>3391</v>
      </c>
      <c r="H1998" s="3"/>
      <c r="I1998" s="3" t="s">
        <v>3392</v>
      </c>
      <c r="J1998" s="3">
        <v>6</v>
      </c>
      <c r="K1998" s="3">
        <v>6</v>
      </c>
      <c r="L1998" s="3">
        <v>0</v>
      </c>
      <c r="M1998" s="3">
        <v>0</v>
      </c>
      <c r="N1998" s="3">
        <v>6</v>
      </c>
      <c r="O1998" s="3">
        <v>0.14</v>
      </c>
      <c r="P1998" s="3">
        <v>0</v>
      </c>
      <c r="Q1998" s="3">
        <v>0</v>
      </c>
      <c r="R1998" s="3">
        <v>0</v>
      </c>
    </row>
    <row r="1999" spans="1:18">
      <c r="A1999" s="3" t="s">
        <v>1144</v>
      </c>
      <c r="B1999" s="3" t="s">
        <v>1145</v>
      </c>
      <c r="C1999" s="3" t="s">
        <v>1146</v>
      </c>
      <c r="D1999" s="3" t="s">
        <v>1147</v>
      </c>
      <c r="E1999" s="3" t="s">
        <v>867</v>
      </c>
      <c r="F1999" s="3">
        <v>35.98</v>
      </c>
      <c r="G1999" s="3" t="s">
        <v>3391</v>
      </c>
      <c r="H1999" s="3"/>
      <c r="I1999" s="3" t="s">
        <v>3392</v>
      </c>
      <c r="J1999" s="3">
        <v>6</v>
      </c>
      <c r="K1999" s="3">
        <v>6</v>
      </c>
      <c r="L1999" s="3">
        <v>0</v>
      </c>
      <c r="M1999" s="3">
        <v>0</v>
      </c>
      <c r="N1999" s="3">
        <v>6</v>
      </c>
      <c r="O1999" s="3">
        <v>0.21</v>
      </c>
      <c r="P1999" s="3">
        <v>0</v>
      </c>
      <c r="Q1999" s="3">
        <v>0</v>
      </c>
      <c r="R1999" s="3">
        <v>0</v>
      </c>
    </row>
    <row r="2000" spans="1:18">
      <c r="A2000" s="3" t="s">
        <v>3252</v>
      </c>
      <c r="B2000" s="3" t="s">
        <v>3253</v>
      </c>
      <c r="C2000" s="3" t="s">
        <v>3254</v>
      </c>
      <c r="D2000" s="3" t="s">
        <v>3255</v>
      </c>
      <c r="E2000" s="3" t="s">
        <v>867</v>
      </c>
      <c r="F2000" s="3">
        <v>35.98</v>
      </c>
      <c r="G2000" s="3" t="s">
        <v>3391</v>
      </c>
      <c r="H2000" s="3"/>
      <c r="I2000" s="3" t="s">
        <v>3392</v>
      </c>
      <c r="J2000" s="3">
        <v>6</v>
      </c>
      <c r="K2000" s="3">
        <v>6</v>
      </c>
      <c r="L2000" s="3">
        <v>0</v>
      </c>
      <c r="M2000" s="3">
        <v>0</v>
      </c>
      <c r="N2000" s="3">
        <v>6</v>
      </c>
      <c r="O2000" s="3">
        <v>0.22</v>
      </c>
      <c r="P2000" s="3">
        <v>0</v>
      </c>
      <c r="Q2000" s="3">
        <v>0</v>
      </c>
      <c r="R2000" s="3">
        <v>0</v>
      </c>
    </row>
    <row r="2001" spans="1:18">
      <c r="A2001" s="3" t="s">
        <v>3055</v>
      </c>
      <c r="B2001" s="3" t="s">
        <v>3056</v>
      </c>
      <c r="C2001" s="3" t="s">
        <v>3057</v>
      </c>
      <c r="D2001" s="3" t="s">
        <v>3058</v>
      </c>
      <c r="E2001" s="3" t="s">
        <v>867</v>
      </c>
      <c r="F2001" s="3">
        <v>35.98</v>
      </c>
      <c r="G2001" s="3" t="s">
        <v>3391</v>
      </c>
      <c r="H2001" s="3"/>
      <c r="I2001" s="3" t="s">
        <v>3392</v>
      </c>
      <c r="J2001" s="3">
        <v>6</v>
      </c>
      <c r="K2001" s="3">
        <v>6</v>
      </c>
      <c r="L2001" s="3">
        <v>0</v>
      </c>
      <c r="M2001" s="3">
        <v>0</v>
      </c>
      <c r="N2001" s="3">
        <v>6</v>
      </c>
      <c r="O2001" s="3">
        <v>0.14</v>
      </c>
      <c r="P2001" s="3">
        <v>0</v>
      </c>
      <c r="Q2001" s="3">
        <v>0</v>
      </c>
      <c r="R2001" s="3">
        <v>0</v>
      </c>
    </row>
    <row r="2002" spans="1:18">
      <c r="A2002" s="3" t="s">
        <v>2911</v>
      </c>
      <c r="B2002" s="3" t="s">
        <v>2912</v>
      </c>
      <c r="C2002" s="3" t="s">
        <v>2913</v>
      </c>
      <c r="D2002" s="3" t="s">
        <v>2914</v>
      </c>
      <c r="E2002" s="3" t="s">
        <v>867</v>
      </c>
      <c r="F2002" s="3">
        <v>35.98</v>
      </c>
      <c r="G2002" s="3" t="s">
        <v>3391</v>
      </c>
      <c r="H2002" s="3"/>
      <c r="I2002" s="3" t="s">
        <v>3392</v>
      </c>
      <c r="J2002" s="3">
        <v>6</v>
      </c>
      <c r="K2002" s="3">
        <v>6</v>
      </c>
      <c r="L2002" s="3">
        <v>0</v>
      </c>
      <c r="M2002" s="3">
        <v>0</v>
      </c>
      <c r="N2002" s="3">
        <v>6</v>
      </c>
      <c r="O2002" s="3">
        <v>0.21</v>
      </c>
      <c r="P2002" s="3">
        <v>0</v>
      </c>
      <c r="Q2002" s="3">
        <v>0</v>
      </c>
      <c r="R2002" s="3">
        <v>0</v>
      </c>
    </row>
    <row r="2003" spans="1:18">
      <c r="A2003" s="3" t="s">
        <v>2196</v>
      </c>
      <c r="B2003" s="3" t="s">
        <v>2197</v>
      </c>
      <c r="C2003" s="3" t="s">
        <v>2198</v>
      </c>
      <c r="D2003" s="3" t="s">
        <v>2199</v>
      </c>
      <c r="E2003" s="3" t="s">
        <v>867</v>
      </c>
      <c r="F2003" s="3">
        <v>35.98</v>
      </c>
      <c r="G2003" s="3" t="s">
        <v>3391</v>
      </c>
      <c r="H2003" s="3"/>
      <c r="I2003" s="3" t="s">
        <v>3392</v>
      </c>
      <c r="J2003" s="3">
        <v>6</v>
      </c>
      <c r="K2003" s="3">
        <v>6</v>
      </c>
      <c r="L2003" s="3">
        <v>0</v>
      </c>
      <c r="M2003" s="3">
        <v>0</v>
      </c>
      <c r="N2003" s="3">
        <v>6</v>
      </c>
      <c r="O2003" s="3">
        <v>0.22</v>
      </c>
      <c r="P2003" s="3">
        <v>0</v>
      </c>
      <c r="Q2003" s="3">
        <v>0</v>
      </c>
      <c r="R2003" s="3">
        <v>0</v>
      </c>
    </row>
    <row r="2004" spans="1:18">
      <c r="A2004" s="3" t="s">
        <v>1731</v>
      </c>
      <c r="B2004" s="3" t="s">
        <v>1732</v>
      </c>
      <c r="C2004" s="3" t="s">
        <v>1733</v>
      </c>
      <c r="D2004" s="3" t="s">
        <v>1734</v>
      </c>
      <c r="E2004" s="3" t="s">
        <v>867</v>
      </c>
      <c r="F2004" s="3">
        <v>35.98</v>
      </c>
      <c r="G2004" s="3" t="s">
        <v>3391</v>
      </c>
      <c r="H2004" s="3"/>
      <c r="I2004" s="3" t="s">
        <v>3392</v>
      </c>
      <c r="J2004" s="3">
        <v>6</v>
      </c>
      <c r="K2004" s="3">
        <v>6</v>
      </c>
      <c r="L2004" s="3">
        <v>0</v>
      </c>
      <c r="M2004" s="3">
        <v>0</v>
      </c>
      <c r="N2004" s="3">
        <v>6</v>
      </c>
      <c r="O2004" s="3">
        <v>0.14</v>
      </c>
      <c r="P2004" s="3">
        <v>0</v>
      </c>
      <c r="Q2004" s="3">
        <v>0</v>
      </c>
      <c r="R2004" s="3">
        <v>0</v>
      </c>
    </row>
    <row r="2005" spans="1:18">
      <c r="A2005" s="3" t="s">
        <v>2045</v>
      </c>
      <c r="B2005" s="3" t="s">
        <v>2046</v>
      </c>
      <c r="C2005" s="3" t="s">
        <v>2047</v>
      </c>
      <c r="D2005" s="3" t="s">
        <v>2048</v>
      </c>
      <c r="E2005" s="3" t="s">
        <v>867</v>
      </c>
      <c r="F2005" s="3">
        <v>35.98</v>
      </c>
      <c r="G2005" s="3" t="s">
        <v>3391</v>
      </c>
      <c r="H2005" s="3"/>
      <c r="I2005" s="3" t="s">
        <v>3392</v>
      </c>
      <c r="J2005" s="3">
        <v>1</v>
      </c>
      <c r="K2005" s="3">
        <v>1</v>
      </c>
      <c r="L2005" s="3">
        <v>0</v>
      </c>
      <c r="M2005" s="3">
        <v>0</v>
      </c>
      <c r="N2005" s="3">
        <v>1</v>
      </c>
      <c r="O2005" s="3">
        <v>0.21</v>
      </c>
      <c r="P2005" s="3">
        <v>0</v>
      </c>
      <c r="Q2005" s="3">
        <v>0</v>
      </c>
      <c r="R2005" s="3">
        <v>0</v>
      </c>
    </row>
    <row r="2006" spans="1:18">
      <c r="A2006" s="3" t="s">
        <v>1008</v>
      </c>
      <c r="B2006" s="3" t="s">
        <v>1009</v>
      </c>
      <c r="C2006" s="3" t="s">
        <v>1010</v>
      </c>
      <c r="D2006" s="3" t="s">
        <v>1011</v>
      </c>
      <c r="E2006" s="3" t="s">
        <v>867</v>
      </c>
      <c r="F2006" s="3">
        <v>35.98</v>
      </c>
      <c r="G2006" s="3" t="s">
        <v>3391</v>
      </c>
      <c r="H2006" s="3"/>
      <c r="I2006" s="3" t="s">
        <v>3392</v>
      </c>
      <c r="J2006" s="3">
        <v>5</v>
      </c>
      <c r="K2006" s="3">
        <v>5</v>
      </c>
      <c r="L2006" s="3">
        <v>0</v>
      </c>
      <c r="M2006" s="3">
        <v>0</v>
      </c>
      <c r="N2006" s="3">
        <v>5</v>
      </c>
      <c r="O2006" s="3">
        <v>0.13</v>
      </c>
      <c r="P2006" s="3">
        <v>0</v>
      </c>
      <c r="Q2006" s="3">
        <v>0</v>
      </c>
      <c r="R2006" s="3">
        <v>0</v>
      </c>
    </row>
    <row r="2007" spans="1:18">
      <c r="A2007" s="3" t="s">
        <v>2094</v>
      </c>
      <c r="B2007" s="3" t="s">
        <v>2095</v>
      </c>
      <c r="C2007" s="3" t="s">
        <v>2096</v>
      </c>
      <c r="D2007" s="3" t="s">
        <v>2097</v>
      </c>
      <c r="E2007" s="3" t="s">
        <v>867</v>
      </c>
      <c r="F2007" s="3">
        <v>35.98</v>
      </c>
      <c r="G2007" s="3" t="s">
        <v>3391</v>
      </c>
      <c r="H2007" s="3"/>
      <c r="I2007" s="3" t="s">
        <v>3392</v>
      </c>
      <c r="J2007" s="3">
        <v>5</v>
      </c>
      <c r="K2007" s="3">
        <v>5</v>
      </c>
      <c r="L2007" s="3">
        <v>0</v>
      </c>
      <c r="M2007" s="3">
        <v>0</v>
      </c>
      <c r="N2007" s="3">
        <v>5</v>
      </c>
      <c r="O2007" s="3">
        <v>0.11</v>
      </c>
      <c r="P2007" s="3">
        <v>0</v>
      </c>
      <c r="Q2007" s="3">
        <v>0</v>
      </c>
      <c r="R2007" s="3">
        <v>0</v>
      </c>
    </row>
    <row r="2008" spans="1:18">
      <c r="A2008" s="3" t="s">
        <v>2509</v>
      </c>
      <c r="B2008" s="3" t="s">
        <v>2510</v>
      </c>
      <c r="C2008" s="3" t="s">
        <v>2511</v>
      </c>
      <c r="D2008" s="3" t="s">
        <v>2512</v>
      </c>
      <c r="E2008" s="3" t="s">
        <v>867</v>
      </c>
      <c r="F2008" s="3">
        <v>35.98</v>
      </c>
      <c r="G2008" s="3" t="s">
        <v>3391</v>
      </c>
      <c r="H2008" s="3"/>
      <c r="I2008" s="3" t="s">
        <v>3392</v>
      </c>
      <c r="J2008" s="3">
        <v>5</v>
      </c>
      <c r="K2008" s="3">
        <v>5</v>
      </c>
      <c r="L2008" s="3">
        <v>0</v>
      </c>
      <c r="M2008" s="3">
        <v>0</v>
      </c>
      <c r="N2008" s="3">
        <v>5</v>
      </c>
      <c r="O2008" s="3">
        <v>0.14</v>
      </c>
      <c r="P2008" s="3">
        <v>0</v>
      </c>
      <c r="Q2008" s="3">
        <v>0</v>
      </c>
      <c r="R2008" s="3">
        <v>0</v>
      </c>
    </row>
    <row r="2009" spans="1:18">
      <c r="A2009" s="3" t="s">
        <v>1642</v>
      </c>
      <c r="B2009" s="3" t="s">
        <v>1643</v>
      </c>
      <c r="C2009" s="3" t="s">
        <v>1644</v>
      </c>
      <c r="D2009" s="3" t="s">
        <v>1645</v>
      </c>
      <c r="E2009" s="3" t="s">
        <v>867</v>
      </c>
      <c r="F2009" s="3">
        <v>35.98</v>
      </c>
      <c r="G2009" s="3" t="s">
        <v>3391</v>
      </c>
      <c r="H2009" s="3"/>
      <c r="I2009" s="3" t="s">
        <v>3392</v>
      </c>
      <c r="J2009" s="3">
        <v>5</v>
      </c>
      <c r="K2009" s="3">
        <v>5</v>
      </c>
      <c r="L2009" s="3">
        <v>0</v>
      </c>
      <c r="M2009" s="3">
        <v>0</v>
      </c>
      <c r="N2009" s="3">
        <v>5</v>
      </c>
      <c r="O2009" s="3">
        <v>0.11</v>
      </c>
      <c r="P2009" s="3">
        <v>0</v>
      </c>
      <c r="Q2009" s="3">
        <v>0</v>
      </c>
      <c r="R2009" s="3">
        <v>0</v>
      </c>
    </row>
    <row r="2010" spans="1:18">
      <c r="A2010" s="3" t="s">
        <v>2564</v>
      </c>
      <c r="B2010" s="3" t="s">
        <v>2565</v>
      </c>
      <c r="C2010" s="3" t="s">
        <v>2566</v>
      </c>
      <c r="D2010" s="3" t="s">
        <v>2567</v>
      </c>
      <c r="E2010" s="3" t="s">
        <v>867</v>
      </c>
      <c r="F2010" s="3">
        <v>35.98</v>
      </c>
      <c r="G2010" s="3" t="s">
        <v>3391</v>
      </c>
      <c r="H2010" s="3"/>
      <c r="I2010" s="3" t="s">
        <v>3392</v>
      </c>
      <c r="J2010" s="3">
        <v>5</v>
      </c>
      <c r="K2010" s="3">
        <v>5</v>
      </c>
      <c r="L2010" s="3">
        <v>0</v>
      </c>
      <c r="M2010" s="3">
        <v>0</v>
      </c>
      <c r="N2010" s="3">
        <v>5</v>
      </c>
      <c r="O2010" s="3">
        <v>0.12</v>
      </c>
      <c r="P2010" s="3">
        <v>0</v>
      </c>
      <c r="Q2010" s="3">
        <v>0</v>
      </c>
      <c r="R2010" s="3">
        <v>0</v>
      </c>
    </row>
    <row r="2011" spans="1:18">
      <c r="A2011" s="3" t="s">
        <v>2492</v>
      </c>
      <c r="B2011" s="3" t="s">
        <v>2493</v>
      </c>
      <c r="C2011" s="3" t="s">
        <v>2494</v>
      </c>
      <c r="D2011" s="3" t="s">
        <v>2495</v>
      </c>
      <c r="E2011" s="3" t="s">
        <v>867</v>
      </c>
      <c r="F2011" s="3">
        <v>35.98</v>
      </c>
      <c r="G2011" s="3" t="s">
        <v>3391</v>
      </c>
      <c r="H2011" s="3"/>
      <c r="I2011" s="3" t="s">
        <v>3392</v>
      </c>
      <c r="J2011" s="3">
        <v>5</v>
      </c>
      <c r="K2011" s="3">
        <v>5</v>
      </c>
      <c r="L2011" s="3">
        <v>0</v>
      </c>
      <c r="M2011" s="3">
        <v>0</v>
      </c>
      <c r="N2011" s="3">
        <v>5</v>
      </c>
      <c r="O2011" s="3">
        <v>0.17</v>
      </c>
      <c r="P2011" s="3">
        <v>0</v>
      </c>
      <c r="Q2011" s="3">
        <v>0</v>
      </c>
      <c r="R2011" s="3">
        <v>0</v>
      </c>
    </row>
    <row r="2012" spans="1:18">
      <c r="A2012" s="3" t="s">
        <v>2412</v>
      </c>
      <c r="B2012" s="3" t="s">
        <v>2413</v>
      </c>
      <c r="C2012" s="3" t="s">
        <v>2414</v>
      </c>
      <c r="D2012" s="3" t="s">
        <v>2415</v>
      </c>
      <c r="E2012" s="3" t="s">
        <v>867</v>
      </c>
      <c r="F2012" s="3">
        <v>36.98</v>
      </c>
      <c r="G2012" s="3" t="s">
        <v>3391</v>
      </c>
      <c r="H2012" s="3"/>
      <c r="I2012" s="3" t="s">
        <v>3392</v>
      </c>
      <c r="J2012" s="3">
        <v>23</v>
      </c>
      <c r="K2012" s="3">
        <v>23</v>
      </c>
      <c r="L2012" s="3">
        <v>0</v>
      </c>
      <c r="M2012" s="3">
        <v>0</v>
      </c>
      <c r="N2012" s="3">
        <v>23</v>
      </c>
      <c r="O2012" s="3">
        <v>0.13</v>
      </c>
      <c r="P2012" s="3">
        <v>0</v>
      </c>
      <c r="Q2012" s="3">
        <v>0</v>
      </c>
      <c r="R2012" s="3">
        <v>0</v>
      </c>
    </row>
    <row r="2013" spans="1:18">
      <c r="A2013" s="3" t="s">
        <v>3080</v>
      </c>
      <c r="B2013" s="3" t="s">
        <v>3081</v>
      </c>
      <c r="C2013" s="3" t="s">
        <v>3082</v>
      </c>
      <c r="D2013" s="3" t="s">
        <v>3083</v>
      </c>
      <c r="E2013" s="3" t="s">
        <v>867</v>
      </c>
      <c r="F2013" s="3">
        <v>36.98</v>
      </c>
      <c r="G2013" s="3" t="s">
        <v>3391</v>
      </c>
      <c r="H2013" s="3"/>
      <c r="I2013" s="3" t="s">
        <v>3392</v>
      </c>
      <c r="J2013" s="3">
        <v>15</v>
      </c>
      <c r="K2013" s="3">
        <v>15</v>
      </c>
      <c r="L2013" s="3">
        <v>0</v>
      </c>
      <c r="M2013" s="3">
        <v>0</v>
      </c>
      <c r="N2013" s="3">
        <v>15</v>
      </c>
      <c r="O2013" s="3">
        <v>0.11</v>
      </c>
      <c r="P2013" s="3">
        <v>0</v>
      </c>
      <c r="Q2013" s="3">
        <v>0</v>
      </c>
      <c r="R2013" s="3">
        <v>0</v>
      </c>
    </row>
    <row r="2014" spans="1:18">
      <c r="A2014" s="3" t="s">
        <v>2605</v>
      </c>
      <c r="B2014" s="3" t="s">
        <v>2606</v>
      </c>
      <c r="C2014" s="3" t="s">
        <v>2607</v>
      </c>
      <c r="D2014" s="3" t="s">
        <v>2608</v>
      </c>
      <c r="E2014" s="3" t="s">
        <v>867</v>
      </c>
      <c r="F2014" s="3">
        <v>36.98</v>
      </c>
      <c r="G2014" s="3" t="s">
        <v>3391</v>
      </c>
      <c r="H2014" s="3"/>
      <c r="I2014" s="3" t="s">
        <v>3392</v>
      </c>
      <c r="J2014" s="3">
        <v>25</v>
      </c>
      <c r="K2014" s="3">
        <v>24</v>
      </c>
      <c r="L2014" s="3">
        <v>1</v>
      </c>
      <c r="M2014" s="3">
        <v>0</v>
      </c>
      <c r="N2014" s="3">
        <v>25</v>
      </c>
      <c r="O2014" s="3">
        <v>0.14</v>
      </c>
      <c r="P2014" s="3">
        <v>0</v>
      </c>
      <c r="Q2014" s="3">
        <v>0</v>
      </c>
      <c r="R2014" s="3">
        <v>0</v>
      </c>
    </row>
    <row r="2015" spans="1:18">
      <c r="A2015" s="3" t="s">
        <v>1158</v>
      </c>
      <c r="B2015" s="3" t="s">
        <v>1159</v>
      </c>
      <c r="C2015" s="3" t="s">
        <v>1160</v>
      </c>
      <c r="D2015" s="3" t="s">
        <v>1161</v>
      </c>
      <c r="E2015" s="3" t="s">
        <v>867</v>
      </c>
      <c r="F2015" s="3">
        <v>36.98</v>
      </c>
      <c r="G2015" s="3" t="s">
        <v>3391</v>
      </c>
      <c r="H2015" s="3"/>
      <c r="I2015" s="3" t="s">
        <v>3392</v>
      </c>
      <c r="J2015" s="3">
        <v>11</v>
      </c>
      <c r="K2015" s="3">
        <v>11</v>
      </c>
      <c r="L2015" s="3">
        <v>0</v>
      </c>
      <c r="M2015" s="3">
        <v>0</v>
      </c>
      <c r="N2015" s="3">
        <v>11</v>
      </c>
      <c r="O2015" s="3">
        <v>0.13</v>
      </c>
      <c r="P2015" s="3">
        <v>0</v>
      </c>
      <c r="Q2015" s="3">
        <v>0</v>
      </c>
      <c r="R2015" s="3">
        <v>0</v>
      </c>
    </row>
    <row r="2016" spans="1:18">
      <c r="A2016" s="3" t="s">
        <v>1089</v>
      </c>
      <c r="B2016" s="3" t="s">
        <v>1090</v>
      </c>
      <c r="C2016" s="3" t="s">
        <v>1091</v>
      </c>
      <c r="D2016" s="3" t="s">
        <v>1092</v>
      </c>
      <c r="E2016" s="3" t="s">
        <v>867</v>
      </c>
      <c r="F2016" s="3">
        <v>36.98</v>
      </c>
      <c r="G2016" s="3" t="s">
        <v>3391</v>
      </c>
      <c r="H2016" s="3"/>
      <c r="I2016" s="3" t="s">
        <v>3392</v>
      </c>
      <c r="J2016" s="3">
        <v>11</v>
      </c>
      <c r="K2016" s="3">
        <v>11</v>
      </c>
      <c r="L2016" s="3">
        <v>0</v>
      </c>
      <c r="M2016" s="3">
        <v>0</v>
      </c>
      <c r="N2016" s="3">
        <v>11</v>
      </c>
      <c r="O2016" s="3">
        <v>0.11</v>
      </c>
      <c r="P2016" s="3">
        <v>0</v>
      </c>
      <c r="Q2016" s="3">
        <v>0</v>
      </c>
      <c r="R2016" s="3">
        <v>0</v>
      </c>
    </row>
    <row r="2017" spans="1:18">
      <c r="A2017" s="3" t="s">
        <v>1494</v>
      </c>
      <c r="B2017" s="3" t="s">
        <v>1495</v>
      </c>
      <c r="C2017" s="3" t="s">
        <v>1496</v>
      </c>
      <c r="D2017" s="3" t="s">
        <v>1497</v>
      </c>
      <c r="E2017" s="3" t="s">
        <v>867</v>
      </c>
      <c r="F2017" s="3">
        <v>36.98</v>
      </c>
      <c r="G2017" s="3" t="s">
        <v>3391</v>
      </c>
      <c r="H2017" s="3"/>
      <c r="I2017" s="3" t="s">
        <v>3392</v>
      </c>
      <c r="J2017" s="3">
        <v>13</v>
      </c>
      <c r="K2017" s="3">
        <v>13</v>
      </c>
      <c r="L2017" s="3">
        <v>0</v>
      </c>
      <c r="M2017" s="3">
        <v>0</v>
      </c>
      <c r="N2017" s="3">
        <v>13</v>
      </c>
      <c r="O2017" s="3">
        <v>0.14</v>
      </c>
      <c r="P2017" s="3">
        <v>0</v>
      </c>
      <c r="Q2017" s="3">
        <v>0</v>
      </c>
      <c r="R2017" s="3">
        <v>0</v>
      </c>
    </row>
    <row r="2018" spans="1:18">
      <c r="A2018" s="3" t="s">
        <v>981</v>
      </c>
      <c r="B2018" s="3" t="s">
        <v>982</v>
      </c>
      <c r="C2018" s="3" t="s">
        <v>983</v>
      </c>
      <c r="D2018" s="3" t="s">
        <v>984</v>
      </c>
      <c r="E2018" s="3" t="s">
        <v>867</v>
      </c>
      <c r="F2018" s="3">
        <v>36.98</v>
      </c>
      <c r="G2018" s="3" t="s">
        <v>3391</v>
      </c>
      <c r="H2018" s="3"/>
      <c r="I2018" s="3" t="s">
        <v>3392</v>
      </c>
      <c r="J2018" s="3">
        <v>3</v>
      </c>
      <c r="K2018" s="3">
        <v>3</v>
      </c>
      <c r="L2018" s="3">
        <v>0</v>
      </c>
      <c r="M2018" s="3">
        <v>0</v>
      </c>
      <c r="N2018" s="3">
        <v>3</v>
      </c>
      <c r="O2018" s="3">
        <v>0.11</v>
      </c>
      <c r="P2018" s="3">
        <v>0</v>
      </c>
      <c r="Q2018" s="3">
        <v>0</v>
      </c>
      <c r="R2018" s="3">
        <v>0</v>
      </c>
    </row>
    <row r="2019" spans="1:18">
      <c r="A2019" s="3" t="s">
        <v>2297</v>
      </c>
      <c r="B2019" s="3" t="s">
        <v>2298</v>
      </c>
      <c r="C2019" s="3" t="s">
        <v>2299</v>
      </c>
      <c r="D2019" s="3" t="s">
        <v>2300</v>
      </c>
      <c r="E2019" s="3" t="s">
        <v>867</v>
      </c>
      <c r="F2019" s="3">
        <v>36.98</v>
      </c>
      <c r="G2019" s="3" t="s">
        <v>3391</v>
      </c>
      <c r="H2019" s="3"/>
      <c r="I2019" s="3" t="s">
        <v>3392</v>
      </c>
      <c r="J2019" s="3">
        <v>5</v>
      </c>
      <c r="K2019" s="3">
        <v>5</v>
      </c>
      <c r="L2019" s="3">
        <v>0</v>
      </c>
      <c r="M2019" s="3">
        <v>0</v>
      </c>
      <c r="N2019" s="3">
        <v>5</v>
      </c>
      <c r="O2019" s="3">
        <v>0.14</v>
      </c>
      <c r="P2019" s="3">
        <v>0</v>
      </c>
      <c r="Q2019" s="3">
        <v>0</v>
      </c>
      <c r="R2019" s="3">
        <v>0</v>
      </c>
    </row>
    <row r="2020" spans="1:18">
      <c r="A2020" s="3" t="s">
        <v>2889</v>
      </c>
      <c r="B2020" s="3" t="s">
        <v>2890</v>
      </c>
      <c r="C2020" s="3" t="s">
        <v>2891</v>
      </c>
      <c r="D2020" s="3" t="s">
        <v>2892</v>
      </c>
      <c r="E2020" s="3" t="s">
        <v>867</v>
      </c>
      <c r="F2020" s="3">
        <v>36.98</v>
      </c>
      <c r="G2020" s="3" t="s">
        <v>3391</v>
      </c>
      <c r="H2020" s="3"/>
      <c r="I2020" s="3" t="s">
        <v>3392</v>
      </c>
      <c r="J2020" s="3">
        <v>4</v>
      </c>
      <c r="K2020" s="3">
        <v>4</v>
      </c>
      <c r="L2020" s="3">
        <v>0</v>
      </c>
      <c r="M2020" s="3">
        <v>0</v>
      </c>
      <c r="N2020" s="3">
        <v>4</v>
      </c>
      <c r="O2020" s="3">
        <v>0.11</v>
      </c>
      <c r="P2020" s="3">
        <v>0</v>
      </c>
      <c r="Q2020" s="3">
        <v>0</v>
      </c>
      <c r="R2020" s="3">
        <v>0</v>
      </c>
    </row>
    <row r="2021" spans="1:18">
      <c r="A2021" s="3" t="s">
        <v>2954</v>
      </c>
      <c r="B2021" s="3" t="s">
        <v>2955</v>
      </c>
      <c r="C2021" s="3" t="s">
        <v>2956</v>
      </c>
      <c r="D2021" s="3" t="s">
        <v>2957</v>
      </c>
      <c r="E2021" s="3" t="s">
        <v>867</v>
      </c>
      <c r="F2021" s="3">
        <v>36.98</v>
      </c>
      <c r="G2021" s="3" t="s">
        <v>3391</v>
      </c>
      <c r="H2021" s="3"/>
      <c r="I2021" s="3" t="s">
        <v>3392</v>
      </c>
      <c r="J2021" s="3">
        <v>4</v>
      </c>
      <c r="K2021" s="3">
        <v>4</v>
      </c>
      <c r="L2021" s="3">
        <v>0</v>
      </c>
      <c r="M2021" s="3">
        <v>0</v>
      </c>
      <c r="N2021" s="3">
        <v>4</v>
      </c>
      <c r="O2021" s="3">
        <v>0.14</v>
      </c>
      <c r="P2021" s="3">
        <v>0</v>
      </c>
      <c r="Q2021" s="3">
        <v>0</v>
      </c>
      <c r="R2021" s="3">
        <v>0</v>
      </c>
    </row>
    <row r="2022" spans="1:18">
      <c r="A2022" s="3" t="s">
        <v>1664</v>
      </c>
      <c r="B2022" s="3" t="s">
        <v>1665</v>
      </c>
      <c r="C2022" s="3" t="s">
        <v>1666</v>
      </c>
      <c r="D2022" s="3" t="s">
        <v>1667</v>
      </c>
      <c r="E2022" s="3" t="s">
        <v>867</v>
      </c>
      <c r="F2022" s="3">
        <v>35.98</v>
      </c>
      <c r="G2022" s="3" t="s">
        <v>3391</v>
      </c>
      <c r="H2022" s="3"/>
      <c r="I2022" s="3" t="s">
        <v>3392</v>
      </c>
      <c r="J2022" s="3">
        <v>6</v>
      </c>
      <c r="K2022" s="3">
        <v>6</v>
      </c>
      <c r="L2022" s="3">
        <v>0</v>
      </c>
      <c r="M2022" s="3">
        <v>0</v>
      </c>
      <c r="N2022" s="3">
        <v>6</v>
      </c>
      <c r="O2022" s="3">
        <v>0.21</v>
      </c>
      <c r="P2022" s="3">
        <v>0</v>
      </c>
      <c r="Q2022" s="3">
        <v>0</v>
      </c>
      <c r="R2022" s="3">
        <v>0</v>
      </c>
    </row>
    <row r="2023" spans="1:18">
      <c r="A2023" s="3" t="s">
        <v>2590</v>
      </c>
      <c r="B2023" s="3" t="s">
        <v>2591</v>
      </c>
      <c r="C2023" s="3" t="s">
        <v>2592</v>
      </c>
      <c r="D2023" s="3" t="s">
        <v>2593</v>
      </c>
      <c r="E2023" s="3" t="s">
        <v>867</v>
      </c>
      <c r="F2023" s="3">
        <v>35.98</v>
      </c>
      <c r="G2023" s="3" t="s">
        <v>3391</v>
      </c>
      <c r="H2023" s="3"/>
      <c r="I2023" s="3" t="s">
        <v>3392</v>
      </c>
      <c r="J2023" s="3">
        <v>6</v>
      </c>
      <c r="K2023" s="3">
        <v>6</v>
      </c>
      <c r="L2023" s="3">
        <v>0</v>
      </c>
      <c r="M2023" s="3">
        <v>0</v>
      </c>
      <c r="N2023" s="3">
        <v>6</v>
      </c>
      <c r="O2023" s="3">
        <v>0.09</v>
      </c>
      <c r="P2023" s="3">
        <v>0</v>
      </c>
      <c r="Q2023" s="3">
        <v>0</v>
      </c>
      <c r="R2023" s="3">
        <v>0</v>
      </c>
    </row>
    <row r="2024" spans="1:18">
      <c r="A2024" s="3" t="s">
        <v>2862</v>
      </c>
      <c r="B2024" s="3" t="s">
        <v>2863</v>
      </c>
      <c r="C2024" s="3" t="s">
        <v>2864</v>
      </c>
      <c r="D2024" s="3" t="s">
        <v>2865</v>
      </c>
      <c r="E2024" s="3" t="s">
        <v>867</v>
      </c>
      <c r="F2024" s="3">
        <v>35.98</v>
      </c>
      <c r="G2024" s="3" t="s">
        <v>3391</v>
      </c>
      <c r="H2024" s="3"/>
      <c r="I2024" s="3" t="s">
        <v>3392</v>
      </c>
      <c r="J2024" s="3">
        <v>6</v>
      </c>
      <c r="K2024" s="3">
        <v>6</v>
      </c>
      <c r="L2024" s="3">
        <v>0</v>
      </c>
      <c r="M2024" s="3">
        <v>0</v>
      </c>
      <c r="N2024" s="3">
        <v>6</v>
      </c>
      <c r="O2024" s="3">
        <v>0.17</v>
      </c>
      <c r="P2024" s="3">
        <v>0</v>
      </c>
      <c r="Q2024" s="3">
        <v>0</v>
      </c>
      <c r="R2024" s="3">
        <v>0</v>
      </c>
    </row>
    <row r="2025" spans="1:18">
      <c r="A2025" s="3" t="s">
        <v>2713</v>
      </c>
      <c r="B2025" s="3" t="s">
        <v>2714</v>
      </c>
      <c r="C2025" s="3" t="s">
        <v>2715</v>
      </c>
      <c r="D2025" s="3" t="s">
        <v>2716</v>
      </c>
      <c r="E2025" s="3" t="s">
        <v>867</v>
      </c>
      <c r="F2025" s="3">
        <v>35.98</v>
      </c>
      <c r="G2025" s="3" t="s">
        <v>3391</v>
      </c>
      <c r="H2025" s="3"/>
      <c r="I2025" s="3" t="s">
        <v>3392</v>
      </c>
      <c r="J2025" s="3">
        <v>6</v>
      </c>
      <c r="K2025" s="3">
        <v>6</v>
      </c>
      <c r="L2025" s="3">
        <v>0</v>
      </c>
      <c r="M2025" s="3">
        <v>0</v>
      </c>
      <c r="N2025" s="3">
        <v>6</v>
      </c>
      <c r="O2025" s="3">
        <v>0.21</v>
      </c>
      <c r="P2025" s="3">
        <v>0</v>
      </c>
      <c r="Q2025" s="3">
        <v>0</v>
      </c>
      <c r="R2025" s="3">
        <v>0</v>
      </c>
    </row>
    <row r="2026" spans="1:18">
      <c r="A2026" s="3" t="s">
        <v>2829</v>
      </c>
      <c r="B2026" s="3" t="s">
        <v>2830</v>
      </c>
      <c r="C2026" s="3" t="s">
        <v>2831</v>
      </c>
      <c r="D2026" s="3" t="s">
        <v>2832</v>
      </c>
      <c r="E2026" s="3" t="s">
        <v>867</v>
      </c>
      <c r="F2026" s="3">
        <v>35.98</v>
      </c>
      <c r="G2026" s="3" t="s">
        <v>3391</v>
      </c>
      <c r="H2026" s="3"/>
      <c r="I2026" s="3" t="s">
        <v>3392</v>
      </c>
      <c r="J2026" s="3">
        <v>6</v>
      </c>
      <c r="K2026" s="3">
        <v>6</v>
      </c>
      <c r="L2026" s="3">
        <v>0</v>
      </c>
      <c r="M2026" s="3">
        <v>0</v>
      </c>
      <c r="N2026" s="3">
        <v>6</v>
      </c>
      <c r="O2026" s="3">
        <v>0.09</v>
      </c>
      <c r="P2026" s="3">
        <v>0</v>
      </c>
      <c r="Q2026" s="3">
        <v>0</v>
      </c>
      <c r="R2026" s="3">
        <v>0</v>
      </c>
    </row>
    <row r="2027" spans="1:18">
      <c r="A2027" s="3" t="s">
        <v>2873</v>
      </c>
      <c r="B2027" s="3" t="s">
        <v>2874</v>
      </c>
      <c r="C2027" s="3" t="s">
        <v>2875</v>
      </c>
      <c r="D2027" s="3" t="s">
        <v>2876</v>
      </c>
      <c r="E2027" s="3" t="s">
        <v>867</v>
      </c>
      <c r="F2027" s="3">
        <v>35.98</v>
      </c>
      <c r="G2027" s="3" t="s">
        <v>3391</v>
      </c>
      <c r="H2027" s="3"/>
      <c r="I2027" s="3" t="s">
        <v>3392</v>
      </c>
      <c r="J2027" s="3">
        <v>6</v>
      </c>
      <c r="K2027" s="3">
        <v>6</v>
      </c>
      <c r="L2027" s="3">
        <v>0</v>
      </c>
      <c r="M2027" s="3">
        <v>0</v>
      </c>
      <c r="N2027" s="3">
        <v>6</v>
      </c>
      <c r="O2027" s="3">
        <v>0.17</v>
      </c>
      <c r="P2027" s="3">
        <v>0</v>
      </c>
      <c r="Q2027" s="3">
        <v>0</v>
      </c>
      <c r="R2027" s="3">
        <v>0</v>
      </c>
    </row>
    <row r="2028" spans="1:18">
      <c r="A2028" s="3" t="s">
        <v>1885</v>
      </c>
      <c r="B2028" s="3" t="s">
        <v>1886</v>
      </c>
      <c r="C2028" s="3" t="s">
        <v>1887</v>
      </c>
      <c r="D2028" s="3" t="s">
        <v>1888</v>
      </c>
      <c r="E2028" s="3" t="s">
        <v>867</v>
      </c>
      <c r="F2028" s="3">
        <v>35.98</v>
      </c>
      <c r="G2028" s="3" t="s">
        <v>3391</v>
      </c>
      <c r="H2028" s="3"/>
      <c r="I2028" s="3" t="s">
        <v>3392</v>
      </c>
      <c r="J2028" s="3">
        <v>6</v>
      </c>
      <c r="K2028" s="3">
        <v>6</v>
      </c>
      <c r="L2028" s="3">
        <v>0</v>
      </c>
      <c r="M2028" s="3">
        <v>0</v>
      </c>
      <c r="N2028" s="3">
        <v>6</v>
      </c>
      <c r="O2028" s="3">
        <v>0.14</v>
      </c>
      <c r="P2028" s="3">
        <v>0</v>
      </c>
      <c r="Q2028" s="3">
        <v>0</v>
      </c>
      <c r="R2028" s="3">
        <v>0</v>
      </c>
    </row>
    <row r="2029" spans="1:18">
      <c r="A2029" s="3" t="s">
        <v>2812</v>
      </c>
      <c r="B2029" s="3" t="s">
        <v>2813</v>
      </c>
      <c r="C2029" s="3" t="s">
        <v>2814</v>
      </c>
      <c r="D2029" s="3" t="s">
        <v>2815</v>
      </c>
      <c r="E2029" s="3" t="s">
        <v>867</v>
      </c>
      <c r="F2029" s="3">
        <v>35.98</v>
      </c>
      <c r="G2029" s="3" t="s">
        <v>3391</v>
      </c>
      <c r="H2029" s="3"/>
      <c r="I2029" s="3" t="s">
        <v>3392</v>
      </c>
      <c r="J2029" s="3">
        <v>6</v>
      </c>
      <c r="K2029" s="3">
        <v>6</v>
      </c>
      <c r="L2029" s="3">
        <v>0</v>
      </c>
      <c r="M2029" s="3">
        <v>0</v>
      </c>
      <c r="N2029" s="3">
        <v>6</v>
      </c>
      <c r="O2029" s="3">
        <v>0.16</v>
      </c>
      <c r="P2029" s="3">
        <v>0</v>
      </c>
      <c r="Q2029" s="3">
        <v>0</v>
      </c>
      <c r="R2029" s="3">
        <v>0</v>
      </c>
    </row>
    <row r="2030" spans="1:18">
      <c r="A2030" s="3" t="s">
        <v>2041</v>
      </c>
      <c r="B2030" s="3" t="s">
        <v>2042</v>
      </c>
      <c r="C2030" s="3" t="s">
        <v>2043</v>
      </c>
      <c r="D2030" s="3" t="s">
        <v>2044</v>
      </c>
      <c r="E2030" s="3" t="s">
        <v>867</v>
      </c>
      <c r="F2030" s="3">
        <v>35.98</v>
      </c>
      <c r="G2030" s="3" t="s">
        <v>3391</v>
      </c>
      <c r="H2030" s="3"/>
      <c r="I2030" s="3" t="s">
        <v>3392</v>
      </c>
      <c r="J2030" s="3">
        <v>2</v>
      </c>
      <c r="K2030" s="3">
        <v>2</v>
      </c>
      <c r="L2030" s="3">
        <v>0</v>
      </c>
      <c r="M2030" s="3">
        <v>0</v>
      </c>
      <c r="N2030" s="3">
        <v>2</v>
      </c>
      <c r="O2030" s="3">
        <v>0.14</v>
      </c>
      <c r="P2030" s="3">
        <v>0</v>
      </c>
      <c r="Q2030" s="3">
        <v>0</v>
      </c>
      <c r="R2030" s="3">
        <v>0</v>
      </c>
    </row>
    <row r="2031" spans="1:18">
      <c r="A2031" s="3" t="s">
        <v>2364</v>
      </c>
      <c r="B2031" s="3" t="s">
        <v>2365</v>
      </c>
      <c r="C2031" s="3" t="s">
        <v>2366</v>
      </c>
      <c r="D2031" s="3" t="s">
        <v>2367</v>
      </c>
      <c r="E2031" s="3" t="s">
        <v>867</v>
      </c>
      <c r="F2031" s="3">
        <v>35.98</v>
      </c>
      <c r="G2031" s="3" t="s">
        <v>3391</v>
      </c>
      <c r="H2031" s="3"/>
      <c r="I2031" s="3" t="s">
        <v>3392</v>
      </c>
      <c r="J2031" s="3">
        <v>6</v>
      </c>
      <c r="K2031" s="3">
        <v>6</v>
      </c>
      <c r="L2031" s="3">
        <v>0</v>
      </c>
      <c r="M2031" s="3">
        <v>0</v>
      </c>
      <c r="N2031" s="3">
        <v>6</v>
      </c>
      <c r="O2031" s="3">
        <v>0.14</v>
      </c>
      <c r="P2031" s="3">
        <v>0</v>
      </c>
      <c r="Q2031" s="3">
        <v>0</v>
      </c>
      <c r="R2031" s="3">
        <v>0</v>
      </c>
    </row>
    <row r="2032" spans="1:18">
      <c r="A2032" s="3" t="s">
        <v>3103</v>
      </c>
      <c r="B2032" s="3" t="s">
        <v>3104</v>
      </c>
      <c r="C2032" s="3" t="s">
        <v>3105</v>
      </c>
      <c r="D2032" s="3" t="s">
        <v>3106</v>
      </c>
      <c r="E2032" s="3" t="s">
        <v>867</v>
      </c>
      <c r="F2032" s="3">
        <v>35.98</v>
      </c>
      <c r="G2032" s="3" t="s">
        <v>3391</v>
      </c>
      <c r="H2032" s="3"/>
      <c r="I2032" s="3" t="s">
        <v>3392</v>
      </c>
      <c r="J2032" s="3">
        <v>8</v>
      </c>
      <c r="K2032" s="3">
        <v>8</v>
      </c>
      <c r="L2032" s="3">
        <v>0</v>
      </c>
      <c r="M2032" s="3">
        <v>0</v>
      </c>
      <c r="N2032" s="3">
        <v>8</v>
      </c>
      <c r="O2032" s="3">
        <v>0.16</v>
      </c>
      <c r="P2032" s="3">
        <v>0</v>
      </c>
      <c r="Q2032" s="3">
        <v>0</v>
      </c>
      <c r="R2032" s="3">
        <v>0</v>
      </c>
    </row>
    <row r="2033" spans="1:18">
      <c r="A2033" s="3" t="s">
        <v>1761</v>
      </c>
      <c r="B2033" s="3" t="s">
        <v>1762</v>
      </c>
      <c r="C2033" s="3" t="s">
        <v>1763</v>
      </c>
      <c r="D2033" s="3" t="s">
        <v>1764</v>
      </c>
      <c r="E2033" s="3" t="s">
        <v>867</v>
      </c>
      <c r="F2033" s="3">
        <v>35.98</v>
      </c>
      <c r="G2033" s="3" t="s">
        <v>3391</v>
      </c>
      <c r="H2033" s="3"/>
      <c r="I2033" s="3" t="s">
        <v>3392</v>
      </c>
      <c r="J2033" s="3">
        <v>4</v>
      </c>
      <c r="K2033" s="3">
        <v>4</v>
      </c>
      <c r="L2033" s="3">
        <v>0</v>
      </c>
      <c r="M2033" s="3">
        <v>0</v>
      </c>
      <c r="N2033" s="3">
        <v>4</v>
      </c>
      <c r="O2033" s="3">
        <v>0.14</v>
      </c>
      <c r="P2033" s="3">
        <v>0</v>
      </c>
      <c r="Q2033" s="3">
        <v>0</v>
      </c>
      <c r="R2033" s="3">
        <v>0</v>
      </c>
    </row>
    <row r="2034" spans="1:18">
      <c r="A2034" s="3" t="s">
        <v>3122</v>
      </c>
      <c r="B2034" s="3" t="s">
        <v>3123</v>
      </c>
      <c r="C2034" s="3" t="s">
        <v>3124</v>
      </c>
      <c r="D2034" s="3" t="s">
        <v>3125</v>
      </c>
      <c r="E2034" s="3" t="s">
        <v>867</v>
      </c>
      <c r="F2034" s="3">
        <v>35.98</v>
      </c>
      <c r="G2034" s="3" t="s">
        <v>3391</v>
      </c>
      <c r="H2034" s="3"/>
      <c r="I2034" s="3" t="s">
        <v>3392</v>
      </c>
      <c r="J2034" s="3">
        <v>5</v>
      </c>
      <c r="K2034" s="3">
        <v>5</v>
      </c>
      <c r="L2034" s="3">
        <v>0</v>
      </c>
      <c r="M2034" s="3">
        <v>0</v>
      </c>
      <c r="N2034" s="3">
        <v>5</v>
      </c>
      <c r="O2034" s="3">
        <v>0.14</v>
      </c>
      <c r="P2034" s="3">
        <v>0</v>
      </c>
      <c r="Q2034" s="3">
        <v>0</v>
      </c>
      <c r="R2034" s="3">
        <v>0</v>
      </c>
    </row>
    <row r="2035" spans="1:18">
      <c r="A2035" s="3" t="s">
        <v>1933</v>
      </c>
      <c r="B2035" s="3" t="s">
        <v>1934</v>
      </c>
      <c r="C2035" s="3" t="s">
        <v>1935</v>
      </c>
      <c r="D2035" s="3" t="s">
        <v>1936</v>
      </c>
      <c r="E2035" s="3" t="s">
        <v>867</v>
      </c>
      <c r="F2035" s="3">
        <v>35.98</v>
      </c>
      <c r="G2035" s="3" t="s">
        <v>3391</v>
      </c>
      <c r="H2035" s="3"/>
      <c r="I2035" s="3" t="s">
        <v>3392</v>
      </c>
      <c r="J2035" s="3">
        <v>6</v>
      </c>
      <c r="K2035" s="3">
        <v>6</v>
      </c>
      <c r="L2035" s="3">
        <v>0</v>
      </c>
      <c r="M2035" s="3">
        <v>0</v>
      </c>
      <c r="N2035" s="3">
        <v>6</v>
      </c>
      <c r="O2035" s="3">
        <v>0.16</v>
      </c>
      <c r="P2035" s="3">
        <v>0</v>
      </c>
      <c r="Q2035" s="3">
        <v>0</v>
      </c>
      <c r="R2035" s="3">
        <v>0</v>
      </c>
    </row>
    <row r="2036" spans="1:18">
      <c r="A2036" s="3" t="s">
        <v>2753</v>
      </c>
      <c r="B2036" s="3" t="s">
        <v>2754</v>
      </c>
      <c r="C2036" s="3" t="s">
        <v>2755</v>
      </c>
      <c r="D2036" s="3" t="s">
        <v>2756</v>
      </c>
      <c r="E2036" s="3" t="s">
        <v>867</v>
      </c>
      <c r="F2036" s="3">
        <v>35.98</v>
      </c>
      <c r="G2036" s="3" t="s">
        <v>3391</v>
      </c>
      <c r="H2036" s="3"/>
      <c r="I2036" s="3" t="s">
        <v>3392</v>
      </c>
      <c r="J2036" s="3">
        <v>6</v>
      </c>
      <c r="K2036" s="3">
        <v>6</v>
      </c>
      <c r="L2036" s="3">
        <v>0</v>
      </c>
      <c r="M2036" s="3">
        <v>0</v>
      </c>
      <c r="N2036" s="3">
        <v>6</v>
      </c>
      <c r="O2036" s="3">
        <v>0.14</v>
      </c>
      <c r="P2036" s="3">
        <v>0</v>
      </c>
      <c r="Q2036" s="3">
        <v>0</v>
      </c>
      <c r="R2036" s="3">
        <v>0</v>
      </c>
    </row>
    <row r="2037" spans="1:18">
      <c r="A2037" s="3" t="s">
        <v>6481</v>
      </c>
      <c r="B2037" s="3" t="s">
        <v>6482</v>
      </c>
      <c r="C2037" s="3" t="s">
        <v>6483</v>
      </c>
      <c r="D2037" s="3" t="s">
        <v>6484</v>
      </c>
      <c r="E2037" s="3" t="s">
        <v>867</v>
      </c>
      <c r="F2037" s="3">
        <v>35.98</v>
      </c>
      <c r="G2037" s="3" t="s">
        <v>3391</v>
      </c>
      <c r="H2037" s="3"/>
      <c r="I2037" s="3" t="s">
        <v>3392</v>
      </c>
      <c r="J2037" s="3">
        <v>0</v>
      </c>
      <c r="K2037" s="3">
        <v>0</v>
      </c>
      <c r="L2037" s="3">
        <v>0</v>
      </c>
      <c r="M2037" s="3">
        <v>0</v>
      </c>
      <c r="N2037" s="3">
        <v>0</v>
      </c>
      <c r="O2037" s="3">
        <v>0.01</v>
      </c>
      <c r="P2037" s="3">
        <v>0</v>
      </c>
      <c r="Q2037" s="3">
        <v>0</v>
      </c>
      <c r="R2037" s="3">
        <v>0</v>
      </c>
    </row>
    <row r="2038" spans="1:18">
      <c r="A2038" s="3" t="s">
        <v>6485</v>
      </c>
      <c r="B2038" s="3" t="s">
        <v>6486</v>
      </c>
      <c r="C2038" s="3" t="s">
        <v>6487</v>
      </c>
      <c r="D2038" s="3" t="s">
        <v>6488</v>
      </c>
      <c r="E2038" s="3" t="s">
        <v>867</v>
      </c>
      <c r="F2038" s="3">
        <v>35.98</v>
      </c>
      <c r="G2038" s="3" t="s">
        <v>3391</v>
      </c>
      <c r="H2038" s="3"/>
      <c r="I2038" s="3" t="s">
        <v>3392</v>
      </c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>
        <v>0.01</v>
      </c>
      <c r="P2038" s="3">
        <v>0</v>
      </c>
      <c r="Q2038" s="3">
        <v>0</v>
      </c>
      <c r="R2038" s="3">
        <v>0</v>
      </c>
    </row>
    <row r="2039" spans="1:18">
      <c r="A2039" s="3" t="s">
        <v>6489</v>
      </c>
      <c r="B2039" s="3" t="s">
        <v>6490</v>
      </c>
      <c r="C2039" s="3" t="s">
        <v>6491</v>
      </c>
      <c r="D2039" s="3" t="s">
        <v>6492</v>
      </c>
      <c r="E2039" s="3" t="s">
        <v>867</v>
      </c>
      <c r="F2039" s="3">
        <v>35.98</v>
      </c>
      <c r="G2039" s="3" t="s">
        <v>3391</v>
      </c>
      <c r="H2039" s="3"/>
      <c r="I2039" s="3" t="s">
        <v>3392</v>
      </c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>
        <v>0.01</v>
      </c>
      <c r="P2039" s="3">
        <v>0</v>
      </c>
      <c r="Q2039" s="3">
        <v>0</v>
      </c>
      <c r="R2039" s="3">
        <v>0</v>
      </c>
    </row>
    <row r="2040" spans="1:18">
      <c r="A2040" s="3" t="s">
        <v>6493</v>
      </c>
      <c r="B2040" s="3" t="s">
        <v>6494</v>
      </c>
      <c r="C2040" s="3" t="s">
        <v>6495</v>
      </c>
      <c r="D2040" s="3" t="s">
        <v>6496</v>
      </c>
      <c r="E2040" s="3" t="s">
        <v>867</v>
      </c>
      <c r="F2040" s="3">
        <v>35.98</v>
      </c>
      <c r="G2040" s="3" t="s">
        <v>3391</v>
      </c>
      <c r="H2040" s="3"/>
      <c r="I2040" s="3" t="s">
        <v>3392</v>
      </c>
      <c r="J2040" s="3">
        <v>0</v>
      </c>
      <c r="K2040" s="3">
        <v>0</v>
      </c>
      <c r="L2040" s="3">
        <v>0</v>
      </c>
      <c r="M2040" s="3">
        <v>0</v>
      </c>
      <c r="N2040" s="3">
        <v>0</v>
      </c>
      <c r="O2040" s="3">
        <v>0.01</v>
      </c>
      <c r="P2040" s="3">
        <v>0</v>
      </c>
      <c r="Q2040" s="3">
        <v>0</v>
      </c>
      <c r="R2040" s="3">
        <v>0</v>
      </c>
    </row>
    <row r="2041" spans="1:18">
      <c r="A2041" s="3" t="s">
        <v>2723</v>
      </c>
      <c r="B2041" s="3" t="s">
        <v>2724</v>
      </c>
      <c r="C2041" s="3" t="s">
        <v>2725</v>
      </c>
      <c r="D2041" s="3" t="s">
        <v>2726</v>
      </c>
      <c r="E2041" s="3" t="s">
        <v>867</v>
      </c>
      <c r="F2041" s="3">
        <v>35.98</v>
      </c>
      <c r="G2041" s="3" t="s">
        <v>3391</v>
      </c>
      <c r="H2041" s="3"/>
      <c r="I2041" s="3" t="s">
        <v>3392</v>
      </c>
      <c r="J2041" s="3">
        <v>5</v>
      </c>
      <c r="K2041" s="3">
        <v>5</v>
      </c>
      <c r="L2041" s="3">
        <v>0</v>
      </c>
      <c r="M2041" s="3">
        <v>0</v>
      </c>
      <c r="N2041" s="3">
        <v>5</v>
      </c>
      <c r="O2041" s="3">
        <v>0.14</v>
      </c>
      <c r="P2041" s="3">
        <v>0</v>
      </c>
      <c r="Q2041" s="3">
        <v>0</v>
      </c>
      <c r="R2041" s="3">
        <v>0</v>
      </c>
    </row>
    <row r="2042" spans="1:18">
      <c r="A2042" s="3" t="s">
        <v>1114</v>
      </c>
      <c r="B2042" s="3" t="s">
        <v>1115</v>
      </c>
      <c r="C2042" s="3" t="s">
        <v>1116</v>
      </c>
      <c r="D2042" s="3" t="s">
        <v>1117</v>
      </c>
      <c r="E2042" s="3" t="s">
        <v>867</v>
      </c>
      <c r="F2042" s="3">
        <v>35.98</v>
      </c>
      <c r="G2042" s="3" t="s">
        <v>3391</v>
      </c>
      <c r="H2042" s="3"/>
      <c r="I2042" s="3" t="s">
        <v>3392</v>
      </c>
      <c r="J2042" s="3">
        <v>6</v>
      </c>
      <c r="K2042" s="3">
        <v>6</v>
      </c>
      <c r="L2042" s="3">
        <v>0</v>
      </c>
      <c r="M2042" s="3">
        <v>0</v>
      </c>
      <c r="N2042" s="3">
        <v>6</v>
      </c>
      <c r="O2042" s="3">
        <v>0.16</v>
      </c>
      <c r="P2042" s="3">
        <v>0</v>
      </c>
      <c r="Q2042" s="3">
        <v>0</v>
      </c>
      <c r="R2042" s="3">
        <v>0</v>
      </c>
    </row>
    <row r="2043" spans="1:18">
      <c r="A2043" s="3" t="s">
        <v>2709</v>
      </c>
      <c r="B2043" s="3" t="s">
        <v>2710</v>
      </c>
      <c r="C2043" s="3" t="s">
        <v>2711</v>
      </c>
      <c r="D2043" s="3" t="s">
        <v>2712</v>
      </c>
      <c r="E2043" s="3" t="s">
        <v>867</v>
      </c>
      <c r="F2043" s="3">
        <v>35.98</v>
      </c>
      <c r="G2043" s="3" t="s">
        <v>3391</v>
      </c>
      <c r="H2043" s="3"/>
      <c r="I2043" s="3" t="s">
        <v>3392</v>
      </c>
      <c r="J2043" s="3">
        <v>6</v>
      </c>
      <c r="K2043" s="3">
        <v>6</v>
      </c>
      <c r="L2043" s="3">
        <v>0</v>
      </c>
      <c r="M2043" s="3">
        <v>0</v>
      </c>
      <c r="N2043" s="3">
        <v>6</v>
      </c>
      <c r="O2043" s="3">
        <v>0.14</v>
      </c>
      <c r="P2043" s="3">
        <v>0</v>
      </c>
      <c r="Q2043" s="3">
        <v>0</v>
      </c>
      <c r="R2043" s="3">
        <v>0</v>
      </c>
    </row>
    <row r="2044" spans="1:18">
      <c r="A2044" s="3" t="s">
        <v>2010</v>
      </c>
      <c r="B2044" s="3" t="s">
        <v>2011</v>
      </c>
      <c r="C2044" s="3" t="s">
        <v>2012</v>
      </c>
      <c r="D2044" s="3" t="s">
        <v>2013</v>
      </c>
      <c r="E2044" s="3" t="s">
        <v>867</v>
      </c>
      <c r="F2044" s="3">
        <v>35.98</v>
      </c>
      <c r="G2044" s="3" t="s">
        <v>3391</v>
      </c>
      <c r="H2044" s="3"/>
      <c r="I2044" s="3" t="s">
        <v>3392</v>
      </c>
      <c r="J2044" s="3">
        <v>6</v>
      </c>
      <c r="K2044" s="3">
        <v>6</v>
      </c>
      <c r="L2044" s="3">
        <v>0</v>
      </c>
      <c r="M2044" s="3">
        <v>0</v>
      </c>
      <c r="N2044" s="3">
        <v>6</v>
      </c>
      <c r="O2044" s="3">
        <v>0.19</v>
      </c>
      <c r="P2044" s="3">
        <v>0</v>
      </c>
      <c r="Q2044" s="3">
        <v>0</v>
      </c>
      <c r="R2044" s="3">
        <v>0</v>
      </c>
    </row>
    <row r="2045" spans="1:18">
      <c r="A2045" s="3" t="s">
        <v>2200</v>
      </c>
      <c r="B2045" s="3" t="s">
        <v>2201</v>
      </c>
      <c r="C2045" s="3" t="s">
        <v>2202</v>
      </c>
      <c r="D2045" s="3" t="s">
        <v>2203</v>
      </c>
      <c r="E2045" s="3" t="s">
        <v>867</v>
      </c>
      <c r="F2045" s="3">
        <v>35.98</v>
      </c>
      <c r="G2045" s="3" t="s">
        <v>3391</v>
      </c>
      <c r="H2045" s="3"/>
      <c r="I2045" s="3" t="s">
        <v>3392</v>
      </c>
      <c r="J2045" s="3">
        <v>6</v>
      </c>
      <c r="K2045" s="3">
        <v>6</v>
      </c>
      <c r="L2045" s="3">
        <v>0</v>
      </c>
      <c r="M2045" s="3">
        <v>0</v>
      </c>
      <c r="N2045" s="3">
        <v>6</v>
      </c>
      <c r="O2045" s="3">
        <v>0.14</v>
      </c>
      <c r="P2045" s="3">
        <v>0</v>
      </c>
      <c r="Q2045" s="3">
        <v>0</v>
      </c>
      <c r="R2045" s="3">
        <v>0</v>
      </c>
    </row>
    <row r="2046" spans="1:18">
      <c r="A2046" s="3" t="s">
        <v>3044</v>
      </c>
      <c r="B2046" s="3" t="s">
        <v>3045</v>
      </c>
      <c r="C2046" s="3" t="s">
        <v>3046</v>
      </c>
      <c r="D2046" s="3" t="s">
        <v>3047</v>
      </c>
      <c r="E2046" s="3" t="s">
        <v>867</v>
      </c>
      <c r="F2046" s="3">
        <v>35.98</v>
      </c>
      <c r="G2046" s="3" t="s">
        <v>3391</v>
      </c>
      <c r="H2046" s="3"/>
      <c r="I2046" s="3" t="s">
        <v>3392</v>
      </c>
      <c r="J2046" s="3">
        <v>6</v>
      </c>
      <c r="K2046" s="3">
        <v>6</v>
      </c>
      <c r="L2046" s="3">
        <v>0</v>
      </c>
      <c r="M2046" s="3">
        <v>0</v>
      </c>
      <c r="N2046" s="3">
        <v>6</v>
      </c>
      <c r="O2046" s="3">
        <v>0.19</v>
      </c>
      <c r="P2046" s="3">
        <v>0</v>
      </c>
      <c r="Q2046" s="3">
        <v>0</v>
      </c>
      <c r="R2046" s="3">
        <v>0</v>
      </c>
    </row>
    <row r="2047" spans="1:18">
      <c r="A2047" s="3" t="s">
        <v>2271</v>
      </c>
      <c r="B2047" s="3" t="s">
        <v>2272</v>
      </c>
      <c r="C2047" s="3" t="s">
        <v>2273</v>
      </c>
      <c r="D2047" s="3" t="s">
        <v>2274</v>
      </c>
      <c r="E2047" s="3" t="s">
        <v>867</v>
      </c>
      <c r="F2047" s="3">
        <v>35.98</v>
      </c>
      <c r="G2047" s="3" t="s">
        <v>3391</v>
      </c>
      <c r="H2047" s="3"/>
      <c r="I2047" s="3" t="s">
        <v>3392</v>
      </c>
      <c r="J2047" s="3">
        <v>6</v>
      </c>
      <c r="K2047" s="3">
        <v>6</v>
      </c>
      <c r="L2047" s="3">
        <v>0</v>
      </c>
      <c r="M2047" s="3">
        <v>0</v>
      </c>
      <c r="N2047" s="3">
        <v>6</v>
      </c>
      <c r="O2047" s="3">
        <v>0.15</v>
      </c>
      <c r="P2047" s="3">
        <v>0</v>
      </c>
      <c r="Q2047" s="3">
        <v>0</v>
      </c>
      <c r="R2047" s="3">
        <v>0</v>
      </c>
    </row>
    <row r="2048" spans="1:18">
      <c r="A2048" s="3" t="s">
        <v>3048</v>
      </c>
      <c r="B2048" s="3" t="s">
        <v>3049</v>
      </c>
      <c r="C2048" s="3" t="s">
        <v>3050</v>
      </c>
      <c r="D2048" s="3" t="s">
        <v>3051</v>
      </c>
      <c r="E2048" s="3" t="s">
        <v>867</v>
      </c>
      <c r="F2048" s="3">
        <v>35.98</v>
      </c>
      <c r="G2048" s="3" t="s">
        <v>3391</v>
      </c>
      <c r="H2048" s="3"/>
      <c r="I2048" s="3" t="s">
        <v>3392</v>
      </c>
      <c r="J2048" s="3">
        <v>6</v>
      </c>
      <c r="K2048" s="3">
        <v>6</v>
      </c>
      <c r="L2048" s="3">
        <v>0</v>
      </c>
      <c r="M2048" s="3">
        <v>0</v>
      </c>
      <c r="N2048" s="3">
        <v>6</v>
      </c>
      <c r="O2048" s="3">
        <v>0.19</v>
      </c>
      <c r="P2048" s="3">
        <v>0</v>
      </c>
      <c r="Q2048" s="3">
        <v>0</v>
      </c>
      <c r="R2048" s="3">
        <v>0</v>
      </c>
    </row>
    <row r="2049" spans="1:18">
      <c r="A2049" s="3" t="s">
        <v>1444</v>
      </c>
      <c r="B2049" s="3" t="s">
        <v>1445</v>
      </c>
      <c r="C2049" s="3" t="s">
        <v>1446</v>
      </c>
      <c r="D2049" s="3" t="s">
        <v>1447</v>
      </c>
      <c r="E2049" s="3" t="s">
        <v>867</v>
      </c>
      <c r="F2049" s="3">
        <v>35.98</v>
      </c>
      <c r="G2049" s="3" t="s">
        <v>3391</v>
      </c>
      <c r="H2049" s="3"/>
      <c r="I2049" s="3" t="s">
        <v>3392</v>
      </c>
      <c r="J2049" s="3">
        <v>6</v>
      </c>
      <c r="K2049" s="3">
        <v>6</v>
      </c>
      <c r="L2049" s="3">
        <v>0</v>
      </c>
      <c r="M2049" s="3">
        <v>0</v>
      </c>
      <c r="N2049" s="3">
        <v>6</v>
      </c>
      <c r="O2049" s="3">
        <v>0.14</v>
      </c>
      <c r="P2049" s="3">
        <v>0</v>
      </c>
      <c r="Q2049" s="3">
        <v>0</v>
      </c>
      <c r="R2049" s="3">
        <v>0</v>
      </c>
    </row>
    <row r="2050" spans="1:18">
      <c r="A2050" s="3" t="s">
        <v>1583</v>
      </c>
      <c r="B2050" s="3" t="s">
        <v>1584</v>
      </c>
      <c r="C2050" s="3" t="s">
        <v>1585</v>
      </c>
      <c r="D2050" s="3" t="s">
        <v>1586</v>
      </c>
      <c r="E2050" s="3" t="s">
        <v>867</v>
      </c>
      <c r="F2050" s="3">
        <v>35.98</v>
      </c>
      <c r="G2050" s="3" t="s">
        <v>3391</v>
      </c>
      <c r="H2050" s="3"/>
      <c r="I2050" s="3" t="s">
        <v>3392</v>
      </c>
      <c r="J2050" s="3">
        <v>6</v>
      </c>
      <c r="K2050" s="3">
        <v>6</v>
      </c>
      <c r="L2050" s="3">
        <v>0</v>
      </c>
      <c r="M2050" s="3">
        <v>0</v>
      </c>
      <c r="N2050" s="3">
        <v>6</v>
      </c>
      <c r="O2050" s="3">
        <v>0.16</v>
      </c>
      <c r="P2050" s="3">
        <v>0</v>
      </c>
      <c r="Q2050" s="3">
        <v>0</v>
      </c>
      <c r="R2050" s="3">
        <v>0</v>
      </c>
    </row>
    <row r="2051" spans="1:18">
      <c r="A2051" s="3" t="s">
        <v>932</v>
      </c>
      <c r="B2051" s="3" t="s">
        <v>933</v>
      </c>
      <c r="C2051" s="3" t="s">
        <v>934</v>
      </c>
      <c r="D2051" s="3" t="s">
        <v>935</v>
      </c>
      <c r="E2051" s="3" t="s">
        <v>867</v>
      </c>
      <c r="F2051" s="3">
        <v>35.98</v>
      </c>
      <c r="G2051" s="3" t="s">
        <v>3391</v>
      </c>
      <c r="H2051" s="3"/>
      <c r="I2051" s="3" t="s">
        <v>3392</v>
      </c>
      <c r="J2051" s="3">
        <v>6</v>
      </c>
      <c r="K2051" s="3">
        <v>6</v>
      </c>
      <c r="L2051" s="3">
        <v>0</v>
      </c>
      <c r="M2051" s="3">
        <v>0</v>
      </c>
      <c r="N2051" s="3">
        <v>6</v>
      </c>
      <c r="O2051" s="3">
        <v>0.14</v>
      </c>
      <c r="P2051" s="3">
        <v>0</v>
      </c>
      <c r="Q2051" s="3">
        <v>0</v>
      </c>
      <c r="R2051" s="3">
        <v>0</v>
      </c>
    </row>
    <row r="2052" spans="1:18">
      <c r="A2052" s="3" t="s">
        <v>1012</v>
      </c>
      <c r="B2052" s="3" t="s">
        <v>1013</v>
      </c>
      <c r="C2052" s="3" t="s">
        <v>1014</v>
      </c>
      <c r="D2052" s="3" t="s">
        <v>1015</v>
      </c>
      <c r="E2052" s="3" t="s">
        <v>867</v>
      </c>
      <c r="F2052" s="3">
        <v>35.98</v>
      </c>
      <c r="G2052" s="3" t="s">
        <v>3391</v>
      </c>
      <c r="H2052" s="3"/>
      <c r="I2052" s="3" t="s">
        <v>3392</v>
      </c>
      <c r="J2052" s="3">
        <v>6</v>
      </c>
      <c r="K2052" s="3">
        <v>6</v>
      </c>
      <c r="L2052" s="3">
        <v>0</v>
      </c>
      <c r="M2052" s="3">
        <v>0</v>
      </c>
      <c r="N2052" s="3">
        <v>6</v>
      </c>
      <c r="O2052" s="3">
        <v>0.19</v>
      </c>
      <c r="P2052" s="3">
        <v>0</v>
      </c>
      <c r="Q2052" s="3">
        <v>0</v>
      </c>
      <c r="R2052" s="3">
        <v>0</v>
      </c>
    </row>
    <row r="2053" spans="1:18">
      <c r="A2053" s="3" t="s">
        <v>2141</v>
      </c>
      <c r="B2053" s="3" t="s">
        <v>2142</v>
      </c>
      <c r="C2053" s="3" t="s">
        <v>2143</v>
      </c>
      <c r="D2053" s="3" t="s">
        <v>2144</v>
      </c>
      <c r="E2053" s="3" t="s">
        <v>867</v>
      </c>
      <c r="F2053" s="3">
        <v>36.98</v>
      </c>
      <c r="G2053" s="3" t="s">
        <v>3391</v>
      </c>
      <c r="H2053" s="3"/>
      <c r="I2053" s="3" t="s">
        <v>3392</v>
      </c>
      <c r="J2053" s="3">
        <v>3</v>
      </c>
      <c r="K2053" s="3">
        <v>3</v>
      </c>
      <c r="L2053" s="3">
        <v>0</v>
      </c>
      <c r="M2053" s="3">
        <v>0</v>
      </c>
      <c r="N2053" s="3">
        <v>3</v>
      </c>
      <c r="O2053" s="3">
        <v>0.14</v>
      </c>
      <c r="P2053" s="3">
        <v>0</v>
      </c>
      <c r="Q2053" s="3">
        <v>0</v>
      </c>
      <c r="R2053" s="3">
        <v>0</v>
      </c>
    </row>
    <row r="2054" spans="1:18">
      <c r="A2054" s="3" t="s">
        <v>2401</v>
      </c>
      <c r="B2054" s="3" t="s">
        <v>2402</v>
      </c>
      <c r="C2054" s="3" t="s">
        <v>2403</v>
      </c>
      <c r="D2054" s="3" t="s">
        <v>2404</v>
      </c>
      <c r="E2054" s="3" t="s">
        <v>867</v>
      </c>
      <c r="F2054" s="3">
        <v>36.98</v>
      </c>
      <c r="G2054" s="3" t="s">
        <v>3391</v>
      </c>
      <c r="H2054" s="3"/>
      <c r="I2054" s="3" t="s">
        <v>3392</v>
      </c>
      <c r="J2054" s="3">
        <v>8</v>
      </c>
      <c r="K2054" s="3">
        <v>8</v>
      </c>
      <c r="L2054" s="3">
        <v>0</v>
      </c>
      <c r="M2054" s="3">
        <v>0</v>
      </c>
      <c r="N2054" s="3">
        <v>8</v>
      </c>
      <c r="O2054" s="3">
        <v>0.16</v>
      </c>
      <c r="P2054" s="3">
        <v>0</v>
      </c>
      <c r="Q2054" s="3">
        <v>0</v>
      </c>
      <c r="R2054" s="3">
        <v>0</v>
      </c>
    </row>
    <row r="2055" spans="1:18">
      <c r="A2055" s="3" t="s">
        <v>2597</v>
      </c>
      <c r="B2055" s="3" t="s">
        <v>2598</v>
      </c>
      <c r="C2055" s="3" t="s">
        <v>2599</v>
      </c>
      <c r="D2055" s="3" t="s">
        <v>2600</v>
      </c>
      <c r="E2055" s="3" t="s">
        <v>867</v>
      </c>
      <c r="F2055" s="3">
        <v>36.98</v>
      </c>
      <c r="G2055" s="3" t="s">
        <v>3391</v>
      </c>
      <c r="H2055" s="3"/>
      <c r="I2055" s="3" t="s">
        <v>3392</v>
      </c>
      <c r="J2055" s="3">
        <v>6</v>
      </c>
      <c r="K2055" s="3">
        <v>6</v>
      </c>
      <c r="L2055" s="3">
        <v>0</v>
      </c>
      <c r="M2055" s="3">
        <v>0</v>
      </c>
      <c r="N2055" s="3">
        <v>6</v>
      </c>
      <c r="O2055" s="3">
        <v>0.13</v>
      </c>
      <c r="P2055" s="3">
        <v>0</v>
      </c>
      <c r="Q2055" s="3">
        <v>0</v>
      </c>
      <c r="R2055" s="3">
        <v>0</v>
      </c>
    </row>
    <row r="2056" spans="1:18">
      <c r="A2056" s="3" t="s">
        <v>2062</v>
      </c>
      <c r="B2056" s="3" t="s">
        <v>2063</v>
      </c>
      <c r="C2056" s="3" t="s">
        <v>2064</v>
      </c>
      <c r="D2056" s="3" t="s">
        <v>2065</v>
      </c>
      <c r="E2056" s="3" t="s">
        <v>867</v>
      </c>
      <c r="F2056" s="3">
        <v>36.98</v>
      </c>
      <c r="G2056" s="3" t="s">
        <v>3391</v>
      </c>
      <c r="H2056" s="3"/>
      <c r="I2056" s="3" t="s">
        <v>3392</v>
      </c>
      <c r="J2056" s="3">
        <v>6</v>
      </c>
      <c r="K2056" s="3">
        <v>6</v>
      </c>
      <c r="L2056" s="3">
        <v>0</v>
      </c>
      <c r="M2056" s="3">
        <v>0</v>
      </c>
      <c r="N2056" s="3">
        <v>6</v>
      </c>
      <c r="O2056" s="3">
        <v>0.14</v>
      </c>
      <c r="P2056" s="3">
        <v>0</v>
      </c>
      <c r="Q2056" s="3">
        <v>0</v>
      </c>
      <c r="R2056" s="3">
        <v>0</v>
      </c>
    </row>
    <row r="2057" spans="1:18">
      <c r="A2057" s="3" t="s">
        <v>2552</v>
      </c>
      <c r="B2057" s="3" t="s">
        <v>2553</v>
      </c>
      <c r="C2057" s="3" t="s">
        <v>2554</v>
      </c>
      <c r="D2057" s="3" t="s">
        <v>2555</v>
      </c>
      <c r="E2057" s="3" t="s">
        <v>867</v>
      </c>
      <c r="F2057" s="3">
        <v>36.98</v>
      </c>
      <c r="G2057" s="3" t="s">
        <v>3391</v>
      </c>
      <c r="H2057" s="3"/>
      <c r="I2057" s="3" t="s">
        <v>3392</v>
      </c>
      <c r="J2057" s="3">
        <v>7</v>
      </c>
      <c r="K2057" s="3">
        <v>7</v>
      </c>
      <c r="L2057" s="3">
        <v>0</v>
      </c>
      <c r="M2057" s="3">
        <v>0</v>
      </c>
      <c r="N2057" s="3">
        <v>7</v>
      </c>
      <c r="O2057" s="3">
        <v>0.16</v>
      </c>
      <c r="P2057" s="3">
        <v>0</v>
      </c>
      <c r="Q2057" s="3">
        <v>0</v>
      </c>
      <c r="R2057" s="3">
        <v>0</v>
      </c>
    </row>
    <row r="2058" spans="1:18">
      <c r="A2058" s="3" t="s">
        <v>1353</v>
      </c>
      <c r="B2058" s="3" t="s">
        <v>1354</v>
      </c>
      <c r="C2058" s="3" t="s">
        <v>1355</v>
      </c>
      <c r="D2058" s="3" t="s">
        <v>1356</v>
      </c>
      <c r="E2058" s="3" t="s">
        <v>867</v>
      </c>
      <c r="F2058" s="3">
        <v>36.98</v>
      </c>
      <c r="G2058" s="3" t="s">
        <v>3391</v>
      </c>
      <c r="H2058" s="3"/>
      <c r="I2058" s="3" t="s">
        <v>3392</v>
      </c>
      <c r="J2058" s="3">
        <v>6</v>
      </c>
      <c r="K2058" s="3">
        <v>6</v>
      </c>
      <c r="L2058" s="3">
        <v>0</v>
      </c>
      <c r="M2058" s="3">
        <v>0</v>
      </c>
      <c r="N2058" s="3">
        <v>6</v>
      </c>
      <c r="O2058" s="3">
        <v>0.13</v>
      </c>
      <c r="P2058" s="3">
        <v>0</v>
      </c>
      <c r="Q2058" s="3">
        <v>0</v>
      </c>
      <c r="R2058" s="3">
        <v>0</v>
      </c>
    </row>
    <row r="2059" spans="1:18">
      <c r="A2059" s="3" t="s">
        <v>2135</v>
      </c>
      <c r="B2059" s="3" t="s">
        <v>2136</v>
      </c>
      <c r="C2059" s="3" t="s">
        <v>2136</v>
      </c>
      <c r="D2059" s="3" t="s">
        <v>2137</v>
      </c>
      <c r="E2059" s="3" t="s">
        <v>867</v>
      </c>
      <c r="F2059" s="3">
        <v>22.98</v>
      </c>
      <c r="G2059" s="3" t="s">
        <v>3391</v>
      </c>
      <c r="H2059" s="3"/>
      <c r="I2059" s="3" t="s">
        <v>3392</v>
      </c>
      <c r="J2059" s="3">
        <v>22</v>
      </c>
      <c r="K2059" s="3">
        <v>22</v>
      </c>
      <c r="L2059" s="3">
        <v>0</v>
      </c>
      <c r="M2059" s="3">
        <v>0</v>
      </c>
      <c r="N2059" s="3">
        <v>22</v>
      </c>
      <c r="O2059" s="3">
        <v>0.08</v>
      </c>
      <c r="P2059" s="3">
        <v>0</v>
      </c>
      <c r="Q2059" s="3">
        <v>0</v>
      </c>
      <c r="R2059" s="3">
        <v>0</v>
      </c>
    </row>
    <row r="2060" spans="1:18">
      <c r="A2060" s="3" t="s">
        <v>6497</v>
      </c>
      <c r="B2060" s="3" t="s">
        <v>6498</v>
      </c>
      <c r="C2060" s="3" t="s">
        <v>6499</v>
      </c>
      <c r="D2060" s="3" t="s">
        <v>6500</v>
      </c>
      <c r="E2060" s="3" t="s">
        <v>867</v>
      </c>
      <c r="F2060" s="3">
        <v>22.98</v>
      </c>
      <c r="G2060" s="3" t="s">
        <v>3391</v>
      </c>
      <c r="H2060" s="3"/>
      <c r="I2060" s="3" t="s">
        <v>3392</v>
      </c>
      <c r="J2060" s="3">
        <v>0</v>
      </c>
      <c r="K2060" s="3">
        <v>0</v>
      </c>
      <c r="L2060" s="3">
        <v>0</v>
      </c>
      <c r="M2060" s="3">
        <v>0</v>
      </c>
      <c r="N2060" s="3">
        <v>45</v>
      </c>
      <c r="O2060" s="3">
        <v>0.12</v>
      </c>
      <c r="P2060" s="3">
        <v>0</v>
      </c>
      <c r="Q2060" s="3">
        <v>45</v>
      </c>
      <c r="R2060" s="3">
        <v>0</v>
      </c>
    </row>
    <row r="2061" spans="1:18">
      <c r="A2061" s="3" t="s">
        <v>2122</v>
      </c>
      <c r="B2061" s="3" t="s">
        <v>2123</v>
      </c>
      <c r="C2061" s="3" t="s">
        <v>2124</v>
      </c>
      <c r="D2061" s="3" t="s">
        <v>2125</v>
      </c>
      <c r="E2061" s="3" t="s">
        <v>867</v>
      </c>
      <c r="F2061" s="3">
        <v>22.98</v>
      </c>
      <c r="G2061" s="3" t="s">
        <v>3391</v>
      </c>
      <c r="H2061" s="3"/>
      <c r="I2061" s="3" t="s">
        <v>3392</v>
      </c>
      <c r="J2061" s="3">
        <v>3</v>
      </c>
      <c r="K2061" s="3">
        <v>3</v>
      </c>
      <c r="L2061" s="3">
        <v>0</v>
      </c>
      <c r="M2061" s="3">
        <v>0</v>
      </c>
      <c r="N2061" s="3">
        <v>27</v>
      </c>
      <c r="O2061" s="3">
        <v>0.12</v>
      </c>
      <c r="P2061" s="3">
        <v>0</v>
      </c>
      <c r="Q2061" s="3">
        <v>24</v>
      </c>
      <c r="R2061" s="3">
        <v>0</v>
      </c>
    </row>
    <row r="2062" spans="1:18">
      <c r="A2062" s="3" t="s">
        <v>3222</v>
      </c>
      <c r="B2062" s="3" t="s">
        <v>3223</v>
      </c>
      <c r="C2062" s="3" t="s">
        <v>3224</v>
      </c>
      <c r="D2062" s="3" t="s">
        <v>3225</v>
      </c>
      <c r="E2062" s="3" t="s">
        <v>867</v>
      </c>
      <c r="F2062" s="3">
        <v>22.98</v>
      </c>
      <c r="G2062" s="3" t="s">
        <v>3391</v>
      </c>
      <c r="H2062" s="3"/>
      <c r="I2062" s="3" t="s">
        <v>3392</v>
      </c>
      <c r="J2062" s="3">
        <v>5</v>
      </c>
      <c r="K2062" s="3">
        <v>5</v>
      </c>
      <c r="L2062" s="3">
        <v>0</v>
      </c>
      <c r="M2062" s="3">
        <v>0</v>
      </c>
      <c r="N2062" s="3">
        <v>20</v>
      </c>
      <c r="O2062" s="3">
        <v>0.12</v>
      </c>
      <c r="P2062" s="3">
        <v>0</v>
      </c>
      <c r="Q2062" s="3">
        <v>15</v>
      </c>
      <c r="R2062" s="3">
        <v>0</v>
      </c>
    </row>
    <row r="2063" spans="1:18">
      <c r="A2063" s="3" t="s">
        <v>1044</v>
      </c>
      <c r="B2063" s="3" t="s">
        <v>1045</v>
      </c>
      <c r="C2063" s="3" t="s">
        <v>1046</v>
      </c>
      <c r="D2063" s="3" t="s">
        <v>1047</v>
      </c>
      <c r="E2063" s="3" t="s">
        <v>867</v>
      </c>
      <c r="F2063" s="3">
        <v>22.98</v>
      </c>
      <c r="G2063" s="3" t="s">
        <v>3391</v>
      </c>
      <c r="H2063" s="3"/>
      <c r="I2063" s="3" t="s">
        <v>3392</v>
      </c>
      <c r="J2063" s="3">
        <v>5</v>
      </c>
      <c r="K2063" s="3">
        <v>5</v>
      </c>
      <c r="L2063" s="3">
        <v>0</v>
      </c>
      <c r="M2063" s="3">
        <v>0</v>
      </c>
      <c r="N2063" s="3">
        <v>35</v>
      </c>
      <c r="O2063" s="3">
        <v>0.12</v>
      </c>
      <c r="P2063" s="3">
        <v>0</v>
      </c>
      <c r="Q2063" s="3">
        <v>30</v>
      </c>
      <c r="R2063" s="3">
        <v>0</v>
      </c>
    </row>
    <row r="2064" spans="1:18">
      <c r="A2064" s="3" t="s">
        <v>6501</v>
      </c>
      <c r="B2064" s="3" t="s">
        <v>6502</v>
      </c>
      <c r="C2064" s="3" t="s">
        <v>6503</v>
      </c>
      <c r="D2064" s="3" t="s">
        <v>6504</v>
      </c>
      <c r="E2064" s="3" t="s">
        <v>867</v>
      </c>
      <c r="F2064" s="3">
        <v>22.98</v>
      </c>
      <c r="G2064" s="3" t="s">
        <v>3391</v>
      </c>
      <c r="H2064" s="3"/>
      <c r="I2064" s="3" t="s">
        <v>3392</v>
      </c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>
        <v>0.12</v>
      </c>
      <c r="P2064" s="3">
        <v>0</v>
      </c>
      <c r="Q2064" s="3">
        <v>0</v>
      </c>
      <c r="R2064" s="3">
        <v>0</v>
      </c>
    </row>
    <row r="2065" spans="1:18">
      <c r="A2065" s="3" t="s">
        <v>6505</v>
      </c>
      <c r="B2065" s="3" t="s">
        <v>6506</v>
      </c>
      <c r="C2065" s="3" t="s">
        <v>692</v>
      </c>
      <c r="D2065" s="3" t="s">
        <v>693</v>
      </c>
      <c r="E2065" s="3" t="s">
        <v>867</v>
      </c>
      <c r="F2065" s="3">
        <v>22.98</v>
      </c>
      <c r="G2065" s="3" t="s">
        <v>3391</v>
      </c>
      <c r="H2065" s="3"/>
      <c r="I2065" s="3" t="s">
        <v>3392</v>
      </c>
      <c r="J2065" s="3">
        <v>0</v>
      </c>
      <c r="K2065" s="3">
        <v>0</v>
      </c>
      <c r="L2065" s="3">
        <v>0</v>
      </c>
      <c r="M2065" s="3">
        <v>0</v>
      </c>
      <c r="N2065" s="3">
        <v>0</v>
      </c>
      <c r="O2065" s="3">
        <v>0.04</v>
      </c>
      <c r="P2065" s="3">
        <v>0</v>
      </c>
      <c r="Q2065" s="3">
        <v>0</v>
      </c>
      <c r="R2065" s="3">
        <v>0</v>
      </c>
    </row>
    <row r="2066" spans="1:18">
      <c r="A2066" s="3" t="s">
        <v>6507</v>
      </c>
      <c r="B2066" s="3" t="s">
        <v>6508</v>
      </c>
      <c r="C2066" s="3" t="s">
        <v>2695</v>
      </c>
      <c r="D2066" s="3" t="s">
        <v>2696</v>
      </c>
      <c r="E2066" s="3" t="s">
        <v>867</v>
      </c>
      <c r="F2066" s="3">
        <v>22.98</v>
      </c>
      <c r="G2066" s="3" t="s">
        <v>3391</v>
      </c>
      <c r="H2066" s="3"/>
      <c r="I2066" s="3" t="s">
        <v>3392</v>
      </c>
      <c r="J2066" s="3">
        <v>0</v>
      </c>
      <c r="K2066" s="3">
        <v>0</v>
      </c>
      <c r="L2066" s="3">
        <v>0</v>
      </c>
      <c r="M2066" s="3">
        <v>0</v>
      </c>
      <c r="N2066" s="3">
        <v>0</v>
      </c>
      <c r="O2066" s="3">
        <v>0.12</v>
      </c>
      <c r="P2066" s="3">
        <v>0</v>
      </c>
      <c r="Q2066" s="3">
        <v>0</v>
      </c>
      <c r="R2066" s="3">
        <v>0</v>
      </c>
    </row>
    <row r="2067" spans="1:18">
      <c r="A2067" s="3" t="s">
        <v>6509</v>
      </c>
      <c r="B2067" s="3" t="s">
        <v>6510</v>
      </c>
      <c r="C2067" s="3" t="s">
        <v>3241</v>
      </c>
      <c r="D2067" s="3" t="s">
        <v>3242</v>
      </c>
      <c r="E2067" s="3" t="s">
        <v>867</v>
      </c>
      <c r="F2067" s="3">
        <v>22.98</v>
      </c>
      <c r="G2067" s="3" t="s">
        <v>3391</v>
      </c>
      <c r="H2067" s="3"/>
      <c r="I2067" s="3" t="s">
        <v>3392</v>
      </c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>
        <v>0.12</v>
      </c>
      <c r="P2067" s="3">
        <v>0</v>
      </c>
      <c r="Q2067" s="3">
        <v>0</v>
      </c>
      <c r="R2067" s="3">
        <v>0</v>
      </c>
    </row>
    <row r="2068" spans="1:18">
      <c r="A2068" s="3" t="s">
        <v>6511</v>
      </c>
      <c r="B2068" s="3" t="s">
        <v>6512</v>
      </c>
      <c r="C2068" s="3" t="s">
        <v>2807</v>
      </c>
      <c r="D2068" s="3" t="s">
        <v>2808</v>
      </c>
      <c r="E2068" s="3" t="s">
        <v>867</v>
      </c>
      <c r="F2068" s="3">
        <v>22.98</v>
      </c>
      <c r="G2068" s="3" t="s">
        <v>3391</v>
      </c>
      <c r="H2068" s="3"/>
      <c r="I2068" s="3" t="s">
        <v>3392</v>
      </c>
      <c r="J2068" s="3">
        <v>0</v>
      </c>
      <c r="K2068" s="3">
        <v>0</v>
      </c>
      <c r="L2068" s="3">
        <v>0</v>
      </c>
      <c r="M2068" s="3">
        <v>0</v>
      </c>
      <c r="N2068" s="3">
        <v>0</v>
      </c>
      <c r="O2068" s="3">
        <v>0.12</v>
      </c>
      <c r="P2068" s="3">
        <v>0</v>
      </c>
      <c r="Q2068" s="3">
        <v>0</v>
      </c>
      <c r="R2068" s="3">
        <v>0</v>
      </c>
    </row>
    <row r="2069" spans="1:18">
      <c r="A2069" s="3" t="s">
        <v>6513</v>
      </c>
      <c r="B2069" s="3" t="s">
        <v>6514</v>
      </c>
      <c r="C2069" s="3" t="s">
        <v>6515</v>
      </c>
      <c r="D2069" s="3" t="s">
        <v>6516</v>
      </c>
      <c r="E2069" s="3" t="s">
        <v>867</v>
      </c>
      <c r="F2069" s="3">
        <v>22.98</v>
      </c>
      <c r="G2069" s="3" t="s">
        <v>3391</v>
      </c>
      <c r="H2069" s="3"/>
      <c r="I2069" s="3" t="s">
        <v>3392</v>
      </c>
      <c r="J2069" s="3">
        <v>0</v>
      </c>
      <c r="K2069" s="3">
        <v>0</v>
      </c>
      <c r="L2069" s="3">
        <v>0</v>
      </c>
      <c r="M2069" s="3">
        <v>0</v>
      </c>
      <c r="N2069" s="3">
        <v>0</v>
      </c>
      <c r="O2069" s="3">
        <v>0.12</v>
      </c>
      <c r="P2069" s="3">
        <v>0</v>
      </c>
      <c r="Q2069" s="3">
        <v>0</v>
      </c>
      <c r="R2069" s="3">
        <v>0</v>
      </c>
    </row>
    <row r="2070" spans="1:18">
      <c r="A2070" s="3" t="s">
        <v>6517</v>
      </c>
      <c r="B2070" s="3" t="s">
        <v>6518</v>
      </c>
      <c r="C2070" s="3" t="s">
        <v>2294</v>
      </c>
      <c r="D2070" s="3" t="s">
        <v>2295</v>
      </c>
      <c r="E2070" s="3" t="s">
        <v>867</v>
      </c>
      <c r="F2070" s="3">
        <v>22.98</v>
      </c>
      <c r="G2070" s="3" t="s">
        <v>3391</v>
      </c>
      <c r="H2070" s="3"/>
      <c r="I2070" s="3" t="s">
        <v>3392</v>
      </c>
      <c r="J2070" s="3">
        <v>0</v>
      </c>
      <c r="K2070" s="3">
        <v>0</v>
      </c>
      <c r="L2070" s="3">
        <v>0</v>
      </c>
      <c r="M2070" s="3">
        <v>0</v>
      </c>
      <c r="N2070" s="3">
        <v>0</v>
      </c>
      <c r="O2070" s="3">
        <v>0.12</v>
      </c>
      <c r="P2070" s="3">
        <v>0</v>
      </c>
      <c r="Q2070" s="3">
        <v>0</v>
      </c>
      <c r="R2070" s="3">
        <v>0</v>
      </c>
    </row>
    <row r="2071" spans="1:18">
      <c r="A2071" s="3" t="s">
        <v>6519</v>
      </c>
      <c r="B2071" s="3" t="s">
        <v>6520</v>
      </c>
      <c r="C2071" s="3" t="s">
        <v>1166</v>
      </c>
      <c r="D2071" s="3" t="s">
        <v>1167</v>
      </c>
      <c r="E2071" s="3" t="s">
        <v>867</v>
      </c>
      <c r="F2071" s="3">
        <v>22.98</v>
      </c>
      <c r="G2071" s="3" t="s">
        <v>3391</v>
      </c>
      <c r="H2071" s="3"/>
      <c r="I2071" s="3" t="s">
        <v>3392</v>
      </c>
      <c r="J2071" s="3">
        <v>0</v>
      </c>
      <c r="K2071" s="3">
        <v>0</v>
      </c>
      <c r="L2071" s="3">
        <v>0</v>
      </c>
      <c r="M2071" s="3">
        <v>0</v>
      </c>
      <c r="N2071" s="3">
        <v>0</v>
      </c>
      <c r="O2071" s="3">
        <v>0.12</v>
      </c>
      <c r="P2071" s="3">
        <v>0</v>
      </c>
      <c r="Q2071" s="3">
        <v>0</v>
      </c>
      <c r="R2071" s="3">
        <v>0</v>
      </c>
    </row>
    <row r="2072" spans="1:18">
      <c r="A2072" s="3" t="s">
        <v>1323</v>
      </c>
      <c r="B2072" s="3" t="s">
        <v>1324</v>
      </c>
      <c r="C2072" s="3" t="s">
        <v>1325</v>
      </c>
      <c r="D2072" s="3" t="s">
        <v>1326</v>
      </c>
      <c r="E2072" s="3" t="s">
        <v>867</v>
      </c>
      <c r="F2072" s="3">
        <v>22.98</v>
      </c>
      <c r="G2072" s="3" t="s">
        <v>3391</v>
      </c>
      <c r="H2072" s="3"/>
      <c r="I2072" s="3" t="s">
        <v>3392</v>
      </c>
      <c r="J2072" s="3">
        <v>9</v>
      </c>
      <c r="K2072" s="3">
        <v>9</v>
      </c>
      <c r="L2072" s="3">
        <v>0</v>
      </c>
      <c r="M2072" s="3">
        <v>0</v>
      </c>
      <c r="N2072" s="3">
        <v>39</v>
      </c>
      <c r="O2072" s="3">
        <v>0.12</v>
      </c>
      <c r="P2072" s="3">
        <v>0</v>
      </c>
      <c r="Q2072" s="3">
        <v>30</v>
      </c>
      <c r="R2072" s="3">
        <v>0</v>
      </c>
    </row>
    <row r="2073" spans="1:18">
      <c r="A2073" s="3" t="s">
        <v>6521</v>
      </c>
      <c r="B2073" s="3" t="s">
        <v>6522</v>
      </c>
      <c r="C2073" s="3" t="s">
        <v>6523</v>
      </c>
      <c r="D2073" s="3" t="s">
        <v>6524</v>
      </c>
      <c r="E2073" s="3" t="s">
        <v>867</v>
      </c>
      <c r="F2073" s="3">
        <v>22.98</v>
      </c>
      <c r="G2073" s="3" t="s">
        <v>3391</v>
      </c>
      <c r="H2073" s="3"/>
      <c r="I2073" s="3" t="s">
        <v>3392</v>
      </c>
      <c r="J2073" s="3">
        <v>0</v>
      </c>
      <c r="K2073" s="3">
        <v>0</v>
      </c>
      <c r="L2073" s="3">
        <v>0</v>
      </c>
      <c r="M2073" s="3">
        <v>0</v>
      </c>
      <c r="N2073" s="3">
        <v>25</v>
      </c>
      <c r="O2073" s="3">
        <v>0.12</v>
      </c>
      <c r="P2073" s="3">
        <v>0</v>
      </c>
      <c r="Q2073" s="3">
        <v>25</v>
      </c>
      <c r="R2073" s="3">
        <v>0</v>
      </c>
    </row>
    <row r="2074" spans="1:18">
      <c r="A2074" s="3" t="s">
        <v>3087</v>
      </c>
      <c r="B2074" s="3" t="s">
        <v>3088</v>
      </c>
      <c r="C2074" s="3" t="s">
        <v>3089</v>
      </c>
      <c r="D2074" s="3" t="s">
        <v>3090</v>
      </c>
      <c r="E2074" s="3" t="s">
        <v>867</v>
      </c>
      <c r="F2074" s="3">
        <v>22.98</v>
      </c>
      <c r="G2074" s="3" t="s">
        <v>3391</v>
      </c>
      <c r="H2074" s="3"/>
      <c r="I2074" s="3" t="s">
        <v>3392</v>
      </c>
      <c r="J2074" s="3">
        <v>5</v>
      </c>
      <c r="K2074" s="3">
        <v>5</v>
      </c>
      <c r="L2074" s="3">
        <v>0</v>
      </c>
      <c r="M2074" s="3">
        <v>0</v>
      </c>
      <c r="N2074" s="3">
        <v>20</v>
      </c>
      <c r="O2074" s="3">
        <v>0.12</v>
      </c>
      <c r="P2074" s="3">
        <v>0</v>
      </c>
      <c r="Q2074" s="3">
        <v>15</v>
      </c>
      <c r="R2074" s="3">
        <v>0</v>
      </c>
    </row>
    <row r="2075" spans="1:18">
      <c r="A2075" s="3" t="s">
        <v>6525</v>
      </c>
      <c r="B2075" s="3" t="s">
        <v>6526</v>
      </c>
      <c r="C2075" s="3" t="s">
        <v>701</v>
      </c>
      <c r="D2075" s="3" t="s">
        <v>702</v>
      </c>
      <c r="E2075" s="3" t="s">
        <v>867</v>
      </c>
      <c r="F2075" s="3">
        <v>22.98</v>
      </c>
      <c r="G2075" s="3" t="s">
        <v>3391</v>
      </c>
      <c r="H2075" s="3"/>
      <c r="I2075" s="3" t="s">
        <v>3392</v>
      </c>
      <c r="J2075" s="3">
        <v>0</v>
      </c>
      <c r="K2075" s="3">
        <v>0</v>
      </c>
      <c r="L2075" s="3">
        <v>0</v>
      </c>
      <c r="M2075" s="3">
        <v>0</v>
      </c>
      <c r="N2075" s="3">
        <v>30</v>
      </c>
      <c r="O2075" s="3">
        <v>0.15</v>
      </c>
      <c r="P2075" s="3">
        <v>0</v>
      </c>
      <c r="Q2075" s="3">
        <v>30</v>
      </c>
      <c r="R2075" s="3">
        <v>0</v>
      </c>
    </row>
    <row r="2076" spans="1:18">
      <c r="A2076" s="3" t="s">
        <v>6527</v>
      </c>
      <c r="B2076" s="3" t="s">
        <v>6528</v>
      </c>
      <c r="C2076" s="3" t="s">
        <v>1891</v>
      </c>
      <c r="D2076" s="3" t="s">
        <v>1892</v>
      </c>
      <c r="E2076" s="3" t="s">
        <v>867</v>
      </c>
      <c r="F2076" s="3">
        <v>22.98</v>
      </c>
      <c r="G2076" s="3" t="s">
        <v>3391</v>
      </c>
      <c r="H2076" s="3"/>
      <c r="I2076" s="3" t="s">
        <v>3392</v>
      </c>
      <c r="J2076" s="3">
        <v>0</v>
      </c>
      <c r="K2076" s="3">
        <v>0</v>
      </c>
      <c r="L2076" s="3">
        <v>0</v>
      </c>
      <c r="M2076" s="3">
        <v>0</v>
      </c>
      <c r="N2076" s="3">
        <v>40</v>
      </c>
      <c r="O2076" s="3">
        <v>0.15</v>
      </c>
      <c r="P2076" s="3">
        <v>0</v>
      </c>
      <c r="Q2076" s="3">
        <v>40</v>
      </c>
      <c r="R2076" s="3">
        <v>0</v>
      </c>
    </row>
    <row r="2077" spans="1:18">
      <c r="A2077" s="3" t="s">
        <v>6529</v>
      </c>
      <c r="B2077" s="3" t="s">
        <v>6530</v>
      </c>
      <c r="C2077" s="3" t="s">
        <v>6531</v>
      </c>
      <c r="D2077" s="3" t="s">
        <v>6532</v>
      </c>
      <c r="E2077" s="3" t="s">
        <v>867</v>
      </c>
      <c r="F2077" s="3">
        <v>22.98</v>
      </c>
      <c r="G2077" s="3" t="s">
        <v>3391</v>
      </c>
      <c r="H2077" s="3"/>
      <c r="I2077" s="3" t="s">
        <v>3392</v>
      </c>
      <c r="J2077" s="3">
        <v>0</v>
      </c>
      <c r="K2077" s="3">
        <v>0</v>
      </c>
      <c r="L2077" s="3">
        <v>0</v>
      </c>
      <c r="M2077" s="3">
        <v>0</v>
      </c>
      <c r="N2077" s="3">
        <v>20</v>
      </c>
      <c r="O2077" s="3">
        <v>0.13</v>
      </c>
      <c r="P2077" s="3">
        <v>0</v>
      </c>
      <c r="Q2077" s="3">
        <v>20</v>
      </c>
      <c r="R2077" s="3">
        <v>0</v>
      </c>
    </row>
    <row r="2078" spans="1:18">
      <c r="A2078" s="3" t="s">
        <v>2131</v>
      </c>
      <c r="B2078" s="3" t="s">
        <v>2132</v>
      </c>
      <c r="C2078" s="3" t="s">
        <v>2133</v>
      </c>
      <c r="D2078" s="3" t="s">
        <v>2134</v>
      </c>
      <c r="E2078" s="3" t="s">
        <v>867</v>
      </c>
      <c r="F2078" s="3">
        <v>22.98</v>
      </c>
      <c r="G2078" s="3" t="s">
        <v>3391</v>
      </c>
      <c r="H2078" s="3"/>
      <c r="I2078" s="3" t="s">
        <v>3392</v>
      </c>
      <c r="J2078" s="3">
        <v>5</v>
      </c>
      <c r="K2078" s="3">
        <v>5</v>
      </c>
      <c r="L2078" s="3">
        <v>0</v>
      </c>
      <c r="M2078" s="3">
        <v>0</v>
      </c>
      <c r="N2078" s="3">
        <v>10</v>
      </c>
      <c r="O2078" s="3">
        <v>0.12</v>
      </c>
      <c r="P2078" s="3">
        <v>0</v>
      </c>
      <c r="Q2078" s="3">
        <v>5</v>
      </c>
      <c r="R2078" s="3">
        <v>0</v>
      </c>
    </row>
    <row r="2079" spans="1:18">
      <c r="A2079" s="3" t="s">
        <v>3158</v>
      </c>
      <c r="B2079" s="3" t="s">
        <v>3159</v>
      </c>
      <c r="C2079" s="3" t="s">
        <v>3160</v>
      </c>
      <c r="D2079" s="3" t="s">
        <v>3161</v>
      </c>
      <c r="E2079" s="3" t="s">
        <v>867</v>
      </c>
      <c r="F2079" s="3">
        <v>22.98</v>
      </c>
      <c r="G2079" s="3" t="s">
        <v>3391</v>
      </c>
      <c r="H2079" s="3"/>
      <c r="I2079" s="3" t="s">
        <v>3392</v>
      </c>
      <c r="J2079" s="3">
        <v>3</v>
      </c>
      <c r="K2079" s="3">
        <v>3</v>
      </c>
      <c r="L2079" s="3">
        <v>0</v>
      </c>
      <c r="M2079" s="3">
        <v>0</v>
      </c>
      <c r="N2079" s="3">
        <v>33</v>
      </c>
      <c r="O2079" s="3">
        <v>0.15</v>
      </c>
      <c r="P2079" s="3">
        <v>0</v>
      </c>
      <c r="Q2079" s="3">
        <v>30</v>
      </c>
      <c r="R2079" s="3">
        <v>0</v>
      </c>
    </row>
    <row r="2080" spans="1:18">
      <c r="A2080" s="3" t="s">
        <v>657</v>
      </c>
      <c r="B2080" s="3" t="s">
        <v>658</v>
      </c>
      <c r="C2080" s="3" t="s">
        <v>659</v>
      </c>
      <c r="D2080" s="3" t="s">
        <v>660</v>
      </c>
      <c r="E2080" s="3" t="s">
        <v>867</v>
      </c>
      <c r="F2080" s="3">
        <v>22.98</v>
      </c>
      <c r="G2080" s="3" t="s">
        <v>3391</v>
      </c>
      <c r="H2080" s="3"/>
      <c r="I2080" s="3" t="s">
        <v>3392</v>
      </c>
      <c r="J2080" s="3">
        <v>3</v>
      </c>
      <c r="K2080" s="3">
        <v>1</v>
      </c>
      <c r="L2080" s="3">
        <v>0</v>
      </c>
      <c r="M2080" s="3">
        <v>2</v>
      </c>
      <c r="N2080" s="3">
        <v>17</v>
      </c>
      <c r="O2080" s="3">
        <v>0.12</v>
      </c>
      <c r="P2080" s="3">
        <v>0</v>
      </c>
      <c r="Q2080" s="3">
        <v>14</v>
      </c>
      <c r="R2080" s="3">
        <v>0</v>
      </c>
    </row>
    <row r="2081" spans="1:18">
      <c r="A2081" s="3" t="s">
        <v>1727</v>
      </c>
      <c r="B2081" s="3" t="s">
        <v>1728</v>
      </c>
      <c r="C2081" s="3" t="s">
        <v>1729</v>
      </c>
      <c r="D2081" s="3" t="s">
        <v>1730</v>
      </c>
      <c r="E2081" s="3" t="s">
        <v>867</v>
      </c>
      <c r="F2081" s="3">
        <v>22.98</v>
      </c>
      <c r="G2081" s="3" t="s">
        <v>3391</v>
      </c>
      <c r="H2081" s="3"/>
      <c r="I2081" s="3" t="s">
        <v>3392</v>
      </c>
      <c r="J2081" s="3">
        <v>2</v>
      </c>
      <c r="K2081" s="3">
        <v>2</v>
      </c>
      <c r="L2081" s="3">
        <v>0</v>
      </c>
      <c r="M2081" s="3">
        <v>0</v>
      </c>
      <c r="N2081" s="3">
        <v>9</v>
      </c>
      <c r="O2081" s="3">
        <v>0.12</v>
      </c>
      <c r="P2081" s="3">
        <v>0</v>
      </c>
      <c r="Q2081" s="3">
        <v>7</v>
      </c>
      <c r="R2081" s="3">
        <v>0</v>
      </c>
    </row>
    <row r="2082" spans="1:18">
      <c r="A2082" s="3" t="s">
        <v>6533</v>
      </c>
      <c r="B2082" s="3" t="s">
        <v>6534</v>
      </c>
      <c r="C2082" s="3" t="s">
        <v>2842</v>
      </c>
      <c r="D2082" s="3" t="s">
        <v>2843</v>
      </c>
      <c r="E2082" s="3" t="s">
        <v>867</v>
      </c>
      <c r="F2082" s="3">
        <v>22.98</v>
      </c>
      <c r="G2082" s="3" t="s">
        <v>3391</v>
      </c>
      <c r="H2082" s="3"/>
      <c r="I2082" s="3" t="s">
        <v>3392</v>
      </c>
      <c r="J2082" s="3">
        <v>0</v>
      </c>
      <c r="K2082" s="3">
        <v>0</v>
      </c>
      <c r="L2082" s="3">
        <v>0</v>
      </c>
      <c r="M2082" s="3">
        <v>0</v>
      </c>
      <c r="N2082" s="3">
        <v>0</v>
      </c>
      <c r="O2082" s="3">
        <v>0.12</v>
      </c>
      <c r="P2082" s="3">
        <v>0</v>
      </c>
      <c r="Q2082" s="3">
        <v>0</v>
      </c>
      <c r="R2082" s="3">
        <v>0</v>
      </c>
    </row>
    <row r="2083" spans="1:18">
      <c r="A2083" s="3" t="s">
        <v>665</v>
      </c>
      <c r="B2083" s="3" t="s">
        <v>666</v>
      </c>
      <c r="C2083" s="3" t="s">
        <v>667</v>
      </c>
      <c r="D2083" s="3" t="s">
        <v>668</v>
      </c>
      <c r="E2083" s="3" t="s">
        <v>867</v>
      </c>
      <c r="F2083" s="3">
        <v>22.98</v>
      </c>
      <c r="G2083" s="3" t="s">
        <v>3391</v>
      </c>
      <c r="H2083" s="3"/>
      <c r="I2083" s="3" t="s">
        <v>3392</v>
      </c>
      <c r="J2083" s="3">
        <v>3</v>
      </c>
      <c r="K2083" s="3">
        <v>1</v>
      </c>
      <c r="L2083" s="3">
        <v>0</v>
      </c>
      <c r="M2083" s="3">
        <v>2</v>
      </c>
      <c r="N2083" s="3">
        <v>5</v>
      </c>
      <c r="O2083" s="3">
        <v>0.12</v>
      </c>
      <c r="P2083" s="3">
        <v>0</v>
      </c>
      <c r="Q2083" s="3">
        <v>2</v>
      </c>
      <c r="R2083" s="3">
        <v>0</v>
      </c>
    </row>
    <row r="2084" spans="1:18">
      <c r="A2084" s="3" t="s">
        <v>3179</v>
      </c>
      <c r="B2084" s="3" t="s">
        <v>3180</v>
      </c>
      <c r="C2084" s="3" t="s">
        <v>2669</v>
      </c>
      <c r="D2084" s="3" t="s">
        <v>2670</v>
      </c>
      <c r="E2084" s="3" t="s">
        <v>867</v>
      </c>
      <c r="F2084" s="3">
        <v>22.98</v>
      </c>
      <c r="G2084" s="3" t="s">
        <v>3391</v>
      </c>
      <c r="H2084" s="3"/>
      <c r="I2084" s="3" t="s">
        <v>3392</v>
      </c>
      <c r="J2084" s="3">
        <v>9</v>
      </c>
      <c r="K2084" s="3">
        <v>9</v>
      </c>
      <c r="L2084" s="3">
        <v>0</v>
      </c>
      <c r="M2084" s="3">
        <v>0</v>
      </c>
      <c r="N2084" s="3">
        <v>39</v>
      </c>
      <c r="O2084" s="3">
        <v>0.15</v>
      </c>
      <c r="P2084" s="3">
        <v>0</v>
      </c>
      <c r="Q2084" s="3">
        <v>30</v>
      </c>
      <c r="R2084" s="3">
        <v>0</v>
      </c>
    </row>
    <row r="2085" spans="1:18">
      <c r="A2085" s="3" t="s">
        <v>2026</v>
      </c>
      <c r="B2085" s="3" t="s">
        <v>2027</v>
      </c>
      <c r="C2085" s="3" t="s">
        <v>2028</v>
      </c>
      <c r="D2085" s="3" t="s">
        <v>2029</v>
      </c>
      <c r="E2085" s="3" t="s">
        <v>867</v>
      </c>
      <c r="F2085" s="3">
        <v>22.98</v>
      </c>
      <c r="G2085" s="3" t="s">
        <v>3391</v>
      </c>
      <c r="H2085" s="3"/>
      <c r="I2085" s="3" t="s">
        <v>3392</v>
      </c>
      <c r="J2085" s="3">
        <v>5</v>
      </c>
      <c r="K2085" s="3">
        <v>5</v>
      </c>
      <c r="L2085" s="3">
        <v>0</v>
      </c>
      <c r="M2085" s="3">
        <v>0</v>
      </c>
      <c r="N2085" s="3">
        <v>25</v>
      </c>
      <c r="O2085" s="3">
        <v>0.17</v>
      </c>
      <c r="P2085" s="3">
        <v>0</v>
      </c>
      <c r="Q2085" s="3">
        <v>20</v>
      </c>
      <c r="R2085" s="3">
        <v>0</v>
      </c>
    </row>
    <row r="2086" spans="1:18">
      <c r="A2086" s="3" t="s">
        <v>2836</v>
      </c>
      <c r="B2086" s="3" t="s">
        <v>2837</v>
      </c>
      <c r="C2086" s="3" t="s">
        <v>2838</v>
      </c>
      <c r="D2086" s="3" t="s">
        <v>2839</v>
      </c>
      <c r="E2086" s="3" t="s">
        <v>867</v>
      </c>
      <c r="F2086" s="3">
        <v>22.98</v>
      </c>
      <c r="G2086" s="3" t="s">
        <v>3391</v>
      </c>
      <c r="H2086" s="3"/>
      <c r="I2086" s="3" t="s">
        <v>3392</v>
      </c>
      <c r="J2086" s="3">
        <v>4</v>
      </c>
      <c r="K2086" s="3">
        <v>4</v>
      </c>
      <c r="L2086" s="3">
        <v>0</v>
      </c>
      <c r="M2086" s="3">
        <v>0</v>
      </c>
      <c r="N2086" s="3">
        <v>24</v>
      </c>
      <c r="O2086" s="3">
        <v>0.13</v>
      </c>
      <c r="P2086" s="3">
        <v>0</v>
      </c>
      <c r="Q2086" s="3">
        <v>20</v>
      </c>
      <c r="R2086" s="3">
        <v>0</v>
      </c>
    </row>
    <row r="2087" spans="1:18">
      <c r="A2087" s="3" t="s">
        <v>3034</v>
      </c>
      <c r="B2087" s="3" t="s">
        <v>3035</v>
      </c>
      <c r="C2087" s="3" t="s">
        <v>3036</v>
      </c>
      <c r="D2087" s="3" t="s">
        <v>3037</v>
      </c>
      <c r="E2087" s="3" t="s">
        <v>867</v>
      </c>
      <c r="F2087" s="3">
        <v>22.98</v>
      </c>
      <c r="G2087" s="3" t="s">
        <v>3391</v>
      </c>
      <c r="H2087" s="3"/>
      <c r="I2087" s="3" t="s">
        <v>3392</v>
      </c>
      <c r="J2087" s="3">
        <v>5</v>
      </c>
      <c r="K2087" s="3">
        <v>5</v>
      </c>
      <c r="L2087" s="3">
        <v>0</v>
      </c>
      <c r="M2087" s="3">
        <v>0</v>
      </c>
      <c r="N2087" s="3">
        <v>40</v>
      </c>
      <c r="O2087" s="3">
        <v>0.13</v>
      </c>
      <c r="P2087" s="3">
        <v>0</v>
      </c>
      <c r="Q2087" s="3">
        <v>35</v>
      </c>
      <c r="R2087" s="3">
        <v>0</v>
      </c>
    </row>
    <row r="2088" spans="1:18">
      <c r="A2088" s="3" t="s">
        <v>6535</v>
      </c>
      <c r="B2088" s="3" t="s">
        <v>6536</v>
      </c>
      <c r="C2088" s="3" t="s">
        <v>2034</v>
      </c>
      <c r="D2088" s="3" t="s">
        <v>2035</v>
      </c>
      <c r="E2088" s="3" t="s">
        <v>867</v>
      </c>
      <c r="F2088" s="3">
        <v>22.98</v>
      </c>
      <c r="G2088" s="3" t="s">
        <v>3391</v>
      </c>
      <c r="H2088" s="3"/>
      <c r="I2088" s="3" t="s">
        <v>3392</v>
      </c>
      <c r="J2088" s="3">
        <v>0</v>
      </c>
      <c r="K2088" s="3">
        <v>0</v>
      </c>
      <c r="L2088" s="3">
        <v>0</v>
      </c>
      <c r="M2088" s="3">
        <v>0</v>
      </c>
      <c r="N2088" s="3">
        <v>20</v>
      </c>
      <c r="O2088" s="3">
        <v>0.12</v>
      </c>
      <c r="P2088" s="3">
        <v>0</v>
      </c>
      <c r="Q2088" s="3">
        <v>20</v>
      </c>
      <c r="R2088" s="3">
        <v>0</v>
      </c>
    </row>
    <row r="2089" spans="1:18">
      <c r="A2089" s="3" t="s">
        <v>6537</v>
      </c>
      <c r="B2089" s="3" t="s">
        <v>6538</v>
      </c>
      <c r="C2089" s="3" t="s">
        <v>2728</v>
      </c>
      <c r="D2089" s="3" t="s">
        <v>2729</v>
      </c>
      <c r="E2089" s="3" t="s">
        <v>867</v>
      </c>
      <c r="F2089" s="3">
        <v>22.98</v>
      </c>
      <c r="G2089" s="3" t="s">
        <v>3391</v>
      </c>
      <c r="H2089" s="3"/>
      <c r="I2089" s="3" t="s">
        <v>3392</v>
      </c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>
        <v>0.11</v>
      </c>
      <c r="P2089" s="3">
        <v>0</v>
      </c>
      <c r="Q2089" s="3">
        <v>0</v>
      </c>
      <c r="R2089" s="3">
        <v>0</v>
      </c>
    </row>
    <row r="2090" spans="1:18">
      <c r="A2090" s="3" t="s">
        <v>6539</v>
      </c>
      <c r="B2090" s="3" t="s">
        <v>6540</v>
      </c>
      <c r="C2090" s="3" t="s">
        <v>1077</v>
      </c>
      <c r="D2090" s="3" t="s">
        <v>1078</v>
      </c>
      <c r="E2090" s="3" t="s">
        <v>867</v>
      </c>
      <c r="F2090" s="3">
        <v>22.98</v>
      </c>
      <c r="G2090" s="3" t="s">
        <v>3391</v>
      </c>
      <c r="H2090" s="3"/>
      <c r="I2090" s="3" t="s">
        <v>3392</v>
      </c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>
        <v>0.13</v>
      </c>
      <c r="P2090" s="3">
        <v>0</v>
      </c>
      <c r="Q2090" s="3">
        <v>0</v>
      </c>
      <c r="R2090" s="3">
        <v>0</v>
      </c>
    </row>
    <row r="2091" spans="1:18">
      <c r="A2091" s="3" t="s">
        <v>906</v>
      </c>
      <c r="B2091" s="3" t="s">
        <v>907</v>
      </c>
      <c r="C2091" s="3" t="s">
        <v>908</v>
      </c>
      <c r="D2091" s="3" t="s">
        <v>909</v>
      </c>
      <c r="E2091" s="3" t="s">
        <v>867</v>
      </c>
      <c r="F2091" s="3">
        <v>22.98</v>
      </c>
      <c r="G2091" s="3" t="s">
        <v>3391</v>
      </c>
      <c r="H2091" s="3"/>
      <c r="I2091" s="3" t="s">
        <v>3392</v>
      </c>
      <c r="J2091" s="3">
        <v>3</v>
      </c>
      <c r="K2091" s="3">
        <v>3</v>
      </c>
      <c r="L2091" s="3">
        <v>0</v>
      </c>
      <c r="M2091" s="3">
        <v>0</v>
      </c>
      <c r="N2091" s="3">
        <v>23</v>
      </c>
      <c r="O2091" s="3">
        <v>0.13</v>
      </c>
      <c r="P2091" s="3">
        <v>0</v>
      </c>
      <c r="Q2091" s="3">
        <v>20</v>
      </c>
      <c r="R2091" s="3">
        <v>0</v>
      </c>
    </row>
    <row r="2092" spans="1:18">
      <c r="A2092" s="3" t="s">
        <v>1374</v>
      </c>
      <c r="B2092" s="3" t="s">
        <v>1375</v>
      </c>
      <c r="C2092" s="3" t="s">
        <v>1376</v>
      </c>
      <c r="D2092" s="3" t="s">
        <v>1377</v>
      </c>
      <c r="E2092" s="3" t="s">
        <v>867</v>
      </c>
      <c r="F2092" s="3">
        <v>22.98</v>
      </c>
      <c r="G2092" s="3" t="s">
        <v>3391</v>
      </c>
      <c r="H2092" s="3"/>
      <c r="I2092" s="3" t="s">
        <v>3392</v>
      </c>
      <c r="J2092" s="3">
        <v>4</v>
      </c>
      <c r="K2092" s="3">
        <v>4</v>
      </c>
      <c r="L2092" s="3">
        <v>0</v>
      </c>
      <c r="M2092" s="3">
        <v>0</v>
      </c>
      <c r="N2092" s="3">
        <v>39</v>
      </c>
      <c r="O2092" s="3">
        <v>0.08</v>
      </c>
      <c r="P2092" s="3">
        <v>0</v>
      </c>
      <c r="Q2092" s="3">
        <v>35</v>
      </c>
      <c r="R2092" s="3">
        <v>0</v>
      </c>
    </row>
    <row r="2093" spans="1:18">
      <c r="A2093" s="3" t="s">
        <v>661</v>
      </c>
      <c r="B2093" s="3" t="s">
        <v>662</v>
      </c>
      <c r="C2093" s="3" t="s">
        <v>663</v>
      </c>
      <c r="D2093" s="3" t="s">
        <v>664</v>
      </c>
      <c r="E2093" s="3" t="s">
        <v>867</v>
      </c>
      <c r="F2093" s="3">
        <v>22.98</v>
      </c>
      <c r="G2093" s="3" t="s">
        <v>3391</v>
      </c>
      <c r="H2093" s="3"/>
      <c r="I2093" s="3" t="s">
        <v>3392</v>
      </c>
      <c r="J2093" s="3">
        <v>4</v>
      </c>
      <c r="K2093" s="3">
        <v>1</v>
      </c>
      <c r="L2093" s="3">
        <v>0</v>
      </c>
      <c r="M2093" s="3">
        <v>3</v>
      </c>
      <c r="N2093" s="3">
        <v>24</v>
      </c>
      <c r="O2093" s="3">
        <v>0.12</v>
      </c>
      <c r="P2093" s="3">
        <v>0</v>
      </c>
      <c r="Q2093" s="3">
        <v>20</v>
      </c>
      <c r="R2093" s="3">
        <v>0</v>
      </c>
    </row>
    <row r="2094" spans="1:18">
      <c r="A2094" s="3" t="s">
        <v>669</v>
      </c>
      <c r="B2094" s="3" t="s">
        <v>670</v>
      </c>
      <c r="C2094" s="3" t="s">
        <v>671</v>
      </c>
      <c r="D2094" s="3" t="s">
        <v>672</v>
      </c>
      <c r="E2094" s="3" t="s">
        <v>867</v>
      </c>
      <c r="F2094" s="3">
        <v>22.98</v>
      </c>
      <c r="G2094" s="3" t="s">
        <v>3391</v>
      </c>
      <c r="H2094" s="3"/>
      <c r="I2094" s="3" t="s">
        <v>3392</v>
      </c>
      <c r="J2094" s="3">
        <v>5</v>
      </c>
      <c r="K2094" s="3">
        <v>4</v>
      </c>
      <c r="L2094" s="3">
        <v>0</v>
      </c>
      <c r="M2094" s="3">
        <v>1</v>
      </c>
      <c r="N2094" s="3">
        <v>20</v>
      </c>
      <c r="O2094" s="3">
        <v>0.15</v>
      </c>
      <c r="P2094" s="3">
        <v>0</v>
      </c>
      <c r="Q2094" s="3">
        <v>15</v>
      </c>
      <c r="R2094" s="3">
        <v>0</v>
      </c>
    </row>
    <row r="2095" spans="1:18">
      <c r="A2095" s="3" t="s">
        <v>6541</v>
      </c>
      <c r="B2095" s="3" t="s">
        <v>6542</v>
      </c>
      <c r="C2095" s="3" t="s">
        <v>3060</v>
      </c>
      <c r="D2095" s="3" t="s">
        <v>3061</v>
      </c>
      <c r="E2095" s="3" t="s">
        <v>867</v>
      </c>
      <c r="F2095" s="3">
        <v>22.98</v>
      </c>
      <c r="G2095" s="3" t="s">
        <v>3391</v>
      </c>
      <c r="H2095" s="3"/>
      <c r="I2095" s="3" t="s">
        <v>3392</v>
      </c>
      <c r="J2095" s="3">
        <v>0</v>
      </c>
      <c r="K2095" s="3">
        <v>0</v>
      </c>
      <c r="L2095" s="3">
        <v>0</v>
      </c>
      <c r="M2095" s="3">
        <v>0</v>
      </c>
      <c r="N2095" s="3">
        <v>20</v>
      </c>
      <c r="O2095" s="3">
        <v>0.18</v>
      </c>
      <c r="P2095" s="3">
        <v>0</v>
      </c>
      <c r="Q2095" s="3">
        <v>20</v>
      </c>
      <c r="R2095" s="3">
        <v>0</v>
      </c>
    </row>
    <row r="2096" spans="1:18">
      <c r="A2096" s="3" t="s">
        <v>1671</v>
      </c>
      <c r="B2096" s="3" t="s">
        <v>1672</v>
      </c>
      <c r="C2096" s="3" t="s">
        <v>1097</v>
      </c>
      <c r="D2096" s="3" t="s">
        <v>1098</v>
      </c>
      <c r="E2096" s="3" t="s">
        <v>867</v>
      </c>
      <c r="F2096" s="3">
        <v>24.98</v>
      </c>
      <c r="G2096" s="3" t="s">
        <v>3391</v>
      </c>
      <c r="H2096" s="3"/>
      <c r="I2096" s="3" t="s">
        <v>3392</v>
      </c>
      <c r="J2096" s="3">
        <v>3</v>
      </c>
      <c r="K2096" s="3">
        <v>3</v>
      </c>
      <c r="L2096" s="3">
        <v>0</v>
      </c>
      <c r="M2096" s="3">
        <v>0</v>
      </c>
      <c r="N2096" s="3">
        <v>37</v>
      </c>
      <c r="O2096" s="3">
        <v>0.14</v>
      </c>
      <c r="P2096" s="3">
        <v>0</v>
      </c>
      <c r="Q2096" s="3">
        <v>34</v>
      </c>
      <c r="R2096" s="3">
        <v>0</v>
      </c>
    </row>
    <row r="2097" spans="1:18">
      <c r="A2097" s="3" t="s">
        <v>1204</v>
      </c>
      <c r="B2097" s="3" t="s">
        <v>1205</v>
      </c>
      <c r="C2097" s="3" t="s">
        <v>1206</v>
      </c>
      <c r="D2097" s="3" t="s">
        <v>1207</v>
      </c>
      <c r="E2097" s="3" t="s">
        <v>867</v>
      </c>
      <c r="F2097" s="3">
        <v>24.98</v>
      </c>
      <c r="G2097" s="3" t="s">
        <v>3391</v>
      </c>
      <c r="H2097" s="3"/>
      <c r="I2097" s="3" t="s">
        <v>3392</v>
      </c>
      <c r="J2097" s="3">
        <v>3</v>
      </c>
      <c r="K2097" s="3">
        <v>3</v>
      </c>
      <c r="L2097" s="3">
        <v>0</v>
      </c>
      <c r="M2097" s="3">
        <v>0</v>
      </c>
      <c r="N2097" s="3">
        <v>27</v>
      </c>
      <c r="O2097" s="3">
        <v>0.14</v>
      </c>
      <c r="P2097" s="3">
        <v>0</v>
      </c>
      <c r="Q2097" s="3">
        <v>24</v>
      </c>
      <c r="R2097" s="3">
        <v>0</v>
      </c>
    </row>
    <row r="2098" spans="1:18">
      <c r="A2098" s="3" t="s">
        <v>1536</v>
      </c>
      <c r="B2098" s="3" t="s">
        <v>1537</v>
      </c>
      <c r="C2098" s="3" t="s">
        <v>1538</v>
      </c>
      <c r="D2098" s="3" t="s">
        <v>1539</v>
      </c>
      <c r="E2098" s="3" t="s">
        <v>867</v>
      </c>
      <c r="F2098" s="3">
        <v>24.98</v>
      </c>
      <c r="G2098" s="3" t="s">
        <v>3391</v>
      </c>
      <c r="H2098" s="3"/>
      <c r="I2098" s="3" t="s">
        <v>3392</v>
      </c>
      <c r="J2098" s="3">
        <v>3</v>
      </c>
      <c r="K2098" s="3">
        <v>3</v>
      </c>
      <c r="L2098" s="3">
        <v>0</v>
      </c>
      <c r="M2098" s="3">
        <v>0</v>
      </c>
      <c r="N2098" s="3">
        <v>17</v>
      </c>
      <c r="O2098" s="3">
        <v>0.12</v>
      </c>
      <c r="P2098" s="3">
        <v>0</v>
      </c>
      <c r="Q2098" s="3">
        <v>14</v>
      </c>
      <c r="R2098" s="3">
        <v>0</v>
      </c>
    </row>
    <row r="2099" spans="1:18">
      <c r="A2099" s="3" t="s">
        <v>6543</v>
      </c>
      <c r="B2099" s="3" t="s">
        <v>6544</v>
      </c>
      <c r="C2099" s="3" t="s">
        <v>2326</v>
      </c>
      <c r="D2099" s="3" t="s">
        <v>2327</v>
      </c>
      <c r="E2099" s="3" t="s">
        <v>867</v>
      </c>
      <c r="F2099" s="3">
        <v>24.98</v>
      </c>
      <c r="G2099" s="3" t="s">
        <v>3391</v>
      </c>
      <c r="H2099" s="3"/>
      <c r="I2099" s="3" t="s">
        <v>3392</v>
      </c>
      <c r="J2099" s="3">
        <v>0</v>
      </c>
      <c r="K2099" s="3">
        <v>0</v>
      </c>
      <c r="L2099" s="3">
        <v>0</v>
      </c>
      <c r="M2099" s="3">
        <v>0</v>
      </c>
      <c r="N2099" s="3">
        <v>30</v>
      </c>
      <c r="O2099" s="3">
        <v>0.14</v>
      </c>
      <c r="P2099" s="3">
        <v>0</v>
      </c>
      <c r="Q2099" s="3">
        <v>30</v>
      </c>
      <c r="R2099" s="3">
        <v>0</v>
      </c>
    </row>
    <row r="2100" spans="1:18">
      <c r="A2100" s="3" t="s">
        <v>6545</v>
      </c>
      <c r="B2100" s="3" t="s">
        <v>6546</v>
      </c>
      <c r="C2100" s="3" t="s">
        <v>6547</v>
      </c>
      <c r="D2100" s="3" t="s">
        <v>6548</v>
      </c>
      <c r="E2100" s="3" t="s">
        <v>867</v>
      </c>
      <c r="F2100" s="3">
        <v>24.98</v>
      </c>
      <c r="G2100" s="3" t="s">
        <v>3391</v>
      </c>
      <c r="H2100" s="3"/>
      <c r="I2100" s="3" t="s">
        <v>3392</v>
      </c>
      <c r="J2100" s="3">
        <v>0</v>
      </c>
      <c r="K2100" s="3">
        <v>0</v>
      </c>
      <c r="L2100" s="3">
        <v>0</v>
      </c>
      <c r="M2100" s="3">
        <v>0</v>
      </c>
      <c r="N2100" s="3">
        <v>30</v>
      </c>
      <c r="O2100" s="3">
        <v>0.14</v>
      </c>
      <c r="P2100" s="3">
        <v>0</v>
      </c>
      <c r="Q2100" s="3">
        <v>30</v>
      </c>
      <c r="R2100" s="3">
        <v>0</v>
      </c>
    </row>
    <row r="2101" spans="1:18">
      <c r="A2101" s="3" t="s">
        <v>6549</v>
      </c>
      <c r="B2101" s="3" t="s">
        <v>6550</v>
      </c>
      <c r="C2101" s="3" t="s">
        <v>6551</v>
      </c>
      <c r="D2101" s="3" t="s">
        <v>6552</v>
      </c>
      <c r="E2101" s="3" t="s">
        <v>867</v>
      </c>
      <c r="F2101" s="3">
        <v>24.98</v>
      </c>
      <c r="G2101" s="3" t="s">
        <v>3391</v>
      </c>
      <c r="H2101" s="3"/>
      <c r="I2101" s="3" t="s">
        <v>3392</v>
      </c>
      <c r="J2101" s="3">
        <v>0</v>
      </c>
      <c r="K2101" s="3">
        <v>0</v>
      </c>
      <c r="L2101" s="3">
        <v>0</v>
      </c>
      <c r="M2101" s="3">
        <v>0</v>
      </c>
      <c r="N2101" s="3">
        <v>10</v>
      </c>
      <c r="O2101" s="3">
        <v>0.14</v>
      </c>
      <c r="P2101" s="3">
        <v>0</v>
      </c>
      <c r="Q2101" s="3">
        <v>10</v>
      </c>
      <c r="R2101" s="3">
        <v>0</v>
      </c>
    </row>
    <row r="2102" spans="1:18">
      <c r="A2102" s="3" t="s">
        <v>6553</v>
      </c>
      <c r="B2102" s="3" t="s">
        <v>6554</v>
      </c>
      <c r="C2102" s="3" t="s">
        <v>6555</v>
      </c>
      <c r="D2102" s="3" t="s">
        <v>6556</v>
      </c>
      <c r="E2102" s="3" t="s">
        <v>867</v>
      </c>
      <c r="F2102" s="3">
        <v>24.98</v>
      </c>
      <c r="G2102" s="3" t="s">
        <v>3391</v>
      </c>
      <c r="H2102" s="3"/>
      <c r="I2102" s="3" t="s">
        <v>3392</v>
      </c>
      <c r="J2102" s="3">
        <v>0</v>
      </c>
      <c r="K2102" s="3">
        <v>0</v>
      </c>
      <c r="L2102" s="3">
        <v>0</v>
      </c>
      <c r="M2102" s="3">
        <v>0</v>
      </c>
      <c r="N2102" s="3">
        <v>10</v>
      </c>
      <c r="O2102" s="3">
        <v>0.14</v>
      </c>
      <c r="P2102" s="3">
        <v>0</v>
      </c>
      <c r="Q2102" s="3">
        <v>10</v>
      </c>
      <c r="R2102" s="3">
        <v>0</v>
      </c>
    </row>
    <row r="2103" spans="1:18">
      <c r="A2103" s="3" t="s">
        <v>6557</v>
      </c>
      <c r="B2103" s="3" t="s">
        <v>6558</v>
      </c>
      <c r="C2103" s="3" t="s">
        <v>6559</v>
      </c>
      <c r="D2103" s="3" t="s">
        <v>6560</v>
      </c>
      <c r="E2103" s="3" t="s">
        <v>867</v>
      </c>
      <c r="F2103" s="3">
        <v>24.98</v>
      </c>
      <c r="G2103" s="3" t="s">
        <v>3391</v>
      </c>
      <c r="H2103" s="3"/>
      <c r="I2103" s="3" t="s">
        <v>3392</v>
      </c>
      <c r="J2103" s="3">
        <v>0</v>
      </c>
      <c r="K2103" s="3">
        <v>0</v>
      </c>
      <c r="L2103" s="3">
        <v>0</v>
      </c>
      <c r="M2103" s="3">
        <v>0</v>
      </c>
      <c r="N2103" s="3">
        <v>30</v>
      </c>
      <c r="O2103" s="3">
        <v>0.14</v>
      </c>
      <c r="P2103" s="3">
        <v>0</v>
      </c>
      <c r="Q2103" s="3">
        <v>30</v>
      </c>
      <c r="R2103" s="3">
        <v>0</v>
      </c>
    </row>
    <row r="2104" spans="1:18">
      <c r="A2104" s="3" t="s">
        <v>6561</v>
      </c>
      <c r="B2104" s="3" t="s">
        <v>6562</v>
      </c>
      <c r="C2104" s="3" t="s">
        <v>6563</v>
      </c>
      <c r="D2104" s="3" t="s">
        <v>6564</v>
      </c>
      <c r="E2104" s="3" t="s">
        <v>867</v>
      </c>
      <c r="F2104" s="3">
        <v>24.98</v>
      </c>
      <c r="G2104" s="3" t="s">
        <v>3391</v>
      </c>
      <c r="H2104" s="3"/>
      <c r="I2104" s="3" t="s">
        <v>3392</v>
      </c>
      <c r="J2104" s="3">
        <v>0</v>
      </c>
      <c r="K2104" s="3">
        <v>0</v>
      </c>
      <c r="L2104" s="3">
        <v>0</v>
      </c>
      <c r="M2104" s="3">
        <v>0</v>
      </c>
      <c r="N2104" s="3">
        <v>20</v>
      </c>
      <c r="O2104" s="3">
        <v>0.14</v>
      </c>
      <c r="P2104" s="3">
        <v>0</v>
      </c>
      <c r="Q2104" s="3">
        <v>20</v>
      </c>
      <c r="R2104" s="3">
        <v>0</v>
      </c>
    </row>
    <row r="2105" spans="1:18">
      <c r="A2105" s="3" t="s">
        <v>6565</v>
      </c>
      <c r="B2105" s="3" t="s">
        <v>6566</v>
      </c>
      <c r="C2105" s="3" t="s">
        <v>2922</v>
      </c>
      <c r="D2105" s="3" t="s">
        <v>2923</v>
      </c>
      <c r="E2105" s="3" t="s">
        <v>867</v>
      </c>
      <c r="F2105" s="3">
        <v>24.98</v>
      </c>
      <c r="G2105" s="3" t="s">
        <v>3391</v>
      </c>
      <c r="H2105" s="3"/>
      <c r="I2105" s="3" t="s">
        <v>3392</v>
      </c>
      <c r="J2105" s="3">
        <v>0</v>
      </c>
      <c r="K2105" s="3">
        <v>0</v>
      </c>
      <c r="L2105" s="3">
        <v>0</v>
      </c>
      <c r="M2105" s="3">
        <v>0</v>
      </c>
      <c r="N2105" s="3">
        <v>20</v>
      </c>
      <c r="O2105" s="3">
        <v>0.14</v>
      </c>
      <c r="P2105" s="3">
        <v>0</v>
      </c>
      <c r="Q2105" s="3">
        <v>20</v>
      </c>
      <c r="R2105" s="3">
        <v>0</v>
      </c>
    </row>
    <row r="2106" spans="1:18">
      <c r="A2106" s="3" t="s">
        <v>6567</v>
      </c>
      <c r="B2106" s="3" t="s">
        <v>6568</v>
      </c>
      <c r="C2106" s="3" t="s">
        <v>6569</v>
      </c>
      <c r="D2106" s="3" t="s">
        <v>6570</v>
      </c>
      <c r="E2106" s="3" t="s">
        <v>867</v>
      </c>
      <c r="F2106" s="3">
        <v>24.98</v>
      </c>
      <c r="G2106" s="3" t="s">
        <v>3391</v>
      </c>
      <c r="H2106" s="3"/>
      <c r="I2106" s="3" t="s">
        <v>3392</v>
      </c>
      <c r="J2106" s="3">
        <v>0</v>
      </c>
      <c r="K2106" s="3">
        <v>0</v>
      </c>
      <c r="L2106" s="3">
        <v>0</v>
      </c>
      <c r="M2106" s="3">
        <v>0</v>
      </c>
      <c r="N2106" s="3">
        <v>10</v>
      </c>
      <c r="O2106" s="3">
        <v>0.14</v>
      </c>
      <c r="P2106" s="3">
        <v>0</v>
      </c>
      <c r="Q2106" s="3">
        <v>10</v>
      </c>
      <c r="R2106" s="3">
        <v>0</v>
      </c>
    </row>
    <row r="2107" spans="1:18">
      <c r="A2107" s="3" t="s">
        <v>6571</v>
      </c>
      <c r="B2107" s="3" t="s">
        <v>6572</v>
      </c>
      <c r="C2107" s="3" t="s">
        <v>6573</v>
      </c>
      <c r="D2107" s="3" t="s">
        <v>6574</v>
      </c>
      <c r="E2107" s="3" t="s">
        <v>867</v>
      </c>
      <c r="F2107" s="3">
        <v>24.98</v>
      </c>
      <c r="G2107" s="3" t="s">
        <v>3391</v>
      </c>
      <c r="H2107" s="3"/>
      <c r="I2107" s="3" t="s">
        <v>3392</v>
      </c>
      <c r="J2107" s="3">
        <v>0</v>
      </c>
      <c r="K2107" s="3">
        <v>0</v>
      </c>
      <c r="L2107" s="3">
        <v>0</v>
      </c>
      <c r="M2107" s="3">
        <v>0</v>
      </c>
      <c r="N2107" s="3">
        <v>20</v>
      </c>
      <c r="O2107" s="3">
        <v>0.14</v>
      </c>
      <c r="P2107" s="3">
        <v>0</v>
      </c>
      <c r="Q2107" s="3">
        <v>20</v>
      </c>
      <c r="R2107" s="3">
        <v>0</v>
      </c>
    </row>
    <row r="2108" spans="1:18">
      <c r="A2108" s="3" t="s">
        <v>1237</v>
      </c>
      <c r="B2108" s="3" t="s">
        <v>1238</v>
      </c>
      <c r="C2108" s="3" t="s">
        <v>1239</v>
      </c>
      <c r="D2108" s="3" t="s">
        <v>1240</v>
      </c>
      <c r="E2108" s="3" t="s">
        <v>867</v>
      </c>
      <c r="F2108" s="3">
        <v>24.98</v>
      </c>
      <c r="G2108" s="3" t="s">
        <v>3391</v>
      </c>
      <c r="H2108" s="3"/>
      <c r="I2108" s="3" t="s">
        <v>3392</v>
      </c>
      <c r="J2108" s="3">
        <v>2</v>
      </c>
      <c r="K2108" s="3">
        <v>2</v>
      </c>
      <c r="L2108" s="3">
        <v>0</v>
      </c>
      <c r="M2108" s="3">
        <v>0</v>
      </c>
      <c r="N2108" s="3">
        <v>46</v>
      </c>
      <c r="O2108" s="3">
        <v>0.14</v>
      </c>
      <c r="P2108" s="3">
        <v>0</v>
      </c>
      <c r="Q2108" s="3">
        <v>44</v>
      </c>
      <c r="R2108" s="3">
        <v>0</v>
      </c>
    </row>
    <row r="2109" spans="1:18">
      <c r="A2109" s="3" t="s">
        <v>6575</v>
      </c>
      <c r="B2109" s="3" t="s">
        <v>6576</v>
      </c>
      <c r="C2109" s="3" t="s">
        <v>6577</v>
      </c>
      <c r="D2109" s="3" t="s">
        <v>6578</v>
      </c>
      <c r="E2109" s="3" t="s">
        <v>867</v>
      </c>
      <c r="F2109" s="3">
        <v>24.98</v>
      </c>
      <c r="G2109" s="3" t="s">
        <v>3391</v>
      </c>
      <c r="H2109" s="3"/>
      <c r="I2109" s="3" t="s">
        <v>3392</v>
      </c>
      <c r="J2109" s="3">
        <v>0</v>
      </c>
      <c r="K2109" s="3">
        <v>0</v>
      </c>
      <c r="L2109" s="3">
        <v>0</v>
      </c>
      <c r="M2109" s="3">
        <v>0</v>
      </c>
      <c r="N2109" s="3">
        <v>20</v>
      </c>
      <c r="O2109" s="3">
        <v>0.14</v>
      </c>
      <c r="P2109" s="3">
        <v>0</v>
      </c>
      <c r="Q2109" s="3">
        <v>20</v>
      </c>
      <c r="R2109" s="3">
        <v>0</v>
      </c>
    </row>
    <row r="2110" spans="1:18">
      <c r="A2110" s="3" t="s">
        <v>3198</v>
      </c>
      <c r="B2110" s="3" t="s">
        <v>3199</v>
      </c>
      <c r="C2110" s="3" t="s">
        <v>3200</v>
      </c>
      <c r="D2110" s="3" t="s">
        <v>3201</v>
      </c>
      <c r="E2110" s="3" t="s">
        <v>867</v>
      </c>
      <c r="F2110" s="3">
        <v>24.98</v>
      </c>
      <c r="G2110" s="3" t="s">
        <v>3391</v>
      </c>
      <c r="H2110" s="3"/>
      <c r="I2110" s="3" t="s">
        <v>3392</v>
      </c>
      <c r="J2110" s="3">
        <v>3</v>
      </c>
      <c r="K2110" s="3">
        <v>3</v>
      </c>
      <c r="L2110" s="3">
        <v>0</v>
      </c>
      <c r="M2110" s="3">
        <v>0</v>
      </c>
      <c r="N2110" s="3">
        <v>17</v>
      </c>
      <c r="O2110" s="3">
        <v>0.14</v>
      </c>
      <c r="P2110" s="3">
        <v>0</v>
      </c>
      <c r="Q2110" s="3">
        <v>14</v>
      </c>
      <c r="R2110" s="3">
        <v>0</v>
      </c>
    </row>
    <row r="2111" spans="1:18">
      <c r="A2111" s="3" t="s">
        <v>1498</v>
      </c>
      <c r="B2111" s="3" t="s">
        <v>1499</v>
      </c>
      <c r="C2111" s="3" t="s">
        <v>1500</v>
      </c>
      <c r="D2111" s="3" t="s">
        <v>1501</v>
      </c>
      <c r="E2111" s="3" t="s">
        <v>867</v>
      </c>
      <c r="F2111" s="3">
        <v>24.98</v>
      </c>
      <c r="G2111" s="3" t="s">
        <v>3391</v>
      </c>
      <c r="H2111" s="3"/>
      <c r="I2111" s="3" t="s">
        <v>3392</v>
      </c>
      <c r="J2111" s="3">
        <v>2</v>
      </c>
      <c r="K2111" s="3">
        <v>2</v>
      </c>
      <c r="L2111" s="3">
        <v>0</v>
      </c>
      <c r="M2111" s="3">
        <v>0</v>
      </c>
      <c r="N2111" s="3">
        <v>38</v>
      </c>
      <c r="O2111" s="3">
        <v>0.14</v>
      </c>
      <c r="P2111" s="3">
        <v>0</v>
      </c>
      <c r="Q2111" s="3">
        <v>36</v>
      </c>
      <c r="R2111" s="3">
        <v>0</v>
      </c>
    </row>
    <row r="2112" spans="1:18">
      <c r="A2112" s="3" t="s">
        <v>6579</v>
      </c>
      <c r="B2112" s="3" t="s">
        <v>6580</v>
      </c>
      <c r="C2112" s="3" t="s">
        <v>6581</v>
      </c>
      <c r="D2112" s="3" t="s">
        <v>6582</v>
      </c>
      <c r="E2112" s="3" t="s">
        <v>867</v>
      </c>
      <c r="F2112" s="3">
        <v>24.98</v>
      </c>
      <c r="G2112" s="3" t="s">
        <v>3391</v>
      </c>
      <c r="H2112" s="3"/>
      <c r="I2112" s="3" t="s">
        <v>3392</v>
      </c>
      <c r="J2112" s="3">
        <v>0</v>
      </c>
      <c r="K2112" s="3">
        <v>0</v>
      </c>
      <c r="L2112" s="3">
        <v>0</v>
      </c>
      <c r="M2112" s="3">
        <v>0</v>
      </c>
      <c r="N2112" s="3">
        <v>30</v>
      </c>
      <c r="O2112" s="3">
        <v>0.14</v>
      </c>
      <c r="P2112" s="3">
        <v>0</v>
      </c>
      <c r="Q2112" s="3">
        <v>30</v>
      </c>
      <c r="R2112" s="3">
        <v>0</v>
      </c>
    </row>
    <row r="2113" spans="1:18">
      <c r="A2113" s="3" t="s">
        <v>6583</v>
      </c>
      <c r="B2113" s="3" t="s">
        <v>6584</v>
      </c>
      <c r="C2113" s="3" t="s">
        <v>2632</v>
      </c>
      <c r="D2113" s="3" t="s">
        <v>2633</v>
      </c>
      <c r="E2113" s="3" t="s">
        <v>867</v>
      </c>
      <c r="F2113" s="3">
        <v>24.98</v>
      </c>
      <c r="G2113" s="3" t="s">
        <v>3391</v>
      </c>
      <c r="H2113" s="3"/>
      <c r="I2113" s="3" t="s">
        <v>3392</v>
      </c>
      <c r="J2113" s="3">
        <v>0</v>
      </c>
      <c r="K2113" s="3">
        <v>0</v>
      </c>
      <c r="L2113" s="3">
        <v>0</v>
      </c>
      <c r="M2113" s="3">
        <v>0</v>
      </c>
      <c r="N2113" s="3">
        <v>20</v>
      </c>
      <c r="O2113" s="3">
        <v>0.14</v>
      </c>
      <c r="P2113" s="3">
        <v>0</v>
      </c>
      <c r="Q2113" s="3">
        <v>20</v>
      </c>
      <c r="R2113" s="3">
        <v>0</v>
      </c>
    </row>
    <row r="2114" spans="1:18">
      <c r="A2114" s="3" t="s">
        <v>1343</v>
      </c>
      <c r="B2114" s="3" t="s">
        <v>1344</v>
      </c>
      <c r="C2114" s="3" t="s">
        <v>1345</v>
      </c>
      <c r="D2114" s="3" t="s">
        <v>1346</v>
      </c>
      <c r="E2114" s="3" t="s">
        <v>867</v>
      </c>
      <c r="F2114" s="3">
        <v>24.98</v>
      </c>
      <c r="G2114" s="3" t="s">
        <v>3391</v>
      </c>
      <c r="H2114" s="3"/>
      <c r="I2114" s="3" t="s">
        <v>3392</v>
      </c>
      <c r="J2114" s="3">
        <v>3</v>
      </c>
      <c r="K2114" s="3">
        <v>3</v>
      </c>
      <c r="L2114" s="3">
        <v>0</v>
      </c>
      <c r="M2114" s="3">
        <v>0</v>
      </c>
      <c r="N2114" s="3">
        <v>17</v>
      </c>
      <c r="O2114" s="3">
        <v>0.12</v>
      </c>
      <c r="P2114" s="3">
        <v>0</v>
      </c>
      <c r="Q2114" s="3">
        <v>14</v>
      </c>
      <c r="R2114" s="3">
        <v>0</v>
      </c>
    </row>
    <row r="2115" spans="1:18">
      <c r="A2115" s="3" t="s">
        <v>6585</v>
      </c>
      <c r="B2115" s="3" t="s">
        <v>6586</v>
      </c>
      <c r="C2115" s="3" t="s">
        <v>6587</v>
      </c>
      <c r="D2115" s="3" t="s">
        <v>6588</v>
      </c>
      <c r="E2115" s="3" t="s">
        <v>867</v>
      </c>
      <c r="F2115" s="3">
        <v>24.98</v>
      </c>
      <c r="G2115" s="3" t="s">
        <v>3391</v>
      </c>
      <c r="H2115" s="3"/>
      <c r="I2115" s="3" t="s">
        <v>3392</v>
      </c>
      <c r="J2115" s="3">
        <v>0</v>
      </c>
      <c r="K2115" s="3">
        <v>0</v>
      </c>
      <c r="L2115" s="3">
        <v>0</v>
      </c>
      <c r="M2115" s="3">
        <v>0</v>
      </c>
      <c r="N2115" s="3">
        <v>30</v>
      </c>
      <c r="O2115" s="3">
        <v>0.14</v>
      </c>
      <c r="P2115" s="3">
        <v>0</v>
      </c>
      <c r="Q2115" s="3">
        <v>30</v>
      </c>
      <c r="R2115" s="3">
        <v>0</v>
      </c>
    </row>
    <row r="2116" spans="1:18">
      <c r="A2116" s="3" t="s">
        <v>6589</v>
      </c>
      <c r="B2116" s="3" t="s">
        <v>6590</v>
      </c>
      <c r="C2116" s="3" t="s">
        <v>6591</v>
      </c>
      <c r="D2116" s="3" t="s">
        <v>6592</v>
      </c>
      <c r="E2116" s="3" t="s">
        <v>867</v>
      </c>
      <c r="F2116" s="3">
        <v>24.98</v>
      </c>
      <c r="G2116" s="3" t="s">
        <v>3391</v>
      </c>
      <c r="H2116" s="3"/>
      <c r="I2116" s="3" t="s">
        <v>3392</v>
      </c>
      <c r="J2116" s="3">
        <v>0</v>
      </c>
      <c r="K2116" s="3">
        <v>0</v>
      </c>
      <c r="L2116" s="3">
        <v>0</v>
      </c>
      <c r="M2116" s="3">
        <v>0</v>
      </c>
      <c r="N2116" s="3">
        <v>30</v>
      </c>
      <c r="O2116" s="3">
        <v>0.14</v>
      </c>
      <c r="P2116" s="3">
        <v>0</v>
      </c>
      <c r="Q2116" s="3">
        <v>30</v>
      </c>
      <c r="R2116" s="3">
        <v>0</v>
      </c>
    </row>
    <row r="2117" spans="1:18">
      <c r="A2117" s="3" t="s">
        <v>1959</v>
      </c>
      <c r="B2117" s="3" t="s">
        <v>1960</v>
      </c>
      <c r="C2117" s="3" t="s">
        <v>1961</v>
      </c>
      <c r="D2117" s="3" t="s">
        <v>1962</v>
      </c>
      <c r="E2117" s="3" t="s">
        <v>867</v>
      </c>
      <c r="F2117" s="3">
        <v>24.98</v>
      </c>
      <c r="G2117" s="3" t="s">
        <v>3391</v>
      </c>
      <c r="H2117" s="3"/>
      <c r="I2117" s="3" t="s">
        <v>3392</v>
      </c>
      <c r="J2117" s="3">
        <v>4</v>
      </c>
      <c r="K2117" s="3">
        <v>4</v>
      </c>
      <c r="L2117" s="3">
        <v>0</v>
      </c>
      <c r="M2117" s="3">
        <v>0</v>
      </c>
      <c r="N2117" s="3">
        <v>16</v>
      </c>
      <c r="O2117" s="3">
        <v>0.14</v>
      </c>
      <c r="P2117" s="3">
        <v>0</v>
      </c>
      <c r="Q2117" s="3">
        <v>12</v>
      </c>
      <c r="R2117" s="3">
        <v>0</v>
      </c>
    </row>
    <row r="2118" spans="1:18">
      <c r="A2118" s="3" t="s">
        <v>1972</v>
      </c>
      <c r="B2118" s="3" t="s">
        <v>1973</v>
      </c>
      <c r="C2118" s="3" t="s">
        <v>1974</v>
      </c>
      <c r="D2118" s="3" t="s">
        <v>1975</v>
      </c>
      <c r="E2118" s="3" t="s">
        <v>867</v>
      </c>
      <c r="F2118" s="3">
        <v>24.98</v>
      </c>
      <c r="G2118" s="3" t="s">
        <v>3391</v>
      </c>
      <c r="H2118" s="3"/>
      <c r="I2118" s="3" t="s">
        <v>3392</v>
      </c>
      <c r="J2118" s="3">
        <v>5</v>
      </c>
      <c r="K2118" s="3">
        <v>5</v>
      </c>
      <c r="L2118" s="3">
        <v>0</v>
      </c>
      <c r="M2118" s="3">
        <v>0</v>
      </c>
      <c r="N2118" s="3">
        <v>5</v>
      </c>
      <c r="O2118" s="3">
        <v>0.14</v>
      </c>
      <c r="P2118" s="3">
        <v>0</v>
      </c>
      <c r="Q2118" s="3">
        <v>0</v>
      </c>
      <c r="R2118" s="3">
        <v>0</v>
      </c>
    </row>
    <row r="2119" spans="1:18">
      <c r="A2119" s="3" t="s">
        <v>6593</v>
      </c>
      <c r="B2119" s="3" t="s">
        <v>6594</v>
      </c>
      <c r="C2119" s="3" t="s">
        <v>6595</v>
      </c>
      <c r="D2119" s="3" t="s">
        <v>6596</v>
      </c>
      <c r="E2119" s="3" t="s">
        <v>867</v>
      </c>
      <c r="F2119" s="3">
        <v>24.98</v>
      </c>
      <c r="G2119" s="3" t="s">
        <v>3391</v>
      </c>
      <c r="H2119" s="3"/>
      <c r="I2119" s="3" t="s">
        <v>3392</v>
      </c>
      <c r="J2119" s="3">
        <v>0</v>
      </c>
      <c r="K2119" s="3">
        <v>0</v>
      </c>
      <c r="L2119" s="3">
        <v>0</v>
      </c>
      <c r="M2119" s="3">
        <v>0</v>
      </c>
      <c r="N2119" s="3">
        <v>30</v>
      </c>
      <c r="O2119" s="3">
        <v>0.14</v>
      </c>
      <c r="P2119" s="3">
        <v>0</v>
      </c>
      <c r="Q2119" s="3">
        <v>30</v>
      </c>
      <c r="R2119" s="3">
        <v>0</v>
      </c>
    </row>
    <row r="2120" spans="1:18">
      <c r="A2120" s="3" t="s">
        <v>6597</v>
      </c>
      <c r="B2120" s="3" t="s">
        <v>6598</v>
      </c>
      <c r="C2120" s="3" t="s">
        <v>3167</v>
      </c>
      <c r="D2120" s="3" t="s">
        <v>3168</v>
      </c>
      <c r="E2120" s="3" t="s">
        <v>867</v>
      </c>
      <c r="F2120" s="3">
        <v>24.98</v>
      </c>
      <c r="G2120" s="3" t="s">
        <v>3391</v>
      </c>
      <c r="H2120" s="3"/>
      <c r="I2120" s="3" t="s">
        <v>3392</v>
      </c>
      <c r="J2120" s="3">
        <v>0</v>
      </c>
      <c r="K2120" s="3">
        <v>0</v>
      </c>
      <c r="L2120" s="3">
        <v>0</v>
      </c>
      <c r="M2120" s="3">
        <v>0</v>
      </c>
      <c r="N2120" s="3">
        <v>30</v>
      </c>
      <c r="O2120" s="3">
        <v>0.14</v>
      </c>
      <c r="P2120" s="3">
        <v>0</v>
      </c>
      <c r="Q2120" s="3">
        <v>30</v>
      </c>
      <c r="R2120" s="3">
        <v>0</v>
      </c>
    </row>
    <row r="2121" spans="1:18">
      <c r="A2121" s="3" t="s">
        <v>1578</v>
      </c>
      <c r="B2121" s="3" t="s">
        <v>1579</v>
      </c>
      <c r="C2121" s="3" t="s">
        <v>970</v>
      </c>
      <c r="D2121" s="3" t="s">
        <v>971</v>
      </c>
      <c r="E2121" s="3" t="s">
        <v>867</v>
      </c>
      <c r="F2121" s="3">
        <v>24.98</v>
      </c>
      <c r="G2121" s="3" t="s">
        <v>3391</v>
      </c>
      <c r="H2121" s="3"/>
      <c r="I2121" s="3" t="s">
        <v>3392</v>
      </c>
      <c r="J2121" s="3">
        <v>2</v>
      </c>
      <c r="K2121" s="3">
        <v>2</v>
      </c>
      <c r="L2121" s="3">
        <v>0</v>
      </c>
      <c r="M2121" s="3">
        <v>0</v>
      </c>
      <c r="N2121" s="3">
        <v>18</v>
      </c>
      <c r="O2121" s="3">
        <v>0.14</v>
      </c>
      <c r="P2121" s="3">
        <v>0</v>
      </c>
      <c r="Q2121" s="3">
        <v>16</v>
      </c>
      <c r="R2121" s="3">
        <v>0</v>
      </c>
    </row>
    <row r="2122" spans="1:18">
      <c r="A2122" s="3" t="s">
        <v>2426</v>
      </c>
      <c r="B2122" s="3" t="s">
        <v>2427</v>
      </c>
      <c r="C2122" s="3" t="s">
        <v>2253</v>
      </c>
      <c r="D2122" s="3" t="s">
        <v>2254</v>
      </c>
      <c r="E2122" s="3" t="s">
        <v>867</v>
      </c>
      <c r="F2122" s="3">
        <v>24.98</v>
      </c>
      <c r="G2122" s="3" t="s">
        <v>3391</v>
      </c>
      <c r="H2122" s="3"/>
      <c r="I2122" s="3" t="s">
        <v>3392</v>
      </c>
      <c r="J2122" s="3">
        <v>10</v>
      </c>
      <c r="K2122" s="3">
        <v>10</v>
      </c>
      <c r="L2122" s="3">
        <v>0</v>
      </c>
      <c r="M2122" s="3">
        <v>0</v>
      </c>
      <c r="N2122" s="3">
        <v>10</v>
      </c>
      <c r="O2122" s="3">
        <v>0.19</v>
      </c>
      <c r="P2122" s="3">
        <v>0</v>
      </c>
      <c r="Q2122" s="3">
        <v>0</v>
      </c>
      <c r="R2122" s="3">
        <v>0</v>
      </c>
    </row>
    <row r="2123" spans="1:18">
      <c r="A2123" s="3" t="s">
        <v>6599</v>
      </c>
      <c r="B2123" s="3" t="s">
        <v>6600</v>
      </c>
      <c r="C2123" s="3" t="s">
        <v>1331</v>
      </c>
      <c r="D2123" s="3" t="s">
        <v>1332</v>
      </c>
      <c r="E2123" s="3" t="s">
        <v>867</v>
      </c>
      <c r="F2123" s="3">
        <v>24.98</v>
      </c>
      <c r="G2123" s="3" t="s">
        <v>3391</v>
      </c>
      <c r="H2123" s="3"/>
      <c r="I2123" s="3" t="s">
        <v>3392</v>
      </c>
      <c r="J2123" s="3">
        <v>0</v>
      </c>
      <c r="K2123" s="3">
        <v>0</v>
      </c>
      <c r="L2123" s="3">
        <v>0</v>
      </c>
      <c r="M2123" s="3">
        <v>0</v>
      </c>
      <c r="N2123" s="3">
        <v>30</v>
      </c>
      <c r="O2123" s="3">
        <v>0.14</v>
      </c>
      <c r="P2123" s="3">
        <v>0</v>
      </c>
      <c r="Q2123" s="3">
        <v>30</v>
      </c>
      <c r="R2123" s="3">
        <v>0</v>
      </c>
    </row>
    <row r="2124" spans="1:18">
      <c r="A2124" s="3" t="s">
        <v>6601</v>
      </c>
      <c r="B2124" s="3" t="s">
        <v>6602</v>
      </c>
      <c r="C2124" s="3" t="s">
        <v>6603</v>
      </c>
      <c r="D2124" s="3" t="s">
        <v>6604</v>
      </c>
      <c r="E2124" s="3" t="s">
        <v>867</v>
      </c>
      <c r="F2124" s="3">
        <v>24.98</v>
      </c>
      <c r="G2124" s="3" t="s">
        <v>3391</v>
      </c>
      <c r="H2124" s="3"/>
      <c r="I2124" s="3" t="s">
        <v>3392</v>
      </c>
      <c r="J2124" s="3">
        <v>0</v>
      </c>
      <c r="K2124" s="3">
        <v>0</v>
      </c>
      <c r="L2124" s="3">
        <v>0</v>
      </c>
      <c r="M2124" s="3">
        <v>0</v>
      </c>
      <c r="N2124" s="3">
        <v>30</v>
      </c>
      <c r="O2124" s="3">
        <v>0.14</v>
      </c>
      <c r="P2124" s="3">
        <v>0</v>
      </c>
      <c r="Q2124" s="3">
        <v>30</v>
      </c>
      <c r="R2124" s="3">
        <v>0</v>
      </c>
    </row>
    <row r="2125" spans="1:18">
      <c r="A2125" s="3" t="s">
        <v>6605</v>
      </c>
      <c r="B2125" s="3" t="s">
        <v>6606</v>
      </c>
      <c r="C2125" s="3" t="s">
        <v>2472</v>
      </c>
      <c r="D2125" s="3" t="s">
        <v>2473</v>
      </c>
      <c r="E2125" s="3" t="s">
        <v>867</v>
      </c>
      <c r="F2125" s="3">
        <v>24.98</v>
      </c>
      <c r="G2125" s="3" t="s">
        <v>3391</v>
      </c>
      <c r="H2125" s="3"/>
      <c r="I2125" s="3" t="s">
        <v>3392</v>
      </c>
      <c r="J2125" s="3">
        <v>0</v>
      </c>
      <c r="K2125" s="3">
        <v>0</v>
      </c>
      <c r="L2125" s="3">
        <v>0</v>
      </c>
      <c r="M2125" s="3">
        <v>0</v>
      </c>
      <c r="N2125" s="3">
        <v>10</v>
      </c>
      <c r="O2125" s="3">
        <v>0.14</v>
      </c>
      <c r="P2125" s="3">
        <v>0</v>
      </c>
      <c r="Q2125" s="3">
        <v>10</v>
      </c>
      <c r="R2125" s="3">
        <v>0</v>
      </c>
    </row>
    <row r="2126" spans="1:18">
      <c r="A2126" s="3" t="s">
        <v>6607</v>
      </c>
      <c r="B2126" s="3" t="s">
        <v>6608</v>
      </c>
      <c r="C2126" s="3" t="s">
        <v>6609</v>
      </c>
      <c r="D2126" s="3" t="s">
        <v>6610</v>
      </c>
      <c r="E2126" s="3" t="s">
        <v>867</v>
      </c>
      <c r="F2126" s="3">
        <v>24.98</v>
      </c>
      <c r="G2126" s="3" t="s">
        <v>3391</v>
      </c>
      <c r="H2126" s="3"/>
      <c r="I2126" s="3" t="s">
        <v>3392</v>
      </c>
      <c r="J2126" s="3">
        <v>0</v>
      </c>
      <c r="K2126" s="3">
        <v>0</v>
      </c>
      <c r="L2126" s="3">
        <v>0</v>
      </c>
      <c r="M2126" s="3">
        <v>0</v>
      </c>
      <c r="N2126" s="3">
        <v>10</v>
      </c>
      <c r="O2126" s="3">
        <v>0.14</v>
      </c>
      <c r="P2126" s="3">
        <v>0</v>
      </c>
      <c r="Q2126" s="3">
        <v>10</v>
      </c>
      <c r="R2126" s="3">
        <v>0</v>
      </c>
    </row>
    <row r="2127" spans="1:18">
      <c r="A2127" s="3" t="s">
        <v>6611</v>
      </c>
      <c r="B2127" s="3" t="s">
        <v>6612</v>
      </c>
      <c r="C2127" s="3" t="s">
        <v>6613</v>
      </c>
      <c r="D2127" s="3" t="s">
        <v>6614</v>
      </c>
      <c r="E2127" s="3" t="s">
        <v>867</v>
      </c>
      <c r="F2127" s="3">
        <v>24.98</v>
      </c>
      <c r="G2127" s="3" t="s">
        <v>3391</v>
      </c>
      <c r="H2127" s="3"/>
      <c r="I2127" s="3" t="s">
        <v>3392</v>
      </c>
      <c r="J2127" s="3">
        <v>0</v>
      </c>
      <c r="K2127" s="3">
        <v>0</v>
      </c>
      <c r="L2127" s="3">
        <v>0</v>
      </c>
      <c r="M2127" s="3">
        <v>0</v>
      </c>
      <c r="N2127" s="3">
        <v>30</v>
      </c>
      <c r="O2127" s="3">
        <v>0.14</v>
      </c>
      <c r="P2127" s="3">
        <v>0</v>
      </c>
      <c r="Q2127" s="3">
        <v>30</v>
      </c>
      <c r="R2127" s="3">
        <v>0</v>
      </c>
    </row>
    <row r="2128" spans="1:18">
      <c r="A2128" s="3" t="s">
        <v>6615</v>
      </c>
      <c r="B2128" s="3" t="s">
        <v>6616</v>
      </c>
      <c r="C2128" s="3" t="s">
        <v>6617</v>
      </c>
      <c r="D2128" s="3" t="s">
        <v>6618</v>
      </c>
      <c r="E2128" s="3" t="s">
        <v>867</v>
      </c>
      <c r="F2128" s="3">
        <v>24.98</v>
      </c>
      <c r="G2128" s="3" t="s">
        <v>3391</v>
      </c>
      <c r="H2128" s="3"/>
      <c r="I2128" s="3" t="s">
        <v>3392</v>
      </c>
      <c r="J2128" s="3">
        <v>0</v>
      </c>
      <c r="K2128" s="3">
        <v>0</v>
      </c>
      <c r="L2128" s="3">
        <v>0</v>
      </c>
      <c r="M2128" s="3">
        <v>0</v>
      </c>
      <c r="N2128" s="3">
        <v>0</v>
      </c>
      <c r="O2128" s="3">
        <v>0.02</v>
      </c>
      <c r="P2128" s="3">
        <v>0</v>
      </c>
      <c r="Q2128" s="3">
        <v>0</v>
      </c>
      <c r="R2128" s="3">
        <v>0</v>
      </c>
    </row>
    <row r="2129" spans="1:18">
      <c r="A2129" s="3" t="s">
        <v>6619</v>
      </c>
      <c r="B2129" s="3" t="s">
        <v>6620</v>
      </c>
      <c r="C2129" s="3" t="s">
        <v>6621</v>
      </c>
      <c r="D2129" s="3" t="s">
        <v>6622</v>
      </c>
      <c r="E2129" s="3" t="s">
        <v>867</v>
      </c>
      <c r="F2129" s="3">
        <v>24.98</v>
      </c>
      <c r="G2129" s="3" t="s">
        <v>3391</v>
      </c>
      <c r="H2129" s="3"/>
      <c r="I2129" s="3" t="s">
        <v>3392</v>
      </c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>
        <v>0.02</v>
      </c>
      <c r="P2129" s="3">
        <v>0</v>
      </c>
      <c r="Q2129" s="3">
        <v>0</v>
      </c>
      <c r="R2129" s="3">
        <v>0</v>
      </c>
    </row>
    <row r="2130" spans="1:18">
      <c r="A2130" s="3" t="s">
        <v>6623</v>
      </c>
      <c r="B2130" s="3" t="s">
        <v>6624</v>
      </c>
      <c r="C2130" s="3" t="s">
        <v>6625</v>
      </c>
      <c r="D2130" s="3" t="s">
        <v>6626</v>
      </c>
      <c r="E2130" s="3" t="s">
        <v>867</v>
      </c>
      <c r="F2130" s="3">
        <v>24.98</v>
      </c>
      <c r="G2130" s="3" t="s">
        <v>3391</v>
      </c>
      <c r="H2130" s="3"/>
      <c r="I2130" s="3" t="s">
        <v>3392</v>
      </c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>
        <v>0.02</v>
      </c>
      <c r="P2130" s="3">
        <v>0</v>
      </c>
      <c r="Q2130" s="3">
        <v>0</v>
      </c>
      <c r="R2130" s="3">
        <v>0</v>
      </c>
    </row>
    <row r="2131" spans="1:18">
      <c r="A2131" s="3" t="s">
        <v>6627</v>
      </c>
      <c r="B2131" s="3" t="s">
        <v>6628</v>
      </c>
      <c r="C2131" s="3" t="s">
        <v>6629</v>
      </c>
      <c r="D2131" s="3" t="s">
        <v>6630</v>
      </c>
      <c r="E2131" s="3" t="s">
        <v>867</v>
      </c>
      <c r="F2131" s="3">
        <v>24.98</v>
      </c>
      <c r="G2131" s="3" t="s">
        <v>3391</v>
      </c>
      <c r="H2131" s="3"/>
      <c r="I2131" s="3" t="s">
        <v>3392</v>
      </c>
      <c r="J2131" s="3">
        <v>0</v>
      </c>
      <c r="K2131" s="3">
        <v>0</v>
      </c>
      <c r="L2131" s="3">
        <v>0</v>
      </c>
      <c r="M2131" s="3">
        <v>0</v>
      </c>
      <c r="N2131" s="3">
        <v>0</v>
      </c>
      <c r="O2131" s="3">
        <v>0.02</v>
      </c>
      <c r="P2131" s="3">
        <v>0</v>
      </c>
      <c r="Q2131" s="3">
        <v>0</v>
      </c>
      <c r="R2131" s="3">
        <v>0</v>
      </c>
    </row>
    <row r="2132" spans="1:18">
      <c r="A2132" s="3" t="s">
        <v>3217</v>
      </c>
      <c r="B2132" s="3" t="s">
        <v>1325</v>
      </c>
      <c r="C2132" s="3" t="s">
        <v>1325</v>
      </c>
      <c r="D2132" s="3" t="s">
        <v>1326</v>
      </c>
      <c r="E2132" s="3" t="s">
        <v>867</v>
      </c>
      <c r="F2132" s="3">
        <v>22.98</v>
      </c>
      <c r="G2132" s="3" t="s">
        <v>3391</v>
      </c>
      <c r="H2132" s="3"/>
      <c r="I2132" s="3" t="s">
        <v>3392</v>
      </c>
      <c r="J2132" s="3">
        <v>3</v>
      </c>
      <c r="K2132" s="3">
        <v>3</v>
      </c>
      <c r="L2132" s="3">
        <v>0</v>
      </c>
      <c r="M2132" s="3">
        <v>0</v>
      </c>
      <c r="N2132" s="3">
        <v>3</v>
      </c>
      <c r="O2132" s="3">
        <v>0.12</v>
      </c>
      <c r="P2132" s="3">
        <v>0</v>
      </c>
      <c r="Q2132" s="3">
        <v>0</v>
      </c>
      <c r="R2132" s="3">
        <v>0</v>
      </c>
    </row>
    <row r="2133" spans="1:18">
      <c r="A2133" s="3" t="s">
        <v>6631</v>
      </c>
      <c r="B2133" s="3" t="s">
        <v>663</v>
      </c>
      <c r="C2133" s="3" t="s">
        <v>663</v>
      </c>
      <c r="D2133" s="3" t="s">
        <v>664</v>
      </c>
      <c r="E2133" s="3" t="s">
        <v>867</v>
      </c>
      <c r="F2133" s="3">
        <v>22.98</v>
      </c>
      <c r="G2133" s="3" t="s">
        <v>3391</v>
      </c>
      <c r="H2133" s="3"/>
      <c r="I2133" s="3" t="s">
        <v>3392</v>
      </c>
      <c r="J2133" s="3">
        <v>0</v>
      </c>
      <c r="K2133" s="3">
        <v>0</v>
      </c>
      <c r="L2133" s="3">
        <v>0</v>
      </c>
      <c r="M2133" s="3">
        <v>0</v>
      </c>
      <c r="N2133" s="3">
        <v>0</v>
      </c>
      <c r="O2133" s="3">
        <v>0.12</v>
      </c>
      <c r="P2133" s="3">
        <v>0</v>
      </c>
      <c r="Q2133" s="3">
        <v>0</v>
      </c>
      <c r="R2133" s="3">
        <v>0</v>
      </c>
    </row>
    <row r="2134" spans="1:18">
      <c r="A2134" s="3" t="s">
        <v>6632</v>
      </c>
      <c r="B2134" s="3" t="s">
        <v>6633</v>
      </c>
      <c r="C2134" s="3" t="s">
        <v>6634</v>
      </c>
      <c r="D2134" s="3" t="s">
        <v>6635</v>
      </c>
      <c r="E2134" s="3" t="s">
        <v>867</v>
      </c>
      <c r="F2134" s="3">
        <v>23.98</v>
      </c>
      <c r="G2134" s="3" t="s">
        <v>3391</v>
      </c>
      <c r="H2134" s="3"/>
      <c r="I2134" s="3" t="s">
        <v>3392</v>
      </c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>
        <v>0.09</v>
      </c>
      <c r="P2134" s="3">
        <v>0</v>
      </c>
      <c r="Q2134" s="3">
        <v>0</v>
      </c>
      <c r="R2134" s="3">
        <v>0</v>
      </c>
    </row>
    <row r="2135" spans="1:18">
      <c r="A2135" s="3" t="s">
        <v>6636</v>
      </c>
      <c r="B2135" s="3" t="s">
        <v>6637</v>
      </c>
      <c r="C2135" s="3" t="s">
        <v>1736</v>
      </c>
      <c r="D2135" s="3" t="s">
        <v>1737</v>
      </c>
      <c r="E2135" s="3" t="s">
        <v>867</v>
      </c>
      <c r="F2135" s="3">
        <v>23.98</v>
      </c>
      <c r="G2135" s="3" t="s">
        <v>3391</v>
      </c>
      <c r="H2135" s="3"/>
      <c r="I2135" s="3" t="s">
        <v>3392</v>
      </c>
      <c r="J2135" s="3">
        <v>0</v>
      </c>
      <c r="K2135" s="3">
        <v>0</v>
      </c>
      <c r="L2135" s="3">
        <v>0</v>
      </c>
      <c r="M2135" s="3">
        <v>0</v>
      </c>
      <c r="N2135" s="3">
        <v>0</v>
      </c>
      <c r="O2135" s="3">
        <v>0.09</v>
      </c>
      <c r="P2135" s="3">
        <v>0</v>
      </c>
      <c r="Q2135" s="3">
        <v>0</v>
      </c>
      <c r="R2135" s="3">
        <v>0</v>
      </c>
    </row>
    <row r="2136" spans="1:18">
      <c r="A2136" s="3" t="s">
        <v>6638</v>
      </c>
      <c r="B2136" s="3" t="s">
        <v>6639</v>
      </c>
      <c r="C2136" s="3" t="s">
        <v>6640</v>
      </c>
      <c r="D2136" s="3" t="s">
        <v>6641</v>
      </c>
      <c r="E2136" s="3" t="s">
        <v>867</v>
      </c>
      <c r="F2136" s="3">
        <v>23.98</v>
      </c>
      <c r="G2136" s="3" t="s">
        <v>3391</v>
      </c>
      <c r="H2136" s="3"/>
      <c r="I2136" s="3" t="s">
        <v>3392</v>
      </c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>
        <v>0.09</v>
      </c>
      <c r="P2136" s="3">
        <v>0</v>
      </c>
      <c r="Q2136" s="3">
        <v>0</v>
      </c>
      <c r="R2136" s="3">
        <v>0</v>
      </c>
    </row>
    <row r="2137" spans="1:18">
      <c r="A2137" s="3" t="s">
        <v>6642</v>
      </c>
      <c r="B2137" s="3" t="s">
        <v>6643</v>
      </c>
      <c r="C2137" s="3" t="s">
        <v>3053</v>
      </c>
      <c r="D2137" s="3" t="s">
        <v>3054</v>
      </c>
      <c r="E2137" s="3" t="s">
        <v>867</v>
      </c>
      <c r="F2137" s="3">
        <v>23.98</v>
      </c>
      <c r="G2137" s="3" t="s">
        <v>3391</v>
      </c>
      <c r="H2137" s="3"/>
      <c r="I2137" s="3" t="s">
        <v>3392</v>
      </c>
      <c r="J2137" s="3">
        <v>0</v>
      </c>
      <c r="K2137" s="3">
        <v>0</v>
      </c>
      <c r="L2137" s="3">
        <v>0</v>
      </c>
      <c r="M2137" s="3">
        <v>0</v>
      </c>
      <c r="N2137" s="3">
        <v>0</v>
      </c>
      <c r="O2137" s="3">
        <v>0.09</v>
      </c>
      <c r="P2137" s="3">
        <v>0</v>
      </c>
      <c r="Q2137" s="3">
        <v>0</v>
      </c>
      <c r="R2137" s="3">
        <v>0</v>
      </c>
    </row>
    <row r="2138" spans="1:18">
      <c r="A2138" s="3" t="s">
        <v>6644</v>
      </c>
      <c r="B2138" s="3" t="s">
        <v>6645</v>
      </c>
      <c r="C2138" s="3" t="s">
        <v>6646</v>
      </c>
      <c r="D2138" s="3" t="s">
        <v>6647</v>
      </c>
      <c r="E2138" s="3" t="s">
        <v>867</v>
      </c>
      <c r="F2138" s="3">
        <v>23.98</v>
      </c>
      <c r="G2138" s="3" t="s">
        <v>3391</v>
      </c>
      <c r="H2138" s="3"/>
      <c r="I2138" s="3" t="s">
        <v>3392</v>
      </c>
      <c r="J2138" s="3">
        <v>0</v>
      </c>
      <c r="K2138" s="3">
        <v>0</v>
      </c>
      <c r="L2138" s="3">
        <v>0</v>
      </c>
      <c r="M2138" s="3">
        <v>0</v>
      </c>
      <c r="N2138" s="3">
        <v>0</v>
      </c>
      <c r="O2138" s="3">
        <v>0.02</v>
      </c>
      <c r="P2138" s="3">
        <v>0</v>
      </c>
      <c r="Q2138" s="3">
        <v>0</v>
      </c>
      <c r="R2138" s="3">
        <v>0</v>
      </c>
    </row>
    <row r="2139" spans="1:18">
      <c r="A2139" s="3" t="s">
        <v>6648</v>
      </c>
      <c r="B2139" s="3" t="s">
        <v>6649</v>
      </c>
      <c r="C2139" s="3" t="s">
        <v>6650</v>
      </c>
      <c r="D2139" s="3" t="s">
        <v>6651</v>
      </c>
      <c r="E2139" s="3" t="s">
        <v>867</v>
      </c>
      <c r="F2139" s="3">
        <v>23.98</v>
      </c>
      <c r="G2139" s="3" t="s">
        <v>3391</v>
      </c>
      <c r="H2139" s="3"/>
      <c r="I2139" s="3" t="s">
        <v>3392</v>
      </c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>
        <v>0.02</v>
      </c>
      <c r="P2139" s="3">
        <v>0</v>
      </c>
      <c r="Q2139" s="3">
        <v>0</v>
      </c>
      <c r="R2139" s="3">
        <v>0</v>
      </c>
    </row>
    <row r="2140" spans="1:18">
      <c r="A2140" s="3" t="s">
        <v>6652</v>
      </c>
      <c r="B2140" s="3" t="s">
        <v>6653</v>
      </c>
      <c r="C2140" s="3" t="s">
        <v>6654</v>
      </c>
      <c r="D2140" s="3" t="s">
        <v>6655</v>
      </c>
      <c r="E2140" s="3" t="s">
        <v>867</v>
      </c>
      <c r="F2140" s="3">
        <v>23.98</v>
      </c>
      <c r="G2140" s="3" t="s">
        <v>3391</v>
      </c>
      <c r="H2140" s="3"/>
      <c r="I2140" s="3" t="s">
        <v>3392</v>
      </c>
      <c r="J2140" s="3">
        <v>0</v>
      </c>
      <c r="K2140" s="3">
        <v>0</v>
      </c>
      <c r="L2140" s="3">
        <v>0</v>
      </c>
      <c r="M2140" s="3">
        <v>0</v>
      </c>
      <c r="N2140" s="3">
        <v>0</v>
      </c>
      <c r="O2140" s="3">
        <v>0.02</v>
      </c>
      <c r="P2140" s="3">
        <v>0</v>
      </c>
      <c r="Q2140" s="3">
        <v>0</v>
      </c>
      <c r="R2140" s="3">
        <v>0</v>
      </c>
    </row>
    <row r="2141" spans="1:18">
      <c r="A2141" s="3" t="s">
        <v>6656</v>
      </c>
      <c r="B2141" s="3" t="s">
        <v>6657</v>
      </c>
      <c r="C2141" s="3" t="s">
        <v>6658</v>
      </c>
      <c r="D2141" s="3" t="s">
        <v>6659</v>
      </c>
      <c r="E2141" s="3" t="s">
        <v>867</v>
      </c>
      <c r="F2141" s="3">
        <v>23.98</v>
      </c>
      <c r="G2141" s="3" t="s">
        <v>3391</v>
      </c>
      <c r="H2141" s="3"/>
      <c r="I2141" s="3" t="s">
        <v>3392</v>
      </c>
      <c r="J2141" s="3">
        <v>0</v>
      </c>
      <c r="K2141" s="3">
        <v>0</v>
      </c>
      <c r="L2141" s="3">
        <v>0</v>
      </c>
      <c r="M2141" s="3">
        <v>0</v>
      </c>
      <c r="N2141" s="3">
        <v>0</v>
      </c>
      <c r="O2141" s="3">
        <v>0.02</v>
      </c>
      <c r="P2141" s="3">
        <v>0</v>
      </c>
      <c r="Q2141" s="3">
        <v>0</v>
      </c>
      <c r="R2141" s="3">
        <v>0</v>
      </c>
    </row>
    <row r="2142" spans="1:18">
      <c r="A2142" s="3" t="s">
        <v>6660</v>
      </c>
      <c r="B2142" s="3" t="s">
        <v>6661</v>
      </c>
      <c r="C2142" s="3" t="s">
        <v>6662</v>
      </c>
      <c r="D2142" s="3" t="s">
        <v>6663</v>
      </c>
      <c r="E2142" s="3" t="s">
        <v>867</v>
      </c>
      <c r="F2142" s="3">
        <v>23.98</v>
      </c>
      <c r="G2142" s="3" t="s">
        <v>3391</v>
      </c>
      <c r="H2142" s="3"/>
      <c r="I2142" s="3" t="s">
        <v>3392</v>
      </c>
      <c r="J2142" s="3">
        <v>0</v>
      </c>
      <c r="K2142" s="3">
        <v>0</v>
      </c>
      <c r="L2142" s="3">
        <v>0</v>
      </c>
      <c r="M2142" s="3">
        <v>0</v>
      </c>
      <c r="N2142" s="3">
        <v>0</v>
      </c>
      <c r="O2142" s="3">
        <v>0.09</v>
      </c>
      <c r="P2142" s="3">
        <v>0</v>
      </c>
      <c r="Q2142" s="3">
        <v>0</v>
      </c>
      <c r="R2142" s="3">
        <v>0</v>
      </c>
    </row>
    <row r="2143" spans="1:18">
      <c r="A2143" s="3" t="s">
        <v>6664</v>
      </c>
      <c r="B2143" s="3" t="s">
        <v>6665</v>
      </c>
      <c r="C2143" s="3" t="s">
        <v>1793</v>
      </c>
      <c r="D2143" s="3" t="s">
        <v>1794</v>
      </c>
      <c r="E2143" s="3" t="s">
        <v>867</v>
      </c>
      <c r="F2143" s="3">
        <v>23.98</v>
      </c>
      <c r="G2143" s="3" t="s">
        <v>3391</v>
      </c>
      <c r="H2143" s="3"/>
      <c r="I2143" s="3" t="s">
        <v>3392</v>
      </c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>
        <v>0.09</v>
      </c>
      <c r="P2143" s="3">
        <v>0</v>
      </c>
      <c r="Q2143" s="3">
        <v>0</v>
      </c>
      <c r="R2143" s="3">
        <v>0</v>
      </c>
    </row>
    <row r="2144" spans="1:18">
      <c r="A2144" s="3" t="s">
        <v>6666</v>
      </c>
      <c r="B2144" s="3" t="s">
        <v>6667</v>
      </c>
      <c r="C2144" s="3" t="s">
        <v>6668</v>
      </c>
      <c r="D2144" s="3" t="s">
        <v>6669</v>
      </c>
      <c r="E2144" s="3" t="s">
        <v>867</v>
      </c>
      <c r="F2144" s="3">
        <v>23.98</v>
      </c>
      <c r="G2144" s="3" t="s">
        <v>3391</v>
      </c>
      <c r="H2144" s="3"/>
      <c r="I2144" s="3" t="s">
        <v>3392</v>
      </c>
      <c r="J2144" s="3">
        <v>0</v>
      </c>
      <c r="K2144" s="3">
        <v>0</v>
      </c>
      <c r="L2144" s="3">
        <v>0</v>
      </c>
      <c r="M2144" s="3">
        <v>0</v>
      </c>
      <c r="N2144" s="3">
        <v>0</v>
      </c>
      <c r="O2144" s="3">
        <v>0.09</v>
      </c>
      <c r="P2144" s="3">
        <v>0</v>
      </c>
      <c r="Q2144" s="3">
        <v>0</v>
      </c>
      <c r="R2144" s="3">
        <v>0</v>
      </c>
    </row>
    <row r="2145" spans="1:18">
      <c r="A2145" s="3" t="s">
        <v>6670</v>
      </c>
      <c r="B2145" s="3" t="s">
        <v>6671</v>
      </c>
      <c r="C2145" s="3" t="s">
        <v>1909</v>
      </c>
      <c r="D2145" s="3" t="s">
        <v>1910</v>
      </c>
      <c r="E2145" s="3" t="s">
        <v>867</v>
      </c>
      <c r="F2145" s="3">
        <v>23.98</v>
      </c>
      <c r="G2145" s="3" t="s">
        <v>3391</v>
      </c>
      <c r="H2145" s="3"/>
      <c r="I2145" s="3" t="s">
        <v>3392</v>
      </c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>
        <v>0.09</v>
      </c>
      <c r="P2145" s="3">
        <v>0</v>
      </c>
      <c r="Q2145" s="3">
        <v>0</v>
      </c>
      <c r="R2145" s="3">
        <v>0</v>
      </c>
    </row>
    <row r="2146" spans="1:18">
      <c r="A2146" s="3" t="s">
        <v>6672</v>
      </c>
      <c r="B2146" s="3" t="s">
        <v>6673</v>
      </c>
      <c r="C2146" s="3" t="s">
        <v>1685</v>
      </c>
      <c r="D2146" s="3" t="s">
        <v>1686</v>
      </c>
      <c r="E2146" s="3" t="s">
        <v>867</v>
      </c>
      <c r="F2146" s="3">
        <v>23.98</v>
      </c>
      <c r="G2146" s="3" t="s">
        <v>3391</v>
      </c>
      <c r="H2146" s="3"/>
      <c r="I2146" s="3" t="s">
        <v>3392</v>
      </c>
      <c r="J2146" s="3">
        <v>0</v>
      </c>
      <c r="K2146" s="3">
        <v>0</v>
      </c>
      <c r="L2146" s="3">
        <v>0</v>
      </c>
      <c r="M2146" s="3">
        <v>0</v>
      </c>
      <c r="N2146" s="3">
        <v>0</v>
      </c>
      <c r="O2146" s="3">
        <v>0.09</v>
      </c>
      <c r="P2146" s="3">
        <v>0</v>
      </c>
      <c r="Q2146" s="3">
        <v>0</v>
      </c>
      <c r="R2146" s="3">
        <v>0</v>
      </c>
    </row>
    <row r="2147" spans="1:18">
      <c r="A2147" s="3" t="s">
        <v>6674</v>
      </c>
      <c r="B2147" s="3" t="s">
        <v>6675</v>
      </c>
      <c r="C2147" s="3" t="s">
        <v>1880</v>
      </c>
      <c r="D2147" s="3" t="s">
        <v>1881</v>
      </c>
      <c r="E2147" s="3" t="s">
        <v>867</v>
      </c>
      <c r="F2147" s="3">
        <v>23.98</v>
      </c>
      <c r="G2147" s="3" t="s">
        <v>3391</v>
      </c>
      <c r="H2147" s="3"/>
      <c r="I2147" s="3" t="s">
        <v>3392</v>
      </c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>
        <v>0.09</v>
      </c>
      <c r="P2147" s="3">
        <v>0</v>
      </c>
      <c r="Q2147" s="3">
        <v>0</v>
      </c>
      <c r="R2147" s="3">
        <v>0</v>
      </c>
    </row>
    <row r="2148" spans="1:18">
      <c r="A2148" s="3" t="s">
        <v>6676</v>
      </c>
      <c r="B2148" s="3" t="s">
        <v>6677</v>
      </c>
      <c r="C2148" s="3" t="s">
        <v>6678</v>
      </c>
      <c r="D2148" s="3" t="s">
        <v>6679</v>
      </c>
      <c r="E2148" s="3" t="s">
        <v>867</v>
      </c>
      <c r="F2148" s="3">
        <v>23.98</v>
      </c>
      <c r="G2148" s="3" t="s">
        <v>3391</v>
      </c>
      <c r="H2148" s="3"/>
      <c r="I2148" s="3" t="s">
        <v>3392</v>
      </c>
      <c r="J2148" s="3">
        <v>0</v>
      </c>
      <c r="K2148" s="3">
        <v>0</v>
      </c>
      <c r="L2148" s="3">
        <v>0</v>
      </c>
      <c r="M2148" s="3">
        <v>0</v>
      </c>
      <c r="N2148" s="3">
        <v>0</v>
      </c>
      <c r="O2148" s="3">
        <v>0.09</v>
      </c>
      <c r="P2148" s="3">
        <v>0</v>
      </c>
      <c r="Q2148" s="3">
        <v>0</v>
      </c>
      <c r="R2148" s="3">
        <v>0</v>
      </c>
    </row>
    <row r="2149" spans="1:18">
      <c r="A2149" s="3" t="s">
        <v>6680</v>
      </c>
      <c r="B2149" s="3" t="s">
        <v>6681</v>
      </c>
      <c r="C2149" s="3" t="s">
        <v>2194</v>
      </c>
      <c r="D2149" s="3" t="s">
        <v>2195</v>
      </c>
      <c r="E2149" s="3" t="s">
        <v>867</v>
      </c>
      <c r="F2149" s="3">
        <v>23.98</v>
      </c>
      <c r="G2149" s="3" t="s">
        <v>3391</v>
      </c>
      <c r="H2149" s="3"/>
      <c r="I2149" s="3" t="s">
        <v>3392</v>
      </c>
      <c r="J2149" s="3">
        <v>0</v>
      </c>
      <c r="K2149" s="3">
        <v>0</v>
      </c>
      <c r="L2149" s="3">
        <v>0</v>
      </c>
      <c r="M2149" s="3">
        <v>0</v>
      </c>
      <c r="N2149" s="3">
        <v>0</v>
      </c>
      <c r="O2149" s="3">
        <v>0.09</v>
      </c>
      <c r="P2149" s="3">
        <v>0</v>
      </c>
      <c r="Q2149" s="3">
        <v>0</v>
      </c>
      <c r="R2149" s="3">
        <v>0</v>
      </c>
    </row>
    <row r="2150" spans="1:18">
      <c r="A2150" s="3" t="s">
        <v>6682</v>
      </c>
      <c r="B2150" s="3" t="s">
        <v>6683</v>
      </c>
      <c r="C2150" s="3" t="s">
        <v>6684</v>
      </c>
      <c r="D2150" s="3" t="s">
        <v>6685</v>
      </c>
      <c r="E2150" s="3" t="s">
        <v>867</v>
      </c>
      <c r="F2150" s="3">
        <v>23.98</v>
      </c>
      <c r="G2150" s="3" t="s">
        <v>3391</v>
      </c>
      <c r="H2150" s="3"/>
      <c r="I2150" s="3" t="s">
        <v>3392</v>
      </c>
      <c r="J2150" s="3">
        <v>0</v>
      </c>
      <c r="K2150" s="3">
        <v>0</v>
      </c>
      <c r="L2150" s="3">
        <v>0</v>
      </c>
      <c r="M2150" s="3">
        <v>0</v>
      </c>
      <c r="N2150" s="3">
        <v>0</v>
      </c>
      <c r="O2150" s="3">
        <v>0.09</v>
      </c>
      <c r="P2150" s="3">
        <v>0</v>
      </c>
      <c r="Q2150" s="3">
        <v>0</v>
      </c>
      <c r="R2150" s="3">
        <v>0</v>
      </c>
    </row>
    <row r="2151" spans="1:18">
      <c r="A2151" s="3" t="s">
        <v>6686</v>
      </c>
      <c r="B2151" s="3" t="s">
        <v>6687</v>
      </c>
      <c r="C2151" s="3" t="s">
        <v>6688</v>
      </c>
      <c r="D2151" s="3" t="s">
        <v>6689</v>
      </c>
      <c r="E2151" s="3" t="s">
        <v>867</v>
      </c>
      <c r="F2151" s="3">
        <v>23.98</v>
      </c>
      <c r="G2151" s="3" t="s">
        <v>3391</v>
      </c>
      <c r="H2151" s="3"/>
      <c r="I2151" s="3" t="s">
        <v>3392</v>
      </c>
      <c r="J2151" s="3">
        <v>0</v>
      </c>
      <c r="K2151" s="3">
        <v>0</v>
      </c>
      <c r="L2151" s="3">
        <v>0</v>
      </c>
      <c r="M2151" s="3">
        <v>0</v>
      </c>
      <c r="N2151" s="3">
        <v>0</v>
      </c>
      <c r="O2151" s="3">
        <v>0.09</v>
      </c>
      <c r="P2151" s="3">
        <v>0</v>
      </c>
      <c r="Q2151" s="3">
        <v>0</v>
      </c>
      <c r="R2151" s="3">
        <v>0</v>
      </c>
    </row>
    <row r="2152" spans="1:18">
      <c r="A2152" s="3" t="s">
        <v>6690</v>
      </c>
      <c r="B2152" s="3" t="s">
        <v>6691</v>
      </c>
      <c r="C2152" s="3" t="s">
        <v>6692</v>
      </c>
      <c r="D2152" s="3" t="s">
        <v>6693</v>
      </c>
      <c r="E2152" s="3" t="s">
        <v>867</v>
      </c>
      <c r="F2152" s="3">
        <v>23.98</v>
      </c>
      <c r="G2152" s="3" t="s">
        <v>3391</v>
      </c>
      <c r="H2152" s="3"/>
      <c r="I2152" s="3" t="s">
        <v>3392</v>
      </c>
      <c r="J2152" s="3">
        <v>0</v>
      </c>
      <c r="K2152" s="3">
        <v>0</v>
      </c>
      <c r="L2152" s="3">
        <v>0</v>
      </c>
      <c r="M2152" s="3">
        <v>0</v>
      </c>
      <c r="N2152" s="3">
        <v>0</v>
      </c>
      <c r="O2152" s="3">
        <v>0.09</v>
      </c>
      <c r="P2152" s="3">
        <v>0</v>
      </c>
      <c r="Q2152" s="3">
        <v>0</v>
      </c>
      <c r="R2152" s="3">
        <v>0</v>
      </c>
    </row>
    <row r="2153" spans="1:18">
      <c r="A2153" s="3" t="s">
        <v>6694</v>
      </c>
      <c r="B2153" s="3" t="s">
        <v>6695</v>
      </c>
      <c r="C2153" s="3" t="s">
        <v>6696</v>
      </c>
      <c r="D2153" s="3"/>
      <c r="E2153" s="3" t="s">
        <v>3293</v>
      </c>
      <c r="F2153" s="3"/>
      <c r="G2153" s="3"/>
      <c r="H2153" s="3"/>
      <c r="I2153" s="3"/>
      <c r="J2153" s="3">
        <v>0</v>
      </c>
      <c r="K2153" s="3">
        <v>0</v>
      </c>
      <c r="L2153" s="3">
        <v>0</v>
      </c>
      <c r="M2153" s="3">
        <v>0</v>
      </c>
      <c r="N2153" s="3">
        <v>0</v>
      </c>
      <c r="O2153" s="3"/>
      <c r="P2153" s="3">
        <v>0</v>
      </c>
      <c r="Q2153" s="3">
        <v>0</v>
      </c>
      <c r="R2153" s="3">
        <v>0</v>
      </c>
    </row>
    <row r="2154" spans="1:18">
      <c r="A2154" s="3" t="s">
        <v>6697</v>
      </c>
      <c r="B2154" s="3" t="s">
        <v>6698</v>
      </c>
      <c r="C2154" s="3" t="s">
        <v>3156</v>
      </c>
      <c r="D2154" s="3" t="s">
        <v>3157</v>
      </c>
      <c r="E2154" s="3" t="s">
        <v>867</v>
      </c>
      <c r="F2154" s="3">
        <v>23.98</v>
      </c>
      <c r="G2154" s="3" t="s">
        <v>3391</v>
      </c>
      <c r="H2154" s="3"/>
      <c r="I2154" s="3" t="s">
        <v>3392</v>
      </c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>
        <v>0.09</v>
      </c>
      <c r="P2154" s="3">
        <v>0</v>
      </c>
      <c r="Q2154" s="3">
        <v>0</v>
      </c>
      <c r="R2154" s="3">
        <v>0</v>
      </c>
    </row>
    <row r="2155" spans="1:18">
      <c r="A2155" s="3" t="s">
        <v>6699</v>
      </c>
      <c r="B2155" s="3" t="s">
        <v>6700</v>
      </c>
      <c r="C2155" s="3" t="s">
        <v>1296</v>
      </c>
      <c r="D2155" s="3" t="s">
        <v>1297</v>
      </c>
      <c r="E2155" s="3" t="s">
        <v>867</v>
      </c>
      <c r="F2155" s="3">
        <v>23.98</v>
      </c>
      <c r="G2155" s="3" t="s">
        <v>3391</v>
      </c>
      <c r="H2155" s="3"/>
      <c r="I2155" s="3" t="s">
        <v>3392</v>
      </c>
      <c r="J2155" s="3">
        <v>0</v>
      </c>
      <c r="K2155" s="3">
        <v>0</v>
      </c>
      <c r="L2155" s="3">
        <v>0</v>
      </c>
      <c r="M2155" s="3">
        <v>0</v>
      </c>
      <c r="N2155" s="3">
        <v>0</v>
      </c>
      <c r="O2155" s="3">
        <v>0.09</v>
      </c>
      <c r="P2155" s="3">
        <v>0</v>
      </c>
      <c r="Q2155" s="3">
        <v>0</v>
      </c>
      <c r="R2155" s="3">
        <v>0</v>
      </c>
    </row>
    <row r="2156" spans="1:18">
      <c r="A2156" s="3" t="s">
        <v>6701</v>
      </c>
      <c r="B2156" s="3" t="s">
        <v>6702</v>
      </c>
      <c r="C2156" s="3" t="s">
        <v>2544</v>
      </c>
      <c r="D2156" s="3" t="s">
        <v>2545</v>
      </c>
      <c r="E2156" s="3" t="s">
        <v>867</v>
      </c>
      <c r="F2156" s="3">
        <v>23.98</v>
      </c>
      <c r="G2156" s="3" t="s">
        <v>3391</v>
      </c>
      <c r="H2156" s="3"/>
      <c r="I2156" s="3" t="s">
        <v>3392</v>
      </c>
      <c r="J2156" s="3">
        <v>0</v>
      </c>
      <c r="K2156" s="3">
        <v>0</v>
      </c>
      <c r="L2156" s="3">
        <v>0</v>
      </c>
      <c r="M2156" s="3">
        <v>0</v>
      </c>
      <c r="N2156" s="3">
        <v>0</v>
      </c>
      <c r="O2156" s="3">
        <v>0.09</v>
      </c>
      <c r="P2156" s="3">
        <v>0</v>
      </c>
      <c r="Q2156" s="3">
        <v>0</v>
      </c>
      <c r="R2156" s="3">
        <v>0</v>
      </c>
    </row>
    <row r="2157" spans="1:18">
      <c r="A2157" s="3" t="s">
        <v>6703</v>
      </c>
      <c r="B2157" s="3" t="s">
        <v>6704</v>
      </c>
      <c r="C2157" s="3" t="s">
        <v>2008</v>
      </c>
      <c r="D2157" s="3" t="s">
        <v>2009</v>
      </c>
      <c r="E2157" s="3" t="s">
        <v>867</v>
      </c>
      <c r="F2157" s="3">
        <v>23.98</v>
      </c>
      <c r="G2157" s="3" t="s">
        <v>3391</v>
      </c>
      <c r="H2157" s="3"/>
      <c r="I2157" s="3" t="s">
        <v>3392</v>
      </c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>
        <v>0.09</v>
      </c>
      <c r="P2157" s="3">
        <v>0</v>
      </c>
      <c r="Q2157" s="3">
        <v>0</v>
      </c>
      <c r="R2157" s="3">
        <v>0</v>
      </c>
    </row>
    <row r="2158" spans="1:18">
      <c r="A2158" s="3" t="s">
        <v>6705</v>
      </c>
      <c r="B2158" s="3" t="s">
        <v>6706</v>
      </c>
      <c r="C2158" s="3" t="s">
        <v>1423</v>
      </c>
      <c r="D2158" s="3" t="s">
        <v>1424</v>
      </c>
      <c r="E2158" s="3" t="s">
        <v>867</v>
      </c>
      <c r="F2158" s="3">
        <v>23.98</v>
      </c>
      <c r="G2158" s="3" t="s">
        <v>3391</v>
      </c>
      <c r="H2158" s="3"/>
      <c r="I2158" s="3" t="s">
        <v>3392</v>
      </c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>
        <v>0.09</v>
      </c>
      <c r="P2158" s="3">
        <v>0</v>
      </c>
      <c r="Q2158" s="3">
        <v>0</v>
      </c>
      <c r="R2158" s="3">
        <v>0</v>
      </c>
    </row>
    <row r="2159" spans="1:18">
      <c r="A2159" s="3" t="s">
        <v>6707</v>
      </c>
      <c r="B2159" s="3" t="s">
        <v>6708</v>
      </c>
      <c r="C2159" s="3" t="s">
        <v>1084</v>
      </c>
      <c r="D2159" s="3" t="s">
        <v>1085</v>
      </c>
      <c r="E2159" s="3" t="s">
        <v>867</v>
      </c>
      <c r="F2159" s="3">
        <v>23.98</v>
      </c>
      <c r="G2159" s="3" t="s">
        <v>3391</v>
      </c>
      <c r="H2159" s="3"/>
      <c r="I2159" s="3" t="s">
        <v>3392</v>
      </c>
      <c r="J2159" s="3">
        <v>0</v>
      </c>
      <c r="K2159" s="3">
        <v>0</v>
      </c>
      <c r="L2159" s="3">
        <v>0</v>
      </c>
      <c r="M2159" s="3">
        <v>0</v>
      </c>
      <c r="N2159" s="3">
        <v>0</v>
      </c>
      <c r="O2159" s="3">
        <v>0.09</v>
      </c>
      <c r="P2159" s="3">
        <v>0</v>
      </c>
      <c r="Q2159" s="3">
        <v>0</v>
      </c>
      <c r="R2159" s="3">
        <v>0</v>
      </c>
    </row>
    <row r="2160" spans="1:18">
      <c r="A2160" s="3" t="s">
        <v>6709</v>
      </c>
      <c r="B2160" s="3" t="s">
        <v>6710</v>
      </c>
      <c r="C2160" s="3" t="s">
        <v>1688</v>
      </c>
      <c r="D2160" s="3" t="s">
        <v>1689</v>
      </c>
      <c r="E2160" s="3" t="s">
        <v>867</v>
      </c>
      <c r="F2160" s="3">
        <v>23.98</v>
      </c>
      <c r="G2160" s="3" t="s">
        <v>3391</v>
      </c>
      <c r="H2160" s="3"/>
      <c r="I2160" s="3" t="s">
        <v>3392</v>
      </c>
      <c r="J2160" s="3">
        <v>0</v>
      </c>
      <c r="K2160" s="3">
        <v>0</v>
      </c>
      <c r="L2160" s="3">
        <v>0</v>
      </c>
      <c r="M2160" s="3">
        <v>0</v>
      </c>
      <c r="N2160" s="3">
        <v>0</v>
      </c>
      <c r="O2160" s="3">
        <v>0.09</v>
      </c>
      <c r="P2160" s="3">
        <v>0</v>
      </c>
      <c r="Q2160" s="3">
        <v>0</v>
      </c>
      <c r="R2160" s="3">
        <v>0</v>
      </c>
    </row>
    <row r="2161" spans="1:18">
      <c r="A2161" s="3" t="s">
        <v>6711</v>
      </c>
      <c r="B2161" s="3" t="s">
        <v>6712</v>
      </c>
      <c r="C2161" s="3" t="s">
        <v>6713</v>
      </c>
      <c r="D2161" s="3" t="s">
        <v>6714</v>
      </c>
      <c r="E2161" s="3" t="s">
        <v>867</v>
      </c>
      <c r="F2161" s="3">
        <v>23.98</v>
      </c>
      <c r="G2161" s="3" t="s">
        <v>3391</v>
      </c>
      <c r="H2161" s="3"/>
      <c r="I2161" s="3" t="s">
        <v>3392</v>
      </c>
      <c r="J2161" s="3">
        <v>0</v>
      </c>
      <c r="K2161" s="3">
        <v>0</v>
      </c>
      <c r="L2161" s="3">
        <v>0</v>
      </c>
      <c r="M2161" s="3">
        <v>0</v>
      </c>
      <c r="N2161" s="3">
        <v>0</v>
      </c>
      <c r="O2161" s="3">
        <v>0.09</v>
      </c>
      <c r="P2161" s="3">
        <v>0</v>
      </c>
      <c r="Q2161" s="3">
        <v>0</v>
      </c>
      <c r="R2161" s="3">
        <v>0</v>
      </c>
    </row>
    <row r="2162" spans="1:18">
      <c r="A2162" s="3" t="s">
        <v>6715</v>
      </c>
      <c r="B2162" s="3" t="s">
        <v>6716</v>
      </c>
      <c r="C2162" s="3" t="s">
        <v>2793</v>
      </c>
      <c r="D2162" s="3" t="s">
        <v>2794</v>
      </c>
      <c r="E2162" s="3" t="s">
        <v>867</v>
      </c>
      <c r="F2162" s="3">
        <v>23.98</v>
      </c>
      <c r="G2162" s="3" t="s">
        <v>3391</v>
      </c>
      <c r="H2162" s="3"/>
      <c r="I2162" s="3" t="s">
        <v>3392</v>
      </c>
      <c r="J2162" s="3">
        <v>0</v>
      </c>
      <c r="K2162" s="3">
        <v>0</v>
      </c>
      <c r="L2162" s="3">
        <v>0</v>
      </c>
      <c r="M2162" s="3">
        <v>0</v>
      </c>
      <c r="N2162" s="3">
        <v>0</v>
      </c>
      <c r="O2162" s="3">
        <v>0.09</v>
      </c>
      <c r="P2162" s="3">
        <v>0</v>
      </c>
      <c r="Q2162" s="3">
        <v>0</v>
      </c>
      <c r="R2162" s="3">
        <v>0</v>
      </c>
    </row>
    <row r="2163" spans="1:18">
      <c r="A2163" s="3" t="s">
        <v>6717</v>
      </c>
      <c r="B2163" s="3" t="s">
        <v>6718</v>
      </c>
      <c r="C2163" s="3" t="s">
        <v>1800</v>
      </c>
      <c r="D2163" s="3" t="s">
        <v>1801</v>
      </c>
      <c r="E2163" s="3" t="s">
        <v>867</v>
      </c>
      <c r="F2163" s="3">
        <v>23.98</v>
      </c>
      <c r="G2163" s="3" t="s">
        <v>3391</v>
      </c>
      <c r="H2163" s="3"/>
      <c r="I2163" s="3" t="s">
        <v>3392</v>
      </c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>
        <v>0.09</v>
      </c>
      <c r="P2163" s="3">
        <v>0</v>
      </c>
      <c r="Q2163" s="3">
        <v>0</v>
      </c>
      <c r="R2163" s="3">
        <v>0</v>
      </c>
    </row>
    <row r="2164" spans="1:18">
      <c r="A2164" s="3" t="s">
        <v>6719</v>
      </c>
      <c r="B2164" s="3" t="s">
        <v>6720</v>
      </c>
      <c r="C2164" s="3" t="s">
        <v>6721</v>
      </c>
      <c r="D2164" s="3" t="s">
        <v>6722</v>
      </c>
      <c r="E2164" s="3" t="s">
        <v>867</v>
      </c>
      <c r="F2164" s="3">
        <v>23.98</v>
      </c>
      <c r="G2164" s="3" t="s">
        <v>3391</v>
      </c>
      <c r="H2164" s="3"/>
      <c r="I2164" s="3" t="s">
        <v>3392</v>
      </c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>
        <v>0.09</v>
      </c>
      <c r="P2164" s="3">
        <v>0</v>
      </c>
      <c r="Q2164" s="3">
        <v>0</v>
      </c>
      <c r="R2164" s="3">
        <v>0</v>
      </c>
    </row>
    <row r="2165" spans="1:18">
      <c r="A2165" s="3" t="s">
        <v>6723</v>
      </c>
      <c r="B2165" s="3" t="s">
        <v>6724</v>
      </c>
      <c r="C2165" s="3" t="s">
        <v>1163</v>
      </c>
      <c r="D2165" s="3" t="s">
        <v>1164</v>
      </c>
      <c r="E2165" s="3" t="s">
        <v>867</v>
      </c>
      <c r="F2165" s="3">
        <v>23.98</v>
      </c>
      <c r="G2165" s="3" t="s">
        <v>3391</v>
      </c>
      <c r="H2165" s="3"/>
      <c r="I2165" s="3" t="s">
        <v>3392</v>
      </c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>
        <v>0.09</v>
      </c>
      <c r="P2165" s="3">
        <v>0</v>
      </c>
      <c r="Q2165" s="3">
        <v>0</v>
      </c>
      <c r="R2165" s="3">
        <v>0</v>
      </c>
    </row>
    <row r="2166" spans="1:18">
      <c r="A2166" s="3" t="s">
        <v>6725</v>
      </c>
      <c r="B2166" s="3" t="s">
        <v>6726</v>
      </c>
      <c r="C2166" s="3" t="s">
        <v>2858</v>
      </c>
      <c r="D2166" s="3" t="s">
        <v>2859</v>
      </c>
      <c r="E2166" s="3" t="s">
        <v>867</v>
      </c>
      <c r="F2166" s="3">
        <v>23.98</v>
      </c>
      <c r="G2166" s="3" t="s">
        <v>3391</v>
      </c>
      <c r="H2166" s="3"/>
      <c r="I2166" s="3" t="s">
        <v>3392</v>
      </c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>
        <v>0.09</v>
      </c>
      <c r="P2166" s="3">
        <v>0</v>
      </c>
      <c r="Q2166" s="3">
        <v>0</v>
      </c>
      <c r="R2166" s="3">
        <v>0</v>
      </c>
    </row>
    <row r="2167" spans="1:18">
      <c r="A2167" s="3" t="s">
        <v>6727</v>
      </c>
      <c r="B2167" s="3" t="s">
        <v>6728</v>
      </c>
      <c r="C2167" s="3" t="s">
        <v>3276</v>
      </c>
      <c r="D2167" s="3" t="s">
        <v>3277</v>
      </c>
      <c r="E2167" s="3" t="s">
        <v>867</v>
      </c>
      <c r="F2167" s="3">
        <v>23.98</v>
      </c>
      <c r="G2167" s="3" t="s">
        <v>3391</v>
      </c>
      <c r="H2167" s="3"/>
      <c r="I2167" s="3" t="s">
        <v>3392</v>
      </c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>
        <v>0.09</v>
      </c>
      <c r="P2167" s="3">
        <v>0</v>
      </c>
      <c r="Q2167" s="3">
        <v>0</v>
      </c>
      <c r="R2167" s="3">
        <v>0</v>
      </c>
    </row>
    <row r="2168" spans="1:18">
      <c r="A2168" s="3" t="s">
        <v>6729</v>
      </c>
      <c r="B2168" s="3" t="s">
        <v>6730</v>
      </c>
      <c r="C2168" s="3" t="s">
        <v>1605</v>
      </c>
      <c r="D2168" s="3" t="s">
        <v>1606</v>
      </c>
      <c r="E2168" s="3" t="s">
        <v>867</v>
      </c>
      <c r="F2168" s="3">
        <v>23.98</v>
      </c>
      <c r="G2168" s="3" t="s">
        <v>3391</v>
      </c>
      <c r="H2168" s="3"/>
      <c r="I2168" s="3" t="s">
        <v>3392</v>
      </c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>
        <v>0.09</v>
      </c>
      <c r="P2168" s="3">
        <v>0</v>
      </c>
      <c r="Q2168" s="3">
        <v>0</v>
      </c>
      <c r="R2168" s="3">
        <v>0</v>
      </c>
    </row>
    <row r="2169" spans="1:18">
      <c r="A2169" s="3" t="s">
        <v>6731</v>
      </c>
      <c r="B2169" s="3" t="s">
        <v>6732</v>
      </c>
      <c r="C2169" s="3" t="s">
        <v>1232</v>
      </c>
      <c r="D2169" s="3" t="s">
        <v>1233</v>
      </c>
      <c r="E2169" s="3" t="s">
        <v>867</v>
      </c>
      <c r="F2169" s="3">
        <v>23.98</v>
      </c>
      <c r="G2169" s="3" t="s">
        <v>3391</v>
      </c>
      <c r="H2169" s="3"/>
      <c r="I2169" s="3" t="s">
        <v>3392</v>
      </c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>
        <v>0.09</v>
      </c>
      <c r="P2169" s="3">
        <v>0</v>
      </c>
      <c r="Q2169" s="3">
        <v>0</v>
      </c>
      <c r="R2169" s="3">
        <v>0</v>
      </c>
    </row>
    <row r="2170" spans="1:18">
      <c r="A2170" s="3" t="s">
        <v>6733</v>
      </c>
      <c r="B2170" s="3" t="s">
        <v>6734</v>
      </c>
      <c r="C2170" s="3" t="s">
        <v>1924</v>
      </c>
      <c r="D2170" s="3" t="s">
        <v>1925</v>
      </c>
      <c r="E2170" s="3" t="s">
        <v>867</v>
      </c>
      <c r="F2170" s="3">
        <v>23.98</v>
      </c>
      <c r="G2170" s="3" t="s">
        <v>3391</v>
      </c>
      <c r="H2170" s="3"/>
      <c r="I2170" s="3" t="s">
        <v>3392</v>
      </c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>
        <v>0.09</v>
      </c>
      <c r="P2170" s="3">
        <v>0</v>
      </c>
      <c r="Q2170" s="3">
        <v>0</v>
      </c>
      <c r="R2170" s="3">
        <v>0</v>
      </c>
    </row>
    <row r="2171" spans="1:18">
      <c r="A2171" s="3" t="s">
        <v>6735</v>
      </c>
      <c r="B2171" s="3" t="s">
        <v>6736</v>
      </c>
      <c r="C2171" s="3" t="s">
        <v>1546</v>
      </c>
      <c r="D2171" s="3" t="s">
        <v>1547</v>
      </c>
      <c r="E2171" s="3" t="s">
        <v>867</v>
      </c>
      <c r="F2171" s="3">
        <v>23.98</v>
      </c>
      <c r="G2171" s="3" t="s">
        <v>3391</v>
      </c>
      <c r="H2171" s="3"/>
      <c r="I2171" s="3" t="s">
        <v>3392</v>
      </c>
      <c r="J2171" s="3">
        <v>0</v>
      </c>
      <c r="K2171" s="3">
        <v>0</v>
      </c>
      <c r="L2171" s="3">
        <v>0</v>
      </c>
      <c r="M2171" s="3">
        <v>0</v>
      </c>
      <c r="N2171" s="3">
        <v>0</v>
      </c>
      <c r="O2171" s="3">
        <v>0.09</v>
      </c>
      <c r="P2171" s="3">
        <v>0</v>
      </c>
      <c r="Q2171" s="3">
        <v>0</v>
      </c>
      <c r="R2171" s="3">
        <v>0</v>
      </c>
    </row>
    <row r="2172" spans="1:18">
      <c r="A2172" s="3" t="s">
        <v>6737</v>
      </c>
      <c r="B2172" s="3" t="s">
        <v>6738</v>
      </c>
      <c r="C2172" s="3" t="s">
        <v>1912</v>
      </c>
      <c r="D2172" s="3" t="s">
        <v>1913</v>
      </c>
      <c r="E2172" s="3" t="s">
        <v>867</v>
      </c>
      <c r="F2172" s="3">
        <v>23.98</v>
      </c>
      <c r="G2172" s="3" t="s">
        <v>3391</v>
      </c>
      <c r="H2172" s="3"/>
      <c r="I2172" s="3" t="s">
        <v>3392</v>
      </c>
      <c r="J2172" s="3">
        <v>0</v>
      </c>
      <c r="K2172" s="3">
        <v>0</v>
      </c>
      <c r="L2172" s="3">
        <v>0</v>
      </c>
      <c r="M2172" s="3">
        <v>0</v>
      </c>
      <c r="N2172" s="3">
        <v>0</v>
      </c>
      <c r="O2172" s="3">
        <v>0.09</v>
      </c>
      <c r="P2172" s="3">
        <v>0</v>
      </c>
      <c r="Q2172" s="3">
        <v>0</v>
      </c>
      <c r="R2172" s="3">
        <v>0</v>
      </c>
    </row>
    <row r="2173" spans="1:18">
      <c r="A2173" s="3" t="s">
        <v>6739</v>
      </c>
      <c r="B2173" s="3" t="s">
        <v>6740</v>
      </c>
      <c r="C2173" s="3" t="s">
        <v>2337</v>
      </c>
      <c r="D2173" s="3" t="s">
        <v>2338</v>
      </c>
      <c r="E2173" s="3" t="s">
        <v>867</v>
      </c>
      <c r="F2173" s="3">
        <v>23.98</v>
      </c>
      <c r="G2173" s="3" t="s">
        <v>3391</v>
      </c>
      <c r="H2173" s="3"/>
      <c r="I2173" s="3" t="s">
        <v>3392</v>
      </c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>
        <v>0.09</v>
      </c>
      <c r="P2173" s="3">
        <v>0</v>
      </c>
      <c r="Q2173" s="3">
        <v>0</v>
      </c>
      <c r="R2173" s="3">
        <v>0</v>
      </c>
    </row>
    <row r="2174" spans="1:18">
      <c r="A2174" s="3" t="s">
        <v>6741</v>
      </c>
      <c r="B2174" s="3" t="s">
        <v>6742</v>
      </c>
      <c r="C2174" s="3" t="s">
        <v>3116</v>
      </c>
      <c r="D2174" s="3" t="s">
        <v>3117</v>
      </c>
      <c r="E2174" s="3" t="s">
        <v>867</v>
      </c>
      <c r="F2174" s="3">
        <v>23.98</v>
      </c>
      <c r="G2174" s="3" t="s">
        <v>3391</v>
      </c>
      <c r="H2174" s="3"/>
      <c r="I2174" s="3" t="s">
        <v>3392</v>
      </c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>
        <v>0.09</v>
      </c>
      <c r="P2174" s="3">
        <v>0</v>
      </c>
      <c r="Q2174" s="3">
        <v>0</v>
      </c>
      <c r="R2174" s="3">
        <v>0</v>
      </c>
    </row>
    <row r="2175" spans="1:18">
      <c r="A2175" s="3" t="s">
        <v>6743</v>
      </c>
      <c r="B2175" s="3" t="s">
        <v>6744</v>
      </c>
      <c r="C2175" s="3" t="s">
        <v>3140</v>
      </c>
      <c r="D2175" s="3" t="s">
        <v>3141</v>
      </c>
      <c r="E2175" s="3" t="s">
        <v>867</v>
      </c>
      <c r="F2175" s="3">
        <v>23.98</v>
      </c>
      <c r="G2175" s="3" t="s">
        <v>3391</v>
      </c>
      <c r="H2175" s="3"/>
      <c r="I2175" s="3" t="s">
        <v>3392</v>
      </c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>
        <v>0.09</v>
      </c>
      <c r="P2175" s="3">
        <v>0</v>
      </c>
      <c r="Q2175" s="3">
        <v>0</v>
      </c>
      <c r="R2175" s="3">
        <v>0</v>
      </c>
    </row>
    <row r="2176" spans="1:18">
      <c r="A2176" s="3" t="s">
        <v>6745</v>
      </c>
      <c r="B2176" s="3" t="s">
        <v>6746</v>
      </c>
      <c r="C2176" s="3" t="s">
        <v>2804</v>
      </c>
      <c r="D2176" s="3" t="s">
        <v>2805</v>
      </c>
      <c r="E2176" s="3" t="s">
        <v>867</v>
      </c>
      <c r="F2176" s="3">
        <v>23.98</v>
      </c>
      <c r="G2176" s="3" t="s">
        <v>3391</v>
      </c>
      <c r="H2176" s="3"/>
      <c r="I2176" s="3" t="s">
        <v>3392</v>
      </c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>
        <v>0.09</v>
      </c>
      <c r="P2176" s="3">
        <v>0</v>
      </c>
      <c r="Q2176" s="3">
        <v>0</v>
      </c>
      <c r="R2176" s="3">
        <v>0</v>
      </c>
    </row>
    <row r="2177" spans="1:18">
      <c r="A2177" s="3" t="s">
        <v>6747</v>
      </c>
      <c r="B2177" s="3" t="s">
        <v>6748</v>
      </c>
      <c r="C2177" s="3" t="s">
        <v>1112</v>
      </c>
      <c r="D2177" s="3" t="s">
        <v>1113</v>
      </c>
      <c r="E2177" s="3" t="s">
        <v>867</v>
      </c>
      <c r="F2177" s="3">
        <v>23.98</v>
      </c>
      <c r="G2177" s="3" t="s">
        <v>3391</v>
      </c>
      <c r="H2177" s="3"/>
      <c r="I2177" s="3" t="s">
        <v>3392</v>
      </c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>
        <v>0.09</v>
      </c>
      <c r="P2177" s="3">
        <v>0</v>
      </c>
      <c r="Q2177" s="3">
        <v>0</v>
      </c>
      <c r="R2177" s="3">
        <v>0</v>
      </c>
    </row>
    <row r="2178" spans="1:18">
      <c r="A2178" s="3" t="s">
        <v>6749</v>
      </c>
      <c r="B2178" s="3" t="s">
        <v>6750</v>
      </c>
      <c r="C2178" s="3" t="s">
        <v>6751</v>
      </c>
      <c r="D2178" s="3" t="s">
        <v>6752</v>
      </c>
      <c r="E2178" s="3" t="s">
        <v>867</v>
      </c>
      <c r="F2178" s="3">
        <v>23.98</v>
      </c>
      <c r="G2178" s="3" t="s">
        <v>3391</v>
      </c>
      <c r="H2178" s="3"/>
      <c r="I2178" s="3" t="s">
        <v>3392</v>
      </c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>
        <v>0.09</v>
      </c>
      <c r="P2178" s="3">
        <v>0</v>
      </c>
      <c r="Q2178" s="3">
        <v>0</v>
      </c>
      <c r="R2178" s="3">
        <v>0</v>
      </c>
    </row>
    <row r="2179" spans="1:18">
      <c r="A2179" s="3" t="s">
        <v>6753</v>
      </c>
      <c r="B2179" s="3" t="s">
        <v>6754</v>
      </c>
      <c r="C2179" s="3" t="s">
        <v>6755</v>
      </c>
      <c r="D2179" s="3" t="s">
        <v>6756</v>
      </c>
      <c r="E2179" s="3" t="s">
        <v>867</v>
      </c>
      <c r="F2179" s="3">
        <v>23.98</v>
      </c>
      <c r="G2179" s="3" t="s">
        <v>3391</v>
      </c>
      <c r="H2179" s="3"/>
      <c r="I2179" s="3" t="s">
        <v>3392</v>
      </c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>
        <v>0.09</v>
      </c>
      <c r="P2179" s="3">
        <v>0</v>
      </c>
      <c r="Q2179" s="3">
        <v>0</v>
      </c>
      <c r="R2179" s="3">
        <v>0</v>
      </c>
    </row>
    <row r="2180" spans="1:18">
      <c r="A2180" s="3" t="s">
        <v>6757</v>
      </c>
      <c r="B2180" s="3" t="s">
        <v>6758</v>
      </c>
      <c r="C2180" s="3" t="s">
        <v>6759</v>
      </c>
      <c r="D2180" s="3" t="s">
        <v>6760</v>
      </c>
      <c r="E2180" s="3" t="s">
        <v>867</v>
      </c>
      <c r="F2180" s="3">
        <v>23.98</v>
      </c>
      <c r="G2180" s="3" t="s">
        <v>3391</v>
      </c>
      <c r="H2180" s="3"/>
      <c r="I2180" s="3" t="s">
        <v>3392</v>
      </c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>
        <v>0.09</v>
      </c>
      <c r="P2180" s="3">
        <v>0</v>
      </c>
      <c r="Q2180" s="3">
        <v>0</v>
      </c>
      <c r="R2180" s="3">
        <v>0</v>
      </c>
    </row>
    <row r="2181" spans="1:18">
      <c r="A2181" s="3" t="s">
        <v>6761</v>
      </c>
      <c r="B2181" s="3" t="s">
        <v>6762</v>
      </c>
      <c r="C2181" s="3" t="s">
        <v>6763</v>
      </c>
      <c r="D2181" s="3" t="s">
        <v>6764</v>
      </c>
      <c r="E2181" s="3" t="s">
        <v>867</v>
      </c>
      <c r="F2181" s="3">
        <v>23.98</v>
      </c>
      <c r="G2181" s="3" t="s">
        <v>3391</v>
      </c>
      <c r="H2181" s="3"/>
      <c r="I2181" s="3" t="s">
        <v>3392</v>
      </c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>
        <v>0.09</v>
      </c>
      <c r="P2181" s="3">
        <v>0</v>
      </c>
      <c r="Q2181" s="3">
        <v>0</v>
      </c>
      <c r="R2181" s="3">
        <v>0</v>
      </c>
    </row>
    <row r="2182" spans="1:18">
      <c r="A2182" s="3" t="s">
        <v>6765</v>
      </c>
      <c r="B2182" s="3" t="s">
        <v>6766</v>
      </c>
      <c r="C2182" s="3" t="s">
        <v>6767</v>
      </c>
      <c r="D2182" s="3" t="s">
        <v>6768</v>
      </c>
      <c r="E2182" s="3" t="s">
        <v>867</v>
      </c>
      <c r="F2182" s="3">
        <v>23.98</v>
      </c>
      <c r="G2182" s="3" t="s">
        <v>3391</v>
      </c>
      <c r="H2182" s="3"/>
      <c r="I2182" s="3" t="s">
        <v>3392</v>
      </c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>
        <v>0.09</v>
      </c>
      <c r="P2182" s="3">
        <v>0</v>
      </c>
      <c r="Q2182" s="3">
        <v>0</v>
      </c>
      <c r="R2182" s="3">
        <v>0</v>
      </c>
    </row>
    <row r="2183" spans="1:18">
      <c r="A2183" s="3" t="s">
        <v>6769</v>
      </c>
      <c r="B2183" s="3" t="s">
        <v>6770</v>
      </c>
      <c r="C2183" s="3" t="s">
        <v>6771</v>
      </c>
      <c r="D2183" s="3" t="s">
        <v>6772</v>
      </c>
      <c r="E2183" s="3" t="s">
        <v>867</v>
      </c>
      <c r="F2183" s="3">
        <v>23.98</v>
      </c>
      <c r="G2183" s="3" t="s">
        <v>3391</v>
      </c>
      <c r="H2183" s="3"/>
      <c r="I2183" s="3" t="s">
        <v>3392</v>
      </c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>
        <v>0.09</v>
      </c>
      <c r="P2183" s="3">
        <v>0</v>
      </c>
      <c r="Q2183" s="3">
        <v>0</v>
      </c>
      <c r="R2183" s="3">
        <v>0</v>
      </c>
    </row>
    <row r="2184" spans="1:18">
      <c r="A2184" s="3" t="s">
        <v>6773</v>
      </c>
      <c r="B2184" s="3" t="s">
        <v>6774</v>
      </c>
      <c r="C2184" s="3" t="s">
        <v>6775</v>
      </c>
      <c r="D2184" s="3" t="s">
        <v>6776</v>
      </c>
      <c r="E2184" s="3" t="s">
        <v>867</v>
      </c>
      <c r="F2184" s="3">
        <v>23.98</v>
      </c>
      <c r="G2184" s="3" t="s">
        <v>3391</v>
      </c>
      <c r="H2184" s="3"/>
      <c r="I2184" s="3" t="s">
        <v>3392</v>
      </c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>
        <v>0.09</v>
      </c>
      <c r="P2184" s="3">
        <v>0</v>
      </c>
      <c r="Q2184" s="3">
        <v>0</v>
      </c>
      <c r="R2184" s="3">
        <v>0</v>
      </c>
    </row>
    <row r="2185" spans="1:18">
      <c r="A2185" s="3" t="s">
        <v>6777</v>
      </c>
      <c r="B2185" s="3" t="s">
        <v>6778</v>
      </c>
      <c r="C2185" s="3" t="s">
        <v>961</v>
      </c>
      <c r="D2185" s="3" t="s">
        <v>962</v>
      </c>
      <c r="E2185" s="3" t="s">
        <v>867</v>
      </c>
      <c r="F2185" s="3">
        <v>23.98</v>
      </c>
      <c r="G2185" s="3" t="s">
        <v>3391</v>
      </c>
      <c r="H2185" s="3"/>
      <c r="I2185" s="3" t="s">
        <v>3392</v>
      </c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>
        <v>0.09</v>
      </c>
      <c r="P2185" s="3">
        <v>0</v>
      </c>
      <c r="Q2185" s="3">
        <v>0</v>
      </c>
      <c r="R2185" s="3">
        <v>0</v>
      </c>
    </row>
    <row r="2186" spans="1:18">
      <c r="A2186" s="3" t="s">
        <v>6779</v>
      </c>
      <c r="B2186" s="3" t="s">
        <v>6780</v>
      </c>
      <c r="C2186" s="3" t="s">
        <v>6781</v>
      </c>
      <c r="D2186" s="3" t="s">
        <v>6782</v>
      </c>
      <c r="E2186" s="3" t="s">
        <v>867</v>
      </c>
      <c r="F2186" s="3">
        <v>23.98</v>
      </c>
      <c r="G2186" s="3" t="s">
        <v>3391</v>
      </c>
      <c r="H2186" s="3"/>
      <c r="I2186" s="3" t="s">
        <v>3392</v>
      </c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>
        <v>0.09</v>
      </c>
      <c r="P2186" s="3">
        <v>0</v>
      </c>
      <c r="Q2186" s="3">
        <v>0</v>
      </c>
      <c r="R2186" s="3">
        <v>0</v>
      </c>
    </row>
    <row r="2187" spans="1:18">
      <c r="A2187" s="3" t="s">
        <v>6783</v>
      </c>
      <c r="B2187" s="3" t="s">
        <v>6784</v>
      </c>
      <c r="C2187" s="3" t="s">
        <v>1316</v>
      </c>
      <c r="D2187" s="3" t="s">
        <v>1317</v>
      </c>
      <c r="E2187" s="3" t="s">
        <v>867</v>
      </c>
      <c r="F2187" s="3">
        <v>23.98</v>
      </c>
      <c r="G2187" s="3" t="s">
        <v>3391</v>
      </c>
      <c r="H2187" s="3"/>
      <c r="I2187" s="3" t="s">
        <v>3392</v>
      </c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>
        <v>0.09</v>
      </c>
      <c r="P2187" s="3">
        <v>0</v>
      </c>
      <c r="Q2187" s="3">
        <v>0</v>
      </c>
      <c r="R2187" s="3">
        <v>0</v>
      </c>
    </row>
    <row r="2188" spans="1:18">
      <c r="A2188" s="3" t="s">
        <v>6785</v>
      </c>
      <c r="B2188" s="3" t="s">
        <v>6786</v>
      </c>
      <c r="C2188" s="3" t="s">
        <v>6787</v>
      </c>
      <c r="D2188" s="3" t="s">
        <v>6788</v>
      </c>
      <c r="E2188" s="3" t="s">
        <v>867</v>
      </c>
      <c r="F2188" s="3">
        <v>23.98</v>
      </c>
      <c r="G2188" s="3" t="s">
        <v>3391</v>
      </c>
      <c r="H2188" s="3"/>
      <c r="I2188" s="3" t="s">
        <v>3392</v>
      </c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>
        <v>0.09</v>
      </c>
      <c r="P2188" s="3">
        <v>0</v>
      </c>
      <c r="Q2188" s="3">
        <v>0</v>
      </c>
      <c r="R2188" s="3">
        <v>0</v>
      </c>
    </row>
    <row r="2189" spans="1:18">
      <c r="A2189" s="3" t="s">
        <v>6789</v>
      </c>
      <c r="B2189" s="3" t="s">
        <v>6790</v>
      </c>
      <c r="C2189" s="3" t="s">
        <v>3029</v>
      </c>
      <c r="D2189" s="3" t="s">
        <v>3030</v>
      </c>
      <c r="E2189" s="3" t="s">
        <v>867</v>
      </c>
      <c r="F2189" s="3">
        <v>23.98</v>
      </c>
      <c r="G2189" s="3" t="s">
        <v>3391</v>
      </c>
      <c r="H2189" s="3"/>
      <c r="I2189" s="3" t="s">
        <v>3392</v>
      </c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>
        <v>0.09</v>
      </c>
      <c r="P2189" s="3">
        <v>0</v>
      </c>
      <c r="Q2189" s="3">
        <v>0</v>
      </c>
      <c r="R2189" s="3">
        <v>0</v>
      </c>
    </row>
    <row r="2190" spans="1:18">
      <c r="A2190" s="3" t="s">
        <v>6791</v>
      </c>
      <c r="B2190" s="3" t="s">
        <v>6792</v>
      </c>
      <c r="C2190" s="3" t="s">
        <v>6793</v>
      </c>
      <c r="D2190" s="3" t="s">
        <v>6794</v>
      </c>
      <c r="E2190" s="3" t="s">
        <v>867</v>
      </c>
      <c r="F2190" s="3">
        <v>23.98</v>
      </c>
      <c r="G2190" s="3" t="s">
        <v>3391</v>
      </c>
      <c r="H2190" s="3"/>
      <c r="I2190" s="3" t="s">
        <v>3392</v>
      </c>
      <c r="J2190" s="3">
        <v>0</v>
      </c>
      <c r="K2190" s="3">
        <v>0</v>
      </c>
      <c r="L2190" s="3">
        <v>0</v>
      </c>
      <c r="M2190" s="3">
        <v>0</v>
      </c>
      <c r="N2190" s="3">
        <v>0</v>
      </c>
      <c r="O2190" s="3">
        <v>0.02</v>
      </c>
      <c r="P2190" s="3">
        <v>0</v>
      </c>
      <c r="Q2190" s="3">
        <v>0</v>
      </c>
      <c r="R2190" s="3">
        <v>0</v>
      </c>
    </row>
    <row r="2191" spans="1:18">
      <c r="A2191" s="3" t="s">
        <v>6795</v>
      </c>
      <c r="B2191" s="3" t="s">
        <v>6796</v>
      </c>
      <c r="C2191" s="3" t="s">
        <v>6797</v>
      </c>
      <c r="D2191" s="3" t="s">
        <v>6798</v>
      </c>
      <c r="E2191" s="3" t="s">
        <v>867</v>
      </c>
      <c r="F2191" s="3">
        <v>23.98</v>
      </c>
      <c r="G2191" s="3" t="s">
        <v>3391</v>
      </c>
      <c r="H2191" s="3"/>
      <c r="I2191" s="3" t="s">
        <v>3392</v>
      </c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>
        <v>0.02</v>
      </c>
      <c r="P2191" s="3">
        <v>0</v>
      </c>
      <c r="Q2191" s="3">
        <v>0</v>
      </c>
      <c r="R2191" s="3">
        <v>0</v>
      </c>
    </row>
    <row r="2192" spans="1:18">
      <c r="A2192" s="3" t="s">
        <v>6799</v>
      </c>
      <c r="B2192" s="3" t="s">
        <v>6800</v>
      </c>
      <c r="C2192" s="3" t="s">
        <v>6801</v>
      </c>
      <c r="D2192" s="3" t="s">
        <v>6802</v>
      </c>
      <c r="E2192" s="3" t="s">
        <v>867</v>
      </c>
      <c r="F2192" s="3">
        <v>23.98</v>
      </c>
      <c r="G2192" s="3" t="s">
        <v>3391</v>
      </c>
      <c r="H2192" s="3"/>
      <c r="I2192" s="3" t="s">
        <v>3392</v>
      </c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>
        <v>0.02</v>
      </c>
      <c r="P2192" s="3">
        <v>0</v>
      </c>
      <c r="Q2192" s="3">
        <v>0</v>
      </c>
      <c r="R2192" s="3">
        <v>0</v>
      </c>
    </row>
    <row r="2193" spans="1:18">
      <c r="A2193" s="3" t="s">
        <v>6803</v>
      </c>
      <c r="B2193" s="3" t="s">
        <v>6804</v>
      </c>
      <c r="C2193" s="3" t="s">
        <v>6805</v>
      </c>
      <c r="D2193" s="3" t="s">
        <v>6806</v>
      </c>
      <c r="E2193" s="3" t="s">
        <v>867</v>
      </c>
      <c r="F2193" s="3">
        <v>23.98</v>
      </c>
      <c r="G2193" s="3" t="s">
        <v>3391</v>
      </c>
      <c r="H2193" s="3"/>
      <c r="I2193" s="3" t="s">
        <v>3392</v>
      </c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>
        <v>0.02</v>
      </c>
      <c r="P2193" s="3">
        <v>0</v>
      </c>
      <c r="Q2193" s="3">
        <v>0</v>
      </c>
      <c r="R2193" s="3">
        <v>0</v>
      </c>
    </row>
    <row r="2194" spans="1:18">
      <c r="A2194" s="3" t="s">
        <v>6807</v>
      </c>
      <c r="B2194" s="3" t="s">
        <v>6808</v>
      </c>
      <c r="C2194" s="3" t="s">
        <v>6809</v>
      </c>
      <c r="D2194" s="3" t="s">
        <v>6810</v>
      </c>
      <c r="E2194" s="3" t="s">
        <v>867</v>
      </c>
      <c r="F2194" s="3">
        <v>23.98</v>
      </c>
      <c r="G2194" s="3" t="s">
        <v>3391</v>
      </c>
      <c r="H2194" s="3"/>
      <c r="I2194" s="3" t="s">
        <v>3392</v>
      </c>
      <c r="J2194" s="3">
        <v>0</v>
      </c>
      <c r="K2194" s="3">
        <v>0</v>
      </c>
      <c r="L2194" s="3">
        <v>0</v>
      </c>
      <c r="M2194" s="3">
        <v>0</v>
      </c>
      <c r="N2194" s="3">
        <v>0</v>
      </c>
      <c r="O2194" s="3">
        <v>0.02</v>
      </c>
      <c r="P2194" s="3">
        <v>0</v>
      </c>
      <c r="Q2194" s="3">
        <v>0</v>
      </c>
      <c r="R2194" s="3">
        <v>0</v>
      </c>
    </row>
    <row r="2195" spans="1:18">
      <c r="A2195" s="3" t="s">
        <v>6811</v>
      </c>
      <c r="B2195" s="3" t="s">
        <v>6812</v>
      </c>
      <c r="C2195" s="3" t="s">
        <v>6813</v>
      </c>
      <c r="D2195" s="3" t="s">
        <v>6814</v>
      </c>
      <c r="E2195" s="3" t="s">
        <v>867</v>
      </c>
      <c r="F2195" s="3">
        <v>23.98</v>
      </c>
      <c r="G2195" s="3" t="s">
        <v>3391</v>
      </c>
      <c r="H2195" s="3"/>
      <c r="I2195" s="3" t="s">
        <v>3392</v>
      </c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>
        <v>0.02</v>
      </c>
      <c r="P2195" s="3">
        <v>0</v>
      </c>
      <c r="Q2195" s="3">
        <v>0</v>
      </c>
      <c r="R2195" s="3">
        <v>0</v>
      </c>
    </row>
    <row r="2196" spans="1:18">
      <c r="A2196" s="3" t="s">
        <v>6815</v>
      </c>
      <c r="B2196" s="3" t="s">
        <v>6816</v>
      </c>
      <c r="C2196" s="3" t="s">
        <v>6817</v>
      </c>
      <c r="D2196" s="3" t="s">
        <v>6818</v>
      </c>
      <c r="E2196" s="3" t="s">
        <v>867</v>
      </c>
      <c r="F2196" s="3">
        <v>23.98</v>
      </c>
      <c r="G2196" s="3" t="s">
        <v>3391</v>
      </c>
      <c r="H2196" s="3"/>
      <c r="I2196" s="3" t="s">
        <v>3392</v>
      </c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>
        <v>0.02</v>
      </c>
      <c r="P2196" s="3">
        <v>0</v>
      </c>
      <c r="Q2196" s="3">
        <v>0</v>
      </c>
      <c r="R2196" s="3">
        <v>0</v>
      </c>
    </row>
    <row r="2197" spans="1:18">
      <c r="A2197" s="3" t="s">
        <v>6819</v>
      </c>
      <c r="B2197" s="3" t="s">
        <v>6820</v>
      </c>
      <c r="C2197" s="3" t="s">
        <v>6821</v>
      </c>
      <c r="D2197" s="3" t="s">
        <v>6822</v>
      </c>
      <c r="E2197" s="3" t="s">
        <v>867</v>
      </c>
      <c r="F2197" s="3">
        <v>23.98</v>
      </c>
      <c r="G2197" s="3" t="s">
        <v>3391</v>
      </c>
      <c r="H2197" s="3"/>
      <c r="I2197" s="3" t="s">
        <v>3392</v>
      </c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>
        <v>0.02</v>
      </c>
      <c r="P2197" s="3">
        <v>0</v>
      </c>
      <c r="Q2197" s="3">
        <v>0</v>
      </c>
      <c r="R2197" s="3">
        <v>0</v>
      </c>
    </row>
    <row r="2198" spans="1:18">
      <c r="A2198" s="3" t="s">
        <v>6823</v>
      </c>
      <c r="B2198" s="3" t="s">
        <v>6824</v>
      </c>
      <c r="C2198" s="3" t="s">
        <v>6825</v>
      </c>
      <c r="D2198" s="3" t="s">
        <v>6826</v>
      </c>
      <c r="E2198" s="3" t="s">
        <v>867</v>
      </c>
      <c r="F2198" s="3">
        <v>26.98</v>
      </c>
      <c r="G2198" s="3" t="s">
        <v>3391</v>
      </c>
      <c r="H2198" s="3"/>
      <c r="I2198" s="3" t="s">
        <v>3392</v>
      </c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>
        <v>0.13</v>
      </c>
      <c r="P2198" s="3">
        <v>0</v>
      </c>
      <c r="Q2198" s="3">
        <v>0</v>
      </c>
      <c r="R2198" s="3">
        <v>0</v>
      </c>
    </row>
    <row r="2199" spans="1:18">
      <c r="A2199" s="3" t="s">
        <v>6827</v>
      </c>
      <c r="B2199" s="3" t="s">
        <v>6828</v>
      </c>
      <c r="C2199" s="3" t="s">
        <v>2983</v>
      </c>
      <c r="D2199" s="3" t="s">
        <v>2984</v>
      </c>
      <c r="E2199" s="3" t="s">
        <v>867</v>
      </c>
      <c r="F2199" s="3">
        <v>26.98</v>
      </c>
      <c r="G2199" s="3" t="s">
        <v>3391</v>
      </c>
      <c r="H2199" s="3"/>
      <c r="I2199" s="3" t="s">
        <v>3392</v>
      </c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>
        <v>0.13</v>
      </c>
      <c r="P2199" s="3">
        <v>0</v>
      </c>
      <c r="Q2199" s="3">
        <v>0</v>
      </c>
      <c r="R2199" s="3">
        <v>0</v>
      </c>
    </row>
    <row r="2200" spans="1:18">
      <c r="A2200" s="3" t="s">
        <v>2148</v>
      </c>
      <c r="B2200" s="3" t="s">
        <v>2149</v>
      </c>
      <c r="C2200" s="3" t="s">
        <v>2150</v>
      </c>
      <c r="D2200" s="3" t="s">
        <v>2151</v>
      </c>
      <c r="E2200" s="3" t="s">
        <v>867</v>
      </c>
      <c r="F2200" s="3">
        <v>26.98</v>
      </c>
      <c r="G2200" s="3" t="s">
        <v>3391</v>
      </c>
      <c r="H2200" s="3"/>
      <c r="I2200" s="3" t="s">
        <v>3392</v>
      </c>
      <c r="J2200" s="3">
        <v>3</v>
      </c>
      <c r="K2200" s="3">
        <v>3</v>
      </c>
      <c r="L2200" s="3">
        <v>0</v>
      </c>
      <c r="M2200" s="3">
        <v>0</v>
      </c>
      <c r="N2200" s="3">
        <v>7</v>
      </c>
      <c r="O2200" s="3">
        <v>0.13</v>
      </c>
      <c r="P2200" s="3">
        <v>0</v>
      </c>
      <c r="Q2200" s="3">
        <v>4</v>
      </c>
      <c r="R2200" s="3">
        <v>0</v>
      </c>
    </row>
    <row r="2201" spans="1:18">
      <c r="A2201" s="3" t="s">
        <v>6829</v>
      </c>
      <c r="B2201" s="3" t="s">
        <v>6830</v>
      </c>
      <c r="C2201" s="3" t="s">
        <v>731</v>
      </c>
      <c r="D2201" s="3" t="s">
        <v>732</v>
      </c>
      <c r="E2201" s="3" t="s">
        <v>867</v>
      </c>
      <c r="F2201" s="3">
        <v>26.98</v>
      </c>
      <c r="G2201" s="3" t="s">
        <v>3391</v>
      </c>
      <c r="H2201" s="3"/>
      <c r="I2201" s="3" t="s">
        <v>3392</v>
      </c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>
        <v>0.13</v>
      </c>
      <c r="P2201" s="3">
        <v>0</v>
      </c>
      <c r="Q2201" s="3">
        <v>0</v>
      </c>
      <c r="R2201" s="3">
        <v>0</v>
      </c>
    </row>
    <row r="2202" spans="1:18">
      <c r="A2202" s="3" t="s">
        <v>6831</v>
      </c>
      <c r="B2202" s="3" t="s">
        <v>6832</v>
      </c>
      <c r="C2202" s="3" t="s">
        <v>6833</v>
      </c>
      <c r="D2202" s="3" t="s">
        <v>6834</v>
      </c>
      <c r="E2202" s="3" t="s">
        <v>867</v>
      </c>
      <c r="F2202" s="3">
        <v>26.98</v>
      </c>
      <c r="G2202" s="3" t="s">
        <v>3391</v>
      </c>
      <c r="H2202" s="3"/>
      <c r="I2202" s="3" t="s">
        <v>3392</v>
      </c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>
        <v>0.13</v>
      </c>
      <c r="P2202" s="3">
        <v>0</v>
      </c>
      <c r="Q2202" s="3">
        <v>0</v>
      </c>
      <c r="R2202" s="3">
        <v>0</v>
      </c>
    </row>
    <row r="2203" spans="1:18">
      <c r="A2203" s="3" t="s">
        <v>6835</v>
      </c>
      <c r="B2203" s="3" t="s">
        <v>6836</v>
      </c>
      <c r="C2203" s="3" t="s">
        <v>6837</v>
      </c>
      <c r="D2203" s="3" t="s">
        <v>6838</v>
      </c>
      <c r="E2203" s="3" t="s">
        <v>867</v>
      </c>
      <c r="F2203" s="3">
        <v>26.98</v>
      </c>
      <c r="G2203" s="3" t="s">
        <v>3391</v>
      </c>
      <c r="H2203" s="3"/>
      <c r="I2203" s="3" t="s">
        <v>3392</v>
      </c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>
        <v>0.13</v>
      </c>
      <c r="P2203" s="3">
        <v>0</v>
      </c>
      <c r="Q2203" s="3">
        <v>0</v>
      </c>
      <c r="R2203" s="3">
        <v>0</v>
      </c>
    </row>
    <row r="2204" spans="1:18">
      <c r="A2204" s="3" t="s">
        <v>6839</v>
      </c>
      <c r="B2204" s="3" t="s">
        <v>6840</v>
      </c>
      <c r="C2204" s="3" t="s">
        <v>1177</v>
      </c>
      <c r="D2204" s="3" t="s">
        <v>1178</v>
      </c>
      <c r="E2204" s="3" t="s">
        <v>867</v>
      </c>
      <c r="F2204" s="3">
        <v>26.98</v>
      </c>
      <c r="G2204" s="3" t="s">
        <v>3391</v>
      </c>
      <c r="H2204" s="3"/>
      <c r="I2204" s="3" t="s">
        <v>3392</v>
      </c>
      <c r="J2204" s="3">
        <v>0</v>
      </c>
      <c r="K2204" s="3">
        <v>0</v>
      </c>
      <c r="L2204" s="3">
        <v>0</v>
      </c>
      <c r="M2204" s="3">
        <v>0</v>
      </c>
      <c r="N2204" s="3">
        <v>3</v>
      </c>
      <c r="O2204" s="3">
        <v>0.13</v>
      </c>
      <c r="P2204" s="3">
        <v>0</v>
      </c>
      <c r="Q2204" s="3">
        <v>3</v>
      </c>
      <c r="R2204" s="3">
        <v>0</v>
      </c>
    </row>
    <row r="2205" spans="1:18">
      <c r="A2205" s="3" t="s">
        <v>6841</v>
      </c>
      <c r="B2205" s="3" t="s">
        <v>6842</v>
      </c>
      <c r="C2205" s="3" t="s">
        <v>2758</v>
      </c>
      <c r="D2205" s="3" t="s">
        <v>2759</v>
      </c>
      <c r="E2205" s="3" t="s">
        <v>867</v>
      </c>
      <c r="F2205" s="3">
        <v>26.98</v>
      </c>
      <c r="G2205" s="3" t="s">
        <v>3391</v>
      </c>
      <c r="H2205" s="3"/>
      <c r="I2205" s="3" t="s">
        <v>3392</v>
      </c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>
        <v>0.13</v>
      </c>
      <c r="P2205" s="3">
        <v>0</v>
      </c>
      <c r="Q2205" s="3">
        <v>0</v>
      </c>
      <c r="R2205" s="3">
        <v>0</v>
      </c>
    </row>
    <row r="2206" spans="1:18">
      <c r="A2206" s="3" t="s">
        <v>1409</v>
      </c>
      <c r="B2206" s="3" t="s">
        <v>1410</v>
      </c>
      <c r="C2206" s="3" t="s">
        <v>1411</v>
      </c>
      <c r="D2206" s="3" t="s">
        <v>1412</v>
      </c>
      <c r="E2206" s="3" t="s">
        <v>867</v>
      </c>
      <c r="F2206" s="3">
        <v>26.98</v>
      </c>
      <c r="G2206" s="3" t="s">
        <v>3391</v>
      </c>
      <c r="H2206" s="3"/>
      <c r="I2206" s="3" t="s">
        <v>3392</v>
      </c>
      <c r="J2206" s="3">
        <v>2</v>
      </c>
      <c r="K2206" s="3">
        <v>2</v>
      </c>
      <c r="L2206" s="3">
        <v>0</v>
      </c>
      <c r="M2206" s="3">
        <v>0</v>
      </c>
      <c r="N2206" s="3">
        <v>12</v>
      </c>
      <c r="O2206" s="3">
        <v>0.13</v>
      </c>
      <c r="P2206" s="3">
        <v>0</v>
      </c>
      <c r="Q2206" s="3">
        <v>10</v>
      </c>
      <c r="R2206" s="3">
        <v>0</v>
      </c>
    </row>
    <row r="2207" spans="1:18">
      <c r="A2207" s="3" t="s">
        <v>2898</v>
      </c>
      <c r="B2207" s="3" t="s">
        <v>2899</v>
      </c>
      <c r="C2207" s="3" t="s">
        <v>2900</v>
      </c>
      <c r="D2207" s="3" t="s">
        <v>2901</v>
      </c>
      <c r="E2207" s="3" t="s">
        <v>867</v>
      </c>
      <c r="F2207" s="3">
        <v>26.98</v>
      </c>
      <c r="G2207" s="3" t="s">
        <v>3391</v>
      </c>
      <c r="H2207" s="3"/>
      <c r="I2207" s="3" t="s">
        <v>3392</v>
      </c>
      <c r="J2207" s="3">
        <v>3</v>
      </c>
      <c r="K2207" s="3">
        <v>3</v>
      </c>
      <c r="L2207" s="3">
        <v>0</v>
      </c>
      <c r="M2207" s="3">
        <v>0</v>
      </c>
      <c r="N2207" s="3">
        <v>13</v>
      </c>
      <c r="O2207" s="3">
        <v>0.13</v>
      </c>
      <c r="P2207" s="3">
        <v>0</v>
      </c>
      <c r="Q2207" s="3">
        <v>10</v>
      </c>
      <c r="R2207" s="3">
        <v>0</v>
      </c>
    </row>
    <row r="2208" spans="1:18">
      <c r="A2208" s="3" t="s">
        <v>6843</v>
      </c>
      <c r="B2208" s="3" t="s">
        <v>6844</v>
      </c>
      <c r="C2208" s="3" t="s">
        <v>1383</v>
      </c>
      <c r="D2208" s="3" t="s">
        <v>1384</v>
      </c>
      <c r="E2208" s="3" t="s">
        <v>867</v>
      </c>
      <c r="F2208" s="3">
        <v>26.98</v>
      </c>
      <c r="G2208" s="3" t="s">
        <v>3391</v>
      </c>
      <c r="H2208" s="3"/>
      <c r="I2208" s="3" t="s">
        <v>3392</v>
      </c>
      <c r="J2208" s="3">
        <v>0</v>
      </c>
      <c r="K2208" s="3">
        <v>0</v>
      </c>
      <c r="L2208" s="3">
        <v>0</v>
      </c>
      <c r="M2208" s="3">
        <v>0</v>
      </c>
      <c r="N2208" s="3">
        <v>5</v>
      </c>
      <c r="O2208" s="3">
        <v>0.13</v>
      </c>
      <c r="P2208" s="3">
        <v>0</v>
      </c>
      <c r="Q2208" s="3">
        <v>5</v>
      </c>
      <c r="R2208" s="3">
        <v>0</v>
      </c>
    </row>
    <row r="2209" spans="1:18">
      <c r="A2209" s="3" t="s">
        <v>2568</v>
      </c>
      <c r="B2209" s="3" t="s">
        <v>2569</v>
      </c>
      <c r="C2209" s="3" t="s">
        <v>2570</v>
      </c>
      <c r="D2209" s="3" t="s">
        <v>2571</v>
      </c>
      <c r="E2209" s="3" t="s">
        <v>867</v>
      </c>
      <c r="F2209" s="3">
        <v>26.98</v>
      </c>
      <c r="G2209" s="3" t="s">
        <v>3391</v>
      </c>
      <c r="H2209" s="3"/>
      <c r="I2209" s="3" t="s">
        <v>3392</v>
      </c>
      <c r="J2209" s="3">
        <v>4</v>
      </c>
      <c r="K2209" s="3">
        <v>4</v>
      </c>
      <c r="L2209" s="3">
        <v>0</v>
      </c>
      <c r="M2209" s="3">
        <v>0</v>
      </c>
      <c r="N2209" s="3">
        <v>14</v>
      </c>
      <c r="O2209" s="3">
        <v>0.13</v>
      </c>
      <c r="P2209" s="3">
        <v>0</v>
      </c>
      <c r="Q2209" s="3">
        <v>10</v>
      </c>
      <c r="R2209" s="3">
        <v>0</v>
      </c>
    </row>
    <row r="2210" spans="1:18">
      <c r="A2210" s="3" t="s">
        <v>1653</v>
      </c>
      <c r="B2210" s="3" t="s">
        <v>1654</v>
      </c>
      <c r="C2210" s="3" t="s">
        <v>1655</v>
      </c>
      <c r="D2210" s="3" t="s">
        <v>1656</v>
      </c>
      <c r="E2210" s="3" t="s">
        <v>867</v>
      </c>
      <c r="F2210" s="3">
        <v>26.98</v>
      </c>
      <c r="G2210" s="3" t="s">
        <v>3391</v>
      </c>
      <c r="H2210" s="3"/>
      <c r="I2210" s="3" t="s">
        <v>3392</v>
      </c>
      <c r="J2210" s="3">
        <v>4</v>
      </c>
      <c r="K2210" s="3">
        <v>4</v>
      </c>
      <c r="L2210" s="3">
        <v>0</v>
      </c>
      <c r="M2210" s="3">
        <v>0</v>
      </c>
      <c r="N2210" s="3">
        <v>14</v>
      </c>
      <c r="O2210" s="3">
        <v>0.13</v>
      </c>
      <c r="P2210" s="3">
        <v>0</v>
      </c>
      <c r="Q2210" s="3">
        <v>10</v>
      </c>
      <c r="R2210" s="3">
        <v>0</v>
      </c>
    </row>
    <row r="2211" spans="1:18">
      <c r="A2211" s="3" t="s">
        <v>986</v>
      </c>
      <c r="B2211" s="3" t="s">
        <v>987</v>
      </c>
      <c r="C2211" s="3" t="s">
        <v>988</v>
      </c>
      <c r="D2211" s="3" t="s">
        <v>989</v>
      </c>
      <c r="E2211" s="3" t="s">
        <v>867</v>
      </c>
      <c r="F2211" s="3">
        <v>26.98</v>
      </c>
      <c r="G2211" s="3" t="s">
        <v>3391</v>
      </c>
      <c r="H2211" s="3"/>
      <c r="I2211" s="3" t="s">
        <v>3392</v>
      </c>
      <c r="J2211" s="3">
        <v>4</v>
      </c>
      <c r="K2211" s="3">
        <v>4</v>
      </c>
      <c r="L2211" s="3">
        <v>0</v>
      </c>
      <c r="M2211" s="3">
        <v>0</v>
      </c>
      <c r="N2211" s="3">
        <v>14</v>
      </c>
      <c r="O2211" s="3">
        <v>0.13</v>
      </c>
      <c r="P2211" s="3">
        <v>0</v>
      </c>
      <c r="Q2211" s="3">
        <v>10</v>
      </c>
      <c r="R2211" s="3">
        <v>0</v>
      </c>
    </row>
    <row r="2212" spans="1:18">
      <c r="A2212" s="3" t="s">
        <v>6845</v>
      </c>
      <c r="B2212" s="3" t="s">
        <v>6846</v>
      </c>
      <c r="C2212" s="3" t="s">
        <v>2820</v>
      </c>
      <c r="D2212" s="3" t="s">
        <v>2821</v>
      </c>
      <c r="E2212" s="3" t="s">
        <v>867</v>
      </c>
      <c r="F2212" s="3">
        <v>26.98</v>
      </c>
      <c r="G2212" s="3" t="s">
        <v>3391</v>
      </c>
      <c r="H2212" s="3"/>
      <c r="I2212" s="3" t="s">
        <v>3392</v>
      </c>
      <c r="J2212" s="3">
        <v>0</v>
      </c>
      <c r="K2212" s="3">
        <v>0</v>
      </c>
      <c r="L2212" s="3">
        <v>0</v>
      </c>
      <c r="M2212" s="3">
        <v>0</v>
      </c>
      <c r="N2212" s="3">
        <v>5</v>
      </c>
      <c r="O2212" s="3">
        <v>0.13</v>
      </c>
      <c r="P2212" s="3">
        <v>0</v>
      </c>
      <c r="Q2212" s="3">
        <v>5</v>
      </c>
      <c r="R2212" s="3">
        <v>0</v>
      </c>
    </row>
    <row r="2213" spans="1:18">
      <c r="A2213" s="3" t="s">
        <v>6847</v>
      </c>
      <c r="B2213" s="3" t="s">
        <v>6848</v>
      </c>
      <c r="C2213" s="3" t="s">
        <v>725</v>
      </c>
      <c r="D2213" s="3" t="s">
        <v>726</v>
      </c>
      <c r="E2213" s="3" t="s">
        <v>867</v>
      </c>
      <c r="F2213" s="3">
        <v>26.98</v>
      </c>
      <c r="G2213" s="3" t="s">
        <v>3391</v>
      </c>
      <c r="H2213" s="3"/>
      <c r="I2213" s="3" t="s">
        <v>3392</v>
      </c>
      <c r="J2213" s="3">
        <v>0</v>
      </c>
      <c r="K2213" s="3">
        <v>0</v>
      </c>
      <c r="L2213" s="3">
        <v>0</v>
      </c>
      <c r="M2213" s="3">
        <v>0</v>
      </c>
      <c r="N2213" s="3">
        <v>13</v>
      </c>
      <c r="O2213" s="3">
        <v>0.13</v>
      </c>
      <c r="P2213" s="3">
        <v>0</v>
      </c>
      <c r="Q2213" s="3">
        <v>13</v>
      </c>
      <c r="R2213" s="3">
        <v>0</v>
      </c>
    </row>
    <row r="2214" spans="1:18">
      <c r="A2214" s="3" t="s">
        <v>2934</v>
      </c>
      <c r="B2214" s="3" t="s">
        <v>2935</v>
      </c>
      <c r="C2214" s="3" t="s">
        <v>2936</v>
      </c>
      <c r="D2214" s="3" t="s">
        <v>2937</v>
      </c>
      <c r="E2214" s="3" t="s">
        <v>867</v>
      </c>
      <c r="F2214" s="3">
        <v>26.98</v>
      </c>
      <c r="G2214" s="3" t="s">
        <v>3391</v>
      </c>
      <c r="H2214" s="3"/>
      <c r="I2214" s="3" t="s">
        <v>3392</v>
      </c>
      <c r="J2214" s="3">
        <v>0</v>
      </c>
      <c r="K2214" s="3">
        <v>0</v>
      </c>
      <c r="L2214" s="3">
        <v>0</v>
      </c>
      <c r="M2214" s="3">
        <v>0</v>
      </c>
      <c r="N2214" s="3">
        <v>10</v>
      </c>
      <c r="O2214" s="3">
        <v>0.13</v>
      </c>
      <c r="P2214" s="3">
        <v>0</v>
      </c>
      <c r="Q2214" s="3">
        <v>10</v>
      </c>
      <c r="R2214" s="3">
        <v>0</v>
      </c>
    </row>
    <row r="2215" spans="1:18">
      <c r="A2215" s="3" t="s">
        <v>2877</v>
      </c>
      <c r="B2215" s="3" t="s">
        <v>2878</v>
      </c>
      <c r="C2215" s="3" t="s">
        <v>2879</v>
      </c>
      <c r="D2215" s="3" t="s">
        <v>2880</v>
      </c>
      <c r="E2215" s="3" t="s">
        <v>867</v>
      </c>
      <c r="F2215" s="3">
        <v>26.98</v>
      </c>
      <c r="G2215" s="3" t="s">
        <v>3391</v>
      </c>
      <c r="H2215" s="3"/>
      <c r="I2215" s="3" t="s">
        <v>3392</v>
      </c>
      <c r="J2215" s="3">
        <v>2</v>
      </c>
      <c r="K2215" s="3">
        <v>2</v>
      </c>
      <c r="L2215" s="3">
        <v>0</v>
      </c>
      <c r="M2215" s="3">
        <v>0</v>
      </c>
      <c r="N2215" s="3">
        <v>12</v>
      </c>
      <c r="O2215" s="3">
        <v>0.13</v>
      </c>
      <c r="P2215" s="3">
        <v>0</v>
      </c>
      <c r="Q2215" s="3">
        <v>10</v>
      </c>
      <c r="R2215" s="3">
        <v>0</v>
      </c>
    </row>
    <row r="2216" spans="1:18">
      <c r="A2216" s="3" t="s">
        <v>6849</v>
      </c>
      <c r="B2216" s="3" t="s">
        <v>6850</v>
      </c>
      <c r="C2216" s="3" t="s">
        <v>2945</v>
      </c>
      <c r="D2216" s="3" t="s">
        <v>2946</v>
      </c>
      <c r="E2216" s="3" t="s">
        <v>867</v>
      </c>
      <c r="F2216" s="3">
        <v>26.98</v>
      </c>
      <c r="G2216" s="3" t="s">
        <v>3391</v>
      </c>
      <c r="H2216" s="3"/>
      <c r="I2216" s="3" t="s">
        <v>3392</v>
      </c>
      <c r="J2216" s="3">
        <v>0</v>
      </c>
      <c r="K2216" s="3">
        <v>0</v>
      </c>
      <c r="L2216" s="3">
        <v>0</v>
      </c>
      <c r="M2216" s="3">
        <v>0</v>
      </c>
      <c r="N2216" s="3">
        <v>5</v>
      </c>
      <c r="O2216" s="3">
        <v>0.13</v>
      </c>
      <c r="P2216" s="3">
        <v>0</v>
      </c>
      <c r="Q2216" s="3">
        <v>5</v>
      </c>
      <c r="R2216" s="3">
        <v>0</v>
      </c>
    </row>
    <row r="2217" spans="1:18">
      <c r="A2217" s="3" t="s">
        <v>2439</v>
      </c>
      <c r="B2217" s="3" t="s">
        <v>2440</v>
      </c>
      <c r="C2217" s="3" t="s">
        <v>2441</v>
      </c>
      <c r="D2217" s="3" t="s">
        <v>2442</v>
      </c>
      <c r="E2217" s="3" t="s">
        <v>867</v>
      </c>
      <c r="F2217" s="3">
        <v>26.98</v>
      </c>
      <c r="G2217" s="3" t="s">
        <v>3391</v>
      </c>
      <c r="H2217" s="3"/>
      <c r="I2217" s="3" t="s">
        <v>3392</v>
      </c>
      <c r="J2217" s="3">
        <v>5</v>
      </c>
      <c r="K2217" s="3">
        <v>5</v>
      </c>
      <c r="L2217" s="3">
        <v>0</v>
      </c>
      <c r="M2217" s="3">
        <v>0</v>
      </c>
      <c r="N2217" s="3">
        <v>15</v>
      </c>
      <c r="O2217" s="3">
        <v>0.13</v>
      </c>
      <c r="P2217" s="3">
        <v>0</v>
      </c>
      <c r="Q2217" s="3">
        <v>10</v>
      </c>
      <c r="R2217" s="3">
        <v>0</v>
      </c>
    </row>
    <row r="2218" spans="1:18">
      <c r="A2218" s="3" t="s">
        <v>6851</v>
      </c>
      <c r="B2218" s="3" t="s">
        <v>6852</v>
      </c>
      <c r="C2218" s="3" t="s">
        <v>6853</v>
      </c>
      <c r="D2218" s="3" t="s">
        <v>6854</v>
      </c>
      <c r="E2218" s="3" t="s">
        <v>867</v>
      </c>
      <c r="F2218" s="3">
        <v>26.98</v>
      </c>
      <c r="G2218" s="3" t="s">
        <v>3391</v>
      </c>
      <c r="H2218" s="3"/>
      <c r="I2218" s="3" t="s">
        <v>3392</v>
      </c>
      <c r="J2218" s="3">
        <v>0</v>
      </c>
      <c r="K2218" s="3">
        <v>0</v>
      </c>
      <c r="L2218" s="3">
        <v>0</v>
      </c>
      <c r="M2218" s="3">
        <v>0</v>
      </c>
      <c r="N2218" s="3">
        <v>0</v>
      </c>
      <c r="O2218" s="3">
        <v>0.13</v>
      </c>
      <c r="P2218" s="3">
        <v>0</v>
      </c>
      <c r="Q2218" s="3">
        <v>0</v>
      </c>
      <c r="R2218" s="3">
        <v>0</v>
      </c>
    </row>
    <row r="2219" spans="1:18">
      <c r="A2219" s="3" t="s">
        <v>6855</v>
      </c>
      <c r="B2219" s="3" t="s">
        <v>6856</v>
      </c>
      <c r="C2219" s="3" t="s">
        <v>6857</v>
      </c>
      <c r="D2219" s="3" t="s">
        <v>6858</v>
      </c>
      <c r="E2219" s="3" t="s">
        <v>867</v>
      </c>
      <c r="F2219" s="3">
        <v>26.98</v>
      </c>
      <c r="G2219" s="3" t="s">
        <v>3391</v>
      </c>
      <c r="H2219" s="3"/>
      <c r="I2219" s="3" t="s">
        <v>3392</v>
      </c>
      <c r="J2219" s="3">
        <v>0</v>
      </c>
      <c r="K2219" s="3">
        <v>0</v>
      </c>
      <c r="L2219" s="3">
        <v>0</v>
      </c>
      <c r="M2219" s="3">
        <v>0</v>
      </c>
      <c r="N2219" s="3">
        <v>0</v>
      </c>
      <c r="O2219" s="3">
        <v>0.13</v>
      </c>
      <c r="P2219" s="3">
        <v>0</v>
      </c>
      <c r="Q2219" s="3">
        <v>0</v>
      </c>
      <c r="R2219" s="3">
        <v>0</v>
      </c>
    </row>
    <row r="2220" spans="1:18">
      <c r="A2220" s="3" t="s">
        <v>6859</v>
      </c>
      <c r="B2220" s="3" t="s">
        <v>6860</v>
      </c>
      <c r="C2220" s="3" t="s">
        <v>2475</v>
      </c>
      <c r="D2220" s="3" t="s">
        <v>2476</v>
      </c>
      <c r="E2220" s="3" t="s">
        <v>867</v>
      </c>
      <c r="F2220" s="3">
        <v>26.98</v>
      </c>
      <c r="G2220" s="3" t="s">
        <v>3391</v>
      </c>
      <c r="H2220" s="3"/>
      <c r="I2220" s="3" t="s">
        <v>3392</v>
      </c>
      <c r="J2220" s="3">
        <v>0</v>
      </c>
      <c r="K2220" s="3">
        <v>0</v>
      </c>
      <c r="L2220" s="3">
        <v>0</v>
      </c>
      <c r="M2220" s="3">
        <v>0</v>
      </c>
      <c r="N2220" s="3">
        <v>2</v>
      </c>
      <c r="O2220" s="3">
        <v>0.13</v>
      </c>
      <c r="P2220" s="3">
        <v>0</v>
      </c>
      <c r="Q2220" s="3">
        <v>2</v>
      </c>
      <c r="R2220" s="3">
        <v>0</v>
      </c>
    </row>
    <row r="2221" spans="1:18">
      <c r="A2221" s="3" t="s">
        <v>6861</v>
      </c>
      <c r="B2221" s="3" t="s">
        <v>6862</v>
      </c>
      <c r="C2221" s="3" t="s">
        <v>2276</v>
      </c>
      <c r="D2221" s="3" t="s">
        <v>2277</v>
      </c>
      <c r="E2221" s="3" t="s">
        <v>867</v>
      </c>
      <c r="F2221" s="3">
        <v>26.98</v>
      </c>
      <c r="G2221" s="3" t="s">
        <v>3391</v>
      </c>
      <c r="H2221" s="3"/>
      <c r="I2221" s="3" t="s">
        <v>3392</v>
      </c>
      <c r="J2221" s="3">
        <v>0</v>
      </c>
      <c r="K2221" s="3">
        <v>0</v>
      </c>
      <c r="L2221" s="3">
        <v>0</v>
      </c>
      <c r="M2221" s="3">
        <v>0</v>
      </c>
      <c r="N2221" s="3">
        <v>0</v>
      </c>
      <c r="O2221" s="3">
        <v>0.13</v>
      </c>
      <c r="P2221" s="3">
        <v>0</v>
      </c>
      <c r="Q2221" s="3">
        <v>0</v>
      </c>
      <c r="R2221" s="3">
        <v>0</v>
      </c>
    </row>
    <row r="2222" spans="1:18">
      <c r="A2222" s="3" t="s">
        <v>6863</v>
      </c>
      <c r="B2222" s="3" t="s">
        <v>6864</v>
      </c>
      <c r="C2222" s="3" t="s">
        <v>3026</v>
      </c>
      <c r="D2222" s="3" t="s">
        <v>3027</v>
      </c>
      <c r="E2222" s="3" t="s">
        <v>867</v>
      </c>
      <c r="F2222" s="3">
        <v>26.98</v>
      </c>
      <c r="G2222" s="3" t="s">
        <v>3391</v>
      </c>
      <c r="H2222" s="3"/>
      <c r="I2222" s="3" t="s">
        <v>3392</v>
      </c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>
        <v>0.13</v>
      </c>
      <c r="P2222" s="3">
        <v>0</v>
      </c>
      <c r="Q2222" s="3">
        <v>0</v>
      </c>
      <c r="R2222" s="3">
        <v>0</v>
      </c>
    </row>
    <row r="2223" spans="1:18">
      <c r="A2223" s="3" t="s">
        <v>6865</v>
      </c>
      <c r="B2223" s="3" t="s">
        <v>6866</v>
      </c>
      <c r="C2223" s="3" t="s">
        <v>6867</v>
      </c>
      <c r="D2223" s="3" t="s">
        <v>6868</v>
      </c>
      <c r="E2223" s="3" t="s">
        <v>867</v>
      </c>
      <c r="F2223" s="3">
        <v>26.98</v>
      </c>
      <c r="G2223" s="3" t="s">
        <v>3391</v>
      </c>
      <c r="H2223" s="3"/>
      <c r="I2223" s="3" t="s">
        <v>3392</v>
      </c>
      <c r="J2223" s="3">
        <v>0</v>
      </c>
      <c r="K2223" s="3">
        <v>0</v>
      </c>
      <c r="L2223" s="3">
        <v>0</v>
      </c>
      <c r="M2223" s="3">
        <v>0</v>
      </c>
      <c r="N2223" s="3">
        <v>0</v>
      </c>
      <c r="O2223" s="3">
        <v>0.13</v>
      </c>
      <c r="P2223" s="3">
        <v>0</v>
      </c>
      <c r="Q2223" s="3">
        <v>0</v>
      </c>
      <c r="R2223" s="3">
        <v>0</v>
      </c>
    </row>
    <row r="2224" spans="1:18">
      <c r="A2224" s="3" t="s">
        <v>6869</v>
      </c>
      <c r="B2224" s="3" t="s">
        <v>6870</v>
      </c>
      <c r="C2224" s="3" t="s">
        <v>3228</v>
      </c>
      <c r="D2224" s="3" t="s">
        <v>3229</v>
      </c>
      <c r="E2224" s="3" t="s">
        <v>867</v>
      </c>
      <c r="F2224" s="3">
        <v>26.98</v>
      </c>
      <c r="G2224" s="3" t="s">
        <v>3391</v>
      </c>
      <c r="H2224" s="3"/>
      <c r="I2224" s="3" t="s">
        <v>3392</v>
      </c>
      <c r="J2224" s="3">
        <v>0</v>
      </c>
      <c r="K2224" s="3">
        <v>0</v>
      </c>
      <c r="L2224" s="3">
        <v>0</v>
      </c>
      <c r="M2224" s="3">
        <v>0</v>
      </c>
      <c r="N2224" s="3">
        <v>2</v>
      </c>
      <c r="O2224" s="3">
        <v>0.13</v>
      </c>
      <c r="P2224" s="3">
        <v>0</v>
      </c>
      <c r="Q2224" s="3">
        <v>2</v>
      </c>
      <c r="R2224" s="3">
        <v>0</v>
      </c>
    </row>
    <row r="2225" spans="1:18">
      <c r="A2225" s="3" t="s">
        <v>6871</v>
      </c>
      <c r="B2225" s="3" t="s">
        <v>6872</v>
      </c>
      <c r="C2225" s="3" t="s">
        <v>1599</v>
      </c>
      <c r="D2225" s="3" t="s">
        <v>1600</v>
      </c>
      <c r="E2225" s="3" t="s">
        <v>867</v>
      </c>
      <c r="F2225" s="3">
        <v>26.98</v>
      </c>
      <c r="G2225" s="3" t="s">
        <v>3391</v>
      </c>
      <c r="H2225" s="3"/>
      <c r="I2225" s="3" t="s">
        <v>3392</v>
      </c>
      <c r="J2225" s="3">
        <v>0</v>
      </c>
      <c r="K2225" s="3">
        <v>0</v>
      </c>
      <c r="L2225" s="3">
        <v>0</v>
      </c>
      <c r="M2225" s="3">
        <v>0</v>
      </c>
      <c r="N2225" s="3">
        <v>0</v>
      </c>
      <c r="O2225" s="3">
        <v>0.13</v>
      </c>
      <c r="P2225" s="3">
        <v>0</v>
      </c>
      <c r="Q2225" s="3">
        <v>0</v>
      </c>
      <c r="R2225" s="3">
        <v>0</v>
      </c>
    </row>
    <row r="2226" spans="1:18">
      <c r="A2226" s="3" t="s">
        <v>1304</v>
      </c>
      <c r="B2226" s="3" t="s">
        <v>1305</v>
      </c>
      <c r="C2226" s="3" t="s">
        <v>1306</v>
      </c>
      <c r="D2226" s="3" t="s">
        <v>1307</v>
      </c>
      <c r="E2226" s="3" t="s">
        <v>867</v>
      </c>
      <c r="F2226" s="3">
        <v>20.98</v>
      </c>
      <c r="G2226" s="3" t="s">
        <v>3391</v>
      </c>
      <c r="H2226" s="3"/>
      <c r="I2226" s="3" t="s">
        <v>3392</v>
      </c>
      <c r="J2226" s="3">
        <v>9</v>
      </c>
      <c r="K2226" s="3">
        <v>9</v>
      </c>
      <c r="L2226" s="3">
        <v>0</v>
      </c>
      <c r="M2226" s="3">
        <v>0</v>
      </c>
      <c r="N2226" s="3">
        <v>42</v>
      </c>
      <c r="O2226" s="3">
        <v>0.11</v>
      </c>
      <c r="P2226" s="3">
        <v>0</v>
      </c>
      <c r="Q2226" s="3">
        <v>33</v>
      </c>
      <c r="R2226" s="3">
        <v>0</v>
      </c>
    </row>
    <row r="2227" spans="1:18">
      <c r="A2227" s="3" t="s">
        <v>6873</v>
      </c>
      <c r="B2227" s="3" t="s">
        <v>6874</v>
      </c>
      <c r="C2227" s="3" t="s">
        <v>1139</v>
      </c>
      <c r="D2227" s="3" t="s">
        <v>1140</v>
      </c>
      <c r="E2227" s="3" t="s">
        <v>867</v>
      </c>
      <c r="F2227" s="3">
        <v>20.98</v>
      </c>
      <c r="G2227" s="3" t="s">
        <v>3391</v>
      </c>
      <c r="H2227" s="3"/>
      <c r="I2227" s="3" t="s">
        <v>3392</v>
      </c>
      <c r="J2227" s="3">
        <v>0</v>
      </c>
      <c r="K2227" s="3">
        <v>0</v>
      </c>
      <c r="L2227" s="3">
        <v>0</v>
      </c>
      <c r="M2227" s="3">
        <v>0</v>
      </c>
      <c r="N2227" s="3">
        <v>36</v>
      </c>
      <c r="O2227" s="3">
        <v>0.08</v>
      </c>
      <c r="P2227" s="3">
        <v>0</v>
      </c>
      <c r="Q2227" s="3">
        <v>36</v>
      </c>
      <c r="R2227" s="3">
        <v>0</v>
      </c>
    </row>
    <row r="2228" spans="1:18">
      <c r="A2228" s="3" t="s">
        <v>6875</v>
      </c>
      <c r="B2228" s="3" t="s">
        <v>6876</v>
      </c>
      <c r="C2228" s="3" t="s">
        <v>2450</v>
      </c>
      <c r="D2228" s="3" t="s">
        <v>2451</v>
      </c>
      <c r="E2228" s="3" t="s">
        <v>867</v>
      </c>
      <c r="F2228" s="3">
        <v>20.98</v>
      </c>
      <c r="G2228" s="3" t="s">
        <v>3391</v>
      </c>
      <c r="H2228" s="3"/>
      <c r="I2228" s="3" t="s">
        <v>3392</v>
      </c>
      <c r="J2228" s="3">
        <v>0</v>
      </c>
      <c r="K2228" s="3">
        <v>0</v>
      </c>
      <c r="L2228" s="3">
        <v>0</v>
      </c>
      <c r="M2228" s="3">
        <v>0</v>
      </c>
      <c r="N2228" s="3">
        <v>25</v>
      </c>
      <c r="O2228" s="3">
        <v>0.08</v>
      </c>
      <c r="P2228" s="3">
        <v>0</v>
      </c>
      <c r="Q2228" s="3">
        <v>25</v>
      </c>
      <c r="R2228" s="3">
        <v>0</v>
      </c>
    </row>
    <row r="2229" spans="1:18">
      <c r="A2229" s="3" t="s">
        <v>6877</v>
      </c>
      <c r="B2229" s="3" t="s">
        <v>6878</v>
      </c>
      <c r="C2229" s="3" t="s">
        <v>1903</v>
      </c>
      <c r="D2229" s="3" t="s">
        <v>1904</v>
      </c>
      <c r="E2229" s="3" t="s">
        <v>867</v>
      </c>
      <c r="F2229" s="3">
        <v>20.98</v>
      </c>
      <c r="G2229" s="3" t="s">
        <v>3391</v>
      </c>
      <c r="H2229" s="3"/>
      <c r="I2229" s="3" t="s">
        <v>3392</v>
      </c>
      <c r="J2229" s="3">
        <v>0</v>
      </c>
      <c r="K2229" s="3">
        <v>0</v>
      </c>
      <c r="L2229" s="3">
        <v>0</v>
      </c>
      <c r="M2229" s="3">
        <v>0</v>
      </c>
      <c r="N2229" s="3">
        <v>36</v>
      </c>
      <c r="O2229" s="3">
        <v>0.08</v>
      </c>
      <c r="P2229" s="3">
        <v>0</v>
      </c>
      <c r="Q2229" s="3">
        <v>36</v>
      </c>
      <c r="R2229" s="3">
        <v>0</v>
      </c>
    </row>
    <row r="2230" spans="1:18">
      <c r="A2230" s="3" t="s">
        <v>6879</v>
      </c>
      <c r="B2230" s="3" t="s">
        <v>6880</v>
      </c>
      <c r="C2230" s="3" t="s">
        <v>1759</v>
      </c>
      <c r="D2230" s="3" t="s">
        <v>1760</v>
      </c>
      <c r="E2230" s="3" t="s">
        <v>867</v>
      </c>
      <c r="F2230" s="3">
        <v>20.98</v>
      </c>
      <c r="G2230" s="3" t="s">
        <v>3391</v>
      </c>
      <c r="H2230" s="3"/>
      <c r="I2230" s="3" t="s">
        <v>3392</v>
      </c>
      <c r="J2230" s="3">
        <v>0</v>
      </c>
      <c r="K2230" s="3">
        <v>0</v>
      </c>
      <c r="L2230" s="3">
        <v>0</v>
      </c>
      <c r="M2230" s="3">
        <v>0</v>
      </c>
      <c r="N2230" s="3">
        <v>35</v>
      </c>
      <c r="O2230" s="3">
        <v>0.08</v>
      </c>
      <c r="P2230" s="3">
        <v>0</v>
      </c>
      <c r="Q2230" s="3">
        <v>35</v>
      </c>
      <c r="R2230" s="3">
        <v>0</v>
      </c>
    </row>
    <row r="2231" spans="1:18">
      <c r="A2231" s="3" t="s">
        <v>1866</v>
      </c>
      <c r="B2231" s="3" t="s">
        <v>1867</v>
      </c>
      <c r="C2231" s="3" t="s">
        <v>1386</v>
      </c>
      <c r="D2231" s="3" t="s">
        <v>1387</v>
      </c>
      <c r="E2231" s="3" t="s">
        <v>867</v>
      </c>
      <c r="F2231" s="3">
        <v>20.98</v>
      </c>
      <c r="G2231" s="3" t="s">
        <v>3391</v>
      </c>
      <c r="H2231" s="3"/>
      <c r="I2231" s="3" t="s">
        <v>3392</v>
      </c>
      <c r="J2231" s="3">
        <v>1</v>
      </c>
      <c r="K2231" s="3">
        <v>1</v>
      </c>
      <c r="L2231" s="3">
        <v>0</v>
      </c>
      <c r="M2231" s="3">
        <v>0</v>
      </c>
      <c r="N2231" s="3">
        <v>21</v>
      </c>
      <c r="O2231" s="3">
        <v>0.08</v>
      </c>
      <c r="P2231" s="3">
        <v>0</v>
      </c>
      <c r="Q2231" s="3">
        <v>20</v>
      </c>
      <c r="R2231" s="3">
        <v>0</v>
      </c>
    </row>
    <row r="2232" spans="1:18">
      <c r="A2232" s="3" t="s">
        <v>6881</v>
      </c>
      <c r="B2232" s="3" t="s">
        <v>6882</v>
      </c>
      <c r="C2232" s="3" t="s">
        <v>1400</v>
      </c>
      <c r="D2232" s="3" t="s">
        <v>1401</v>
      </c>
      <c r="E2232" s="3" t="s">
        <v>867</v>
      </c>
      <c r="F2232" s="3">
        <v>20.98</v>
      </c>
      <c r="G2232" s="3" t="s">
        <v>3391</v>
      </c>
      <c r="H2232" s="3"/>
      <c r="I2232" s="3" t="s">
        <v>3392</v>
      </c>
      <c r="J2232" s="3">
        <v>0</v>
      </c>
      <c r="K2232" s="3">
        <v>0</v>
      </c>
      <c r="L2232" s="3">
        <v>0</v>
      </c>
      <c r="M2232" s="3">
        <v>0</v>
      </c>
      <c r="N2232" s="3">
        <v>18</v>
      </c>
      <c r="O2232" s="3">
        <v>0.08</v>
      </c>
      <c r="P2232" s="3">
        <v>0</v>
      </c>
      <c r="Q2232" s="3">
        <v>18</v>
      </c>
      <c r="R2232" s="3">
        <v>0</v>
      </c>
    </row>
    <row r="2233" spans="1:18">
      <c r="A2233" s="3" t="s">
        <v>6883</v>
      </c>
      <c r="B2233" s="3" t="s">
        <v>6884</v>
      </c>
      <c r="C2233" s="3" t="s">
        <v>2962</v>
      </c>
      <c r="D2233" s="3" t="s">
        <v>2963</v>
      </c>
      <c r="E2233" s="3" t="s">
        <v>867</v>
      </c>
      <c r="F2233" s="3">
        <v>20.98</v>
      </c>
      <c r="G2233" s="3" t="s">
        <v>3391</v>
      </c>
      <c r="H2233" s="3"/>
      <c r="I2233" s="3" t="s">
        <v>3392</v>
      </c>
      <c r="J2233" s="3">
        <v>0</v>
      </c>
      <c r="K2233" s="3">
        <v>0</v>
      </c>
      <c r="L2233" s="3">
        <v>0</v>
      </c>
      <c r="M2233" s="3">
        <v>0</v>
      </c>
      <c r="N2233" s="3">
        <v>29</v>
      </c>
      <c r="O2233" s="3">
        <v>0.08</v>
      </c>
      <c r="P2233" s="3">
        <v>0</v>
      </c>
      <c r="Q2233" s="3">
        <v>29</v>
      </c>
      <c r="R2233" s="3">
        <v>0</v>
      </c>
    </row>
    <row r="2234" spans="1:18">
      <c r="A2234" s="3" t="s">
        <v>6885</v>
      </c>
      <c r="B2234" s="3" t="s">
        <v>6886</v>
      </c>
      <c r="C2234" s="3" t="s">
        <v>728</v>
      </c>
      <c r="D2234" s="3" t="s">
        <v>729</v>
      </c>
      <c r="E2234" s="3" t="s">
        <v>867</v>
      </c>
      <c r="F2234" s="3">
        <v>20.98</v>
      </c>
      <c r="G2234" s="3" t="s">
        <v>3391</v>
      </c>
      <c r="H2234" s="3"/>
      <c r="I2234" s="3" t="s">
        <v>3392</v>
      </c>
      <c r="J2234" s="3">
        <v>0</v>
      </c>
      <c r="K2234" s="3">
        <v>0</v>
      </c>
      <c r="L2234" s="3">
        <v>0</v>
      </c>
      <c r="M2234" s="3">
        <v>0</v>
      </c>
      <c r="N2234" s="3">
        <v>41</v>
      </c>
      <c r="O2234" s="3">
        <v>0.08</v>
      </c>
      <c r="P2234" s="3">
        <v>0</v>
      </c>
      <c r="Q2234" s="3">
        <v>41</v>
      </c>
      <c r="R2234" s="3">
        <v>0</v>
      </c>
    </row>
    <row r="2235" spans="1:18">
      <c r="A2235" s="3" t="s">
        <v>2372</v>
      </c>
      <c r="B2235" s="3" t="s">
        <v>2373</v>
      </c>
      <c r="C2235" s="3" t="s">
        <v>2374</v>
      </c>
      <c r="D2235" s="3" t="s">
        <v>2375</v>
      </c>
      <c r="E2235" s="3" t="s">
        <v>867</v>
      </c>
      <c r="F2235" s="3">
        <v>20.98</v>
      </c>
      <c r="G2235" s="3" t="s">
        <v>3391</v>
      </c>
      <c r="H2235" s="3"/>
      <c r="I2235" s="3" t="s">
        <v>3392</v>
      </c>
      <c r="J2235" s="3">
        <v>8</v>
      </c>
      <c r="K2235" s="3">
        <v>8</v>
      </c>
      <c r="L2235" s="3">
        <v>0</v>
      </c>
      <c r="M2235" s="3">
        <v>0</v>
      </c>
      <c r="N2235" s="3">
        <v>25</v>
      </c>
      <c r="O2235" s="3">
        <v>0.08</v>
      </c>
      <c r="P2235" s="3">
        <v>0</v>
      </c>
      <c r="Q2235" s="3">
        <v>17</v>
      </c>
      <c r="R2235" s="3">
        <v>0</v>
      </c>
    </row>
    <row r="2236" spans="1:18">
      <c r="A2236" s="3" t="s">
        <v>6887</v>
      </c>
      <c r="B2236" s="3" t="s">
        <v>6888</v>
      </c>
      <c r="C2236" s="3" t="s">
        <v>2447</v>
      </c>
      <c r="D2236" s="3" t="s">
        <v>2448</v>
      </c>
      <c r="E2236" s="3" t="s">
        <v>867</v>
      </c>
      <c r="F2236" s="3">
        <v>20.98</v>
      </c>
      <c r="G2236" s="3" t="s">
        <v>3391</v>
      </c>
      <c r="H2236" s="3"/>
      <c r="I2236" s="3" t="s">
        <v>3392</v>
      </c>
      <c r="J2236" s="3">
        <v>0</v>
      </c>
      <c r="K2236" s="3">
        <v>0</v>
      </c>
      <c r="L2236" s="3">
        <v>0</v>
      </c>
      <c r="M2236" s="3">
        <v>0</v>
      </c>
      <c r="N2236" s="3">
        <v>14</v>
      </c>
      <c r="O2236" s="3">
        <v>0.08</v>
      </c>
      <c r="P2236" s="3">
        <v>0</v>
      </c>
      <c r="Q2236" s="3">
        <v>14</v>
      </c>
      <c r="R2236" s="3">
        <v>0</v>
      </c>
    </row>
    <row r="2237" spans="1:18">
      <c r="A2237" s="3" t="s">
        <v>2641</v>
      </c>
      <c r="B2237" s="3" t="s">
        <v>2642</v>
      </c>
      <c r="C2237" s="3" t="s">
        <v>719</v>
      </c>
      <c r="D2237" s="3" t="s">
        <v>720</v>
      </c>
      <c r="E2237" s="3" t="s">
        <v>867</v>
      </c>
      <c r="F2237" s="3">
        <v>20.98</v>
      </c>
      <c r="G2237" s="3" t="s">
        <v>3391</v>
      </c>
      <c r="H2237" s="3"/>
      <c r="I2237" s="3" t="s">
        <v>3392</v>
      </c>
      <c r="J2237" s="3">
        <v>8</v>
      </c>
      <c r="K2237" s="3">
        <v>8</v>
      </c>
      <c r="L2237" s="3">
        <v>0</v>
      </c>
      <c r="M2237" s="3">
        <v>0</v>
      </c>
      <c r="N2237" s="3">
        <v>50</v>
      </c>
      <c r="O2237" s="3">
        <v>0.08</v>
      </c>
      <c r="P2237" s="3">
        <v>0</v>
      </c>
      <c r="Q2237" s="3">
        <v>42</v>
      </c>
      <c r="R2237" s="3">
        <v>0</v>
      </c>
    </row>
    <row r="2238" spans="1:18">
      <c r="A2238" s="3" t="s">
        <v>6889</v>
      </c>
      <c r="B2238" s="3" t="s">
        <v>6890</v>
      </c>
      <c r="C2238" s="3" t="s">
        <v>3129</v>
      </c>
      <c r="D2238" s="3" t="s">
        <v>3130</v>
      </c>
      <c r="E2238" s="3" t="s">
        <v>867</v>
      </c>
      <c r="F2238" s="3">
        <v>20.98</v>
      </c>
      <c r="G2238" s="3" t="s">
        <v>3391</v>
      </c>
      <c r="H2238" s="3"/>
      <c r="I2238" s="3" t="s">
        <v>3392</v>
      </c>
      <c r="J2238" s="3">
        <v>0</v>
      </c>
      <c r="K2238" s="3">
        <v>0</v>
      </c>
      <c r="L2238" s="3">
        <v>0</v>
      </c>
      <c r="M2238" s="3">
        <v>0</v>
      </c>
      <c r="N2238" s="3">
        <v>39</v>
      </c>
      <c r="O2238" s="3">
        <v>0.08</v>
      </c>
      <c r="P2238" s="3">
        <v>0</v>
      </c>
      <c r="Q2238" s="3">
        <v>39</v>
      </c>
      <c r="R2238" s="3">
        <v>0</v>
      </c>
    </row>
    <row r="2239" spans="1:18">
      <c r="A2239" s="3" t="s">
        <v>3215</v>
      </c>
      <c r="B2239" s="3" t="s">
        <v>3216</v>
      </c>
      <c r="C2239" s="3" t="s">
        <v>2871</v>
      </c>
      <c r="D2239" s="3" t="s">
        <v>2872</v>
      </c>
      <c r="E2239" s="3" t="s">
        <v>867</v>
      </c>
      <c r="F2239" s="3">
        <v>20.98</v>
      </c>
      <c r="G2239" s="3" t="s">
        <v>3391</v>
      </c>
      <c r="H2239" s="3"/>
      <c r="I2239" s="3" t="s">
        <v>3392</v>
      </c>
      <c r="J2239" s="3">
        <v>6</v>
      </c>
      <c r="K2239" s="3">
        <v>6</v>
      </c>
      <c r="L2239" s="3">
        <v>0</v>
      </c>
      <c r="M2239" s="3">
        <v>0</v>
      </c>
      <c r="N2239" s="3">
        <v>36</v>
      </c>
      <c r="O2239" s="3">
        <v>0.08</v>
      </c>
      <c r="P2239" s="3">
        <v>0</v>
      </c>
      <c r="Q2239" s="3">
        <v>30</v>
      </c>
      <c r="R2239" s="3">
        <v>0</v>
      </c>
    </row>
    <row r="2240" spans="1:18">
      <c r="A2240" s="3" t="s">
        <v>6891</v>
      </c>
      <c r="B2240" s="3" t="s">
        <v>6892</v>
      </c>
      <c r="C2240" s="3" t="s">
        <v>2362</v>
      </c>
      <c r="D2240" s="3" t="s">
        <v>2363</v>
      </c>
      <c r="E2240" s="3" t="s">
        <v>867</v>
      </c>
      <c r="F2240" s="3">
        <v>20.98</v>
      </c>
      <c r="G2240" s="3" t="s">
        <v>3391</v>
      </c>
      <c r="H2240" s="3"/>
      <c r="I2240" s="3" t="s">
        <v>3392</v>
      </c>
      <c r="J2240" s="3">
        <v>0</v>
      </c>
      <c r="K2240" s="3">
        <v>0</v>
      </c>
      <c r="L2240" s="3">
        <v>0</v>
      </c>
      <c r="M2240" s="3">
        <v>0</v>
      </c>
      <c r="N2240" s="3">
        <v>6</v>
      </c>
      <c r="O2240" s="3">
        <v>0.07</v>
      </c>
      <c r="P2240" s="3">
        <v>0</v>
      </c>
      <c r="Q2240" s="3">
        <v>6</v>
      </c>
      <c r="R2240" s="3">
        <v>0</v>
      </c>
    </row>
    <row r="2241" spans="1:18">
      <c r="A2241" s="3" t="s">
        <v>1102</v>
      </c>
      <c r="B2241" s="3" t="s">
        <v>1103</v>
      </c>
      <c r="C2241" s="3" t="s">
        <v>1104</v>
      </c>
      <c r="D2241" s="3" t="s">
        <v>1105</v>
      </c>
      <c r="E2241" s="3" t="s">
        <v>867</v>
      </c>
      <c r="F2241" s="3">
        <v>20.98</v>
      </c>
      <c r="G2241" s="3" t="s">
        <v>3391</v>
      </c>
      <c r="H2241" s="3"/>
      <c r="I2241" s="3" t="s">
        <v>3392</v>
      </c>
      <c r="J2241" s="3">
        <v>3</v>
      </c>
      <c r="K2241" s="3">
        <v>3</v>
      </c>
      <c r="L2241" s="3">
        <v>0</v>
      </c>
      <c r="M2241" s="3">
        <v>0</v>
      </c>
      <c r="N2241" s="3">
        <v>24</v>
      </c>
      <c r="O2241" s="3">
        <v>0.08</v>
      </c>
      <c r="P2241" s="3">
        <v>0</v>
      </c>
      <c r="Q2241" s="3">
        <v>21</v>
      </c>
      <c r="R2241" s="3">
        <v>0</v>
      </c>
    </row>
    <row r="2242" spans="1:18">
      <c r="A2242" s="3" t="s">
        <v>6893</v>
      </c>
      <c r="B2242" s="3" t="s">
        <v>6894</v>
      </c>
      <c r="C2242" s="3" t="s">
        <v>716</v>
      </c>
      <c r="D2242" s="3" t="s">
        <v>717</v>
      </c>
      <c r="E2242" s="3" t="s">
        <v>867</v>
      </c>
      <c r="F2242" s="3">
        <v>20.98</v>
      </c>
      <c r="G2242" s="3" t="s">
        <v>3391</v>
      </c>
      <c r="H2242" s="3"/>
      <c r="I2242" s="3" t="s">
        <v>3392</v>
      </c>
      <c r="J2242" s="3">
        <v>0</v>
      </c>
      <c r="K2242" s="3">
        <v>0</v>
      </c>
      <c r="L2242" s="3">
        <v>0</v>
      </c>
      <c r="M2242" s="3">
        <v>0</v>
      </c>
      <c r="N2242" s="3">
        <v>10</v>
      </c>
      <c r="O2242" s="3">
        <v>0.08</v>
      </c>
      <c r="P2242" s="3">
        <v>0</v>
      </c>
      <c r="Q2242" s="3">
        <v>10</v>
      </c>
      <c r="R2242" s="3">
        <v>0</v>
      </c>
    </row>
    <row r="2243" spans="1:18">
      <c r="A2243" s="3" t="s">
        <v>6895</v>
      </c>
      <c r="B2243" s="3" t="s">
        <v>6896</v>
      </c>
      <c r="C2243" s="3" t="s">
        <v>722</v>
      </c>
      <c r="D2243" s="3" t="s">
        <v>723</v>
      </c>
      <c r="E2243" s="3" t="s">
        <v>867</v>
      </c>
      <c r="F2243" s="3">
        <v>20.98</v>
      </c>
      <c r="G2243" s="3" t="s">
        <v>3391</v>
      </c>
      <c r="H2243" s="3"/>
      <c r="I2243" s="3" t="s">
        <v>3392</v>
      </c>
      <c r="J2243" s="3">
        <v>0</v>
      </c>
      <c r="K2243" s="3">
        <v>0</v>
      </c>
      <c r="L2243" s="3">
        <v>0</v>
      </c>
      <c r="M2243" s="3">
        <v>0</v>
      </c>
      <c r="N2243" s="3">
        <v>20</v>
      </c>
      <c r="O2243" s="3">
        <v>0.08</v>
      </c>
      <c r="P2243" s="3">
        <v>0</v>
      </c>
      <c r="Q2243" s="3">
        <v>20</v>
      </c>
      <c r="R2243" s="3">
        <v>0</v>
      </c>
    </row>
    <row r="2244" spans="1:18">
      <c r="A2244" s="3" t="s">
        <v>6897</v>
      </c>
      <c r="B2244" s="3" t="s">
        <v>6898</v>
      </c>
      <c r="C2244" s="3" t="s">
        <v>1065</v>
      </c>
      <c r="D2244" s="3" t="s">
        <v>1066</v>
      </c>
      <c r="E2244" s="3" t="s">
        <v>867</v>
      </c>
      <c r="F2244" s="3">
        <v>20.98</v>
      </c>
      <c r="G2244" s="3" t="s">
        <v>3391</v>
      </c>
      <c r="H2244" s="3"/>
      <c r="I2244" s="3" t="s">
        <v>3392</v>
      </c>
      <c r="J2244" s="3">
        <v>0</v>
      </c>
      <c r="K2244" s="3">
        <v>0</v>
      </c>
      <c r="L2244" s="3">
        <v>0</v>
      </c>
      <c r="M2244" s="3">
        <v>0</v>
      </c>
      <c r="N2244" s="3">
        <v>14</v>
      </c>
      <c r="O2244" s="3">
        <v>0.08</v>
      </c>
      <c r="P2244" s="3">
        <v>0</v>
      </c>
      <c r="Q2244" s="3">
        <v>14</v>
      </c>
      <c r="R2244" s="3">
        <v>0</v>
      </c>
    </row>
    <row r="2245" spans="1:18">
      <c r="A2245" s="3" t="s">
        <v>6899</v>
      </c>
      <c r="B2245" s="3" t="s">
        <v>6900</v>
      </c>
      <c r="C2245" s="3" t="s">
        <v>1894</v>
      </c>
      <c r="D2245" s="3" t="s">
        <v>1895</v>
      </c>
      <c r="E2245" s="3" t="s">
        <v>867</v>
      </c>
      <c r="F2245" s="3">
        <v>20.98</v>
      </c>
      <c r="G2245" s="3" t="s">
        <v>3391</v>
      </c>
      <c r="H2245" s="3"/>
      <c r="I2245" s="3" t="s">
        <v>3392</v>
      </c>
      <c r="J2245" s="3">
        <v>0</v>
      </c>
      <c r="K2245" s="3">
        <v>0</v>
      </c>
      <c r="L2245" s="3">
        <v>0</v>
      </c>
      <c r="M2245" s="3">
        <v>0</v>
      </c>
      <c r="N2245" s="3">
        <v>18</v>
      </c>
      <c r="O2245" s="3">
        <v>0.05</v>
      </c>
      <c r="P2245" s="3">
        <v>0</v>
      </c>
      <c r="Q2245" s="3">
        <v>18</v>
      </c>
      <c r="R2245" s="3">
        <v>0</v>
      </c>
    </row>
    <row r="2246" spans="1:18">
      <c r="A2246" s="3" t="s">
        <v>2766</v>
      </c>
      <c r="B2246" s="3" t="s">
        <v>2767</v>
      </c>
      <c r="C2246" s="3" t="s">
        <v>1461</v>
      </c>
      <c r="D2246" s="3" t="s">
        <v>1462</v>
      </c>
      <c r="E2246" s="3" t="s">
        <v>867</v>
      </c>
      <c r="F2246" s="3">
        <v>20.98</v>
      </c>
      <c r="G2246" s="3" t="s">
        <v>3391</v>
      </c>
      <c r="H2246" s="3"/>
      <c r="I2246" s="3" t="s">
        <v>3392</v>
      </c>
      <c r="J2246" s="3">
        <v>9</v>
      </c>
      <c r="K2246" s="3">
        <v>9</v>
      </c>
      <c r="L2246" s="3">
        <v>0</v>
      </c>
      <c r="M2246" s="3">
        <v>0</v>
      </c>
      <c r="N2246" s="3">
        <v>34</v>
      </c>
      <c r="O2246" s="3">
        <v>0.08</v>
      </c>
      <c r="P2246" s="3">
        <v>0</v>
      </c>
      <c r="Q2246" s="3">
        <v>25</v>
      </c>
      <c r="R2246" s="3">
        <v>0</v>
      </c>
    </row>
    <row r="2247" spans="1:18">
      <c r="A2247" s="3" t="s">
        <v>1519</v>
      </c>
      <c r="B2247" s="3" t="s">
        <v>1520</v>
      </c>
      <c r="C2247" s="3" t="s">
        <v>1521</v>
      </c>
      <c r="D2247" s="3" t="s">
        <v>1522</v>
      </c>
      <c r="E2247" s="3" t="s">
        <v>867</v>
      </c>
      <c r="F2247" s="3">
        <v>20.98</v>
      </c>
      <c r="G2247" s="3" t="s">
        <v>3391</v>
      </c>
      <c r="H2247" s="3"/>
      <c r="I2247" s="3" t="s">
        <v>3392</v>
      </c>
      <c r="J2247" s="3">
        <v>3</v>
      </c>
      <c r="K2247" s="3">
        <v>3</v>
      </c>
      <c r="L2247" s="3">
        <v>0</v>
      </c>
      <c r="M2247" s="3">
        <v>0</v>
      </c>
      <c r="N2247" s="3">
        <v>31</v>
      </c>
      <c r="O2247" s="3">
        <v>0.08</v>
      </c>
      <c r="P2247" s="3">
        <v>0</v>
      </c>
      <c r="Q2247" s="3">
        <v>28</v>
      </c>
      <c r="R2247" s="3">
        <v>0</v>
      </c>
    </row>
    <row r="2248" spans="1:18">
      <c r="A2248" s="3" t="s">
        <v>6901</v>
      </c>
      <c r="B2248" s="3" t="s">
        <v>6902</v>
      </c>
      <c r="C2248" s="3" t="s">
        <v>2429</v>
      </c>
      <c r="D2248" s="3" t="s">
        <v>2430</v>
      </c>
      <c r="E2248" s="3" t="s">
        <v>867</v>
      </c>
      <c r="F2248" s="3">
        <v>20.98</v>
      </c>
      <c r="G2248" s="3" t="s">
        <v>3391</v>
      </c>
      <c r="H2248" s="3"/>
      <c r="I2248" s="3" t="s">
        <v>3392</v>
      </c>
      <c r="J2248" s="3">
        <v>0</v>
      </c>
      <c r="K2248" s="3">
        <v>0</v>
      </c>
      <c r="L2248" s="3">
        <v>0</v>
      </c>
      <c r="M2248" s="3">
        <v>0</v>
      </c>
      <c r="N2248" s="3">
        <v>17</v>
      </c>
      <c r="O2248" s="3">
        <v>0.08</v>
      </c>
      <c r="P2248" s="3">
        <v>0</v>
      </c>
      <c r="Q2248" s="3">
        <v>17</v>
      </c>
      <c r="R2248" s="3">
        <v>0</v>
      </c>
    </row>
    <row r="2249" spans="1:18">
      <c r="A2249" s="3" t="s">
        <v>6903</v>
      </c>
      <c r="B2249" s="3" t="s">
        <v>6904</v>
      </c>
      <c r="C2249" s="3" t="s">
        <v>1017</v>
      </c>
      <c r="D2249" s="3" t="s">
        <v>1018</v>
      </c>
      <c r="E2249" s="3" t="s">
        <v>867</v>
      </c>
      <c r="F2249" s="3">
        <v>20.98</v>
      </c>
      <c r="G2249" s="3" t="s">
        <v>3391</v>
      </c>
      <c r="H2249" s="3"/>
      <c r="I2249" s="3" t="s">
        <v>3392</v>
      </c>
      <c r="J2249" s="3">
        <v>0</v>
      </c>
      <c r="K2249" s="3">
        <v>0</v>
      </c>
      <c r="L2249" s="3">
        <v>0</v>
      </c>
      <c r="M2249" s="3">
        <v>0</v>
      </c>
      <c r="N2249" s="3">
        <v>29</v>
      </c>
      <c r="O2249" s="3">
        <v>0.08</v>
      </c>
      <c r="P2249" s="3">
        <v>0</v>
      </c>
      <c r="Q2249" s="3">
        <v>29</v>
      </c>
      <c r="R2249" s="3">
        <v>0</v>
      </c>
    </row>
    <row r="2250" spans="1:18">
      <c r="A2250" s="3" t="s">
        <v>3218</v>
      </c>
      <c r="B2250" s="3" t="s">
        <v>3219</v>
      </c>
      <c r="C2250" s="3" t="s">
        <v>3220</v>
      </c>
      <c r="D2250" s="3" t="s">
        <v>3221</v>
      </c>
      <c r="E2250" s="3" t="s">
        <v>867</v>
      </c>
      <c r="F2250" s="3">
        <v>20.98</v>
      </c>
      <c r="G2250" s="3" t="s">
        <v>3391</v>
      </c>
      <c r="H2250" s="3"/>
      <c r="I2250" s="3" t="s">
        <v>3392</v>
      </c>
      <c r="J2250" s="3">
        <v>4</v>
      </c>
      <c r="K2250" s="3">
        <v>4</v>
      </c>
      <c r="L2250" s="3">
        <v>0</v>
      </c>
      <c r="M2250" s="3">
        <v>0</v>
      </c>
      <c r="N2250" s="3">
        <v>43</v>
      </c>
      <c r="O2250" s="3">
        <v>0.08</v>
      </c>
      <c r="P2250" s="3">
        <v>0</v>
      </c>
      <c r="Q2250" s="3">
        <v>39</v>
      </c>
      <c r="R2250" s="3">
        <v>0</v>
      </c>
    </row>
    <row r="2251" spans="1:18">
      <c r="A2251" s="3" t="s">
        <v>6905</v>
      </c>
      <c r="B2251" s="3" t="s">
        <v>6906</v>
      </c>
      <c r="C2251" s="3" t="s">
        <v>3042</v>
      </c>
      <c r="D2251" s="3" t="s">
        <v>3043</v>
      </c>
      <c r="E2251" s="3" t="s">
        <v>867</v>
      </c>
      <c r="F2251" s="3">
        <v>20.98</v>
      </c>
      <c r="G2251" s="3" t="s">
        <v>3391</v>
      </c>
      <c r="H2251" s="3"/>
      <c r="I2251" s="3" t="s">
        <v>3392</v>
      </c>
      <c r="J2251" s="3">
        <v>0</v>
      </c>
      <c r="K2251" s="3">
        <v>0</v>
      </c>
      <c r="L2251" s="3">
        <v>0</v>
      </c>
      <c r="M2251" s="3">
        <v>0</v>
      </c>
      <c r="N2251" s="3">
        <v>30</v>
      </c>
      <c r="O2251" s="3">
        <v>0.05</v>
      </c>
      <c r="P2251" s="3">
        <v>0</v>
      </c>
      <c r="Q2251" s="3">
        <v>30</v>
      </c>
      <c r="R2251" s="3">
        <v>0</v>
      </c>
    </row>
    <row r="2252" spans="1:18">
      <c r="A2252" s="3" t="s">
        <v>6907</v>
      </c>
      <c r="B2252" s="3" t="s">
        <v>6908</v>
      </c>
      <c r="C2252" s="3" t="s">
        <v>2993</v>
      </c>
      <c r="D2252" s="3" t="s">
        <v>2994</v>
      </c>
      <c r="E2252" s="3" t="s">
        <v>867</v>
      </c>
      <c r="F2252" s="3">
        <v>20.98</v>
      </c>
      <c r="G2252" s="3" t="s">
        <v>3391</v>
      </c>
      <c r="H2252" s="3"/>
      <c r="I2252" s="3" t="s">
        <v>3392</v>
      </c>
      <c r="J2252" s="3">
        <v>0</v>
      </c>
      <c r="K2252" s="3">
        <v>0</v>
      </c>
      <c r="L2252" s="3">
        <v>0</v>
      </c>
      <c r="M2252" s="3">
        <v>0</v>
      </c>
      <c r="N2252" s="3">
        <v>16</v>
      </c>
      <c r="O2252" s="3">
        <v>0.08</v>
      </c>
      <c r="P2252" s="3">
        <v>0</v>
      </c>
      <c r="Q2252" s="3">
        <v>16</v>
      </c>
      <c r="R2252" s="3">
        <v>0</v>
      </c>
    </row>
    <row r="2253" spans="1:18">
      <c r="A2253" s="3" t="s">
        <v>1282</v>
      </c>
      <c r="B2253" s="3" t="s">
        <v>1283</v>
      </c>
      <c r="C2253" s="3" t="s">
        <v>1284</v>
      </c>
      <c r="D2253" s="3" t="s">
        <v>1285</v>
      </c>
      <c r="E2253" s="3" t="s">
        <v>867</v>
      </c>
      <c r="F2253" s="3">
        <v>20.98</v>
      </c>
      <c r="G2253" s="3" t="s">
        <v>3391</v>
      </c>
      <c r="H2253" s="3"/>
      <c r="I2253" s="3" t="s">
        <v>3392</v>
      </c>
      <c r="J2253" s="3">
        <v>4</v>
      </c>
      <c r="K2253" s="3">
        <v>4</v>
      </c>
      <c r="L2253" s="3">
        <v>0</v>
      </c>
      <c r="M2253" s="3">
        <v>0</v>
      </c>
      <c r="N2253" s="3">
        <v>34</v>
      </c>
      <c r="O2253" s="3">
        <v>0.08</v>
      </c>
      <c r="P2253" s="3">
        <v>0</v>
      </c>
      <c r="Q2253" s="3">
        <v>30</v>
      </c>
      <c r="R2253" s="3">
        <v>0</v>
      </c>
    </row>
    <row r="2254" spans="1:18">
      <c r="A2254" s="3" t="s">
        <v>6909</v>
      </c>
      <c r="B2254" s="3" t="s">
        <v>6910</v>
      </c>
      <c r="C2254" s="3" t="s">
        <v>6911</v>
      </c>
      <c r="D2254" s="3" t="s">
        <v>6912</v>
      </c>
      <c r="E2254" s="3" t="s">
        <v>867</v>
      </c>
      <c r="F2254" s="3">
        <v>20.98</v>
      </c>
      <c r="G2254" s="3" t="s">
        <v>3391</v>
      </c>
      <c r="H2254" s="3"/>
      <c r="I2254" s="3" t="s">
        <v>3392</v>
      </c>
      <c r="J2254" s="3">
        <v>0</v>
      </c>
      <c r="K2254" s="3">
        <v>0</v>
      </c>
      <c r="L2254" s="3">
        <v>0</v>
      </c>
      <c r="M2254" s="3">
        <v>0</v>
      </c>
      <c r="N2254" s="3">
        <v>0</v>
      </c>
      <c r="O2254" s="3">
        <v>0</v>
      </c>
      <c r="P2254" s="3">
        <v>0</v>
      </c>
      <c r="Q2254" s="3">
        <v>0</v>
      </c>
      <c r="R2254" s="3">
        <v>0</v>
      </c>
    </row>
    <row r="2255" spans="1:18">
      <c r="A2255" s="3" t="s">
        <v>6913</v>
      </c>
      <c r="B2255" s="3" t="s">
        <v>6914</v>
      </c>
      <c r="C2255" s="3" t="s">
        <v>6915</v>
      </c>
      <c r="D2255" s="3" t="s">
        <v>6916</v>
      </c>
      <c r="E2255" s="3" t="s">
        <v>867</v>
      </c>
      <c r="F2255" s="3">
        <v>20.98</v>
      </c>
      <c r="G2255" s="3" t="s">
        <v>3391</v>
      </c>
      <c r="H2255" s="3"/>
      <c r="I2255" s="3" t="s">
        <v>3392</v>
      </c>
      <c r="J2255" s="3">
        <v>0</v>
      </c>
      <c r="K2255" s="3">
        <v>0</v>
      </c>
      <c r="L2255" s="3">
        <v>0</v>
      </c>
      <c r="M2255" s="3">
        <v>0</v>
      </c>
      <c r="N2255" s="3">
        <v>0</v>
      </c>
      <c r="O2255" s="3">
        <v>0</v>
      </c>
      <c r="P2255" s="3">
        <v>0</v>
      </c>
      <c r="Q2255" s="3">
        <v>0</v>
      </c>
      <c r="R2255" s="3">
        <v>0</v>
      </c>
    </row>
    <row r="2256" spans="1:18">
      <c r="A2256" s="3" t="s">
        <v>6917</v>
      </c>
      <c r="B2256" s="3" t="s">
        <v>6918</v>
      </c>
      <c r="C2256" s="3" t="s">
        <v>6919</v>
      </c>
      <c r="D2256" s="3" t="s">
        <v>6920</v>
      </c>
      <c r="E2256" s="3" t="s">
        <v>867</v>
      </c>
      <c r="F2256" s="3">
        <v>20.98</v>
      </c>
      <c r="G2256" s="3" t="s">
        <v>3391</v>
      </c>
      <c r="H2256" s="3"/>
      <c r="I2256" s="3" t="s">
        <v>3392</v>
      </c>
      <c r="J2256" s="3">
        <v>0</v>
      </c>
      <c r="K2256" s="3">
        <v>0</v>
      </c>
      <c r="L2256" s="3">
        <v>0</v>
      </c>
      <c r="M2256" s="3">
        <v>0</v>
      </c>
      <c r="N2256" s="3">
        <v>0</v>
      </c>
      <c r="O2256" s="3">
        <v>0</v>
      </c>
      <c r="P2256" s="3">
        <v>0</v>
      </c>
      <c r="Q2256" s="3">
        <v>0</v>
      </c>
      <c r="R2256" s="3">
        <v>0</v>
      </c>
    </row>
    <row r="2257" spans="1:18">
      <c r="A2257" s="3" t="s">
        <v>6921</v>
      </c>
      <c r="B2257" s="3" t="s">
        <v>6922</v>
      </c>
      <c r="C2257" s="3" t="s">
        <v>6923</v>
      </c>
      <c r="D2257" s="3" t="s">
        <v>6924</v>
      </c>
      <c r="E2257" s="3" t="s">
        <v>867</v>
      </c>
      <c r="F2257" s="3">
        <v>20.98</v>
      </c>
      <c r="G2257" s="3" t="s">
        <v>3391</v>
      </c>
      <c r="H2257" s="3"/>
      <c r="I2257" s="3" t="s">
        <v>3392</v>
      </c>
      <c r="J2257" s="3">
        <v>0</v>
      </c>
      <c r="K2257" s="3">
        <v>0</v>
      </c>
      <c r="L2257" s="3">
        <v>0</v>
      </c>
      <c r="M2257" s="3">
        <v>0</v>
      </c>
      <c r="N2257" s="3">
        <v>0</v>
      </c>
      <c r="O2257" s="3">
        <v>0</v>
      </c>
      <c r="P2257" s="3">
        <v>0</v>
      </c>
      <c r="Q2257" s="3">
        <v>0</v>
      </c>
      <c r="R2257" s="3">
        <v>0</v>
      </c>
    </row>
    <row r="2258" spans="1:18">
      <c r="A2258" s="3" t="s">
        <v>6925</v>
      </c>
      <c r="B2258" s="3" t="s">
        <v>6926</v>
      </c>
      <c r="C2258" s="3" t="s">
        <v>6927</v>
      </c>
      <c r="D2258" s="3"/>
      <c r="E2258" s="3" t="s">
        <v>3293</v>
      </c>
      <c r="F2258" s="3"/>
      <c r="G2258" s="3"/>
      <c r="H2258" s="3"/>
      <c r="I2258" s="3"/>
      <c r="J2258" s="3">
        <v>0</v>
      </c>
      <c r="K2258" s="3">
        <v>0</v>
      </c>
      <c r="L2258" s="3">
        <v>0</v>
      </c>
      <c r="M2258" s="3">
        <v>0</v>
      </c>
      <c r="N2258" s="3">
        <v>0</v>
      </c>
      <c r="O2258" s="3"/>
      <c r="P2258" s="3">
        <v>0</v>
      </c>
      <c r="Q2258" s="3">
        <v>0</v>
      </c>
      <c r="R2258" s="3">
        <v>0</v>
      </c>
    </row>
    <row r="2259" spans="1:18">
      <c r="A2259" s="3" t="s">
        <v>6928</v>
      </c>
      <c r="B2259" s="3" t="s">
        <v>6929</v>
      </c>
      <c r="C2259" s="3" t="s">
        <v>6930</v>
      </c>
      <c r="D2259" s="3"/>
      <c r="E2259" s="3" t="s">
        <v>3293</v>
      </c>
      <c r="F2259" s="3"/>
      <c r="G2259" s="3"/>
      <c r="H2259" s="3"/>
      <c r="I2259" s="3"/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/>
      <c r="P2259" s="3">
        <v>0</v>
      </c>
      <c r="Q2259" s="3">
        <v>0</v>
      </c>
      <c r="R2259" s="3">
        <v>0</v>
      </c>
    </row>
    <row r="2260" spans="1:18">
      <c r="A2260" s="3" t="s">
        <v>6931</v>
      </c>
      <c r="B2260" s="3" t="s">
        <v>6932</v>
      </c>
      <c r="C2260" s="3" t="s">
        <v>6933</v>
      </c>
      <c r="D2260" s="3"/>
      <c r="E2260" s="3" t="s">
        <v>3293</v>
      </c>
      <c r="F2260" s="3"/>
      <c r="G2260" s="3"/>
      <c r="H2260" s="3"/>
      <c r="I2260" s="3"/>
      <c r="J2260" s="3">
        <v>0</v>
      </c>
      <c r="K2260" s="3">
        <v>0</v>
      </c>
      <c r="L2260" s="3">
        <v>0</v>
      </c>
      <c r="M2260" s="3">
        <v>0</v>
      </c>
      <c r="N2260" s="3">
        <v>0</v>
      </c>
      <c r="O2260" s="3"/>
      <c r="P2260" s="3">
        <v>0</v>
      </c>
      <c r="Q2260" s="3">
        <v>0</v>
      </c>
      <c r="R2260" s="3">
        <v>0</v>
      </c>
    </row>
    <row r="2261" spans="1:18">
      <c r="A2261" s="3" t="s">
        <v>6934</v>
      </c>
      <c r="B2261" s="3" t="s">
        <v>6935</v>
      </c>
      <c r="C2261" s="3" t="s">
        <v>6936</v>
      </c>
      <c r="D2261" s="3"/>
      <c r="E2261" s="3" t="s">
        <v>3293</v>
      </c>
      <c r="F2261" s="3"/>
      <c r="G2261" s="3"/>
      <c r="H2261" s="3"/>
      <c r="I2261" s="3"/>
      <c r="J2261" s="3">
        <v>0</v>
      </c>
      <c r="K2261" s="3">
        <v>0</v>
      </c>
      <c r="L2261" s="3">
        <v>0</v>
      </c>
      <c r="M2261" s="3">
        <v>0</v>
      </c>
      <c r="N2261" s="3">
        <v>0</v>
      </c>
      <c r="O2261" s="3"/>
      <c r="P2261" s="3">
        <v>0</v>
      </c>
      <c r="Q2261" s="3">
        <v>0</v>
      </c>
      <c r="R2261" s="3">
        <v>0</v>
      </c>
    </row>
    <row r="2262" spans="1:18">
      <c r="A2262" s="3" t="s">
        <v>6937</v>
      </c>
      <c r="B2262" s="3" t="s">
        <v>6938</v>
      </c>
      <c r="C2262" s="3" t="s">
        <v>6939</v>
      </c>
      <c r="D2262" s="3"/>
      <c r="E2262" s="3" t="s">
        <v>3293</v>
      </c>
      <c r="F2262" s="3"/>
      <c r="G2262" s="3"/>
      <c r="H2262" s="3"/>
      <c r="I2262" s="3"/>
      <c r="J2262" s="3">
        <v>0</v>
      </c>
      <c r="K2262" s="3">
        <v>0</v>
      </c>
      <c r="L2262" s="3">
        <v>0</v>
      </c>
      <c r="M2262" s="3">
        <v>0</v>
      </c>
      <c r="N2262" s="3">
        <v>0</v>
      </c>
      <c r="O2262" s="3"/>
      <c r="P2262" s="3">
        <v>0</v>
      </c>
      <c r="Q2262" s="3">
        <v>0</v>
      </c>
      <c r="R2262" s="3">
        <v>0</v>
      </c>
    </row>
    <row r="2263" spans="1:18">
      <c r="A2263" s="3" t="s">
        <v>6940</v>
      </c>
      <c r="B2263" s="3" t="s">
        <v>6941</v>
      </c>
      <c r="C2263" s="3" t="s">
        <v>6942</v>
      </c>
      <c r="D2263" s="3"/>
      <c r="E2263" s="3" t="s">
        <v>3293</v>
      </c>
      <c r="F2263" s="3"/>
      <c r="G2263" s="3"/>
      <c r="H2263" s="3"/>
      <c r="I2263" s="3"/>
      <c r="J2263" s="3">
        <v>0</v>
      </c>
      <c r="K2263" s="3">
        <v>0</v>
      </c>
      <c r="L2263" s="3">
        <v>0</v>
      </c>
      <c r="M2263" s="3">
        <v>0</v>
      </c>
      <c r="N2263" s="3">
        <v>0</v>
      </c>
      <c r="O2263" s="3"/>
      <c r="P2263" s="3">
        <v>0</v>
      </c>
      <c r="Q2263" s="3">
        <v>0</v>
      </c>
      <c r="R2263" s="3">
        <v>0</v>
      </c>
    </row>
    <row r="2264" spans="1:18">
      <c r="A2264" s="3" t="s">
        <v>6943</v>
      </c>
      <c r="B2264" s="3" t="s">
        <v>6944</v>
      </c>
      <c r="C2264" s="3" t="s">
        <v>6945</v>
      </c>
      <c r="D2264" s="3"/>
      <c r="E2264" s="3" t="s">
        <v>3293</v>
      </c>
      <c r="F2264" s="3"/>
      <c r="G2264" s="3"/>
      <c r="H2264" s="3"/>
      <c r="I2264" s="3"/>
      <c r="J2264" s="3">
        <v>0</v>
      </c>
      <c r="K2264" s="3">
        <v>0</v>
      </c>
      <c r="L2264" s="3">
        <v>0</v>
      </c>
      <c r="M2264" s="3">
        <v>0</v>
      </c>
      <c r="N2264" s="3">
        <v>0</v>
      </c>
      <c r="O2264" s="3"/>
      <c r="P2264" s="3">
        <v>0</v>
      </c>
      <c r="Q2264" s="3">
        <v>0</v>
      </c>
      <c r="R2264" s="3">
        <v>0</v>
      </c>
    </row>
    <row r="2265" spans="1:18">
      <c r="A2265" s="3" t="s">
        <v>6946</v>
      </c>
      <c r="B2265" s="3" t="s">
        <v>6947</v>
      </c>
      <c r="C2265" s="3" t="s">
        <v>6948</v>
      </c>
      <c r="D2265" s="3"/>
      <c r="E2265" s="3" t="s">
        <v>3293</v>
      </c>
      <c r="F2265" s="3"/>
      <c r="G2265" s="3"/>
      <c r="H2265" s="3"/>
      <c r="I2265" s="3"/>
      <c r="J2265" s="3">
        <v>0</v>
      </c>
      <c r="K2265" s="3">
        <v>0</v>
      </c>
      <c r="L2265" s="3">
        <v>0</v>
      </c>
      <c r="M2265" s="3">
        <v>0</v>
      </c>
      <c r="N2265" s="3">
        <v>0</v>
      </c>
      <c r="O2265" s="3"/>
      <c r="P2265" s="3">
        <v>0</v>
      </c>
      <c r="Q2265" s="3">
        <v>0</v>
      </c>
      <c r="R2265" s="3">
        <v>0</v>
      </c>
    </row>
    <row r="2266" spans="1:18">
      <c r="A2266" s="3" t="s">
        <v>6949</v>
      </c>
      <c r="B2266" s="3" t="s">
        <v>6950</v>
      </c>
      <c r="C2266" s="3" t="s">
        <v>6951</v>
      </c>
      <c r="D2266" s="3"/>
      <c r="E2266" s="3" t="s">
        <v>3293</v>
      </c>
      <c r="F2266" s="3"/>
      <c r="G2266" s="3"/>
      <c r="H2266" s="3"/>
      <c r="I2266" s="3"/>
      <c r="J2266" s="3">
        <v>0</v>
      </c>
      <c r="K2266" s="3">
        <v>0</v>
      </c>
      <c r="L2266" s="3">
        <v>0</v>
      </c>
      <c r="M2266" s="3">
        <v>0</v>
      </c>
      <c r="N2266" s="3">
        <v>0</v>
      </c>
      <c r="O2266" s="3"/>
      <c r="P2266" s="3">
        <v>0</v>
      </c>
      <c r="Q2266" s="3">
        <v>0</v>
      </c>
      <c r="R2266" s="3">
        <v>0</v>
      </c>
    </row>
    <row r="2267" spans="1:18">
      <c r="A2267" s="3" t="s">
        <v>6952</v>
      </c>
      <c r="B2267" s="3" t="s">
        <v>6953</v>
      </c>
      <c r="C2267" s="3" t="s">
        <v>6954</v>
      </c>
      <c r="D2267" s="3"/>
      <c r="E2267" s="3" t="s">
        <v>3293</v>
      </c>
      <c r="F2267" s="3"/>
      <c r="G2267" s="3"/>
      <c r="H2267" s="3"/>
      <c r="I2267" s="3"/>
      <c r="J2267" s="3">
        <v>0</v>
      </c>
      <c r="K2267" s="3">
        <v>0</v>
      </c>
      <c r="L2267" s="3">
        <v>0</v>
      </c>
      <c r="M2267" s="3">
        <v>0</v>
      </c>
      <c r="N2267" s="3">
        <v>0</v>
      </c>
      <c r="O2267" s="3"/>
      <c r="P2267" s="3">
        <v>0</v>
      </c>
      <c r="Q2267" s="3">
        <v>0</v>
      </c>
      <c r="R2267" s="3">
        <v>0</v>
      </c>
    </row>
    <row r="2268" spans="1:18">
      <c r="A2268" s="3" t="s">
        <v>6955</v>
      </c>
      <c r="B2268" s="3" t="s">
        <v>6956</v>
      </c>
      <c r="C2268" s="3" t="s">
        <v>6957</v>
      </c>
      <c r="D2268" s="3"/>
      <c r="E2268" s="3" t="s">
        <v>3293</v>
      </c>
      <c r="F2268" s="3"/>
      <c r="G2268" s="3"/>
      <c r="H2268" s="3"/>
      <c r="I2268" s="3"/>
      <c r="J2268" s="3">
        <v>0</v>
      </c>
      <c r="K2268" s="3">
        <v>0</v>
      </c>
      <c r="L2268" s="3">
        <v>0</v>
      </c>
      <c r="M2268" s="3">
        <v>0</v>
      </c>
      <c r="N2268" s="3">
        <v>0</v>
      </c>
      <c r="O2268" s="3"/>
      <c r="P2268" s="3">
        <v>0</v>
      </c>
      <c r="Q2268" s="3">
        <v>0</v>
      </c>
      <c r="R2268" s="3">
        <v>0</v>
      </c>
    </row>
    <row r="2269" spans="1:18">
      <c r="A2269" s="3" t="s">
        <v>6958</v>
      </c>
      <c r="B2269" s="3" t="s">
        <v>6959</v>
      </c>
      <c r="C2269" s="3" t="s">
        <v>6960</v>
      </c>
      <c r="D2269" s="3"/>
      <c r="E2269" s="3" t="s">
        <v>3293</v>
      </c>
      <c r="F2269" s="3"/>
      <c r="G2269" s="3"/>
      <c r="H2269" s="3"/>
      <c r="I2269" s="3"/>
      <c r="J2269" s="3">
        <v>0</v>
      </c>
      <c r="K2269" s="3">
        <v>0</v>
      </c>
      <c r="L2269" s="3">
        <v>0</v>
      </c>
      <c r="M2269" s="3">
        <v>0</v>
      </c>
      <c r="N2269" s="3">
        <v>0</v>
      </c>
      <c r="O2269" s="3"/>
      <c r="P2269" s="3">
        <v>0</v>
      </c>
      <c r="Q2269" s="3">
        <v>0</v>
      </c>
      <c r="R2269" s="3">
        <v>0</v>
      </c>
    </row>
    <row r="2270" spans="1:18">
      <c r="A2270" s="3" t="s">
        <v>6961</v>
      </c>
      <c r="B2270" s="3" t="s">
        <v>6962</v>
      </c>
      <c r="C2270" s="3" t="s">
        <v>6963</v>
      </c>
      <c r="D2270" s="3"/>
      <c r="E2270" s="3" t="s">
        <v>3293</v>
      </c>
      <c r="F2270" s="3"/>
      <c r="G2270" s="3"/>
      <c r="H2270" s="3"/>
      <c r="I2270" s="3"/>
      <c r="J2270" s="3">
        <v>0</v>
      </c>
      <c r="K2270" s="3">
        <v>0</v>
      </c>
      <c r="L2270" s="3">
        <v>0</v>
      </c>
      <c r="M2270" s="3">
        <v>0</v>
      </c>
      <c r="N2270" s="3">
        <v>0</v>
      </c>
      <c r="O2270" s="3"/>
      <c r="P2270" s="3">
        <v>0</v>
      </c>
      <c r="Q2270" s="3">
        <v>0</v>
      </c>
      <c r="R2270" s="3">
        <v>0</v>
      </c>
    </row>
    <row r="2271" spans="1:18">
      <c r="A2271" s="3" t="s">
        <v>6964</v>
      </c>
      <c r="B2271" s="3" t="s">
        <v>6965</v>
      </c>
      <c r="C2271" s="3" t="s">
        <v>6966</v>
      </c>
      <c r="D2271" s="3"/>
      <c r="E2271" s="3" t="s">
        <v>3293</v>
      </c>
      <c r="F2271" s="3"/>
      <c r="G2271" s="3"/>
      <c r="H2271" s="3"/>
      <c r="I2271" s="3"/>
      <c r="J2271" s="3">
        <v>0</v>
      </c>
      <c r="K2271" s="3">
        <v>0</v>
      </c>
      <c r="L2271" s="3">
        <v>0</v>
      </c>
      <c r="M2271" s="3">
        <v>0</v>
      </c>
      <c r="N2271" s="3">
        <v>0</v>
      </c>
      <c r="O2271" s="3"/>
      <c r="P2271" s="3">
        <v>0</v>
      </c>
      <c r="Q2271" s="3">
        <v>0</v>
      </c>
      <c r="R2271" s="3">
        <v>0</v>
      </c>
    </row>
    <row r="2272" spans="1:18">
      <c r="A2272" s="3" t="s">
        <v>6967</v>
      </c>
      <c r="B2272" s="3" t="s">
        <v>6968</v>
      </c>
      <c r="C2272" s="3" t="s">
        <v>6969</v>
      </c>
      <c r="D2272" s="3"/>
      <c r="E2272" s="3" t="s">
        <v>3293</v>
      </c>
      <c r="F2272" s="3"/>
      <c r="G2272" s="3"/>
      <c r="H2272" s="3"/>
      <c r="I2272" s="3"/>
      <c r="J2272" s="3">
        <v>0</v>
      </c>
      <c r="K2272" s="3">
        <v>0</v>
      </c>
      <c r="L2272" s="3">
        <v>0</v>
      </c>
      <c r="M2272" s="3">
        <v>0</v>
      </c>
      <c r="N2272" s="3">
        <v>0</v>
      </c>
      <c r="O2272" s="3"/>
      <c r="P2272" s="3">
        <v>0</v>
      </c>
      <c r="Q2272" s="3">
        <v>0</v>
      </c>
      <c r="R2272" s="3">
        <v>0</v>
      </c>
    </row>
    <row r="2273" spans="1:18">
      <c r="A2273" s="3" t="s">
        <v>6970</v>
      </c>
      <c r="B2273" s="3" t="s">
        <v>6971</v>
      </c>
      <c r="C2273" s="3" t="s">
        <v>6972</v>
      </c>
      <c r="D2273" s="3"/>
      <c r="E2273" s="3" t="s">
        <v>3293</v>
      </c>
      <c r="F2273" s="3"/>
      <c r="G2273" s="3"/>
      <c r="H2273" s="3"/>
      <c r="I2273" s="3"/>
      <c r="J2273" s="3">
        <v>0</v>
      </c>
      <c r="K2273" s="3">
        <v>0</v>
      </c>
      <c r="L2273" s="3">
        <v>0</v>
      </c>
      <c r="M2273" s="3">
        <v>0</v>
      </c>
      <c r="N2273" s="3">
        <v>0</v>
      </c>
      <c r="O2273" s="3"/>
      <c r="P2273" s="3">
        <v>0</v>
      </c>
      <c r="Q2273" s="3">
        <v>0</v>
      </c>
      <c r="R2273" s="3">
        <v>0</v>
      </c>
    </row>
    <row r="2274" spans="1:18">
      <c r="A2274" s="3" t="s">
        <v>6973</v>
      </c>
      <c r="B2274" s="3" t="s">
        <v>6974</v>
      </c>
      <c r="C2274" s="3" t="s">
        <v>6975</v>
      </c>
      <c r="D2274" s="3"/>
      <c r="E2274" s="3" t="s">
        <v>3293</v>
      </c>
      <c r="F2274" s="3"/>
      <c r="G2274" s="3"/>
      <c r="H2274" s="3"/>
      <c r="I2274" s="3"/>
      <c r="J2274" s="3">
        <v>0</v>
      </c>
      <c r="K2274" s="3">
        <v>0</v>
      </c>
      <c r="L2274" s="3">
        <v>0</v>
      </c>
      <c r="M2274" s="3">
        <v>0</v>
      </c>
      <c r="N2274" s="3">
        <v>0</v>
      </c>
      <c r="O2274" s="3"/>
      <c r="P2274" s="3">
        <v>0</v>
      </c>
      <c r="Q2274" s="3">
        <v>0</v>
      </c>
      <c r="R2274" s="3">
        <v>0</v>
      </c>
    </row>
    <row r="2275" spans="1:18">
      <c r="A2275" s="3" t="s">
        <v>6976</v>
      </c>
      <c r="B2275" s="3" t="s">
        <v>6977</v>
      </c>
      <c r="C2275" s="3" t="s">
        <v>6978</v>
      </c>
      <c r="D2275" s="3"/>
      <c r="E2275" s="3" t="s">
        <v>3293</v>
      </c>
      <c r="F2275" s="3"/>
      <c r="G2275" s="3"/>
      <c r="H2275" s="3"/>
      <c r="I2275" s="3"/>
      <c r="J2275" s="3">
        <v>0</v>
      </c>
      <c r="K2275" s="3">
        <v>0</v>
      </c>
      <c r="L2275" s="3">
        <v>0</v>
      </c>
      <c r="M2275" s="3">
        <v>0</v>
      </c>
      <c r="N2275" s="3">
        <v>0</v>
      </c>
      <c r="O2275" s="3"/>
      <c r="P2275" s="3">
        <v>0</v>
      </c>
      <c r="Q2275" s="3">
        <v>0</v>
      </c>
      <c r="R2275" s="3">
        <v>0</v>
      </c>
    </row>
    <row r="2276" spans="1:18">
      <c r="A2276" s="3" t="s">
        <v>6979</v>
      </c>
      <c r="B2276" s="3" t="s">
        <v>6980</v>
      </c>
      <c r="C2276" s="3" t="s">
        <v>6981</v>
      </c>
      <c r="D2276" s="3"/>
      <c r="E2276" s="3" t="s">
        <v>3293</v>
      </c>
      <c r="F2276" s="3"/>
      <c r="G2276" s="3"/>
      <c r="H2276" s="3"/>
      <c r="I2276" s="3"/>
      <c r="J2276" s="3">
        <v>0</v>
      </c>
      <c r="K2276" s="3">
        <v>0</v>
      </c>
      <c r="L2276" s="3">
        <v>0</v>
      </c>
      <c r="M2276" s="3">
        <v>0</v>
      </c>
      <c r="N2276" s="3">
        <v>0</v>
      </c>
      <c r="O2276" s="3"/>
      <c r="P2276" s="3">
        <v>0</v>
      </c>
      <c r="Q2276" s="3">
        <v>0</v>
      </c>
      <c r="R2276" s="3">
        <v>0</v>
      </c>
    </row>
    <row r="2277" spans="1:18">
      <c r="A2277" s="3" t="s">
        <v>6982</v>
      </c>
      <c r="B2277" s="3" t="s">
        <v>6983</v>
      </c>
      <c r="C2277" s="3" t="s">
        <v>6984</v>
      </c>
      <c r="D2277" s="3"/>
      <c r="E2277" s="3" t="s">
        <v>3293</v>
      </c>
      <c r="F2277" s="3"/>
      <c r="G2277" s="3"/>
      <c r="H2277" s="3"/>
      <c r="I2277" s="3"/>
      <c r="J2277" s="3">
        <v>0</v>
      </c>
      <c r="K2277" s="3">
        <v>0</v>
      </c>
      <c r="L2277" s="3">
        <v>0</v>
      </c>
      <c r="M2277" s="3">
        <v>0</v>
      </c>
      <c r="N2277" s="3">
        <v>0</v>
      </c>
      <c r="O2277" s="3"/>
      <c r="P2277" s="3">
        <v>0</v>
      </c>
      <c r="Q2277" s="3">
        <v>0</v>
      </c>
      <c r="R2277" s="3">
        <v>0</v>
      </c>
    </row>
    <row r="2278" spans="1:18">
      <c r="A2278" s="3" t="s">
        <v>6985</v>
      </c>
      <c r="B2278" s="3" t="s">
        <v>6986</v>
      </c>
      <c r="C2278" s="3" t="s">
        <v>6987</v>
      </c>
      <c r="D2278" s="3"/>
      <c r="E2278" s="3" t="s">
        <v>3293</v>
      </c>
      <c r="F2278" s="3"/>
      <c r="G2278" s="3"/>
      <c r="H2278" s="3"/>
      <c r="I2278" s="3"/>
      <c r="J2278" s="3">
        <v>0</v>
      </c>
      <c r="K2278" s="3">
        <v>0</v>
      </c>
      <c r="L2278" s="3">
        <v>0</v>
      </c>
      <c r="M2278" s="3">
        <v>0</v>
      </c>
      <c r="N2278" s="3">
        <v>0</v>
      </c>
      <c r="O2278" s="3"/>
      <c r="P2278" s="3">
        <v>0</v>
      </c>
      <c r="Q2278" s="3">
        <v>0</v>
      </c>
      <c r="R2278" s="3">
        <v>0</v>
      </c>
    </row>
    <row r="2279" spans="1:18">
      <c r="A2279" s="3" t="s">
        <v>6988</v>
      </c>
      <c r="B2279" s="3" t="s">
        <v>6989</v>
      </c>
      <c r="C2279" s="3" t="s">
        <v>6990</v>
      </c>
      <c r="D2279" s="3"/>
      <c r="E2279" s="3" t="s">
        <v>3293</v>
      </c>
      <c r="F2279" s="3"/>
      <c r="G2279" s="3"/>
      <c r="H2279" s="3"/>
      <c r="I2279" s="3"/>
      <c r="J2279" s="3">
        <v>0</v>
      </c>
      <c r="K2279" s="3">
        <v>0</v>
      </c>
      <c r="L2279" s="3">
        <v>0</v>
      </c>
      <c r="M2279" s="3">
        <v>0</v>
      </c>
      <c r="N2279" s="3">
        <v>0</v>
      </c>
      <c r="O2279" s="3"/>
      <c r="P2279" s="3">
        <v>0</v>
      </c>
      <c r="Q2279" s="3">
        <v>0</v>
      </c>
      <c r="R2279" s="3">
        <v>0</v>
      </c>
    </row>
    <row r="2280" spans="1:18">
      <c r="A2280" s="3" t="s">
        <v>6991</v>
      </c>
      <c r="B2280" s="3" t="s">
        <v>6992</v>
      </c>
      <c r="C2280" s="3" t="s">
        <v>6993</v>
      </c>
      <c r="D2280" s="3"/>
      <c r="E2280" s="3" t="s">
        <v>3293</v>
      </c>
      <c r="F2280" s="3"/>
      <c r="G2280" s="3"/>
      <c r="H2280" s="3"/>
      <c r="I2280" s="3"/>
      <c r="J2280" s="3">
        <v>0</v>
      </c>
      <c r="K2280" s="3">
        <v>0</v>
      </c>
      <c r="L2280" s="3">
        <v>0</v>
      </c>
      <c r="M2280" s="3">
        <v>0</v>
      </c>
      <c r="N2280" s="3">
        <v>0</v>
      </c>
      <c r="O2280" s="3"/>
      <c r="P2280" s="3">
        <v>0</v>
      </c>
      <c r="Q2280" s="3">
        <v>0</v>
      </c>
      <c r="R2280" s="3">
        <v>0</v>
      </c>
    </row>
    <row r="2281" spans="1:18">
      <c r="A2281" s="3" t="s">
        <v>6994</v>
      </c>
      <c r="B2281" s="3" t="s">
        <v>6995</v>
      </c>
      <c r="C2281" s="3" t="s">
        <v>6996</v>
      </c>
      <c r="D2281" s="3"/>
      <c r="E2281" s="3" t="s">
        <v>3293</v>
      </c>
      <c r="F2281" s="3"/>
      <c r="G2281" s="3"/>
      <c r="H2281" s="3"/>
      <c r="I2281" s="3"/>
      <c r="J2281" s="3">
        <v>0</v>
      </c>
      <c r="K2281" s="3">
        <v>0</v>
      </c>
      <c r="L2281" s="3">
        <v>0</v>
      </c>
      <c r="M2281" s="3">
        <v>0</v>
      </c>
      <c r="N2281" s="3">
        <v>0</v>
      </c>
      <c r="O2281" s="3"/>
      <c r="P2281" s="3">
        <v>0</v>
      </c>
      <c r="Q2281" s="3">
        <v>0</v>
      </c>
      <c r="R2281" s="3">
        <v>0</v>
      </c>
    </row>
    <row r="2282" spans="1:18">
      <c r="A2282" s="3" t="s">
        <v>6997</v>
      </c>
      <c r="B2282" s="3" t="s">
        <v>6998</v>
      </c>
      <c r="C2282" s="3" t="s">
        <v>6999</v>
      </c>
      <c r="D2282" s="3"/>
      <c r="E2282" s="3" t="s">
        <v>3293</v>
      </c>
      <c r="F2282" s="3"/>
      <c r="G2282" s="3"/>
      <c r="H2282" s="3"/>
      <c r="I2282" s="3"/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/>
      <c r="P2282" s="3">
        <v>0</v>
      </c>
      <c r="Q2282" s="3">
        <v>0</v>
      </c>
      <c r="R2282" s="3">
        <v>0</v>
      </c>
    </row>
    <row r="2283" spans="1:18">
      <c r="A2283" s="3" t="s">
        <v>7000</v>
      </c>
      <c r="B2283" s="3" t="s">
        <v>7001</v>
      </c>
      <c r="C2283" s="3" t="s">
        <v>7002</v>
      </c>
      <c r="D2283" s="3"/>
      <c r="E2283" s="3" t="s">
        <v>3293</v>
      </c>
      <c r="F2283" s="3"/>
      <c r="G2283" s="3"/>
      <c r="H2283" s="3"/>
      <c r="I2283" s="3"/>
      <c r="J2283" s="3">
        <v>0</v>
      </c>
      <c r="K2283" s="3">
        <v>0</v>
      </c>
      <c r="L2283" s="3">
        <v>0</v>
      </c>
      <c r="M2283" s="3">
        <v>0</v>
      </c>
      <c r="N2283" s="3">
        <v>0</v>
      </c>
      <c r="O2283" s="3"/>
      <c r="P2283" s="3">
        <v>0</v>
      </c>
      <c r="Q2283" s="3">
        <v>0</v>
      </c>
      <c r="R2283" s="3">
        <v>0</v>
      </c>
    </row>
    <row r="2284" spans="1:18">
      <c r="A2284" s="3" t="s">
        <v>7003</v>
      </c>
      <c r="B2284" s="3" t="s">
        <v>7004</v>
      </c>
      <c r="C2284" s="3" t="s">
        <v>7005</v>
      </c>
      <c r="D2284" s="3"/>
      <c r="E2284" s="3" t="s">
        <v>3293</v>
      </c>
      <c r="F2284" s="3"/>
      <c r="G2284" s="3"/>
      <c r="H2284" s="3"/>
      <c r="I2284" s="3"/>
      <c r="J2284" s="3">
        <v>0</v>
      </c>
      <c r="K2284" s="3">
        <v>0</v>
      </c>
      <c r="L2284" s="3">
        <v>0</v>
      </c>
      <c r="M2284" s="3">
        <v>0</v>
      </c>
      <c r="N2284" s="3">
        <v>0</v>
      </c>
      <c r="O2284" s="3"/>
      <c r="P2284" s="3">
        <v>0</v>
      </c>
      <c r="Q2284" s="3">
        <v>0</v>
      </c>
      <c r="R2284" s="3">
        <v>0</v>
      </c>
    </row>
    <row r="2285" spans="1:18">
      <c r="A2285" s="3" t="s">
        <v>7006</v>
      </c>
      <c r="B2285" s="3" t="s">
        <v>7007</v>
      </c>
      <c r="C2285" s="3" t="s">
        <v>7008</v>
      </c>
      <c r="D2285" s="3"/>
      <c r="E2285" s="3" t="s">
        <v>3293</v>
      </c>
      <c r="F2285" s="3"/>
      <c r="G2285" s="3"/>
      <c r="H2285" s="3"/>
      <c r="I2285" s="3"/>
      <c r="J2285" s="3">
        <v>0</v>
      </c>
      <c r="K2285" s="3">
        <v>0</v>
      </c>
      <c r="L2285" s="3">
        <v>0</v>
      </c>
      <c r="M2285" s="3">
        <v>0</v>
      </c>
      <c r="N2285" s="3">
        <v>0</v>
      </c>
      <c r="O2285" s="3"/>
      <c r="P2285" s="3">
        <v>0</v>
      </c>
      <c r="Q2285" s="3">
        <v>0</v>
      </c>
      <c r="R2285" s="3">
        <v>0</v>
      </c>
    </row>
    <row r="2286" spans="1:18">
      <c r="A2286" s="3" t="s">
        <v>7009</v>
      </c>
      <c r="B2286" s="3" t="s">
        <v>7010</v>
      </c>
      <c r="C2286" s="3" t="s">
        <v>7011</v>
      </c>
      <c r="D2286" s="3"/>
      <c r="E2286" s="3" t="s">
        <v>3293</v>
      </c>
      <c r="F2286" s="3"/>
      <c r="G2286" s="3"/>
      <c r="H2286" s="3"/>
      <c r="I2286" s="3"/>
      <c r="J2286" s="3">
        <v>0</v>
      </c>
      <c r="K2286" s="3">
        <v>0</v>
      </c>
      <c r="L2286" s="3">
        <v>0</v>
      </c>
      <c r="M2286" s="3">
        <v>0</v>
      </c>
      <c r="N2286" s="3">
        <v>0</v>
      </c>
      <c r="O2286" s="3"/>
      <c r="P2286" s="3">
        <v>0</v>
      </c>
      <c r="Q2286" s="3">
        <v>0</v>
      </c>
      <c r="R2286" s="3">
        <v>0</v>
      </c>
    </row>
    <row r="2287" spans="1:18">
      <c r="A2287" s="3" t="s">
        <v>7012</v>
      </c>
      <c r="B2287" s="3" t="s">
        <v>7013</v>
      </c>
      <c r="C2287" s="3" t="s">
        <v>7014</v>
      </c>
      <c r="D2287" s="3"/>
      <c r="E2287" s="3" t="s">
        <v>3293</v>
      </c>
      <c r="F2287" s="3"/>
      <c r="G2287" s="3"/>
      <c r="H2287" s="3"/>
      <c r="I2287" s="3"/>
      <c r="J2287" s="3">
        <v>0</v>
      </c>
      <c r="K2287" s="3">
        <v>0</v>
      </c>
      <c r="L2287" s="3">
        <v>0</v>
      </c>
      <c r="M2287" s="3">
        <v>0</v>
      </c>
      <c r="N2287" s="3">
        <v>0</v>
      </c>
      <c r="O2287" s="3"/>
      <c r="P2287" s="3">
        <v>0</v>
      </c>
      <c r="Q2287" s="3">
        <v>0</v>
      </c>
      <c r="R2287" s="3">
        <v>0</v>
      </c>
    </row>
    <row r="2288" spans="1:18">
      <c r="A2288" s="3" t="s">
        <v>7015</v>
      </c>
      <c r="B2288" s="3" t="s">
        <v>7016</v>
      </c>
      <c r="C2288" s="3" t="s">
        <v>7017</v>
      </c>
      <c r="D2288" s="3"/>
      <c r="E2288" s="3" t="s">
        <v>3293</v>
      </c>
      <c r="F2288" s="3"/>
      <c r="G2288" s="3"/>
      <c r="H2288" s="3"/>
      <c r="I2288" s="3"/>
      <c r="J2288" s="3">
        <v>0</v>
      </c>
      <c r="K2288" s="3">
        <v>0</v>
      </c>
      <c r="L2288" s="3">
        <v>0</v>
      </c>
      <c r="M2288" s="3">
        <v>0</v>
      </c>
      <c r="N2288" s="3">
        <v>0</v>
      </c>
      <c r="O2288" s="3"/>
      <c r="P2288" s="3">
        <v>0</v>
      </c>
      <c r="Q2288" s="3">
        <v>0</v>
      </c>
      <c r="R2288" s="3">
        <v>0</v>
      </c>
    </row>
    <row r="2289" spans="1:18">
      <c r="A2289" s="3" t="s">
        <v>7018</v>
      </c>
      <c r="B2289" s="3" t="s">
        <v>7019</v>
      </c>
      <c r="C2289" s="3" t="s">
        <v>7020</v>
      </c>
      <c r="D2289" s="3"/>
      <c r="E2289" s="3" t="s">
        <v>3293</v>
      </c>
      <c r="F2289" s="3"/>
      <c r="G2289" s="3"/>
      <c r="H2289" s="3"/>
      <c r="I2289" s="3"/>
      <c r="J2289" s="3">
        <v>0</v>
      </c>
      <c r="K2289" s="3">
        <v>0</v>
      </c>
      <c r="L2289" s="3">
        <v>0</v>
      </c>
      <c r="M2289" s="3">
        <v>0</v>
      </c>
      <c r="N2289" s="3">
        <v>0</v>
      </c>
      <c r="O2289" s="3"/>
      <c r="P2289" s="3">
        <v>0</v>
      </c>
      <c r="Q2289" s="3">
        <v>0</v>
      </c>
      <c r="R2289" s="3">
        <v>0</v>
      </c>
    </row>
    <row r="2290" spans="1:18">
      <c r="A2290" s="3" t="s">
        <v>7021</v>
      </c>
      <c r="B2290" s="3" t="s">
        <v>7022</v>
      </c>
      <c r="C2290" s="3" t="s">
        <v>7023</v>
      </c>
      <c r="D2290" s="3"/>
      <c r="E2290" s="3" t="s">
        <v>3293</v>
      </c>
      <c r="F2290" s="3"/>
      <c r="G2290" s="3"/>
      <c r="H2290" s="3"/>
      <c r="I2290" s="3"/>
      <c r="J2290" s="3">
        <v>0</v>
      </c>
      <c r="K2290" s="3">
        <v>0</v>
      </c>
      <c r="L2290" s="3">
        <v>0</v>
      </c>
      <c r="M2290" s="3">
        <v>0</v>
      </c>
      <c r="N2290" s="3">
        <v>0</v>
      </c>
      <c r="O2290" s="3"/>
      <c r="P2290" s="3">
        <v>0</v>
      </c>
      <c r="Q2290" s="3">
        <v>0</v>
      </c>
      <c r="R2290" s="3">
        <v>0</v>
      </c>
    </row>
    <row r="2291" spans="1:18">
      <c r="A2291" s="3" t="s">
        <v>7024</v>
      </c>
      <c r="B2291" s="3" t="s">
        <v>7025</v>
      </c>
      <c r="C2291" s="3" t="s">
        <v>7026</v>
      </c>
      <c r="D2291" s="3"/>
      <c r="E2291" s="3" t="s">
        <v>3293</v>
      </c>
      <c r="F2291" s="3"/>
      <c r="G2291" s="3"/>
      <c r="H2291" s="3"/>
      <c r="I2291" s="3"/>
      <c r="J2291" s="3">
        <v>0</v>
      </c>
      <c r="K2291" s="3">
        <v>0</v>
      </c>
      <c r="L2291" s="3">
        <v>0</v>
      </c>
      <c r="M2291" s="3">
        <v>0</v>
      </c>
      <c r="N2291" s="3">
        <v>0</v>
      </c>
      <c r="O2291" s="3"/>
      <c r="P2291" s="3">
        <v>0</v>
      </c>
      <c r="Q2291" s="3">
        <v>0</v>
      </c>
      <c r="R2291" s="3">
        <v>0</v>
      </c>
    </row>
    <row r="2292" spans="1:18">
      <c r="A2292" s="3" t="s">
        <v>7027</v>
      </c>
      <c r="B2292" s="3" t="s">
        <v>7028</v>
      </c>
      <c r="C2292" s="3" t="s">
        <v>7029</v>
      </c>
      <c r="D2292" s="3"/>
      <c r="E2292" s="3" t="s">
        <v>3293</v>
      </c>
      <c r="F2292" s="3"/>
      <c r="G2292" s="3"/>
      <c r="H2292" s="3"/>
      <c r="I2292" s="3"/>
      <c r="J2292" s="3">
        <v>0</v>
      </c>
      <c r="K2292" s="3">
        <v>0</v>
      </c>
      <c r="L2292" s="3">
        <v>0</v>
      </c>
      <c r="M2292" s="3">
        <v>0</v>
      </c>
      <c r="N2292" s="3">
        <v>0</v>
      </c>
      <c r="O2292" s="3"/>
      <c r="P2292" s="3">
        <v>0</v>
      </c>
      <c r="Q2292" s="3">
        <v>0</v>
      </c>
      <c r="R2292" s="3">
        <v>0</v>
      </c>
    </row>
    <row r="2293" spans="1:18">
      <c r="A2293" s="3" t="s">
        <v>7030</v>
      </c>
      <c r="B2293" s="3" t="s">
        <v>7031</v>
      </c>
      <c r="C2293" s="3" t="s">
        <v>7032</v>
      </c>
      <c r="D2293" s="3"/>
      <c r="E2293" s="3" t="s">
        <v>3293</v>
      </c>
      <c r="F2293" s="3"/>
      <c r="G2293" s="3"/>
      <c r="H2293" s="3"/>
      <c r="I2293" s="3"/>
      <c r="J2293" s="3">
        <v>0</v>
      </c>
      <c r="K2293" s="3">
        <v>0</v>
      </c>
      <c r="L2293" s="3">
        <v>0</v>
      </c>
      <c r="M2293" s="3">
        <v>0</v>
      </c>
      <c r="N2293" s="3">
        <v>0</v>
      </c>
      <c r="O2293" s="3"/>
      <c r="P2293" s="3">
        <v>0</v>
      </c>
      <c r="Q2293" s="3">
        <v>0</v>
      </c>
      <c r="R2293" s="3">
        <v>0</v>
      </c>
    </row>
    <row r="2294" spans="1:18">
      <c r="A2294" s="3" t="s">
        <v>7033</v>
      </c>
      <c r="B2294" s="3" t="s">
        <v>7034</v>
      </c>
      <c r="C2294" s="3" t="s">
        <v>7035</v>
      </c>
      <c r="D2294" s="3"/>
      <c r="E2294" s="3" t="s">
        <v>3293</v>
      </c>
      <c r="F2294" s="3"/>
      <c r="G2294" s="3"/>
      <c r="H2294" s="3"/>
      <c r="I2294" s="3"/>
      <c r="J2294" s="3">
        <v>0</v>
      </c>
      <c r="K2294" s="3">
        <v>0</v>
      </c>
      <c r="L2294" s="3">
        <v>0</v>
      </c>
      <c r="M2294" s="3">
        <v>0</v>
      </c>
      <c r="N2294" s="3">
        <v>0</v>
      </c>
      <c r="O2294" s="3"/>
      <c r="P2294" s="3">
        <v>0</v>
      </c>
      <c r="Q2294" s="3">
        <v>0</v>
      </c>
      <c r="R2294" s="3">
        <v>0</v>
      </c>
    </row>
    <row r="2295" spans="1:18">
      <c r="A2295" s="3" t="s">
        <v>7036</v>
      </c>
      <c r="B2295" s="3" t="s">
        <v>7037</v>
      </c>
      <c r="C2295" s="3" t="s">
        <v>7038</v>
      </c>
      <c r="D2295" s="3"/>
      <c r="E2295" s="3" t="s">
        <v>3293</v>
      </c>
      <c r="F2295" s="3"/>
      <c r="G2295" s="3"/>
      <c r="H2295" s="3"/>
      <c r="I2295" s="3"/>
      <c r="J2295" s="3">
        <v>0</v>
      </c>
      <c r="K2295" s="3">
        <v>0</v>
      </c>
      <c r="L2295" s="3">
        <v>0</v>
      </c>
      <c r="M2295" s="3">
        <v>0</v>
      </c>
      <c r="N2295" s="3">
        <v>0</v>
      </c>
      <c r="O2295" s="3"/>
      <c r="P2295" s="3">
        <v>0</v>
      </c>
      <c r="Q2295" s="3">
        <v>0</v>
      </c>
      <c r="R2295" s="3">
        <v>0</v>
      </c>
    </row>
    <row r="2296" spans="1:18">
      <c r="A2296" s="3" t="s">
        <v>7039</v>
      </c>
      <c r="B2296" s="3" t="s">
        <v>7040</v>
      </c>
      <c r="C2296" s="3" t="s">
        <v>7041</v>
      </c>
      <c r="D2296" s="3"/>
      <c r="E2296" s="3" t="s">
        <v>3293</v>
      </c>
      <c r="F2296" s="3"/>
      <c r="G2296" s="3"/>
      <c r="H2296" s="3"/>
      <c r="I2296" s="3"/>
      <c r="J2296" s="3">
        <v>0</v>
      </c>
      <c r="K2296" s="3">
        <v>0</v>
      </c>
      <c r="L2296" s="3">
        <v>0</v>
      </c>
      <c r="M2296" s="3">
        <v>0</v>
      </c>
      <c r="N2296" s="3">
        <v>0</v>
      </c>
      <c r="O2296" s="3"/>
      <c r="P2296" s="3">
        <v>0</v>
      </c>
      <c r="Q2296" s="3">
        <v>0</v>
      </c>
      <c r="R2296" s="3">
        <v>0</v>
      </c>
    </row>
    <row r="2297" spans="1:18">
      <c r="A2297" s="3" t="s">
        <v>7042</v>
      </c>
      <c r="B2297" s="3" t="s">
        <v>7043</v>
      </c>
      <c r="C2297" s="3" t="s">
        <v>7044</v>
      </c>
      <c r="D2297" s="3"/>
      <c r="E2297" s="3" t="s">
        <v>3293</v>
      </c>
      <c r="F2297" s="3"/>
      <c r="G2297" s="3"/>
      <c r="H2297" s="3"/>
      <c r="I2297" s="3"/>
      <c r="J2297" s="3">
        <v>0</v>
      </c>
      <c r="K2297" s="3">
        <v>0</v>
      </c>
      <c r="L2297" s="3">
        <v>0</v>
      </c>
      <c r="M2297" s="3">
        <v>0</v>
      </c>
      <c r="N2297" s="3">
        <v>0</v>
      </c>
      <c r="O2297" s="3"/>
      <c r="P2297" s="3">
        <v>0</v>
      </c>
      <c r="Q2297" s="3">
        <v>0</v>
      </c>
      <c r="R2297" s="3">
        <v>0</v>
      </c>
    </row>
    <row r="2298" spans="1:18">
      <c r="A2298" s="3" t="s">
        <v>7045</v>
      </c>
      <c r="B2298" s="3" t="s">
        <v>7046</v>
      </c>
      <c r="C2298" s="3" t="s">
        <v>7047</v>
      </c>
      <c r="D2298" s="3"/>
      <c r="E2298" s="3" t="s">
        <v>3293</v>
      </c>
      <c r="F2298" s="3"/>
      <c r="G2298" s="3"/>
      <c r="H2298" s="3"/>
      <c r="I2298" s="3"/>
      <c r="J2298" s="3">
        <v>0</v>
      </c>
      <c r="K2298" s="3">
        <v>0</v>
      </c>
      <c r="L2298" s="3">
        <v>0</v>
      </c>
      <c r="M2298" s="3">
        <v>0</v>
      </c>
      <c r="N2298" s="3">
        <v>0</v>
      </c>
      <c r="O2298" s="3"/>
      <c r="P2298" s="3">
        <v>0</v>
      </c>
      <c r="Q2298" s="3">
        <v>0</v>
      </c>
      <c r="R2298" s="3">
        <v>0</v>
      </c>
    </row>
    <row r="2299" spans="1:18">
      <c r="A2299" s="3" t="s">
        <v>7048</v>
      </c>
      <c r="B2299" s="3" t="s">
        <v>7049</v>
      </c>
      <c r="C2299" s="3" t="s">
        <v>7050</v>
      </c>
      <c r="D2299" s="3"/>
      <c r="E2299" s="3" t="s">
        <v>3293</v>
      </c>
      <c r="F2299" s="3"/>
      <c r="G2299" s="3"/>
      <c r="H2299" s="3"/>
      <c r="I2299" s="3"/>
      <c r="J2299" s="3">
        <v>0</v>
      </c>
      <c r="K2299" s="3">
        <v>0</v>
      </c>
      <c r="L2299" s="3">
        <v>0</v>
      </c>
      <c r="M2299" s="3">
        <v>0</v>
      </c>
      <c r="N2299" s="3">
        <v>0</v>
      </c>
      <c r="O2299" s="3"/>
      <c r="P2299" s="3">
        <v>0</v>
      </c>
      <c r="Q2299" s="3">
        <v>0</v>
      </c>
      <c r="R2299" s="3">
        <v>0</v>
      </c>
    </row>
    <row r="2300" spans="1:18">
      <c r="A2300" s="3" t="s">
        <v>7051</v>
      </c>
      <c r="B2300" s="3" t="s">
        <v>7052</v>
      </c>
      <c r="C2300" s="3" t="s">
        <v>7053</v>
      </c>
      <c r="D2300" s="3"/>
      <c r="E2300" s="3" t="s">
        <v>3293</v>
      </c>
      <c r="F2300" s="3"/>
      <c r="G2300" s="3"/>
      <c r="H2300" s="3"/>
      <c r="I2300" s="3"/>
      <c r="J2300" s="3">
        <v>0</v>
      </c>
      <c r="K2300" s="3">
        <v>0</v>
      </c>
      <c r="L2300" s="3">
        <v>0</v>
      </c>
      <c r="M2300" s="3">
        <v>0</v>
      </c>
      <c r="N2300" s="3">
        <v>0</v>
      </c>
      <c r="O2300" s="3"/>
      <c r="P2300" s="3">
        <v>0</v>
      </c>
      <c r="Q2300" s="3">
        <v>0</v>
      </c>
      <c r="R2300" s="3">
        <v>0</v>
      </c>
    </row>
    <row r="2301" spans="1:18">
      <c r="A2301" s="3" t="s">
        <v>7054</v>
      </c>
      <c r="B2301" s="3" t="s">
        <v>7055</v>
      </c>
      <c r="C2301" s="3" t="s">
        <v>7056</v>
      </c>
      <c r="D2301" s="3"/>
      <c r="E2301" s="3" t="s">
        <v>3293</v>
      </c>
      <c r="F2301" s="3"/>
      <c r="G2301" s="3"/>
      <c r="H2301" s="3"/>
      <c r="I2301" s="3"/>
      <c r="J2301" s="3">
        <v>0</v>
      </c>
      <c r="K2301" s="3">
        <v>0</v>
      </c>
      <c r="L2301" s="3">
        <v>0</v>
      </c>
      <c r="M2301" s="3">
        <v>0</v>
      </c>
      <c r="N2301" s="3">
        <v>0</v>
      </c>
      <c r="O2301" s="3"/>
      <c r="P2301" s="3">
        <v>0</v>
      </c>
      <c r="Q2301" s="3">
        <v>0</v>
      </c>
      <c r="R2301" s="3">
        <v>0</v>
      </c>
    </row>
    <row r="2302" spans="1:18">
      <c r="A2302" s="3" t="s">
        <v>7057</v>
      </c>
      <c r="B2302" s="3" t="s">
        <v>7058</v>
      </c>
      <c r="C2302" s="3" t="s">
        <v>7059</v>
      </c>
      <c r="D2302" s="3"/>
      <c r="E2302" s="3" t="s">
        <v>3293</v>
      </c>
      <c r="F2302" s="3"/>
      <c r="G2302" s="3"/>
      <c r="H2302" s="3"/>
      <c r="I2302" s="3"/>
      <c r="J2302" s="3">
        <v>0</v>
      </c>
      <c r="K2302" s="3">
        <v>0</v>
      </c>
      <c r="L2302" s="3">
        <v>0</v>
      </c>
      <c r="M2302" s="3">
        <v>0</v>
      </c>
      <c r="N2302" s="3">
        <v>0</v>
      </c>
      <c r="O2302" s="3"/>
      <c r="P2302" s="3">
        <v>0</v>
      </c>
      <c r="Q2302" s="3">
        <v>0</v>
      </c>
      <c r="R2302" s="3">
        <v>0</v>
      </c>
    </row>
    <row r="2303" spans="1:18">
      <c r="A2303" s="3" t="s">
        <v>7060</v>
      </c>
      <c r="B2303" s="3" t="s">
        <v>7061</v>
      </c>
      <c r="C2303" s="3" t="s">
        <v>7062</v>
      </c>
      <c r="D2303" s="3"/>
      <c r="E2303" s="3" t="s">
        <v>3293</v>
      </c>
      <c r="F2303" s="3"/>
      <c r="G2303" s="3"/>
      <c r="H2303" s="3"/>
      <c r="I2303" s="3"/>
      <c r="J2303" s="3">
        <v>0</v>
      </c>
      <c r="K2303" s="3">
        <v>0</v>
      </c>
      <c r="L2303" s="3">
        <v>0</v>
      </c>
      <c r="M2303" s="3">
        <v>0</v>
      </c>
      <c r="N2303" s="3">
        <v>0</v>
      </c>
      <c r="O2303" s="3"/>
      <c r="P2303" s="3">
        <v>0</v>
      </c>
      <c r="Q2303" s="3">
        <v>0</v>
      </c>
      <c r="R2303" s="3">
        <v>0</v>
      </c>
    </row>
    <row r="2304" spans="1:18">
      <c r="A2304" s="3" t="s">
        <v>7063</v>
      </c>
      <c r="B2304" s="3" t="s">
        <v>7064</v>
      </c>
      <c r="C2304" s="3" t="s">
        <v>7065</v>
      </c>
      <c r="D2304" s="3"/>
      <c r="E2304" s="3" t="s">
        <v>3293</v>
      </c>
      <c r="F2304" s="3"/>
      <c r="G2304" s="3"/>
      <c r="H2304" s="3"/>
      <c r="I2304" s="3"/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/>
      <c r="P2304" s="3">
        <v>0</v>
      </c>
      <c r="Q2304" s="3">
        <v>0</v>
      </c>
      <c r="R2304" s="3">
        <v>0</v>
      </c>
    </row>
    <row r="2305" spans="1:18">
      <c r="A2305" s="3" t="s">
        <v>7066</v>
      </c>
      <c r="B2305" s="3" t="s">
        <v>7067</v>
      </c>
      <c r="C2305" s="3" t="s">
        <v>7068</v>
      </c>
      <c r="D2305" s="3"/>
      <c r="E2305" s="3" t="s">
        <v>3293</v>
      </c>
      <c r="F2305" s="3"/>
      <c r="G2305" s="3"/>
      <c r="H2305" s="3"/>
      <c r="I2305" s="3"/>
      <c r="J2305" s="3">
        <v>0</v>
      </c>
      <c r="K2305" s="3">
        <v>0</v>
      </c>
      <c r="L2305" s="3">
        <v>0</v>
      </c>
      <c r="M2305" s="3">
        <v>0</v>
      </c>
      <c r="N2305" s="3">
        <v>0</v>
      </c>
      <c r="O2305" s="3"/>
      <c r="P2305" s="3">
        <v>0</v>
      </c>
      <c r="Q2305" s="3">
        <v>0</v>
      </c>
      <c r="R2305" s="3">
        <v>0</v>
      </c>
    </row>
    <row r="2306" spans="1:18">
      <c r="A2306" s="3" t="s">
        <v>7069</v>
      </c>
      <c r="B2306" s="3" t="s">
        <v>7070</v>
      </c>
      <c r="C2306" s="3" t="s">
        <v>7071</v>
      </c>
      <c r="D2306" s="3"/>
      <c r="E2306" s="3" t="s">
        <v>3293</v>
      </c>
      <c r="F2306" s="3"/>
      <c r="G2306" s="3"/>
      <c r="H2306" s="3"/>
      <c r="I2306" s="3"/>
      <c r="J2306" s="3">
        <v>0</v>
      </c>
      <c r="K2306" s="3">
        <v>0</v>
      </c>
      <c r="L2306" s="3">
        <v>0</v>
      </c>
      <c r="M2306" s="3">
        <v>0</v>
      </c>
      <c r="N2306" s="3">
        <v>0</v>
      </c>
      <c r="O2306" s="3"/>
      <c r="P2306" s="3">
        <v>0</v>
      </c>
      <c r="Q2306" s="3">
        <v>0</v>
      </c>
      <c r="R2306" s="3">
        <v>0</v>
      </c>
    </row>
    <row r="2307" spans="1:18">
      <c r="A2307" s="3" t="s">
        <v>7072</v>
      </c>
      <c r="B2307" s="3" t="s">
        <v>7073</v>
      </c>
      <c r="C2307" s="3" t="s">
        <v>7074</v>
      </c>
      <c r="D2307" s="3"/>
      <c r="E2307" s="3" t="s">
        <v>3293</v>
      </c>
      <c r="F2307" s="3"/>
      <c r="G2307" s="3"/>
      <c r="H2307" s="3"/>
      <c r="I2307" s="3"/>
      <c r="J2307" s="3">
        <v>0</v>
      </c>
      <c r="K2307" s="3">
        <v>0</v>
      </c>
      <c r="L2307" s="3">
        <v>0</v>
      </c>
      <c r="M2307" s="3">
        <v>0</v>
      </c>
      <c r="N2307" s="3">
        <v>0</v>
      </c>
      <c r="O2307" s="3"/>
      <c r="P2307" s="3">
        <v>0</v>
      </c>
      <c r="Q2307" s="3">
        <v>0</v>
      </c>
      <c r="R2307" s="3">
        <v>0</v>
      </c>
    </row>
    <row r="2308" spans="1:18">
      <c r="A2308" s="3" t="s">
        <v>7075</v>
      </c>
      <c r="B2308" s="3" t="s">
        <v>7076</v>
      </c>
      <c r="C2308" s="3" t="s">
        <v>7077</v>
      </c>
      <c r="D2308" s="3"/>
      <c r="E2308" s="3" t="s">
        <v>3293</v>
      </c>
      <c r="F2308" s="3"/>
      <c r="G2308" s="3"/>
      <c r="H2308" s="3"/>
      <c r="I2308" s="3"/>
      <c r="J2308" s="3">
        <v>0</v>
      </c>
      <c r="K2308" s="3">
        <v>0</v>
      </c>
      <c r="L2308" s="3">
        <v>0</v>
      </c>
      <c r="M2308" s="3">
        <v>0</v>
      </c>
      <c r="N2308" s="3">
        <v>0</v>
      </c>
      <c r="O2308" s="3"/>
      <c r="P2308" s="3">
        <v>0</v>
      </c>
      <c r="Q2308" s="3">
        <v>0</v>
      </c>
      <c r="R2308" s="3">
        <v>0</v>
      </c>
    </row>
    <row r="2309" spans="1:18">
      <c r="A2309" s="3" t="s">
        <v>7078</v>
      </c>
      <c r="B2309" s="3" t="s">
        <v>7079</v>
      </c>
      <c r="C2309" s="3" t="s">
        <v>7080</v>
      </c>
      <c r="D2309" s="3"/>
      <c r="E2309" s="3" t="s">
        <v>3293</v>
      </c>
      <c r="F2309" s="3"/>
      <c r="G2309" s="3"/>
      <c r="H2309" s="3"/>
      <c r="I2309" s="3"/>
      <c r="J2309" s="3">
        <v>0</v>
      </c>
      <c r="K2309" s="3">
        <v>0</v>
      </c>
      <c r="L2309" s="3">
        <v>0</v>
      </c>
      <c r="M2309" s="3">
        <v>0</v>
      </c>
      <c r="N2309" s="3">
        <v>0</v>
      </c>
      <c r="O2309" s="3"/>
      <c r="P2309" s="3">
        <v>0</v>
      </c>
      <c r="Q2309" s="3">
        <v>0</v>
      </c>
      <c r="R2309" s="3">
        <v>0</v>
      </c>
    </row>
    <row r="2310" spans="1:18">
      <c r="A2310" s="3" t="s">
        <v>7081</v>
      </c>
      <c r="B2310" s="3" t="s">
        <v>7082</v>
      </c>
      <c r="C2310" s="3" t="s">
        <v>7083</v>
      </c>
      <c r="D2310" s="3"/>
      <c r="E2310" s="3" t="s">
        <v>3293</v>
      </c>
      <c r="F2310" s="3"/>
      <c r="G2310" s="3"/>
      <c r="H2310" s="3"/>
      <c r="I2310" s="3"/>
      <c r="J2310" s="3">
        <v>0</v>
      </c>
      <c r="K2310" s="3">
        <v>0</v>
      </c>
      <c r="L2310" s="3">
        <v>0</v>
      </c>
      <c r="M2310" s="3">
        <v>0</v>
      </c>
      <c r="N2310" s="3">
        <v>0</v>
      </c>
      <c r="O2310" s="3"/>
      <c r="P2310" s="3">
        <v>0</v>
      </c>
      <c r="Q2310" s="3">
        <v>0</v>
      </c>
      <c r="R2310" s="3">
        <v>0</v>
      </c>
    </row>
    <row r="2311" spans="1:18">
      <c r="A2311" s="3" t="s">
        <v>7084</v>
      </c>
      <c r="B2311" s="3" t="s">
        <v>7085</v>
      </c>
      <c r="C2311" s="3" t="s">
        <v>7086</v>
      </c>
      <c r="D2311" s="3"/>
      <c r="E2311" s="3" t="s">
        <v>3293</v>
      </c>
      <c r="F2311" s="3"/>
      <c r="G2311" s="3"/>
      <c r="H2311" s="3"/>
      <c r="I2311" s="3"/>
      <c r="J2311" s="3">
        <v>0</v>
      </c>
      <c r="K2311" s="3">
        <v>0</v>
      </c>
      <c r="L2311" s="3">
        <v>0</v>
      </c>
      <c r="M2311" s="3">
        <v>0</v>
      </c>
      <c r="N2311" s="3">
        <v>0</v>
      </c>
      <c r="O2311" s="3"/>
      <c r="P2311" s="3">
        <v>0</v>
      </c>
      <c r="Q2311" s="3">
        <v>0</v>
      </c>
      <c r="R2311" s="3">
        <v>0</v>
      </c>
    </row>
    <row r="2312" spans="1:18">
      <c r="A2312" s="3" t="s">
        <v>7087</v>
      </c>
      <c r="B2312" s="3" t="s">
        <v>7088</v>
      </c>
      <c r="C2312" s="3" t="s">
        <v>7089</v>
      </c>
      <c r="D2312" s="3"/>
      <c r="E2312" s="3" t="s">
        <v>3293</v>
      </c>
      <c r="F2312" s="3"/>
      <c r="G2312" s="3"/>
      <c r="H2312" s="3"/>
      <c r="I2312" s="3"/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/>
      <c r="P2312" s="3">
        <v>0</v>
      </c>
      <c r="Q2312" s="3">
        <v>0</v>
      </c>
      <c r="R2312" s="3">
        <v>0</v>
      </c>
    </row>
    <row r="2313" spans="1:18">
      <c r="A2313" s="3" t="s">
        <v>7090</v>
      </c>
      <c r="B2313" s="3" t="s">
        <v>7091</v>
      </c>
      <c r="C2313" s="3" t="s">
        <v>7092</v>
      </c>
      <c r="D2313" s="3"/>
      <c r="E2313" s="3" t="s">
        <v>3293</v>
      </c>
      <c r="F2313" s="3"/>
      <c r="G2313" s="3"/>
      <c r="H2313" s="3"/>
      <c r="I2313" s="3"/>
      <c r="J2313" s="3">
        <v>0</v>
      </c>
      <c r="K2313" s="3">
        <v>0</v>
      </c>
      <c r="L2313" s="3">
        <v>0</v>
      </c>
      <c r="M2313" s="3">
        <v>0</v>
      </c>
      <c r="N2313" s="3">
        <v>0</v>
      </c>
      <c r="O2313" s="3"/>
      <c r="P2313" s="3">
        <v>0</v>
      </c>
      <c r="Q2313" s="3">
        <v>0</v>
      </c>
      <c r="R2313" s="3">
        <v>0</v>
      </c>
    </row>
    <row r="2314" spans="1:18">
      <c r="A2314" s="3" t="s">
        <v>7093</v>
      </c>
      <c r="B2314" s="3" t="s">
        <v>7094</v>
      </c>
      <c r="C2314" s="3" t="s">
        <v>7095</v>
      </c>
      <c r="D2314" s="3"/>
      <c r="E2314" s="3" t="s">
        <v>3293</v>
      </c>
      <c r="F2314" s="3"/>
      <c r="G2314" s="3"/>
      <c r="H2314" s="3"/>
      <c r="I2314" s="3"/>
      <c r="J2314" s="3">
        <v>0</v>
      </c>
      <c r="K2314" s="3">
        <v>0</v>
      </c>
      <c r="L2314" s="3">
        <v>0</v>
      </c>
      <c r="M2314" s="3">
        <v>0</v>
      </c>
      <c r="N2314" s="3">
        <v>0</v>
      </c>
      <c r="O2314" s="3"/>
      <c r="P2314" s="3">
        <v>0</v>
      </c>
      <c r="Q2314" s="3">
        <v>0</v>
      </c>
      <c r="R2314" s="3">
        <v>0</v>
      </c>
    </row>
    <row r="2315" spans="1:18">
      <c r="A2315" s="3" t="s">
        <v>7096</v>
      </c>
      <c r="B2315" s="3" t="s">
        <v>7097</v>
      </c>
      <c r="C2315" s="3" t="s">
        <v>7098</v>
      </c>
      <c r="D2315" s="3"/>
      <c r="E2315" s="3" t="s">
        <v>3293</v>
      </c>
      <c r="F2315" s="3"/>
      <c r="G2315" s="3"/>
      <c r="H2315" s="3"/>
      <c r="I2315" s="3"/>
      <c r="J2315" s="3">
        <v>0</v>
      </c>
      <c r="K2315" s="3">
        <v>0</v>
      </c>
      <c r="L2315" s="3">
        <v>0</v>
      </c>
      <c r="M2315" s="3">
        <v>0</v>
      </c>
      <c r="N2315" s="3">
        <v>0</v>
      </c>
      <c r="O2315" s="3"/>
      <c r="P2315" s="3">
        <v>0</v>
      </c>
      <c r="Q2315" s="3">
        <v>0</v>
      </c>
      <c r="R2315" s="3">
        <v>0</v>
      </c>
    </row>
    <row r="2316" spans="1:18">
      <c r="A2316" s="3" t="s">
        <v>7099</v>
      </c>
      <c r="B2316" s="3" t="s">
        <v>7100</v>
      </c>
      <c r="C2316" s="3" t="s">
        <v>7101</v>
      </c>
      <c r="D2316" s="3"/>
      <c r="E2316" s="3" t="s">
        <v>3293</v>
      </c>
      <c r="F2316" s="3"/>
      <c r="G2316" s="3"/>
      <c r="H2316" s="3"/>
      <c r="I2316" s="3"/>
      <c r="J2316" s="3">
        <v>0</v>
      </c>
      <c r="K2316" s="3">
        <v>0</v>
      </c>
      <c r="L2316" s="3">
        <v>0</v>
      </c>
      <c r="M2316" s="3">
        <v>0</v>
      </c>
      <c r="N2316" s="3">
        <v>0</v>
      </c>
      <c r="O2316" s="3"/>
      <c r="P2316" s="3">
        <v>0</v>
      </c>
      <c r="Q2316" s="3">
        <v>0</v>
      </c>
      <c r="R2316" s="3">
        <v>0</v>
      </c>
    </row>
    <row r="2317" spans="1:18">
      <c r="A2317" s="3" t="s">
        <v>7102</v>
      </c>
      <c r="B2317" s="3" t="s">
        <v>7103</v>
      </c>
      <c r="C2317" s="3" t="s">
        <v>7104</v>
      </c>
      <c r="D2317" s="3"/>
      <c r="E2317" s="3" t="s">
        <v>3293</v>
      </c>
      <c r="F2317" s="3"/>
      <c r="G2317" s="3"/>
      <c r="H2317" s="3"/>
      <c r="I2317" s="3"/>
      <c r="J2317" s="3">
        <v>0</v>
      </c>
      <c r="K2317" s="3">
        <v>0</v>
      </c>
      <c r="L2317" s="3">
        <v>0</v>
      </c>
      <c r="M2317" s="3">
        <v>0</v>
      </c>
      <c r="N2317" s="3">
        <v>0</v>
      </c>
      <c r="O2317" s="3"/>
      <c r="P2317" s="3">
        <v>0</v>
      </c>
      <c r="Q2317" s="3">
        <v>0</v>
      </c>
      <c r="R2317" s="3">
        <v>0</v>
      </c>
    </row>
    <row r="2318" spans="1:18">
      <c r="A2318" s="3" t="s">
        <v>7105</v>
      </c>
      <c r="B2318" s="3" t="s">
        <v>7106</v>
      </c>
      <c r="C2318" s="3" t="s">
        <v>7107</v>
      </c>
      <c r="D2318" s="3"/>
      <c r="E2318" s="3" t="s">
        <v>3293</v>
      </c>
      <c r="F2318" s="3"/>
      <c r="G2318" s="3"/>
      <c r="H2318" s="3"/>
      <c r="I2318" s="3"/>
      <c r="J2318" s="3">
        <v>0</v>
      </c>
      <c r="K2318" s="3">
        <v>0</v>
      </c>
      <c r="L2318" s="3">
        <v>0</v>
      </c>
      <c r="M2318" s="3">
        <v>0</v>
      </c>
      <c r="N2318" s="3">
        <v>0</v>
      </c>
      <c r="O2318" s="3"/>
      <c r="P2318" s="3">
        <v>0</v>
      </c>
      <c r="Q2318" s="3">
        <v>0</v>
      </c>
      <c r="R2318" s="3">
        <v>0</v>
      </c>
    </row>
    <row r="2319" spans="1:18">
      <c r="A2319" s="3" t="s">
        <v>7108</v>
      </c>
      <c r="B2319" s="3" t="s">
        <v>7109</v>
      </c>
      <c r="C2319" s="3" t="s">
        <v>7110</v>
      </c>
      <c r="D2319" s="3"/>
      <c r="E2319" s="3" t="s">
        <v>3293</v>
      </c>
      <c r="F2319" s="3"/>
      <c r="G2319" s="3"/>
      <c r="H2319" s="3"/>
      <c r="I2319" s="3"/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/>
      <c r="P2319" s="3">
        <v>0</v>
      </c>
      <c r="Q2319" s="3">
        <v>0</v>
      </c>
      <c r="R2319" s="3">
        <v>0</v>
      </c>
    </row>
    <row r="2320" spans="1:18">
      <c r="A2320" s="3" t="s">
        <v>7111</v>
      </c>
      <c r="B2320" s="3" t="s">
        <v>7112</v>
      </c>
      <c r="C2320" s="3" t="s">
        <v>7113</v>
      </c>
      <c r="D2320" s="3"/>
      <c r="E2320" s="3" t="s">
        <v>3293</v>
      </c>
      <c r="F2320" s="3"/>
      <c r="G2320" s="3"/>
      <c r="H2320" s="3"/>
      <c r="I2320" s="3"/>
      <c r="J2320" s="3">
        <v>0</v>
      </c>
      <c r="K2320" s="3">
        <v>0</v>
      </c>
      <c r="L2320" s="3">
        <v>0</v>
      </c>
      <c r="M2320" s="3">
        <v>0</v>
      </c>
      <c r="N2320" s="3">
        <v>0</v>
      </c>
      <c r="O2320" s="3"/>
      <c r="P2320" s="3">
        <v>0</v>
      </c>
      <c r="Q2320" s="3">
        <v>0</v>
      </c>
      <c r="R2320" s="3">
        <v>0</v>
      </c>
    </row>
    <row r="2321" spans="1:18">
      <c r="A2321" s="3" t="s">
        <v>7114</v>
      </c>
      <c r="B2321" s="3" t="s">
        <v>7115</v>
      </c>
      <c r="C2321" s="3" t="s">
        <v>7116</v>
      </c>
      <c r="D2321" s="3"/>
      <c r="E2321" s="3" t="s">
        <v>3293</v>
      </c>
      <c r="F2321" s="3"/>
      <c r="G2321" s="3"/>
      <c r="H2321" s="3"/>
      <c r="I2321" s="3"/>
      <c r="J2321" s="3">
        <v>0</v>
      </c>
      <c r="K2321" s="3">
        <v>0</v>
      </c>
      <c r="L2321" s="3">
        <v>0</v>
      </c>
      <c r="M2321" s="3">
        <v>0</v>
      </c>
      <c r="N2321" s="3">
        <v>0</v>
      </c>
      <c r="O2321" s="3"/>
      <c r="P2321" s="3">
        <v>0</v>
      </c>
      <c r="Q2321" s="3">
        <v>0</v>
      </c>
      <c r="R2321" s="3">
        <v>0</v>
      </c>
    </row>
    <row r="2322" spans="1:18">
      <c r="A2322" s="3" t="s">
        <v>7117</v>
      </c>
      <c r="B2322" s="3" t="s">
        <v>7118</v>
      </c>
      <c r="C2322" s="3" t="s">
        <v>7119</v>
      </c>
      <c r="D2322" s="3"/>
      <c r="E2322" s="3" t="s">
        <v>3293</v>
      </c>
      <c r="F2322" s="3"/>
      <c r="G2322" s="3"/>
      <c r="H2322" s="3"/>
      <c r="I2322" s="3"/>
      <c r="J2322" s="3">
        <v>0</v>
      </c>
      <c r="K2322" s="3">
        <v>0</v>
      </c>
      <c r="L2322" s="3">
        <v>0</v>
      </c>
      <c r="M2322" s="3">
        <v>0</v>
      </c>
      <c r="N2322" s="3">
        <v>0</v>
      </c>
      <c r="O2322" s="3"/>
      <c r="P2322" s="3">
        <v>0</v>
      </c>
      <c r="Q2322" s="3">
        <v>0</v>
      </c>
      <c r="R2322" s="3">
        <v>0</v>
      </c>
    </row>
    <row r="2323" spans="1:18">
      <c r="A2323" s="3" t="s">
        <v>7120</v>
      </c>
      <c r="B2323" s="3" t="s">
        <v>7121</v>
      </c>
      <c r="C2323" s="3" t="s">
        <v>7122</v>
      </c>
      <c r="D2323" s="3"/>
      <c r="E2323" s="3" t="s">
        <v>3293</v>
      </c>
      <c r="F2323" s="3"/>
      <c r="G2323" s="3"/>
      <c r="H2323" s="3"/>
      <c r="I2323" s="3"/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/>
      <c r="P2323" s="3">
        <v>0</v>
      </c>
      <c r="Q2323" s="3">
        <v>0</v>
      </c>
      <c r="R2323" s="3">
        <v>0</v>
      </c>
    </row>
    <row r="2324" spans="1:18">
      <c r="A2324" s="3" t="s">
        <v>7123</v>
      </c>
      <c r="B2324" s="3" t="s">
        <v>7124</v>
      </c>
      <c r="C2324" s="3" t="s">
        <v>7125</v>
      </c>
      <c r="D2324" s="3"/>
      <c r="E2324" s="3" t="s">
        <v>3293</v>
      </c>
      <c r="F2324" s="3"/>
      <c r="G2324" s="3"/>
      <c r="H2324" s="3"/>
      <c r="I2324" s="3"/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/>
      <c r="P2324" s="3">
        <v>0</v>
      </c>
      <c r="Q2324" s="3">
        <v>0</v>
      </c>
      <c r="R2324" s="3">
        <v>0</v>
      </c>
    </row>
    <row r="2325" spans="1:18">
      <c r="A2325" s="3" t="s">
        <v>7126</v>
      </c>
      <c r="B2325" s="3" t="s">
        <v>7127</v>
      </c>
      <c r="C2325" s="3" t="s">
        <v>7128</v>
      </c>
      <c r="D2325" s="3"/>
      <c r="E2325" s="3" t="s">
        <v>3293</v>
      </c>
      <c r="F2325" s="3"/>
      <c r="G2325" s="3"/>
      <c r="H2325" s="3"/>
      <c r="I2325" s="3"/>
      <c r="J2325" s="3">
        <v>0</v>
      </c>
      <c r="K2325" s="3">
        <v>0</v>
      </c>
      <c r="L2325" s="3">
        <v>0</v>
      </c>
      <c r="M2325" s="3">
        <v>0</v>
      </c>
      <c r="N2325" s="3">
        <v>0</v>
      </c>
      <c r="O2325" s="3"/>
      <c r="P2325" s="3">
        <v>0</v>
      </c>
      <c r="Q2325" s="3">
        <v>0</v>
      </c>
      <c r="R2325" s="3">
        <v>0</v>
      </c>
    </row>
    <row r="2326" spans="1:18">
      <c r="A2326" s="3" t="s">
        <v>7129</v>
      </c>
      <c r="B2326" s="3" t="s">
        <v>7130</v>
      </c>
      <c r="C2326" s="3" t="s">
        <v>7131</v>
      </c>
      <c r="D2326" s="3"/>
      <c r="E2326" s="3" t="s">
        <v>3293</v>
      </c>
      <c r="F2326" s="3"/>
      <c r="G2326" s="3"/>
      <c r="H2326" s="3"/>
      <c r="I2326" s="3"/>
      <c r="J2326" s="3">
        <v>0</v>
      </c>
      <c r="K2326" s="3">
        <v>0</v>
      </c>
      <c r="L2326" s="3">
        <v>0</v>
      </c>
      <c r="M2326" s="3">
        <v>0</v>
      </c>
      <c r="N2326" s="3">
        <v>0</v>
      </c>
      <c r="O2326" s="3"/>
      <c r="P2326" s="3">
        <v>0</v>
      </c>
      <c r="Q2326" s="3">
        <v>0</v>
      </c>
      <c r="R2326" s="3">
        <v>0</v>
      </c>
    </row>
    <row r="2327" spans="1:18">
      <c r="A2327" s="3" t="s">
        <v>7132</v>
      </c>
      <c r="B2327" s="3" t="s">
        <v>7133</v>
      </c>
      <c r="C2327" s="3" t="s">
        <v>7134</v>
      </c>
      <c r="D2327" s="3"/>
      <c r="E2327" s="3" t="s">
        <v>3293</v>
      </c>
      <c r="F2327" s="3"/>
      <c r="G2327" s="3"/>
      <c r="H2327" s="3"/>
      <c r="I2327" s="3"/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/>
      <c r="P2327" s="3">
        <v>0</v>
      </c>
      <c r="Q2327" s="3">
        <v>0</v>
      </c>
      <c r="R2327" s="3">
        <v>0</v>
      </c>
    </row>
    <row r="2328" spans="1:18">
      <c r="A2328" s="3" t="s">
        <v>7135</v>
      </c>
      <c r="B2328" s="3" t="s">
        <v>7136</v>
      </c>
      <c r="C2328" s="3" t="s">
        <v>7137</v>
      </c>
      <c r="D2328" s="3"/>
      <c r="E2328" s="3" t="s">
        <v>3293</v>
      </c>
      <c r="F2328" s="3"/>
      <c r="G2328" s="3"/>
      <c r="H2328" s="3"/>
      <c r="I2328" s="3"/>
      <c r="J2328" s="3">
        <v>0</v>
      </c>
      <c r="K2328" s="3">
        <v>0</v>
      </c>
      <c r="L2328" s="3">
        <v>0</v>
      </c>
      <c r="M2328" s="3">
        <v>0</v>
      </c>
      <c r="N2328" s="3">
        <v>0</v>
      </c>
      <c r="O2328" s="3"/>
      <c r="P2328" s="3">
        <v>0</v>
      </c>
      <c r="Q2328" s="3">
        <v>0</v>
      </c>
      <c r="R2328" s="3">
        <v>0</v>
      </c>
    </row>
    <row r="2329" spans="1:18">
      <c r="A2329" s="3" t="s">
        <v>7138</v>
      </c>
      <c r="B2329" s="3" t="s">
        <v>7139</v>
      </c>
      <c r="C2329" s="3" t="s">
        <v>7140</v>
      </c>
      <c r="D2329" s="3"/>
      <c r="E2329" s="3" t="s">
        <v>3293</v>
      </c>
      <c r="F2329" s="3"/>
      <c r="G2329" s="3"/>
      <c r="H2329" s="3"/>
      <c r="I2329" s="3"/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/>
      <c r="P2329" s="3">
        <v>0</v>
      </c>
      <c r="Q2329" s="3">
        <v>0</v>
      </c>
      <c r="R2329" s="3">
        <v>0</v>
      </c>
    </row>
    <row r="2330" spans="1:18">
      <c r="A2330" s="3" t="s">
        <v>7141</v>
      </c>
      <c r="B2330" s="3" t="s">
        <v>7142</v>
      </c>
      <c r="C2330" s="3" t="s">
        <v>7143</v>
      </c>
      <c r="D2330" s="3"/>
      <c r="E2330" s="3" t="s">
        <v>3293</v>
      </c>
      <c r="F2330" s="3"/>
      <c r="G2330" s="3"/>
      <c r="H2330" s="3"/>
      <c r="I2330" s="3"/>
      <c r="J2330" s="3">
        <v>0</v>
      </c>
      <c r="K2330" s="3">
        <v>0</v>
      </c>
      <c r="L2330" s="3">
        <v>0</v>
      </c>
      <c r="M2330" s="3">
        <v>0</v>
      </c>
      <c r="N2330" s="3">
        <v>0</v>
      </c>
      <c r="O2330" s="3"/>
      <c r="P2330" s="3">
        <v>0</v>
      </c>
      <c r="Q2330" s="3">
        <v>0</v>
      </c>
      <c r="R2330" s="3">
        <v>0</v>
      </c>
    </row>
    <row r="2331" spans="1:18">
      <c r="A2331" s="3" t="s">
        <v>7144</v>
      </c>
      <c r="B2331" s="3" t="s">
        <v>7145</v>
      </c>
      <c r="C2331" s="3" t="s">
        <v>7146</v>
      </c>
      <c r="D2331" s="3"/>
      <c r="E2331" s="3" t="s">
        <v>3293</v>
      </c>
      <c r="F2331" s="3"/>
      <c r="G2331" s="3"/>
      <c r="H2331" s="3"/>
      <c r="I2331" s="3"/>
      <c r="J2331" s="3">
        <v>0</v>
      </c>
      <c r="K2331" s="3">
        <v>0</v>
      </c>
      <c r="L2331" s="3">
        <v>0</v>
      </c>
      <c r="M2331" s="3">
        <v>0</v>
      </c>
      <c r="N2331" s="3">
        <v>0</v>
      </c>
      <c r="O2331" s="3"/>
      <c r="P2331" s="3">
        <v>0</v>
      </c>
      <c r="Q2331" s="3">
        <v>0</v>
      </c>
      <c r="R2331" s="3">
        <v>0</v>
      </c>
    </row>
    <row r="2332" spans="1:18">
      <c r="A2332" s="3" t="s">
        <v>7147</v>
      </c>
      <c r="B2332" s="3" t="s">
        <v>7148</v>
      </c>
      <c r="C2332" s="3" t="s">
        <v>7149</v>
      </c>
      <c r="D2332" s="3"/>
      <c r="E2332" s="3" t="s">
        <v>3293</v>
      </c>
      <c r="F2332" s="3"/>
      <c r="G2332" s="3"/>
      <c r="H2332" s="3"/>
      <c r="I2332" s="3"/>
      <c r="J2332" s="3">
        <v>0</v>
      </c>
      <c r="K2332" s="3">
        <v>0</v>
      </c>
      <c r="L2332" s="3">
        <v>0</v>
      </c>
      <c r="M2332" s="3">
        <v>0</v>
      </c>
      <c r="N2332" s="3">
        <v>0</v>
      </c>
      <c r="O2332" s="3"/>
      <c r="P2332" s="3">
        <v>0</v>
      </c>
      <c r="Q2332" s="3">
        <v>0</v>
      </c>
      <c r="R2332" s="3">
        <v>0</v>
      </c>
    </row>
    <row r="2333" spans="1:18">
      <c r="A2333" s="3" t="s">
        <v>7150</v>
      </c>
      <c r="B2333" s="3" t="s">
        <v>7151</v>
      </c>
      <c r="C2333" s="3" t="s">
        <v>7152</v>
      </c>
      <c r="D2333" s="3"/>
      <c r="E2333" s="3" t="s">
        <v>3293</v>
      </c>
      <c r="F2333" s="3"/>
      <c r="G2333" s="3"/>
      <c r="H2333" s="3"/>
      <c r="I2333" s="3"/>
      <c r="J2333" s="3">
        <v>0</v>
      </c>
      <c r="K2333" s="3">
        <v>0</v>
      </c>
      <c r="L2333" s="3">
        <v>0</v>
      </c>
      <c r="M2333" s="3">
        <v>0</v>
      </c>
      <c r="N2333" s="3">
        <v>0</v>
      </c>
      <c r="O2333" s="3"/>
      <c r="P2333" s="3">
        <v>0</v>
      </c>
      <c r="Q2333" s="3">
        <v>0</v>
      </c>
      <c r="R2333" s="3">
        <v>0</v>
      </c>
    </row>
    <row r="2334" spans="1:18">
      <c r="A2334" s="3" t="s">
        <v>7153</v>
      </c>
      <c r="B2334" s="3" t="s">
        <v>7154</v>
      </c>
      <c r="C2334" s="3" t="s">
        <v>7155</v>
      </c>
      <c r="D2334" s="3"/>
      <c r="E2334" s="3" t="s">
        <v>3293</v>
      </c>
      <c r="F2334" s="3"/>
      <c r="G2334" s="3"/>
      <c r="H2334" s="3"/>
      <c r="I2334" s="3"/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/>
      <c r="P2334" s="3">
        <v>0</v>
      </c>
      <c r="Q2334" s="3">
        <v>0</v>
      </c>
      <c r="R2334" s="3">
        <v>0</v>
      </c>
    </row>
    <row r="2335" spans="1:18">
      <c r="A2335" s="3" t="s">
        <v>7156</v>
      </c>
      <c r="B2335" s="3" t="s">
        <v>7157</v>
      </c>
      <c r="C2335" s="3" t="s">
        <v>7158</v>
      </c>
      <c r="D2335" s="3"/>
      <c r="E2335" s="3" t="s">
        <v>3293</v>
      </c>
      <c r="F2335" s="3"/>
      <c r="G2335" s="3"/>
      <c r="H2335" s="3"/>
      <c r="I2335" s="3"/>
      <c r="J2335" s="3">
        <v>0</v>
      </c>
      <c r="K2335" s="3">
        <v>0</v>
      </c>
      <c r="L2335" s="3">
        <v>0</v>
      </c>
      <c r="M2335" s="3">
        <v>0</v>
      </c>
      <c r="N2335" s="3">
        <v>0</v>
      </c>
      <c r="O2335" s="3"/>
      <c r="P2335" s="3">
        <v>0</v>
      </c>
      <c r="Q2335" s="3">
        <v>0</v>
      </c>
      <c r="R2335" s="3">
        <v>0</v>
      </c>
    </row>
    <row r="2336" spans="1:18">
      <c r="A2336" s="3" t="s">
        <v>7159</v>
      </c>
      <c r="B2336" s="3" t="s">
        <v>7160</v>
      </c>
      <c r="C2336" s="3" t="s">
        <v>7161</v>
      </c>
      <c r="D2336" s="3"/>
      <c r="E2336" s="3" t="s">
        <v>3293</v>
      </c>
      <c r="F2336" s="3"/>
      <c r="G2336" s="3"/>
      <c r="H2336" s="3"/>
      <c r="I2336" s="3"/>
      <c r="J2336" s="3">
        <v>0</v>
      </c>
      <c r="K2336" s="3">
        <v>0</v>
      </c>
      <c r="L2336" s="3">
        <v>0</v>
      </c>
      <c r="M2336" s="3">
        <v>0</v>
      </c>
      <c r="N2336" s="3">
        <v>0</v>
      </c>
      <c r="O2336" s="3"/>
      <c r="P2336" s="3">
        <v>0</v>
      </c>
      <c r="Q2336" s="3">
        <v>0</v>
      </c>
      <c r="R2336" s="3">
        <v>0</v>
      </c>
    </row>
    <row r="2337" spans="1:18">
      <c r="A2337" s="3" t="s">
        <v>7162</v>
      </c>
      <c r="B2337" s="3" t="s">
        <v>7163</v>
      </c>
      <c r="C2337" s="3" t="s">
        <v>7164</v>
      </c>
      <c r="D2337" s="3"/>
      <c r="E2337" s="3" t="s">
        <v>3293</v>
      </c>
      <c r="F2337" s="3"/>
      <c r="G2337" s="3"/>
      <c r="H2337" s="3"/>
      <c r="I2337" s="3"/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/>
      <c r="P2337" s="3">
        <v>0</v>
      </c>
      <c r="Q2337" s="3">
        <v>0</v>
      </c>
      <c r="R2337" s="3">
        <v>0</v>
      </c>
    </row>
    <row r="2338" spans="1:18">
      <c r="A2338" s="3" t="s">
        <v>7165</v>
      </c>
      <c r="B2338" s="3" t="s">
        <v>7166</v>
      </c>
      <c r="C2338" s="3" t="s">
        <v>7167</v>
      </c>
      <c r="D2338" s="3"/>
      <c r="E2338" s="3" t="s">
        <v>3293</v>
      </c>
      <c r="F2338" s="3"/>
      <c r="G2338" s="3"/>
      <c r="H2338" s="3"/>
      <c r="I2338" s="3"/>
      <c r="J2338" s="3">
        <v>0</v>
      </c>
      <c r="K2338" s="3">
        <v>0</v>
      </c>
      <c r="L2338" s="3">
        <v>0</v>
      </c>
      <c r="M2338" s="3">
        <v>0</v>
      </c>
      <c r="N2338" s="3">
        <v>0</v>
      </c>
      <c r="O2338" s="3"/>
      <c r="P2338" s="3">
        <v>0</v>
      </c>
      <c r="Q2338" s="3">
        <v>0</v>
      </c>
      <c r="R2338" s="3">
        <v>0</v>
      </c>
    </row>
    <row r="2339" spans="1:18">
      <c r="A2339" s="3" t="s">
        <v>7168</v>
      </c>
      <c r="B2339" s="3" t="s">
        <v>7169</v>
      </c>
      <c r="C2339" s="3" t="s">
        <v>7170</v>
      </c>
      <c r="D2339" s="3"/>
      <c r="E2339" s="3" t="s">
        <v>3293</v>
      </c>
      <c r="F2339" s="3"/>
      <c r="G2339" s="3"/>
      <c r="H2339" s="3"/>
      <c r="I2339" s="3"/>
      <c r="J2339" s="3">
        <v>0</v>
      </c>
      <c r="K2339" s="3">
        <v>0</v>
      </c>
      <c r="L2339" s="3">
        <v>0</v>
      </c>
      <c r="M2339" s="3">
        <v>0</v>
      </c>
      <c r="N2339" s="3">
        <v>0</v>
      </c>
      <c r="O2339" s="3"/>
      <c r="P2339" s="3">
        <v>0</v>
      </c>
      <c r="Q2339" s="3">
        <v>0</v>
      </c>
      <c r="R2339" s="3">
        <v>0</v>
      </c>
    </row>
    <row r="2340" spans="1:18">
      <c r="A2340" s="3" t="s">
        <v>7171</v>
      </c>
      <c r="B2340" s="3" t="s">
        <v>7172</v>
      </c>
      <c r="C2340" s="3" t="s">
        <v>7173</v>
      </c>
      <c r="D2340" s="3"/>
      <c r="E2340" s="3" t="s">
        <v>3293</v>
      </c>
      <c r="F2340" s="3"/>
      <c r="G2340" s="3"/>
      <c r="H2340" s="3"/>
      <c r="I2340" s="3"/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/>
      <c r="P2340" s="3">
        <v>0</v>
      </c>
      <c r="Q2340" s="3">
        <v>0</v>
      </c>
      <c r="R2340" s="3">
        <v>0</v>
      </c>
    </row>
    <row r="2341" spans="1:18">
      <c r="A2341" s="3" t="s">
        <v>7174</v>
      </c>
      <c r="B2341" s="3" t="s">
        <v>7175</v>
      </c>
      <c r="C2341" s="3" t="s">
        <v>7176</v>
      </c>
      <c r="D2341" s="3"/>
      <c r="E2341" s="3" t="s">
        <v>3293</v>
      </c>
      <c r="F2341" s="3"/>
      <c r="G2341" s="3"/>
      <c r="H2341" s="3"/>
      <c r="I2341" s="3"/>
      <c r="J2341" s="3">
        <v>0</v>
      </c>
      <c r="K2341" s="3">
        <v>0</v>
      </c>
      <c r="L2341" s="3">
        <v>0</v>
      </c>
      <c r="M2341" s="3">
        <v>0</v>
      </c>
      <c r="N2341" s="3">
        <v>0</v>
      </c>
      <c r="O2341" s="3"/>
      <c r="P2341" s="3">
        <v>0</v>
      </c>
      <c r="Q2341" s="3">
        <v>0</v>
      </c>
      <c r="R2341" s="3">
        <v>0</v>
      </c>
    </row>
    <row r="2342" spans="1:18">
      <c r="A2342" s="3" t="s">
        <v>7177</v>
      </c>
      <c r="B2342" s="3" t="s">
        <v>7178</v>
      </c>
      <c r="C2342" s="3" t="s">
        <v>7179</v>
      </c>
      <c r="D2342" s="3"/>
      <c r="E2342" s="3" t="s">
        <v>3293</v>
      </c>
      <c r="F2342" s="3"/>
      <c r="G2342" s="3"/>
      <c r="H2342" s="3"/>
      <c r="I2342" s="3"/>
      <c r="J2342" s="3">
        <v>0</v>
      </c>
      <c r="K2342" s="3">
        <v>0</v>
      </c>
      <c r="L2342" s="3">
        <v>0</v>
      </c>
      <c r="M2342" s="3">
        <v>0</v>
      </c>
      <c r="N2342" s="3">
        <v>0</v>
      </c>
      <c r="O2342" s="3"/>
      <c r="P2342" s="3">
        <v>0</v>
      </c>
      <c r="Q2342" s="3">
        <v>0</v>
      </c>
      <c r="R2342" s="3">
        <v>0</v>
      </c>
    </row>
    <row r="2343" spans="1:18">
      <c r="A2343" s="3" t="s">
        <v>7180</v>
      </c>
      <c r="B2343" s="3" t="s">
        <v>7181</v>
      </c>
      <c r="C2343" s="3" t="s">
        <v>7182</v>
      </c>
      <c r="D2343" s="3"/>
      <c r="E2343" s="3" t="s">
        <v>3293</v>
      </c>
      <c r="F2343" s="3"/>
      <c r="G2343" s="3"/>
      <c r="H2343" s="3"/>
      <c r="I2343" s="3"/>
      <c r="J2343" s="3">
        <v>0</v>
      </c>
      <c r="K2343" s="3">
        <v>0</v>
      </c>
      <c r="L2343" s="3">
        <v>0</v>
      </c>
      <c r="M2343" s="3">
        <v>0</v>
      </c>
      <c r="N2343" s="3">
        <v>0</v>
      </c>
      <c r="O2343" s="3"/>
      <c r="P2343" s="3">
        <v>0</v>
      </c>
      <c r="Q2343" s="3">
        <v>0</v>
      </c>
      <c r="R2343" s="3">
        <v>0</v>
      </c>
    </row>
    <row r="2344" spans="1:18">
      <c r="A2344" s="3" t="s">
        <v>7183</v>
      </c>
      <c r="B2344" s="3" t="s">
        <v>7184</v>
      </c>
      <c r="C2344" s="3" t="s">
        <v>7185</v>
      </c>
      <c r="D2344" s="3"/>
      <c r="E2344" s="3" t="s">
        <v>3293</v>
      </c>
      <c r="F2344" s="3"/>
      <c r="G2344" s="3"/>
      <c r="H2344" s="3"/>
      <c r="I2344" s="3"/>
      <c r="J2344" s="3">
        <v>0</v>
      </c>
      <c r="K2344" s="3">
        <v>0</v>
      </c>
      <c r="L2344" s="3">
        <v>0</v>
      </c>
      <c r="M2344" s="3">
        <v>0</v>
      </c>
      <c r="N2344" s="3">
        <v>0</v>
      </c>
      <c r="O2344" s="3"/>
      <c r="P2344" s="3">
        <v>0</v>
      </c>
      <c r="Q2344" s="3">
        <v>0</v>
      </c>
      <c r="R2344" s="3">
        <v>0</v>
      </c>
    </row>
    <row r="2345" spans="1:18">
      <c r="A2345" s="3" t="s">
        <v>7186</v>
      </c>
      <c r="B2345" s="3" t="s">
        <v>7187</v>
      </c>
      <c r="C2345" s="3" t="s">
        <v>7188</v>
      </c>
      <c r="D2345" s="3"/>
      <c r="E2345" s="3" t="s">
        <v>3293</v>
      </c>
      <c r="F2345" s="3"/>
      <c r="G2345" s="3"/>
      <c r="H2345" s="3"/>
      <c r="I2345" s="3"/>
      <c r="J2345" s="3">
        <v>0</v>
      </c>
      <c r="K2345" s="3">
        <v>0</v>
      </c>
      <c r="L2345" s="3">
        <v>0</v>
      </c>
      <c r="M2345" s="3">
        <v>0</v>
      </c>
      <c r="N2345" s="3">
        <v>0</v>
      </c>
      <c r="O2345" s="3"/>
      <c r="P2345" s="3">
        <v>0</v>
      </c>
      <c r="Q2345" s="3">
        <v>0</v>
      </c>
      <c r="R2345" s="3">
        <v>0</v>
      </c>
    </row>
    <row r="2346" spans="1:18">
      <c r="A2346" s="3" t="s">
        <v>7189</v>
      </c>
      <c r="B2346" s="3" t="s">
        <v>7190</v>
      </c>
      <c r="C2346" s="3" t="s">
        <v>7191</v>
      </c>
      <c r="D2346" s="3"/>
      <c r="E2346" s="3" t="s">
        <v>3293</v>
      </c>
      <c r="F2346" s="3"/>
      <c r="G2346" s="3"/>
      <c r="H2346" s="3"/>
      <c r="I2346" s="3"/>
      <c r="J2346" s="3">
        <v>0</v>
      </c>
      <c r="K2346" s="3">
        <v>0</v>
      </c>
      <c r="L2346" s="3">
        <v>0</v>
      </c>
      <c r="M2346" s="3">
        <v>0</v>
      </c>
      <c r="N2346" s="3">
        <v>0</v>
      </c>
      <c r="O2346" s="3"/>
      <c r="P2346" s="3">
        <v>0</v>
      </c>
      <c r="Q2346" s="3">
        <v>0</v>
      </c>
      <c r="R2346" s="3">
        <v>0</v>
      </c>
    </row>
    <row r="2347" spans="1:18">
      <c r="A2347" s="3" t="s">
        <v>7192</v>
      </c>
      <c r="B2347" s="3" t="s">
        <v>7193</v>
      </c>
      <c r="C2347" s="3" t="s">
        <v>7194</v>
      </c>
      <c r="D2347" s="3"/>
      <c r="E2347" s="3" t="s">
        <v>3293</v>
      </c>
      <c r="F2347" s="3"/>
      <c r="G2347" s="3"/>
      <c r="H2347" s="3"/>
      <c r="I2347" s="3"/>
      <c r="J2347" s="3">
        <v>0</v>
      </c>
      <c r="K2347" s="3">
        <v>0</v>
      </c>
      <c r="L2347" s="3">
        <v>0</v>
      </c>
      <c r="M2347" s="3">
        <v>0</v>
      </c>
      <c r="N2347" s="3">
        <v>0</v>
      </c>
      <c r="O2347" s="3"/>
      <c r="P2347" s="3">
        <v>0</v>
      </c>
      <c r="Q2347" s="3">
        <v>0</v>
      </c>
      <c r="R2347" s="3">
        <v>0</v>
      </c>
    </row>
    <row r="2348" spans="1:18">
      <c r="A2348" s="3" t="s">
        <v>7195</v>
      </c>
      <c r="B2348" s="3" t="s">
        <v>7196</v>
      </c>
      <c r="C2348" s="3" t="s">
        <v>7197</v>
      </c>
      <c r="D2348" s="3"/>
      <c r="E2348" s="3" t="s">
        <v>3293</v>
      </c>
      <c r="F2348" s="3"/>
      <c r="G2348" s="3"/>
      <c r="H2348" s="3"/>
      <c r="I2348" s="3"/>
      <c r="J2348" s="3">
        <v>0</v>
      </c>
      <c r="K2348" s="3">
        <v>0</v>
      </c>
      <c r="L2348" s="3">
        <v>0</v>
      </c>
      <c r="M2348" s="3">
        <v>0</v>
      </c>
      <c r="N2348" s="3">
        <v>0</v>
      </c>
      <c r="O2348" s="3"/>
      <c r="P2348" s="3">
        <v>0</v>
      </c>
      <c r="Q2348" s="3">
        <v>0</v>
      </c>
      <c r="R2348" s="3">
        <v>0</v>
      </c>
    </row>
    <row r="2349" spans="1:18">
      <c r="A2349" s="3" t="s">
        <v>7198</v>
      </c>
      <c r="B2349" s="3" t="s">
        <v>7199</v>
      </c>
      <c r="C2349" s="3" t="s">
        <v>7200</v>
      </c>
      <c r="D2349" s="3"/>
      <c r="E2349" s="3" t="s">
        <v>3293</v>
      </c>
      <c r="F2349" s="3"/>
      <c r="G2349" s="3"/>
      <c r="H2349" s="3"/>
      <c r="I2349" s="3"/>
      <c r="J2349" s="3">
        <v>0</v>
      </c>
      <c r="K2349" s="3">
        <v>0</v>
      </c>
      <c r="L2349" s="3">
        <v>0</v>
      </c>
      <c r="M2349" s="3">
        <v>0</v>
      </c>
      <c r="N2349" s="3">
        <v>0</v>
      </c>
      <c r="O2349" s="3"/>
      <c r="P2349" s="3">
        <v>0</v>
      </c>
      <c r="Q2349" s="3">
        <v>0</v>
      </c>
      <c r="R2349" s="3">
        <v>0</v>
      </c>
    </row>
    <row r="2350" spans="1:18">
      <c r="A2350" s="3" t="s">
        <v>7201</v>
      </c>
      <c r="B2350" s="3" t="s">
        <v>7202</v>
      </c>
      <c r="C2350" s="3" t="s">
        <v>7203</v>
      </c>
      <c r="D2350" s="3" t="s">
        <v>7204</v>
      </c>
      <c r="E2350" s="3" t="s">
        <v>867</v>
      </c>
      <c r="F2350" s="3">
        <v>19.98</v>
      </c>
      <c r="G2350" s="3" t="s">
        <v>3391</v>
      </c>
      <c r="H2350" s="3"/>
      <c r="I2350" s="3" t="s">
        <v>3392</v>
      </c>
      <c r="J2350" s="3">
        <v>0</v>
      </c>
      <c r="K2350" s="3">
        <v>0</v>
      </c>
      <c r="L2350" s="3">
        <v>0</v>
      </c>
      <c r="M2350" s="3">
        <v>0</v>
      </c>
      <c r="N2350" s="3">
        <v>0</v>
      </c>
      <c r="O2350" s="3">
        <v>0.14</v>
      </c>
      <c r="P2350" s="3">
        <v>0</v>
      </c>
      <c r="Q2350" s="3">
        <v>0</v>
      </c>
      <c r="R2350" s="3">
        <v>0</v>
      </c>
    </row>
    <row r="2351" spans="1:18">
      <c r="A2351" s="3" t="s">
        <v>7205</v>
      </c>
      <c r="B2351" s="3" t="s">
        <v>7206</v>
      </c>
      <c r="C2351" s="3" t="s">
        <v>7207</v>
      </c>
      <c r="D2351" s="3" t="s">
        <v>7208</v>
      </c>
      <c r="E2351" s="3" t="s">
        <v>867</v>
      </c>
      <c r="F2351" s="3">
        <v>19.98</v>
      </c>
      <c r="G2351" s="3" t="s">
        <v>3391</v>
      </c>
      <c r="H2351" s="3"/>
      <c r="I2351" s="3" t="s">
        <v>3392</v>
      </c>
      <c r="J2351" s="3">
        <v>0</v>
      </c>
      <c r="K2351" s="3">
        <v>0</v>
      </c>
      <c r="L2351" s="3">
        <v>0</v>
      </c>
      <c r="M2351" s="3">
        <v>0</v>
      </c>
      <c r="N2351" s="3">
        <v>0</v>
      </c>
      <c r="O2351" s="3">
        <v>0.14</v>
      </c>
      <c r="P2351" s="3">
        <v>0</v>
      </c>
      <c r="Q2351" s="3">
        <v>0</v>
      </c>
      <c r="R2351" s="3">
        <v>0</v>
      </c>
    </row>
    <row r="2352" spans="1:18">
      <c r="A2352" s="3" t="s">
        <v>7209</v>
      </c>
      <c r="B2352" s="3" t="s">
        <v>7210</v>
      </c>
      <c r="C2352" s="3" t="s">
        <v>7211</v>
      </c>
      <c r="D2352" s="3" t="s">
        <v>7212</v>
      </c>
      <c r="E2352" s="3" t="s">
        <v>867</v>
      </c>
      <c r="F2352" s="3">
        <v>19.98</v>
      </c>
      <c r="G2352" s="3" t="s">
        <v>3391</v>
      </c>
      <c r="H2352" s="3"/>
      <c r="I2352" s="3" t="s">
        <v>3392</v>
      </c>
      <c r="J2352" s="3">
        <v>0</v>
      </c>
      <c r="K2352" s="3">
        <v>0</v>
      </c>
      <c r="L2352" s="3">
        <v>0</v>
      </c>
      <c r="M2352" s="3">
        <v>0</v>
      </c>
      <c r="N2352" s="3">
        <v>0</v>
      </c>
      <c r="O2352" s="3">
        <v>0.14</v>
      </c>
      <c r="P2352" s="3">
        <v>0</v>
      </c>
      <c r="Q2352" s="3">
        <v>0</v>
      </c>
      <c r="R2352" s="3">
        <v>0</v>
      </c>
    </row>
    <row r="2353" spans="1:18">
      <c r="A2353" s="3" t="s">
        <v>7213</v>
      </c>
      <c r="B2353" s="3" t="s">
        <v>7214</v>
      </c>
      <c r="C2353" s="3" t="s">
        <v>7215</v>
      </c>
      <c r="D2353" s="3" t="s">
        <v>7216</v>
      </c>
      <c r="E2353" s="3" t="s">
        <v>867</v>
      </c>
      <c r="F2353" s="3">
        <v>19.98</v>
      </c>
      <c r="G2353" s="3" t="s">
        <v>3391</v>
      </c>
      <c r="H2353" s="3"/>
      <c r="I2353" s="3" t="s">
        <v>3392</v>
      </c>
      <c r="J2353" s="3">
        <v>0</v>
      </c>
      <c r="K2353" s="3">
        <v>0</v>
      </c>
      <c r="L2353" s="3">
        <v>0</v>
      </c>
      <c r="M2353" s="3">
        <v>0</v>
      </c>
      <c r="N2353" s="3">
        <v>0</v>
      </c>
      <c r="O2353" s="3">
        <v>0.14</v>
      </c>
      <c r="P2353" s="3">
        <v>0</v>
      </c>
      <c r="Q2353" s="3">
        <v>0</v>
      </c>
      <c r="R2353" s="3">
        <v>0</v>
      </c>
    </row>
    <row r="2354" spans="1:18">
      <c r="A2354" s="3" t="s">
        <v>7217</v>
      </c>
      <c r="B2354" s="3" t="s">
        <v>7218</v>
      </c>
      <c r="C2354" s="3" t="s">
        <v>7219</v>
      </c>
      <c r="D2354" s="3" t="s">
        <v>7220</v>
      </c>
      <c r="E2354" s="3" t="s">
        <v>867</v>
      </c>
      <c r="F2354" s="3">
        <v>19.98</v>
      </c>
      <c r="G2354" s="3" t="s">
        <v>3391</v>
      </c>
      <c r="H2354" s="3"/>
      <c r="I2354" s="3" t="s">
        <v>3392</v>
      </c>
      <c r="J2354" s="3">
        <v>0</v>
      </c>
      <c r="K2354" s="3">
        <v>0</v>
      </c>
      <c r="L2354" s="3">
        <v>0</v>
      </c>
      <c r="M2354" s="3">
        <v>0</v>
      </c>
      <c r="N2354" s="3">
        <v>0</v>
      </c>
      <c r="O2354" s="3">
        <v>0.14</v>
      </c>
      <c r="P2354" s="3">
        <v>0</v>
      </c>
      <c r="Q2354" s="3">
        <v>0</v>
      </c>
      <c r="R2354" s="3">
        <v>0</v>
      </c>
    </row>
    <row r="2355" spans="1:18">
      <c r="A2355" s="3" t="s">
        <v>7221</v>
      </c>
      <c r="B2355" s="3" t="s">
        <v>7222</v>
      </c>
      <c r="C2355" s="3" t="s">
        <v>7223</v>
      </c>
      <c r="D2355" s="3" t="s">
        <v>7224</v>
      </c>
      <c r="E2355" s="3" t="s">
        <v>867</v>
      </c>
      <c r="F2355" s="3">
        <v>19.98</v>
      </c>
      <c r="G2355" s="3" t="s">
        <v>3391</v>
      </c>
      <c r="H2355" s="3"/>
      <c r="I2355" s="3" t="s">
        <v>3392</v>
      </c>
      <c r="J2355" s="3">
        <v>0</v>
      </c>
      <c r="K2355" s="3">
        <v>0</v>
      </c>
      <c r="L2355" s="3">
        <v>0</v>
      </c>
      <c r="M2355" s="3">
        <v>0</v>
      </c>
      <c r="N2355" s="3">
        <v>0</v>
      </c>
      <c r="O2355" s="3">
        <v>0.14</v>
      </c>
      <c r="P2355" s="3">
        <v>0</v>
      </c>
      <c r="Q2355" s="3">
        <v>0</v>
      </c>
      <c r="R2355" s="3">
        <v>0</v>
      </c>
    </row>
    <row r="2356" spans="1:18">
      <c r="A2356" s="3" t="s">
        <v>7225</v>
      </c>
      <c r="B2356" s="3" t="s">
        <v>7226</v>
      </c>
      <c r="C2356" s="3" t="s">
        <v>7227</v>
      </c>
      <c r="D2356" s="3" t="s">
        <v>7228</v>
      </c>
      <c r="E2356" s="3" t="s">
        <v>867</v>
      </c>
      <c r="F2356" s="3">
        <v>19.98</v>
      </c>
      <c r="G2356" s="3" t="s">
        <v>3391</v>
      </c>
      <c r="H2356" s="3"/>
      <c r="I2356" s="3" t="s">
        <v>3392</v>
      </c>
      <c r="J2356" s="3">
        <v>0</v>
      </c>
      <c r="K2356" s="3">
        <v>0</v>
      </c>
      <c r="L2356" s="3">
        <v>0</v>
      </c>
      <c r="M2356" s="3">
        <v>0</v>
      </c>
      <c r="N2356" s="3">
        <v>0</v>
      </c>
      <c r="O2356" s="3">
        <v>0.14</v>
      </c>
      <c r="P2356" s="3">
        <v>0</v>
      </c>
      <c r="Q2356" s="3">
        <v>0</v>
      </c>
      <c r="R2356" s="3">
        <v>0</v>
      </c>
    </row>
    <row r="2357" spans="1:18">
      <c r="A2357" s="3" t="s">
        <v>7229</v>
      </c>
      <c r="B2357" s="3" t="s">
        <v>7230</v>
      </c>
      <c r="C2357" s="3" t="s">
        <v>7231</v>
      </c>
      <c r="D2357" s="3" t="s">
        <v>7232</v>
      </c>
      <c r="E2357" s="3" t="s">
        <v>867</v>
      </c>
      <c r="F2357" s="3">
        <v>19.98</v>
      </c>
      <c r="G2357" s="3" t="s">
        <v>3391</v>
      </c>
      <c r="H2357" s="3"/>
      <c r="I2357" s="3" t="s">
        <v>3392</v>
      </c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/>
      <c r="P2357" s="3">
        <v>0</v>
      </c>
      <c r="Q2357" s="3">
        <v>0</v>
      </c>
      <c r="R2357" s="3">
        <v>0</v>
      </c>
    </row>
    <row r="2358" spans="1:18">
      <c r="A2358" s="3" t="s">
        <v>7233</v>
      </c>
      <c r="B2358" s="3" t="s">
        <v>7234</v>
      </c>
      <c r="C2358" s="3" t="s">
        <v>7235</v>
      </c>
      <c r="D2358" s="3" t="s">
        <v>7236</v>
      </c>
      <c r="E2358" s="3" t="s">
        <v>867</v>
      </c>
      <c r="F2358" s="3">
        <v>19.98</v>
      </c>
      <c r="G2358" s="3" t="s">
        <v>3391</v>
      </c>
      <c r="H2358" s="3"/>
      <c r="I2358" s="3" t="s">
        <v>3392</v>
      </c>
      <c r="J2358" s="3">
        <v>0</v>
      </c>
      <c r="K2358" s="3">
        <v>0</v>
      </c>
      <c r="L2358" s="3">
        <v>0</v>
      </c>
      <c r="M2358" s="3">
        <v>0</v>
      </c>
      <c r="N2358" s="3">
        <v>0</v>
      </c>
      <c r="O2358" s="3">
        <v>0.14</v>
      </c>
      <c r="P2358" s="3">
        <v>0</v>
      </c>
      <c r="Q2358" s="3">
        <v>0</v>
      </c>
      <c r="R2358" s="3">
        <v>0</v>
      </c>
    </row>
    <row r="2359" spans="1:18">
      <c r="A2359" s="3" t="s">
        <v>7237</v>
      </c>
      <c r="B2359" s="3" t="s">
        <v>7238</v>
      </c>
      <c r="C2359" s="3" t="s">
        <v>7239</v>
      </c>
      <c r="D2359" s="3" t="s">
        <v>7240</v>
      </c>
      <c r="E2359" s="3" t="s">
        <v>867</v>
      </c>
      <c r="F2359" s="3">
        <v>19.98</v>
      </c>
      <c r="G2359" s="3" t="s">
        <v>3391</v>
      </c>
      <c r="H2359" s="3"/>
      <c r="I2359" s="3" t="s">
        <v>3392</v>
      </c>
      <c r="J2359" s="3">
        <v>0</v>
      </c>
      <c r="K2359" s="3">
        <v>0</v>
      </c>
      <c r="L2359" s="3">
        <v>0</v>
      </c>
      <c r="M2359" s="3">
        <v>0</v>
      </c>
      <c r="N2359" s="3">
        <v>0</v>
      </c>
      <c r="O2359" s="3">
        <v>0.14</v>
      </c>
      <c r="P2359" s="3">
        <v>0</v>
      </c>
      <c r="Q2359" s="3">
        <v>0</v>
      </c>
      <c r="R2359" s="3">
        <v>0</v>
      </c>
    </row>
    <row r="2360" spans="1:18">
      <c r="A2360" s="3" t="s">
        <v>7241</v>
      </c>
      <c r="B2360" s="3" t="s">
        <v>7242</v>
      </c>
      <c r="C2360" s="3" t="s">
        <v>7243</v>
      </c>
      <c r="D2360" s="3" t="s">
        <v>7244</v>
      </c>
      <c r="E2360" s="3" t="s">
        <v>867</v>
      </c>
      <c r="F2360" s="3">
        <v>19.98</v>
      </c>
      <c r="G2360" s="3" t="s">
        <v>3391</v>
      </c>
      <c r="H2360" s="3"/>
      <c r="I2360" s="3" t="s">
        <v>3392</v>
      </c>
      <c r="J2360" s="3">
        <v>0</v>
      </c>
      <c r="K2360" s="3">
        <v>0</v>
      </c>
      <c r="L2360" s="3">
        <v>0</v>
      </c>
      <c r="M2360" s="3">
        <v>0</v>
      </c>
      <c r="N2360" s="3">
        <v>0</v>
      </c>
      <c r="O2360" s="3">
        <v>0.14</v>
      </c>
      <c r="P2360" s="3">
        <v>0</v>
      </c>
      <c r="Q2360" s="3">
        <v>0</v>
      </c>
      <c r="R2360" s="3">
        <v>0</v>
      </c>
    </row>
    <row r="2361" spans="1:18">
      <c r="A2361" s="3" t="s">
        <v>7245</v>
      </c>
      <c r="B2361" s="3" t="s">
        <v>7246</v>
      </c>
      <c r="C2361" s="3" t="s">
        <v>7247</v>
      </c>
      <c r="D2361" s="3" t="s">
        <v>7248</v>
      </c>
      <c r="E2361" s="3" t="s">
        <v>867</v>
      </c>
      <c r="F2361" s="3">
        <v>19.98</v>
      </c>
      <c r="G2361" s="3" t="s">
        <v>3391</v>
      </c>
      <c r="H2361" s="3"/>
      <c r="I2361" s="3" t="s">
        <v>3392</v>
      </c>
      <c r="J2361" s="3">
        <v>0</v>
      </c>
      <c r="K2361" s="3">
        <v>0</v>
      </c>
      <c r="L2361" s="3">
        <v>0</v>
      </c>
      <c r="M2361" s="3">
        <v>0</v>
      </c>
      <c r="N2361" s="3">
        <v>0</v>
      </c>
      <c r="O2361" s="3">
        <v>0.14</v>
      </c>
      <c r="P2361" s="3">
        <v>0</v>
      </c>
      <c r="Q2361" s="3">
        <v>0</v>
      </c>
      <c r="R2361" s="3">
        <v>0</v>
      </c>
    </row>
    <row r="2362" spans="1:18">
      <c r="A2362" s="3" t="s">
        <v>7249</v>
      </c>
      <c r="B2362" s="3" t="s">
        <v>7250</v>
      </c>
      <c r="C2362" s="3" t="s">
        <v>7251</v>
      </c>
      <c r="D2362" s="3" t="s">
        <v>7252</v>
      </c>
      <c r="E2362" s="3" t="s">
        <v>867</v>
      </c>
      <c r="F2362" s="3">
        <v>19.98</v>
      </c>
      <c r="G2362" s="3" t="s">
        <v>3391</v>
      </c>
      <c r="H2362" s="3"/>
      <c r="I2362" s="3" t="s">
        <v>3392</v>
      </c>
      <c r="J2362" s="3">
        <v>0</v>
      </c>
      <c r="K2362" s="3">
        <v>0</v>
      </c>
      <c r="L2362" s="3">
        <v>0</v>
      </c>
      <c r="M2362" s="3">
        <v>0</v>
      </c>
      <c r="N2362" s="3">
        <v>0</v>
      </c>
      <c r="O2362" s="3">
        <v>0.14</v>
      </c>
      <c r="P2362" s="3">
        <v>0</v>
      </c>
      <c r="Q2362" s="3">
        <v>0</v>
      </c>
      <c r="R2362" s="3">
        <v>0</v>
      </c>
    </row>
    <row r="2363" spans="1:18">
      <c r="A2363" s="3" t="s">
        <v>7253</v>
      </c>
      <c r="B2363" s="3" t="s">
        <v>7254</v>
      </c>
      <c r="C2363" s="3" t="s">
        <v>7255</v>
      </c>
      <c r="D2363" s="3" t="s">
        <v>7256</v>
      </c>
      <c r="E2363" s="3" t="s">
        <v>867</v>
      </c>
      <c r="F2363" s="3">
        <v>19.98</v>
      </c>
      <c r="G2363" s="3" t="s">
        <v>3391</v>
      </c>
      <c r="H2363" s="3"/>
      <c r="I2363" s="3" t="s">
        <v>3392</v>
      </c>
      <c r="J2363" s="3">
        <v>0</v>
      </c>
      <c r="K2363" s="3">
        <v>0</v>
      </c>
      <c r="L2363" s="3">
        <v>0</v>
      </c>
      <c r="M2363" s="3">
        <v>0</v>
      </c>
      <c r="N2363" s="3">
        <v>0</v>
      </c>
      <c r="O2363" s="3">
        <v>0.14</v>
      </c>
      <c r="P2363" s="3">
        <v>0</v>
      </c>
      <c r="Q2363" s="3">
        <v>0</v>
      </c>
      <c r="R2363" s="3">
        <v>0</v>
      </c>
    </row>
    <row r="2364" spans="1:18">
      <c r="A2364" s="3" t="s">
        <v>7257</v>
      </c>
      <c r="B2364" s="3" t="s">
        <v>7258</v>
      </c>
      <c r="C2364" s="3" t="s">
        <v>7259</v>
      </c>
      <c r="D2364" s="3" t="s">
        <v>7260</v>
      </c>
      <c r="E2364" s="3" t="s">
        <v>867</v>
      </c>
      <c r="F2364" s="3">
        <v>19.98</v>
      </c>
      <c r="G2364" s="3" t="s">
        <v>3391</v>
      </c>
      <c r="H2364" s="3"/>
      <c r="I2364" s="3" t="s">
        <v>3392</v>
      </c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>
        <v>0.14</v>
      </c>
      <c r="P2364" s="3">
        <v>0</v>
      </c>
      <c r="Q2364" s="3">
        <v>0</v>
      </c>
      <c r="R2364" s="3">
        <v>0</v>
      </c>
    </row>
    <row r="2365" spans="1:18">
      <c r="A2365" s="3" t="s">
        <v>7261</v>
      </c>
      <c r="B2365" s="3" t="s">
        <v>7262</v>
      </c>
      <c r="C2365" s="3" t="s">
        <v>7263</v>
      </c>
      <c r="D2365" s="3" t="s">
        <v>7264</v>
      </c>
      <c r="E2365" s="3" t="s">
        <v>867</v>
      </c>
      <c r="F2365" s="3">
        <v>19.98</v>
      </c>
      <c r="G2365" s="3" t="s">
        <v>3391</v>
      </c>
      <c r="H2365" s="3"/>
      <c r="I2365" s="3" t="s">
        <v>3392</v>
      </c>
      <c r="J2365" s="3">
        <v>0</v>
      </c>
      <c r="K2365" s="3">
        <v>0</v>
      </c>
      <c r="L2365" s="3">
        <v>0</v>
      </c>
      <c r="M2365" s="3">
        <v>0</v>
      </c>
      <c r="N2365" s="3">
        <v>0</v>
      </c>
      <c r="O2365" s="3">
        <v>0.14</v>
      </c>
      <c r="P2365" s="3">
        <v>0</v>
      </c>
      <c r="Q2365" s="3">
        <v>0</v>
      </c>
      <c r="R2365" s="3">
        <v>0</v>
      </c>
    </row>
    <row r="2366" spans="1:18">
      <c r="A2366" s="3" t="s">
        <v>7265</v>
      </c>
      <c r="B2366" s="3" t="s">
        <v>7266</v>
      </c>
      <c r="C2366" s="3" t="s">
        <v>7266</v>
      </c>
      <c r="D2366" s="3" t="s">
        <v>7267</v>
      </c>
      <c r="E2366" s="3" t="s">
        <v>867</v>
      </c>
      <c r="F2366" s="3">
        <v>39.98</v>
      </c>
      <c r="G2366" s="3" t="s">
        <v>3391</v>
      </c>
      <c r="H2366" s="3"/>
      <c r="I2366" s="3" t="s">
        <v>3392</v>
      </c>
      <c r="J2366" s="3">
        <v>0</v>
      </c>
      <c r="K2366" s="3">
        <v>0</v>
      </c>
      <c r="L2366" s="3">
        <v>0</v>
      </c>
      <c r="M2366" s="3">
        <v>0</v>
      </c>
      <c r="N2366" s="3">
        <v>0</v>
      </c>
      <c r="O2366" s="3">
        <v>0.11</v>
      </c>
      <c r="P2366" s="3">
        <v>0</v>
      </c>
      <c r="Q2366" s="3">
        <v>0</v>
      </c>
      <c r="R2366" s="3">
        <v>0</v>
      </c>
    </row>
    <row r="2367" spans="1:18">
      <c r="A2367" s="3" t="s">
        <v>7268</v>
      </c>
      <c r="B2367" s="3" t="s">
        <v>7269</v>
      </c>
      <c r="C2367" s="3" t="s">
        <v>7269</v>
      </c>
      <c r="D2367" s="3" t="s">
        <v>7270</v>
      </c>
      <c r="E2367" s="3" t="s">
        <v>867</v>
      </c>
      <c r="F2367" s="3">
        <v>39.98</v>
      </c>
      <c r="G2367" s="3" t="s">
        <v>3391</v>
      </c>
      <c r="H2367" s="3"/>
      <c r="I2367" s="3" t="s">
        <v>3392</v>
      </c>
      <c r="J2367" s="3">
        <v>0</v>
      </c>
      <c r="K2367" s="3">
        <v>0</v>
      </c>
      <c r="L2367" s="3">
        <v>0</v>
      </c>
      <c r="M2367" s="3">
        <v>0</v>
      </c>
      <c r="N2367" s="3">
        <v>0</v>
      </c>
      <c r="O2367" s="3">
        <v>0.11</v>
      </c>
      <c r="P2367" s="3">
        <v>0</v>
      </c>
      <c r="Q2367" s="3">
        <v>0</v>
      </c>
      <c r="R2367" s="3">
        <v>0</v>
      </c>
    </row>
    <row r="2368" spans="1:18">
      <c r="A2368" s="3" t="s">
        <v>7271</v>
      </c>
      <c r="B2368" s="3" t="s">
        <v>7272</v>
      </c>
      <c r="C2368" s="3" t="s">
        <v>7272</v>
      </c>
      <c r="D2368" s="3"/>
      <c r="E2368" s="3" t="s">
        <v>3293</v>
      </c>
      <c r="F2368" s="3"/>
      <c r="G2368" s="3"/>
      <c r="H2368" s="3"/>
      <c r="I2368" s="3"/>
      <c r="J2368" s="3">
        <v>0</v>
      </c>
      <c r="K2368" s="3">
        <v>0</v>
      </c>
      <c r="L2368" s="3">
        <v>0</v>
      </c>
      <c r="M2368" s="3">
        <v>0</v>
      </c>
      <c r="N2368" s="3">
        <v>0</v>
      </c>
      <c r="O2368" s="3"/>
      <c r="P2368" s="3">
        <v>0</v>
      </c>
      <c r="Q2368" s="3">
        <v>0</v>
      </c>
      <c r="R2368" s="3">
        <v>0</v>
      </c>
    </row>
    <row r="2369" spans="1:18">
      <c r="A2369" s="3" t="s">
        <v>1601</v>
      </c>
      <c r="B2369" s="3" t="s">
        <v>1602</v>
      </c>
      <c r="C2369" s="3" t="s">
        <v>1602</v>
      </c>
      <c r="D2369" s="3" t="s">
        <v>1603</v>
      </c>
      <c r="E2369" s="3" t="s">
        <v>867</v>
      </c>
      <c r="F2369" s="3">
        <v>39.98</v>
      </c>
      <c r="G2369" s="3" t="s">
        <v>3391</v>
      </c>
      <c r="H2369" s="3"/>
      <c r="I2369" s="3" t="s">
        <v>3392</v>
      </c>
      <c r="J2369" s="3">
        <v>1</v>
      </c>
      <c r="K2369" s="3">
        <v>1</v>
      </c>
      <c r="L2369" s="3">
        <v>0</v>
      </c>
      <c r="M2369" s="3">
        <v>0</v>
      </c>
      <c r="N2369" s="3">
        <v>1</v>
      </c>
      <c r="O2369" s="3">
        <v>0.11</v>
      </c>
      <c r="P2369" s="3">
        <v>0</v>
      </c>
      <c r="Q2369" s="3">
        <v>0</v>
      </c>
      <c r="R2369" s="3">
        <v>0</v>
      </c>
    </row>
    <row r="2370" spans="1:18">
      <c r="A2370" s="3" t="s">
        <v>7273</v>
      </c>
      <c r="B2370" s="3" t="s">
        <v>7274</v>
      </c>
      <c r="C2370" s="3" t="s">
        <v>7274</v>
      </c>
      <c r="D2370" s="3"/>
      <c r="E2370" s="3" t="s">
        <v>3293</v>
      </c>
      <c r="F2370" s="3"/>
      <c r="G2370" s="3"/>
      <c r="H2370" s="3"/>
      <c r="I2370" s="3"/>
      <c r="J2370" s="3">
        <v>0</v>
      </c>
      <c r="K2370" s="3">
        <v>0</v>
      </c>
      <c r="L2370" s="3">
        <v>0</v>
      </c>
      <c r="M2370" s="3">
        <v>0</v>
      </c>
      <c r="N2370" s="3">
        <v>0</v>
      </c>
      <c r="O2370" s="3"/>
      <c r="P2370" s="3">
        <v>0</v>
      </c>
      <c r="Q2370" s="3">
        <v>0</v>
      </c>
      <c r="R2370" s="3">
        <v>0</v>
      </c>
    </row>
    <row r="2371" spans="1:18">
      <c r="A2371" s="3" t="s">
        <v>7275</v>
      </c>
      <c r="B2371" s="3" t="s">
        <v>7276</v>
      </c>
      <c r="C2371" s="3" t="s">
        <v>7276</v>
      </c>
      <c r="D2371" s="3" t="s">
        <v>7277</v>
      </c>
      <c r="E2371" s="3" t="s">
        <v>867</v>
      </c>
      <c r="F2371" s="3">
        <v>39.98</v>
      </c>
      <c r="G2371" s="3" t="s">
        <v>3391</v>
      </c>
      <c r="H2371" s="3"/>
      <c r="I2371" s="3" t="s">
        <v>3392</v>
      </c>
      <c r="J2371" s="3">
        <v>0</v>
      </c>
      <c r="K2371" s="3">
        <v>0</v>
      </c>
      <c r="L2371" s="3">
        <v>0</v>
      </c>
      <c r="M2371" s="3">
        <v>0</v>
      </c>
      <c r="N2371" s="3">
        <v>0</v>
      </c>
      <c r="O2371" s="3">
        <v>0.11</v>
      </c>
      <c r="P2371" s="3">
        <v>0</v>
      </c>
      <c r="Q2371" s="3">
        <v>0</v>
      </c>
      <c r="R2371" s="3">
        <v>0</v>
      </c>
    </row>
    <row r="2372" spans="1:18">
      <c r="A2372" s="3" t="s">
        <v>2816</v>
      </c>
      <c r="B2372" s="3" t="s">
        <v>2817</v>
      </c>
      <c r="C2372" s="3" t="s">
        <v>2817</v>
      </c>
      <c r="D2372" s="3" t="s">
        <v>2818</v>
      </c>
      <c r="E2372" s="3" t="s">
        <v>867</v>
      </c>
      <c r="F2372" s="3">
        <v>22.98</v>
      </c>
      <c r="G2372" s="3" t="s">
        <v>3391</v>
      </c>
      <c r="H2372" s="3"/>
      <c r="I2372" s="3" t="s">
        <v>3392</v>
      </c>
      <c r="J2372" s="3">
        <v>17</v>
      </c>
      <c r="K2372" s="3">
        <v>17</v>
      </c>
      <c r="L2372" s="3">
        <v>0</v>
      </c>
      <c r="M2372" s="3">
        <v>0</v>
      </c>
      <c r="N2372" s="3">
        <v>17</v>
      </c>
      <c r="O2372" s="3">
        <v>0.08</v>
      </c>
      <c r="P2372" s="3">
        <v>0</v>
      </c>
      <c r="Q2372" s="3">
        <v>0</v>
      </c>
      <c r="R2372" s="3">
        <v>0</v>
      </c>
    </row>
    <row r="2373" spans="1:18">
      <c r="A2373" s="3" t="s">
        <v>676</v>
      </c>
      <c r="B2373" s="3" t="s">
        <v>677</v>
      </c>
      <c r="C2373" s="3" t="s">
        <v>677</v>
      </c>
      <c r="D2373" s="3" t="s">
        <v>678</v>
      </c>
      <c r="E2373" s="3" t="s">
        <v>867</v>
      </c>
      <c r="F2373" s="3">
        <v>22.98</v>
      </c>
      <c r="G2373" s="3" t="s">
        <v>3391</v>
      </c>
      <c r="H2373" s="3"/>
      <c r="I2373" s="3" t="s">
        <v>3392</v>
      </c>
      <c r="J2373" s="3">
        <v>1</v>
      </c>
      <c r="K2373" s="3">
        <v>0</v>
      </c>
      <c r="L2373" s="3">
        <v>0</v>
      </c>
      <c r="M2373" s="3">
        <v>1</v>
      </c>
      <c r="N2373" s="3">
        <v>1</v>
      </c>
      <c r="O2373" s="3">
        <v>0.08</v>
      </c>
      <c r="P2373" s="3">
        <v>0</v>
      </c>
      <c r="Q2373" s="3">
        <v>0</v>
      </c>
      <c r="R2373" s="3">
        <v>0</v>
      </c>
    </row>
    <row r="2374" spans="1:18">
      <c r="A2374" s="3" t="s">
        <v>2030</v>
      </c>
      <c r="B2374" s="3" t="s">
        <v>2031</v>
      </c>
      <c r="C2374" s="3" t="s">
        <v>2031</v>
      </c>
      <c r="D2374" s="3" t="s">
        <v>2032</v>
      </c>
      <c r="E2374" s="3" t="s">
        <v>867</v>
      </c>
      <c r="F2374" s="3">
        <v>22.98</v>
      </c>
      <c r="G2374" s="3" t="s">
        <v>3391</v>
      </c>
      <c r="H2374" s="3"/>
      <c r="I2374" s="3" t="s">
        <v>3392</v>
      </c>
      <c r="J2374" s="3">
        <v>14</v>
      </c>
      <c r="K2374" s="3">
        <v>14</v>
      </c>
      <c r="L2374" s="3">
        <v>0</v>
      </c>
      <c r="M2374" s="3">
        <v>0</v>
      </c>
      <c r="N2374" s="3">
        <v>14</v>
      </c>
      <c r="O2374" s="3">
        <v>0.08</v>
      </c>
      <c r="P2374" s="3">
        <v>0</v>
      </c>
      <c r="Q2374" s="3">
        <v>0</v>
      </c>
      <c r="R2374" s="3">
        <v>0</v>
      </c>
    </row>
    <row r="2375" spans="1:18">
      <c r="A2375" s="3" t="s">
        <v>7278</v>
      </c>
      <c r="B2375" s="3" t="s">
        <v>7279</v>
      </c>
      <c r="C2375" s="3" t="s">
        <v>7279</v>
      </c>
      <c r="D2375" s="3" t="s">
        <v>7280</v>
      </c>
      <c r="E2375" s="3" t="s">
        <v>867</v>
      </c>
      <c r="F2375" s="3">
        <v>22.98</v>
      </c>
      <c r="G2375" s="3" t="s">
        <v>3391</v>
      </c>
      <c r="H2375" s="3"/>
      <c r="I2375" s="3" t="s">
        <v>3392</v>
      </c>
      <c r="J2375" s="3">
        <v>0</v>
      </c>
      <c r="K2375" s="3">
        <v>0</v>
      </c>
      <c r="L2375" s="3">
        <v>0</v>
      </c>
      <c r="M2375" s="3">
        <v>0</v>
      </c>
      <c r="N2375" s="3">
        <v>0</v>
      </c>
      <c r="O2375" s="3">
        <v>0.08</v>
      </c>
      <c r="P2375" s="3">
        <v>0</v>
      </c>
      <c r="Q2375" s="3">
        <v>0</v>
      </c>
      <c r="R2375" s="3">
        <v>0</v>
      </c>
    </row>
    <row r="2376" spans="1:18">
      <c r="A2376" s="3" t="s">
        <v>2587</v>
      </c>
      <c r="B2376" s="3" t="s">
        <v>2588</v>
      </c>
      <c r="C2376" s="3" t="s">
        <v>2588</v>
      </c>
      <c r="D2376" s="3" t="s">
        <v>2589</v>
      </c>
      <c r="E2376" s="3" t="s">
        <v>867</v>
      </c>
      <c r="F2376" s="3">
        <v>22.98</v>
      </c>
      <c r="G2376" s="3" t="s">
        <v>3391</v>
      </c>
      <c r="H2376" s="3"/>
      <c r="I2376" s="3" t="s">
        <v>3392</v>
      </c>
      <c r="J2376" s="3">
        <v>4</v>
      </c>
      <c r="K2376" s="3">
        <v>4</v>
      </c>
      <c r="L2376" s="3">
        <v>0</v>
      </c>
      <c r="M2376" s="3">
        <v>0</v>
      </c>
      <c r="N2376" s="3">
        <v>4</v>
      </c>
      <c r="O2376" s="3">
        <v>0.08</v>
      </c>
      <c r="P2376" s="3">
        <v>0</v>
      </c>
      <c r="Q2376" s="3">
        <v>0</v>
      </c>
      <c r="R2376" s="3">
        <v>0</v>
      </c>
    </row>
    <row r="2377" spans="1:18">
      <c r="A2377" s="3" t="s">
        <v>1506</v>
      </c>
      <c r="B2377" s="3" t="s">
        <v>1507</v>
      </c>
      <c r="C2377" s="3" t="s">
        <v>1507</v>
      </c>
      <c r="D2377" s="3" t="s">
        <v>1508</v>
      </c>
      <c r="E2377" s="3" t="s">
        <v>867</v>
      </c>
      <c r="F2377" s="3">
        <v>22.98</v>
      </c>
      <c r="G2377" s="3" t="s">
        <v>3391</v>
      </c>
      <c r="H2377" s="3"/>
      <c r="I2377" s="3" t="s">
        <v>3392</v>
      </c>
      <c r="J2377" s="3">
        <v>12</v>
      </c>
      <c r="K2377" s="3">
        <v>12</v>
      </c>
      <c r="L2377" s="3">
        <v>0</v>
      </c>
      <c r="M2377" s="3">
        <v>0</v>
      </c>
      <c r="N2377" s="3">
        <v>12</v>
      </c>
      <c r="O2377" s="3">
        <v>0.08</v>
      </c>
      <c r="P2377" s="3">
        <v>0</v>
      </c>
      <c r="Q2377" s="3">
        <v>0</v>
      </c>
      <c r="R2377" s="3">
        <v>0</v>
      </c>
    </row>
    <row r="2378" spans="1:18">
      <c r="A2378" s="3" t="s">
        <v>1438</v>
      </c>
      <c r="B2378" s="3" t="s">
        <v>1439</v>
      </c>
      <c r="C2378" s="3" t="s">
        <v>1439</v>
      </c>
      <c r="D2378" s="3" t="s">
        <v>1440</v>
      </c>
      <c r="E2378" s="3" t="s">
        <v>867</v>
      </c>
      <c r="F2378" s="3">
        <v>22.98</v>
      </c>
      <c r="G2378" s="3" t="s">
        <v>3391</v>
      </c>
      <c r="H2378" s="3"/>
      <c r="I2378" s="3" t="s">
        <v>3392</v>
      </c>
      <c r="J2378" s="3">
        <v>22</v>
      </c>
      <c r="K2378" s="3">
        <v>22</v>
      </c>
      <c r="L2378" s="3">
        <v>0</v>
      </c>
      <c r="M2378" s="3">
        <v>0</v>
      </c>
      <c r="N2378" s="3">
        <v>22</v>
      </c>
      <c r="O2378" s="3">
        <v>0.08</v>
      </c>
      <c r="P2378" s="3">
        <v>0</v>
      </c>
      <c r="Q2378" s="3">
        <v>0</v>
      </c>
      <c r="R2378" s="3">
        <v>0</v>
      </c>
    </row>
    <row r="2379" spans="1:18">
      <c r="A2379" s="3" t="s">
        <v>2671</v>
      </c>
      <c r="B2379" s="3" t="s">
        <v>2672</v>
      </c>
      <c r="C2379" s="3" t="s">
        <v>2672</v>
      </c>
      <c r="D2379" s="3" t="s">
        <v>2673</v>
      </c>
      <c r="E2379" s="3" t="s">
        <v>867</v>
      </c>
      <c r="F2379" s="3">
        <v>22.98</v>
      </c>
      <c r="G2379" s="3" t="s">
        <v>3391</v>
      </c>
      <c r="H2379" s="3"/>
      <c r="I2379" s="3" t="s">
        <v>3392</v>
      </c>
      <c r="J2379" s="3">
        <v>16</v>
      </c>
      <c r="K2379" s="3">
        <v>16</v>
      </c>
      <c r="L2379" s="3">
        <v>0</v>
      </c>
      <c r="M2379" s="3">
        <v>0</v>
      </c>
      <c r="N2379" s="3">
        <v>16</v>
      </c>
      <c r="O2379" s="3">
        <v>0.08</v>
      </c>
      <c r="P2379" s="3">
        <v>0</v>
      </c>
      <c r="Q2379" s="3">
        <v>0</v>
      </c>
      <c r="R2379" s="3">
        <v>0</v>
      </c>
    </row>
    <row r="2380" spans="1:18">
      <c r="A2380" s="3" t="s">
        <v>2204</v>
      </c>
      <c r="B2380" s="3" t="s">
        <v>2205</v>
      </c>
      <c r="C2380" s="3" t="s">
        <v>2205</v>
      </c>
      <c r="D2380" s="3" t="s">
        <v>2206</v>
      </c>
      <c r="E2380" s="3" t="s">
        <v>867</v>
      </c>
      <c r="F2380" s="3">
        <v>22.98</v>
      </c>
      <c r="G2380" s="3" t="s">
        <v>3391</v>
      </c>
      <c r="H2380" s="3"/>
      <c r="I2380" s="3" t="s">
        <v>3392</v>
      </c>
      <c r="J2380" s="3">
        <v>4</v>
      </c>
      <c r="K2380" s="3">
        <v>4</v>
      </c>
      <c r="L2380" s="3">
        <v>0</v>
      </c>
      <c r="M2380" s="3">
        <v>0</v>
      </c>
      <c r="N2380" s="3">
        <v>4</v>
      </c>
      <c r="O2380" s="3">
        <v>0.08</v>
      </c>
      <c r="P2380" s="3">
        <v>0</v>
      </c>
      <c r="Q2380" s="3">
        <v>0</v>
      </c>
      <c r="R2380" s="3">
        <v>0</v>
      </c>
    </row>
    <row r="2381" spans="1:18">
      <c r="A2381" s="3" t="s">
        <v>7281</v>
      </c>
      <c r="B2381" s="3" t="s">
        <v>7282</v>
      </c>
      <c r="C2381" s="3" t="s">
        <v>7282</v>
      </c>
      <c r="D2381" s="3" t="s">
        <v>7283</v>
      </c>
      <c r="E2381" s="3" t="s">
        <v>867</v>
      </c>
      <c r="F2381" s="3">
        <v>22.98</v>
      </c>
      <c r="G2381" s="3" t="s">
        <v>3391</v>
      </c>
      <c r="H2381" s="3"/>
      <c r="I2381" s="3" t="s">
        <v>3392</v>
      </c>
      <c r="J2381" s="3">
        <v>0</v>
      </c>
      <c r="K2381" s="3">
        <v>0</v>
      </c>
      <c r="L2381" s="3">
        <v>0</v>
      </c>
      <c r="M2381" s="3">
        <v>0</v>
      </c>
      <c r="N2381" s="3">
        <v>0</v>
      </c>
      <c r="O2381" s="3">
        <v>0.08</v>
      </c>
      <c r="P2381" s="3">
        <v>0</v>
      </c>
      <c r="Q2381" s="3">
        <v>0</v>
      </c>
      <c r="R2381" s="3">
        <v>0</v>
      </c>
    </row>
    <row r="2382" spans="1:18">
      <c r="A2382" s="3" t="s">
        <v>7284</v>
      </c>
      <c r="B2382" s="3" t="s">
        <v>746</v>
      </c>
      <c r="C2382" s="3" t="s">
        <v>746</v>
      </c>
      <c r="D2382" s="3" t="s">
        <v>747</v>
      </c>
      <c r="E2382" s="3" t="s">
        <v>867</v>
      </c>
      <c r="F2382" s="3">
        <v>22.98</v>
      </c>
      <c r="G2382" s="3" t="s">
        <v>3391</v>
      </c>
      <c r="H2382" s="3"/>
      <c r="I2382" s="3" t="s">
        <v>3392</v>
      </c>
      <c r="J2382" s="3">
        <v>0</v>
      </c>
      <c r="K2382" s="3">
        <v>0</v>
      </c>
      <c r="L2382" s="3">
        <v>0</v>
      </c>
      <c r="M2382" s="3">
        <v>0</v>
      </c>
      <c r="N2382" s="3">
        <v>0</v>
      </c>
      <c r="O2382" s="3">
        <v>0.08</v>
      </c>
      <c r="P2382" s="3">
        <v>0</v>
      </c>
      <c r="Q2382" s="3">
        <v>0</v>
      </c>
      <c r="R2382" s="3">
        <v>0</v>
      </c>
    </row>
    <row r="2383" spans="1:18">
      <c r="A2383" s="3" t="s">
        <v>7285</v>
      </c>
      <c r="B2383" s="3" t="s">
        <v>7286</v>
      </c>
      <c r="C2383" s="3" t="s">
        <v>7286</v>
      </c>
      <c r="D2383" s="3" t="s">
        <v>7287</v>
      </c>
      <c r="E2383" s="3" t="s">
        <v>867</v>
      </c>
      <c r="F2383" s="3">
        <v>22.98</v>
      </c>
      <c r="G2383" s="3" t="s">
        <v>3391</v>
      </c>
      <c r="H2383" s="3"/>
      <c r="I2383" s="3" t="s">
        <v>3392</v>
      </c>
      <c r="J2383" s="3">
        <v>0</v>
      </c>
      <c r="K2383" s="3">
        <v>0</v>
      </c>
      <c r="L2383" s="3">
        <v>0</v>
      </c>
      <c r="M2383" s="3">
        <v>0</v>
      </c>
      <c r="N2383" s="3">
        <v>0</v>
      </c>
      <c r="O2383" s="3">
        <v>0.08</v>
      </c>
      <c r="P2383" s="3">
        <v>0</v>
      </c>
      <c r="Q2383" s="3">
        <v>0</v>
      </c>
      <c r="R2383" s="3">
        <v>0</v>
      </c>
    </row>
    <row r="2384" spans="1:18">
      <c r="A2384" s="3" t="s">
        <v>1639</v>
      </c>
      <c r="B2384" s="3" t="s">
        <v>1021</v>
      </c>
      <c r="C2384" s="3" t="s">
        <v>1021</v>
      </c>
      <c r="D2384" s="3" t="s">
        <v>1022</v>
      </c>
      <c r="E2384" s="3" t="s">
        <v>867</v>
      </c>
      <c r="F2384" s="3">
        <v>22.98</v>
      </c>
      <c r="G2384" s="3" t="s">
        <v>3391</v>
      </c>
      <c r="H2384" s="3"/>
      <c r="I2384" s="3" t="s">
        <v>3392</v>
      </c>
      <c r="J2384" s="3">
        <v>3</v>
      </c>
      <c r="K2384" s="3">
        <v>3</v>
      </c>
      <c r="L2384" s="3">
        <v>0</v>
      </c>
      <c r="M2384" s="3">
        <v>0</v>
      </c>
      <c r="N2384" s="3">
        <v>3</v>
      </c>
      <c r="O2384" s="3">
        <v>0.08</v>
      </c>
      <c r="P2384" s="3">
        <v>0</v>
      </c>
      <c r="Q2384" s="3">
        <v>0</v>
      </c>
      <c r="R2384" s="3">
        <v>0</v>
      </c>
    </row>
    <row r="2385" spans="1:18">
      <c r="A2385" s="3" t="s">
        <v>673</v>
      </c>
      <c r="B2385" s="3" t="s">
        <v>674</v>
      </c>
      <c r="C2385" s="3" t="s">
        <v>674</v>
      </c>
      <c r="D2385" s="3" t="s">
        <v>675</v>
      </c>
      <c r="E2385" s="3" t="s">
        <v>867</v>
      </c>
      <c r="F2385" s="3">
        <v>22.98</v>
      </c>
      <c r="G2385" s="3" t="s">
        <v>3391</v>
      </c>
      <c r="H2385" s="3"/>
      <c r="I2385" s="3" t="s">
        <v>3392</v>
      </c>
      <c r="J2385" s="3">
        <v>4</v>
      </c>
      <c r="K2385" s="3">
        <v>3</v>
      </c>
      <c r="L2385" s="3">
        <v>0</v>
      </c>
      <c r="M2385" s="3">
        <v>1</v>
      </c>
      <c r="N2385" s="3">
        <v>4</v>
      </c>
      <c r="O2385" s="3">
        <v>0.08</v>
      </c>
      <c r="P2385" s="3">
        <v>0</v>
      </c>
      <c r="Q2385" s="3">
        <v>0</v>
      </c>
      <c r="R2385" s="3">
        <v>0</v>
      </c>
    </row>
    <row r="2386" spans="1:18">
      <c r="A2386" s="3" t="s">
        <v>7288</v>
      </c>
      <c r="B2386" s="3" t="s">
        <v>754</v>
      </c>
      <c r="C2386" s="3" t="s">
        <v>754</v>
      </c>
      <c r="D2386" s="3" t="s">
        <v>755</v>
      </c>
      <c r="E2386" s="3" t="s">
        <v>867</v>
      </c>
      <c r="F2386" s="3">
        <v>22.98</v>
      </c>
      <c r="G2386" s="3" t="s">
        <v>3391</v>
      </c>
      <c r="H2386" s="3"/>
      <c r="I2386" s="3" t="s">
        <v>3392</v>
      </c>
      <c r="J2386" s="3">
        <v>0</v>
      </c>
      <c r="K2386" s="3">
        <v>0</v>
      </c>
      <c r="L2386" s="3">
        <v>0</v>
      </c>
      <c r="M2386" s="3">
        <v>0</v>
      </c>
      <c r="N2386" s="3">
        <v>0</v>
      </c>
      <c r="O2386" s="3">
        <v>0.11</v>
      </c>
      <c r="P2386" s="3">
        <v>0</v>
      </c>
      <c r="Q2386" s="3">
        <v>0</v>
      </c>
      <c r="R2386" s="3">
        <v>0</v>
      </c>
    </row>
    <row r="2387" spans="1:18">
      <c r="A2387" s="3" t="s">
        <v>679</v>
      </c>
      <c r="B2387" s="3" t="s">
        <v>680</v>
      </c>
      <c r="C2387" s="3" t="s">
        <v>680</v>
      </c>
      <c r="D2387" s="3" t="s">
        <v>681</v>
      </c>
      <c r="E2387" s="3" t="s">
        <v>867</v>
      </c>
      <c r="F2387" s="3">
        <v>22.98</v>
      </c>
      <c r="G2387" s="3" t="s">
        <v>3391</v>
      </c>
      <c r="H2387" s="3"/>
      <c r="I2387" s="3" t="s">
        <v>3392</v>
      </c>
      <c r="J2387" s="3">
        <v>10</v>
      </c>
      <c r="K2387" s="3">
        <v>9</v>
      </c>
      <c r="L2387" s="3">
        <v>0</v>
      </c>
      <c r="M2387" s="3">
        <v>1</v>
      </c>
      <c r="N2387" s="3">
        <v>10</v>
      </c>
      <c r="O2387" s="3">
        <v>0.08</v>
      </c>
      <c r="P2387" s="3">
        <v>0</v>
      </c>
      <c r="Q2387" s="3">
        <v>0</v>
      </c>
      <c r="R2387" s="3">
        <v>0</v>
      </c>
    </row>
    <row r="2388" spans="1:18">
      <c r="A2388" s="3" t="s">
        <v>1876</v>
      </c>
      <c r="B2388" s="3" t="s">
        <v>1877</v>
      </c>
      <c r="C2388" s="3" t="s">
        <v>1877</v>
      </c>
      <c r="D2388" s="3" t="s">
        <v>1878</v>
      </c>
      <c r="E2388" s="3" t="s">
        <v>867</v>
      </c>
      <c r="F2388" s="3">
        <v>22.98</v>
      </c>
      <c r="G2388" s="3" t="s">
        <v>3391</v>
      </c>
      <c r="H2388" s="3"/>
      <c r="I2388" s="3" t="s">
        <v>3392</v>
      </c>
      <c r="J2388" s="3">
        <v>19</v>
      </c>
      <c r="K2388" s="3">
        <v>19</v>
      </c>
      <c r="L2388" s="3">
        <v>0</v>
      </c>
      <c r="M2388" s="3">
        <v>0</v>
      </c>
      <c r="N2388" s="3">
        <v>19</v>
      </c>
      <c r="O2388" s="3">
        <v>0.08</v>
      </c>
      <c r="P2388" s="3">
        <v>0</v>
      </c>
      <c r="Q2388" s="3">
        <v>0</v>
      </c>
      <c r="R2388" s="3">
        <v>0</v>
      </c>
    </row>
    <row r="2389" spans="1:18">
      <c r="A2389" s="3" t="s">
        <v>1208</v>
      </c>
      <c r="B2389" s="3" t="s">
        <v>1209</v>
      </c>
      <c r="C2389" s="3" t="s">
        <v>1209</v>
      </c>
      <c r="D2389" s="3" t="s">
        <v>1210</v>
      </c>
      <c r="E2389" s="3" t="s">
        <v>867</v>
      </c>
      <c r="F2389" s="3">
        <v>22.98</v>
      </c>
      <c r="G2389" s="3" t="s">
        <v>3391</v>
      </c>
      <c r="H2389" s="3"/>
      <c r="I2389" s="3" t="s">
        <v>3392</v>
      </c>
      <c r="J2389" s="3">
        <v>6</v>
      </c>
      <c r="K2389" s="3">
        <v>6</v>
      </c>
      <c r="L2389" s="3">
        <v>0</v>
      </c>
      <c r="M2389" s="3">
        <v>0</v>
      </c>
      <c r="N2389" s="3">
        <v>6</v>
      </c>
      <c r="O2389" s="3">
        <v>0.08</v>
      </c>
      <c r="P2389" s="3">
        <v>0</v>
      </c>
      <c r="Q2389" s="3">
        <v>0</v>
      </c>
      <c r="R2389" s="3">
        <v>0</v>
      </c>
    </row>
    <row r="2390" spans="1:18">
      <c r="A2390" s="3" t="s">
        <v>938</v>
      </c>
      <c r="B2390" s="3" t="s">
        <v>939</v>
      </c>
      <c r="C2390" s="3" t="s">
        <v>939</v>
      </c>
      <c r="D2390" s="3" t="s">
        <v>940</v>
      </c>
      <c r="E2390" s="3" t="s">
        <v>867</v>
      </c>
      <c r="F2390" s="3">
        <v>22.98</v>
      </c>
      <c r="G2390" s="3" t="s">
        <v>3391</v>
      </c>
      <c r="H2390" s="3"/>
      <c r="I2390" s="3" t="s">
        <v>3392</v>
      </c>
      <c r="J2390" s="3">
        <v>16</v>
      </c>
      <c r="K2390" s="3">
        <v>16</v>
      </c>
      <c r="L2390" s="3">
        <v>0</v>
      </c>
      <c r="M2390" s="3">
        <v>0</v>
      </c>
      <c r="N2390" s="3">
        <v>16</v>
      </c>
      <c r="O2390" s="3">
        <v>0.08</v>
      </c>
      <c r="P2390" s="3">
        <v>0</v>
      </c>
      <c r="Q2390" s="3">
        <v>0</v>
      </c>
      <c r="R2390" s="3">
        <v>0</v>
      </c>
    </row>
    <row r="2391" spans="1:18">
      <c r="A2391" s="3" t="s">
        <v>7289</v>
      </c>
      <c r="B2391" s="3" t="s">
        <v>7290</v>
      </c>
      <c r="C2391" s="3" t="s">
        <v>7290</v>
      </c>
      <c r="D2391" s="3" t="s">
        <v>7291</v>
      </c>
      <c r="E2391" s="3" t="s">
        <v>867</v>
      </c>
      <c r="F2391" s="3">
        <v>15.98</v>
      </c>
      <c r="G2391" s="3" t="s">
        <v>3391</v>
      </c>
      <c r="H2391" s="3"/>
      <c r="I2391" s="3" t="s">
        <v>3392</v>
      </c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>
        <v>0.08</v>
      </c>
      <c r="P2391" s="3">
        <v>0</v>
      </c>
      <c r="Q2391" s="3">
        <v>0</v>
      </c>
      <c r="R2391" s="3">
        <v>0</v>
      </c>
    </row>
    <row r="2392" spans="1:18">
      <c r="A2392" s="3" t="s">
        <v>1279</v>
      </c>
      <c r="B2392" s="3" t="s">
        <v>1280</v>
      </c>
      <c r="C2392" s="3" t="s">
        <v>1280</v>
      </c>
      <c r="D2392" s="3" t="s">
        <v>1281</v>
      </c>
      <c r="E2392" s="3" t="s">
        <v>867</v>
      </c>
      <c r="F2392" s="3">
        <v>22.98</v>
      </c>
      <c r="G2392" s="3" t="s">
        <v>3391</v>
      </c>
      <c r="H2392" s="3"/>
      <c r="I2392" s="3" t="s">
        <v>3392</v>
      </c>
      <c r="J2392" s="3">
        <v>11</v>
      </c>
      <c r="K2392" s="3">
        <v>11</v>
      </c>
      <c r="L2392" s="3">
        <v>0</v>
      </c>
      <c r="M2392" s="3">
        <v>0</v>
      </c>
      <c r="N2392" s="3">
        <v>11</v>
      </c>
      <c r="O2392" s="3">
        <v>0.08</v>
      </c>
      <c r="P2392" s="3">
        <v>0</v>
      </c>
      <c r="Q2392" s="3">
        <v>0</v>
      </c>
      <c r="R2392" s="3">
        <v>0</v>
      </c>
    </row>
    <row r="2393" spans="1:18">
      <c r="A2393" s="3" t="s">
        <v>7292</v>
      </c>
      <c r="B2393" s="3" t="s">
        <v>7293</v>
      </c>
      <c r="C2393" s="3" t="s">
        <v>7293</v>
      </c>
      <c r="D2393" s="3" t="s">
        <v>7294</v>
      </c>
      <c r="E2393" s="3" t="s">
        <v>867</v>
      </c>
      <c r="F2393" s="3">
        <v>22.98</v>
      </c>
      <c r="G2393" s="3" t="s">
        <v>3391</v>
      </c>
      <c r="H2393" s="3"/>
      <c r="I2393" s="3" t="s">
        <v>3392</v>
      </c>
      <c r="J2393" s="3">
        <v>0</v>
      </c>
      <c r="K2393" s="3">
        <v>0</v>
      </c>
      <c r="L2393" s="3">
        <v>0</v>
      </c>
      <c r="M2393" s="3">
        <v>0</v>
      </c>
      <c r="N2393" s="3">
        <v>0</v>
      </c>
      <c r="O2393" s="3">
        <v>0.08</v>
      </c>
      <c r="P2393" s="3">
        <v>0</v>
      </c>
      <c r="Q2393" s="3">
        <v>0</v>
      </c>
      <c r="R2393" s="3">
        <v>0</v>
      </c>
    </row>
    <row r="2394" spans="1:18">
      <c r="A2394" s="3" t="s">
        <v>3152</v>
      </c>
      <c r="B2394" s="3" t="s">
        <v>3153</v>
      </c>
      <c r="C2394" s="3" t="s">
        <v>3153</v>
      </c>
      <c r="D2394" s="3" t="s">
        <v>3154</v>
      </c>
      <c r="E2394" s="3" t="s">
        <v>867</v>
      </c>
      <c r="F2394" s="3">
        <v>22.98</v>
      </c>
      <c r="G2394" s="3" t="s">
        <v>3391</v>
      </c>
      <c r="H2394" s="3"/>
      <c r="I2394" s="3" t="s">
        <v>3392</v>
      </c>
      <c r="J2394" s="3">
        <v>22</v>
      </c>
      <c r="K2394" s="3">
        <v>22</v>
      </c>
      <c r="L2394" s="3">
        <v>0</v>
      </c>
      <c r="M2394" s="3">
        <v>0</v>
      </c>
      <c r="N2394" s="3">
        <v>22</v>
      </c>
      <c r="O2394" s="3">
        <v>0.08</v>
      </c>
      <c r="P2394" s="3">
        <v>0</v>
      </c>
      <c r="Q2394" s="3">
        <v>0</v>
      </c>
      <c r="R2394" s="3">
        <v>0</v>
      </c>
    </row>
    <row r="2395" spans="1:18">
      <c r="A2395" s="3" t="s">
        <v>7295</v>
      </c>
      <c r="B2395" s="3" t="s">
        <v>750</v>
      </c>
      <c r="C2395" s="3" t="s">
        <v>750</v>
      </c>
      <c r="D2395" s="3" t="s">
        <v>751</v>
      </c>
      <c r="E2395" s="3" t="s">
        <v>867</v>
      </c>
      <c r="F2395" s="3">
        <v>22.98</v>
      </c>
      <c r="G2395" s="3" t="s">
        <v>3391</v>
      </c>
      <c r="H2395" s="3"/>
      <c r="I2395" s="3" t="s">
        <v>3392</v>
      </c>
      <c r="J2395" s="3">
        <v>0</v>
      </c>
      <c r="K2395" s="3">
        <v>0</v>
      </c>
      <c r="L2395" s="3">
        <v>0</v>
      </c>
      <c r="M2395" s="3">
        <v>0</v>
      </c>
      <c r="N2395" s="3">
        <v>0</v>
      </c>
      <c r="O2395" s="3">
        <v>0.08</v>
      </c>
      <c r="P2395" s="3">
        <v>0</v>
      </c>
      <c r="Q2395" s="3">
        <v>0</v>
      </c>
      <c r="R2395" s="3">
        <v>0</v>
      </c>
    </row>
    <row r="2396" spans="1:18">
      <c r="A2396" s="3" t="s">
        <v>7296</v>
      </c>
      <c r="B2396" s="3" t="s">
        <v>742</v>
      </c>
      <c r="C2396" s="3" t="s">
        <v>742</v>
      </c>
      <c r="D2396" s="3" t="s">
        <v>743</v>
      </c>
      <c r="E2396" s="3" t="s">
        <v>867</v>
      </c>
      <c r="F2396" s="3">
        <v>22.98</v>
      </c>
      <c r="G2396" s="3" t="s">
        <v>3391</v>
      </c>
      <c r="H2396" s="3"/>
      <c r="I2396" s="3" t="s">
        <v>3392</v>
      </c>
      <c r="J2396" s="3">
        <v>0</v>
      </c>
      <c r="K2396" s="3">
        <v>0</v>
      </c>
      <c r="L2396" s="3">
        <v>0</v>
      </c>
      <c r="M2396" s="3">
        <v>0</v>
      </c>
      <c r="N2396" s="3">
        <v>0</v>
      </c>
      <c r="O2396" s="3">
        <v>0.08</v>
      </c>
      <c r="P2396" s="3">
        <v>0</v>
      </c>
      <c r="Q2396" s="3">
        <v>0</v>
      </c>
      <c r="R2396" s="3">
        <v>0</v>
      </c>
    </row>
    <row r="2397" spans="1:18">
      <c r="A2397" s="3" t="s">
        <v>7297</v>
      </c>
      <c r="B2397" s="3" t="s">
        <v>758</v>
      </c>
      <c r="C2397" s="3" t="s">
        <v>758</v>
      </c>
      <c r="D2397" s="3" t="s">
        <v>759</v>
      </c>
      <c r="E2397" s="3" t="s">
        <v>867</v>
      </c>
      <c r="F2397" s="3">
        <v>22.98</v>
      </c>
      <c r="G2397" s="3" t="s">
        <v>3391</v>
      </c>
      <c r="H2397" s="3"/>
      <c r="I2397" s="3" t="s">
        <v>3392</v>
      </c>
      <c r="J2397" s="3">
        <v>0</v>
      </c>
      <c r="K2397" s="3">
        <v>0</v>
      </c>
      <c r="L2397" s="3">
        <v>0</v>
      </c>
      <c r="M2397" s="3">
        <v>0</v>
      </c>
      <c r="N2397" s="3">
        <v>0</v>
      </c>
      <c r="O2397" s="3">
        <v>0.08</v>
      </c>
      <c r="P2397" s="3">
        <v>0</v>
      </c>
      <c r="Q2397" s="3">
        <v>0</v>
      </c>
      <c r="R2397" s="3">
        <v>0</v>
      </c>
    </row>
    <row r="2398" spans="1:18">
      <c r="A2398" s="3" t="s">
        <v>682</v>
      </c>
      <c r="B2398" s="3" t="s">
        <v>683</v>
      </c>
      <c r="C2398" s="3" t="s">
        <v>683</v>
      </c>
      <c r="D2398" s="3" t="s">
        <v>684</v>
      </c>
      <c r="E2398" s="3" t="s">
        <v>867</v>
      </c>
      <c r="F2398" s="3">
        <v>22.98</v>
      </c>
      <c r="G2398" s="3" t="s">
        <v>3391</v>
      </c>
      <c r="H2398" s="3"/>
      <c r="I2398" s="3" t="s">
        <v>3392</v>
      </c>
      <c r="J2398" s="3">
        <v>7</v>
      </c>
      <c r="K2398" s="3">
        <v>6</v>
      </c>
      <c r="L2398" s="3">
        <v>0</v>
      </c>
      <c r="M2398" s="3">
        <v>1</v>
      </c>
      <c r="N2398" s="3">
        <v>7</v>
      </c>
      <c r="O2398" s="3">
        <v>0.08</v>
      </c>
      <c r="P2398" s="3">
        <v>0</v>
      </c>
      <c r="Q2398" s="3">
        <v>0</v>
      </c>
      <c r="R2398" s="3">
        <v>0</v>
      </c>
    </row>
    <row r="2399" spans="1:18">
      <c r="A2399" s="3" t="s">
        <v>7298</v>
      </c>
      <c r="B2399" s="3" t="s">
        <v>7299</v>
      </c>
      <c r="C2399" s="3" t="s">
        <v>7299</v>
      </c>
      <c r="D2399" s="3"/>
      <c r="E2399" s="3" t="s">
        <v>3293</v>
      </c>
      <c r="F2399" s="3"/>
      <c r="G2399" s="3"/>
      <c r="H2399" s="3"/>
      <c r="I2399" s="3"/>
      <c r="J2399" s="3">
        <v>0</v>
      </c>
      <c r="K2399" s="3">
        <v>0</v>
      </c>
      <c r="L2399" s="3">
        <v>0</v>
      </c>
      <c r="M2399" s="3">
        <v>0</v>
      </c>
      <c r="N2399" s="3">
        <v>0</v>
      </c>
      <c r="O2399" s="3"/>
      <c r="P2399" s="3">
        <v>0</v>
      </c>
      <c r="Q2399" s="3">
        <v>0</v>
      </c>
      <c r="R2399" s="3">
        <v>0</v>
      </c>
    </row>
    <row r="2400" spans="1:18">
      <c r="A2400" s="3" t="s">
        <v>7300</v>
      </c>
      <c r="B2400" s="3" t="s">
        <v>7301</v>
      </c>
      <c r="C2400" s="3" t="s">
        <v>7301</v>
      </c>
      <c r="D2400" s="3"/>
      <c r="E2400" s="3" t="s">
        <v>3293</v>
      </c>
      <c r="F2400" s="3"/>
      <c r="G2400" s="3"/>
      <c r="H2400" s="3"/>
      <c r="I2400" s="3"/>
      <c r="J2400" s="3">
        <v>0</v>
      </c>
      <c r="K2400" s="3">
        <v>0</v>
      </c>
      <c r="L2400" s="3">
        <v>0</v>
      </c>
      <c r="M2400" s="3">
        <v>0</v>
      </c>
      <c r="N2400" s="3">
        <v>0</v>
      </c>
      <c r="O2400" s="3"/>
      <c r="P2400" s="3">
        <v>0</v>
      </c>
      <c r="Q2400" s="3">
        <v>0</v>
      </c>
      <c r="R2400" s="3">
        <v>0</v>
      </c>
    </row>
    <row r="2401" spans="1:18">
      <c r="A2401" s="3" t="s">
        <v>7302</v>
      </c>
      <c r="B2401" s="3" t="s">
        <v>7303</v>
      </c>
      <c r="C2401" s="3" t="s">
        <v>7303</v>
      </c>
      <c r="D2401" s="3" t="s">
        <v>7304</v>
      </c>
      <c r="E2401" s="3" t="s">
        <v>867</v>
      </c>
      <c r="F2401" s="3">
        <v>22.98</v>
      </c>
      <c r="G2401" s="3" t="s">
        <v>3391</v>
      </c>
      <c r="H2401" s="3"/>
      <c r="I2401" s="3" t="s">
        <v>3392</v>
      </c>
      <c r="J2401" s="3">
        <v>0</v>
      </c>
      <c r="K2401" s="3">
        <v>0</v>
      </c>
      <c r="L2401" s="3">
        <v>0</v>
      </c>
      <c r="M2401" s="3">
        <v>0</v>
      </c>
      <c r="N2401" s="3">
        <v>0</v>
      </c>
      <c r="O2401" s="3">
        <v>0.08</v>
      </c>
      <c r="P2401" s="3">
        <v>0</v>
      </c>
      <c r="Q2401" s="3">
        <v>0</v>
      </c>
      <c r="R2401" s="3">
        <v>0</v>
      </c>
    </row>
    <row r="2402" spans="1:18">
      <c r="A2402" s="3" t="s">
        <v>1477</v>
      </c>
      <c r="B2402" s="3" t="s">
        <v>1478</v>
      </c>
      <c r="C2402" s="3" t="s">
        <v>1478</v>
      </c>
      <c r="D2402" s="3" t="s">
        <v>1479</v>
      </c>
      <c r="E2402" s="3" t="s">
        <v>867</v>
      </c>
      <c r="F2402" s="3">
        <v>22.98</v>
      </c>
      <c r="G2402" s="3" t="s">
        <v>3391</v>
      </c>
      <c r="H2402" s="3"/>
      <c r="I2402" s="3" t="s">
        <v>3392</v>
      </c>
      <c r="J2402" s="3">
        <v>6</v>
      </c>
      <c r="K2402" s="3">
        <v>6</v>
      </c>
      <c r="L2402" s="3">
        <v>0</v>
      </c>
      <c r="M2402" s="3">
        <v>0</v>
      </c>
      <c r="N2402" s="3">
        <v>6</v>
      </c>
      <c r="O2402" s="3">
        <v>0.11</v>
      </c>
      <c r="P2402" s="3">
        <v>0</v>
      </c>
      <c r="Q2402" s="3">
        <v>0</v>
      </c>
      <c r="R2402" s="3">
        <v>0</v>
      </c>
    </row>
    <row r="2403" spans="1:18">
      <c r="A2403" s="3" t="s">
        <v>7305</v>
      </c>
      <c r="B2403" s="3" t="s">
        <v>7306</v>
      </c>
      <c r="C2403" s="3" t="s">
        <v>7306</v>
      </c>
      <c r="D2403" s="3" t="s">
        <v>7307</v>
      </c>
      <c r="E2403" s="3" t="s">
        <v>867</v>
      </c>
      <c r="F2403" s="3">
        <v>22.98</v>
      </c>
      <c r="G2403" s="3" t="s">
        <v>3391</v>
      </c>
      <c r="H2403" s="3"/>
      <c r="I2403" s="3" t="s">
        <v>3392</v>
      </c>
      <c r="J2403" s="3">
        <v>0</v>
      </c>
      <c r="K2403" s="3">
        <v>0</v>
      </c>
      <c r="L2403" s="3">
        <v>0</v>
      </c>
      <c r="M2403" s="3">
        <v>0</v>
      </c>
      <c r="N2403" s="3">
        <v>0</v>
      </c>
      <c r="O2403" s="3">
        <v>0.08</v>
      </c>
      <c r="P2403" s="3">
        <v>0</v>
      </c>
      <c r="Q2403" s="3">
        <v>0</v>
      </c>
      <c r="R2403" s="3">
        <v>0</v>
      </c>
    </row>
    <row r="2404" spans="1:18">
      <c r="A2404" s="3" t="s">
        <v>7308</v>
      </c>
      <c r="B2404" s="3" t="s">
        <v>7309</v>
      </c>
      <c r="C2404" s="3" t="s">
        <v>7309</v>
      </c>
      <c r="D2404" s="3" t="s">
        <v>7310</v>
      </c>
      <c r="E2404" s="3" t="s">
        <v>867</v>
      </c>
      <c r="F2404" s="3">
        <v>22.98</v>
      </c>
      <c r="G2404" s="3" t="s">
        <v>3391</v>
      </c>
      <c r="H2404" s="3"/>
      <c r="I2404" s="3" t="s">
        <v>3392</v>
      </c>
      <c r="J2404" s="3">
        <v>0</v>
      </c>
      <c r="K2404" s="3">
        <v>0</v>
      </c>
      <c r="L2404" s="3">
        <v>0</v>
      </c>
      <c r="M2404" s="3">
        <v>0</v>
      </c>
      <c r="N2404" s="3">
        <v>0</v>
      </c>
      <c r="O2404" s="3">
        <v>0.07</v>
      </c>
      <c r="P2404" s="3">
        <v>0</v>
      </c>
      <c r="Q2404" s="3">
        <v>0</v>
      </c>
      <c r="R2404" s="3">
        <v>0</v>
      </c>
    </row>
    <row r="2405" spans="1:18">
      <c r="A2405" s="3" t="s">
        <v>2549</v>
      </c>
      <c r="B2405" s="3" t="s">
        <v>2550</v>
      </c>
      <c r="C2405" s="3" t="s">
        <v>2550</v>
      </c>
      <c r="D2405" s="3" t="s">
        <v>2551</v>
      </c>
      <c r="E2405" s="3" t="s">
        <v>867</v>
      </c>
      <c r="F2405" s="3">
        <v>22.98</v>
      </c>
      <c r="G2405" s="3" t="s">
        <v>3391</v>
      </c>
      <c r="H2405" s="3"/>
      <c r="I2405" s="3" t="s">
        <v>3392</v>
      </c>
      <c r="J2405" s="3">
        <v>12</v>
      </c>
      <c r="K2405" s="3">
        <v>12</v>
      </c>
      <c r="L2405" s="3">
        <v>0</v>
      </c>
      <c r="M2405" s="3">
        <v>0</v>
      </c>
      <c r="N2405" s="3">
        <v>12</v>
      </c>
      <c r="O2405" s="3">
        <v>0.08</v>
      </c>
      <c r="P2405" s="3">
        <v>0</v>
      </c>
      <c r="Q2405" s="3">
        <v>0</v>
      </c>
      <c r="R2405" s="3">
        <v>0</v>
      </c>
    </row>
    <row r="2406" spans="1:18">
      <c r="A2406" s="3" t="s">
        <v>2255</v>
      </c>
      <c r="B2406" s="3" t="s">
        <v>2256</v>
      </c>
      <c r="C2406" s="3" t="s">
        <v>2256</v>
      </c>
      <c r="D2406" s="3" t="s">
        <v>2257</v>
      </c>
      <c r="E2406" s="3" t="s">
        <v>867</v>
      </c>
      <c r="F2406" s="3">
        <v>22.98</v>
      </c>
      <c r="G2406" s="3" t="s">
        <v>3391</v>
      </c>
      <c r="H2406" s="3"/>
      <c r="I2406" s="3" t="s">
        <v>3392</v>
      </c>
      <c r="J2406" s="3">
        <v>18</v>
      </c>
      <c r="K2406" s="3">
        <v>18</v>
      </c>
      <c r="L2406" s="3">
        <v>0</v>
      </c>
      <c r="M2406" s="3">
        <v>0</v>
      </c>
      <c r="N2406" s="3">
        <v>18</v>
      </c>
      <c r="O2406" s="3">
        <v>0.08</v>
      </c>
      <c r="P2406" s="3">
        <v>0</v>
      </c>
      <c r="Q2406" s="3">
        <v>0</v>
      </c>
      <c r="R2406" s="3">
        <v>0</v>
      </c>
    </row>
    <row r="2407" spans="1:18">
      <c r="A2407" s="3" t="s">
        <v>2262</v>
      </c>
      <c r="B2407" s="3" t="s">
        <v>2263</v>
      </c>
      <c r="C2407" s="3" t="s">
        <v>2263</v>
      </c>
      <c r="D2407" s="3" t="s">
        <v>2264</v>
      </c>
      <c r="E2407" s="3" t="s">
        <v>867</v>
      </c>
      <c r="F2407" s="3">
        <v>22.98</v>
      </c>
      <c r="G2407" s="3" t="s">
        <v>3391</v>
      </c>
      <c r="H2407" s="3"/>
      <c r="I2407" s="3" t="s">
        <v>3392</v>
      </c>
      <c r="J2407" s="3">
        <v>5</v>
      </c>
      <c r="K2407" s="3">
        <v>5</v>
      </c>
      <c r="L2407" s="3">
        <v>0</v>
      </c>
      <c r="M2407" s="3">
        <v>0</v>
      </c>
      <c r="N2407" s="3">
        <v>5</v>
      </c>
      <c r="O2407" s="3">
        <v>0.08</v>
      </c>
      <c r="P2407" s="3">
        <v>0</v>
      </c>
      <c r="Q2407" s="3">
        <v>0</v>
      </c>
      <c r="R2407" s="3">
        <v>0</v>
      </c>
    </row>
    <row r="2408" spans="1:18">
      <c r="A2408" s="3" t="s">
        <v>7311</v>
      </c>
      <c r="B2408" s="3" t="s">
        <v>7312</v>
      </c>
      <c r="C2408" s="3" t="s">
        <v>7312</v>
      </c>
      <c r="D2408" s="3" t="s">
        <v>7313</v>
      </c>
      <c r="E2408" s="3" t="s">
        <v>867</v>
      </c>
      <c r="F2408" s="3">
        <v>22.98</v>
      </c>
      <c r="G2408" s="3" t="s">
        <v>3391</v>
      </c>
      <c r="H2408" s="3"/>
      <c r="I2408" s="3" t="s">
        <v>3392</v>
      </c>
      <c r="J2408" s="3">
        <v>0</v>
      </c>
      <c r="K2408" s="3">
        <v>0</v>
      </c>
      <c r="L2408" s="3">
        <v>0</v>
      </c>
      <c r="M2408" s="3">
        <v>0</v>
      </c>
      <c r="N2408" s="3">
        <v>0</v>
      </c>
      <c r="O2408" s="3">
        <v>0.08</v>
      </c>
      <c r="P2408" s="3">
        <v>0</v>
      </c>
      <c r="Q2408" s="3">
        <v>0</v>
      </c>
      <c r="R2408" s="3">
        <v>0</v>
      </c>
    </row>
    <row r="2409" spans="1:18">
      <c r="A2409" s="3" t="s">
        <v>709</v>
      </c>
      <c r="B2409" s="3" t="s">
        <v>710</v>
      </c>
      <c r="C2409" s="3" t="s">
        <v>710</v>
      </c>
      <c r="D2409" s="3" t="s">
        <v>711</v>
      </c>
      <c r="E2409" s="3" t="s">
        <v>867</v>
      </c>
      <c r="F2409" s="3">
        <v>22.98</v>
      </c>
      <c r="G2409" s="3" t="s">
        <v>3391</v>
      </c>
      <c r="H2409" s="3"/>
      <c r="I2409" s="3" t="s">
        <v>3392</v>
      </c>
      <c r="J2409" s="3">
        <v>10</v>
      </c>
      <c r="K2409" s="3">
        <v>9</v>
      </c>
      <c r="L2409" s="3">
        <v>0</v>
      </c>
      <c r="M2409" s="3">
        <v>1</v>
      </c>
      <c r="N2409" s="3">
        <v>10</v>
      </c>
      <c r="O2409" s="3">
        <v>0.08</v>
      </c>
      <c r="P2409" s="3">
        <v>0</v>
      </c>
      <c r="Q2409" s="3">
        <v>0</v>
      </c>
      <c r="R2409" s="3">
        <v>0</v>
      </c>
    </row>
    <row r="2410" spans="1:18">
      <c r="A2410" s="3" t="s">
        <v>712</v>
      </c>
      <c r="B2410" s="3" t="s">
        <v>713</v>
      </c>
      <c r="C2410" s="3" t="s">
        <v>713</v>
      </c>
      <c r="D2410" s="3" t="s">
        <v>714</v>
      </c>
      <c r="E2410" s="3" t="s">
        <v>867</v>
      </c>
      <c r="F2410" s="3">
        <v>23.98</v>
      </c>
      <c r="G2410" s="3" t="s">
        <v>3391</v>
      </c>
      <c r="H2410" s="3"/>
      <c r="I2410" s="3" t="s">
        <v>3392</v>
      </c>
      <c r="J2410" s="3">
        <v>12</v>
      </c>
      <c r="K2410" s="3">
        <v>11</v>
      </c>
      <c r="L2410" s="3">
        <v>0</v>
      </c>
      <c r="M2410" s="3">
        <v>1</v>
      </c>
      <c r="N2410" s="3">
        <v>12</v>
      </c>
      <c r="O2410" s="3">
        <v>0.09</v>
      </c>
      <c r="P2410" s="3">
        <v>0</v>
      </c>
      <c r="Q2410" s="3">
        <v>0</v>
      </c>
      <c r="R2410" s="3">
        <v>0</v>
      </c>
    </row>
    <row r="2411" spans="1:18">
      <c r="A2411" s="3" t="s">
        <v>1716</v>
      </c>
      <c r="B2411" s="3" t="s">
        <v>1717</v>
      </c>
      <c r="C2411" s="3" t="s">
        <v>1717</v>
      </c>
      <c r="D2411" s="3" t="s">
        <v>1718</v>
      </c>
      <c r="E2411" s="3" t="s">
        <v>867</v>
      </c>
      <c r="F2411" s="3">
        <v>23.98</v>
      </c>
      <c r="G2411" s="3" t="s">
        <v>3391</v>
      </c>
      <c r="H2411" s="3"/>
      <c r="I2411" s="3" t="s">
        <v>3392</v>
      </c>
      <c r="J2411" s="3">
        <v>12</v>
      </c>
      <c r="K2411" s="3">
        <v>12</v>
      </c>
      <c r="L2411" s="3">
        <v>0</v>
      </c>
      <c r="M2411" s="3">
        <v>0</v>
      </c>
      <c r="N2411" s="3">
        <v>12</v>
      </c>
      <c r="O2411" s="3">
        <v>0.11</v>
      </c>
      <c r="P2411" s="3">
        <v>0</v>
      </c>
      <c r="Q2411" s="3">
        <v>0</v>
      </c>
      <c r="R2411" s="3">
        <v>0</v>
      </c>
    </row>
    <row r="2412" spans="1:18">
      <c r="A2412" s="3" t="s">
        <v>2290</v>
      </c>
      <c r="B2412" s="3" t="s">
        <v>2291</v>
      </c>
      <c r="C2412" s="3" t="s">
        <v>2291</v>
      </c>
      <c r="D2412" s="3" t="s">
        <v>2292</v>
      </c>
      <c r="E2412" s="3" t="s">
        <v>867</v>
      </c>
      <c r="F2412" s="3">
        <v>23.98</v>
      </c>
      <c r="G2412" s="3" t="s">
        <v>3391</v>
      </c>
      <c r="H2412" s="3"/>
      <c r="I2412" s="3" t="s">
        <v>3392</v>
      </c>
      <c r="J2412" s="3">
        <v>1</v>
      </c>
      <c r="K2412" s="3">
        <v>1</v>
      </c>
      <c r="L2412" s="3">
        <v>0</v>
      </c>
      <c r="M2412" s="3">
        <v>0</v>
      </c>
      <c r="N2412" s="3">
        <v>1</v>
      </c>
      <c r="O2412" s="3">
        <v>0.19</v>
      </c>
      <c r="P2412" s="3">
        <v>0</v>
      </c>
      <c r="Q2412" s="3">
        <v>0</v>
      </c>
      <c r="R2412" s="3">
        <v>0</v>
      </c>
    </row>
    <row r="2413" spans="1:18">
      <c r="A2413" s="3" t="s">
        <v>2369</v>
      </c>
      <c r="B2413" s="3" t="s">
        <v>2370</v>
      </c>
      <c r="C2413" s="3" t="s">
        <v>2370</v>
      </c>
      <c r="D2413" s="3" t="s">
        <v>2371</v>
      </c>
      <c r="E2413" s="3" t="s">
        <v>867</v>
      </c>
      <c r="F2413" s="3">
        <v>23.98</v>
      </c>
      <c r="G2413" s="3" t="s">
        <v>3391</v>
      </c>
      <c r="H2413" s="3"/>
      <c r="I2413" s="3" t="s">
        <v>3392</v>
      </c>
      <c r="J2413" s="3">
        <v>22</v>
      </c>
      <c r="K2413" s="3">
        <v>22</v>
      </c>
      <c r="L2413" s="3">
        <v>0</v>
      </c>
      <c r="M2413" s="3">
        <v>0</v>
      </c>
      <c r="N2413" s="3">
        <v>22</v>
      </c>
      <c r="O2413" s="3">
        <v>0.13</v>
      </c>
      <c r="P2413" s="3">
        <v>0</v>
      </c>
      <c r="Q2413" s="3">
        <v>0</v>
      </c>
      <c r="R2413" s="3">
        <v>0</v>
      </c>
    </row>
    <row r="2414" spans="1:18">
      <c r="A2414" s="3" t="s">
        <v>1261</v>
      </c>
      <c r="B2414" s="3" t="s">
        <v>1262</v>
      </c>
      <c r="C2414" s="3" t="s">
        <v>1262</v>
      </c>
      <c r="D2414" s="3" t="s">
        <v>1263</v>
      </c>
      <c r="E2414" s="3" t="s">
        <v>867</v>
      </c>
      <c r="F2414" s="3">
        <v>23.98</v>
      </c>
      <c r="G2414" s="3" t="s">
        <v>3391</v>
      </c>
      <c r="H2414" s="3"/>
      <c r="I2414" s="3" t="s">
        <v>3392</v>
      </c>
      <c r="J2414" s="3">
        <v>14</v>
      </c>
      <c r="K2414" s="3">
        <v>14</v>
      </c>
      <c r="L2414" s="3">
        <v>0</v>
      </c>
      <c r="M2414" s="3">
        <v>0</v>
      </c>
      <c r="N2414" s="3">
        <v>14</v>
      </c>
      <c r="O2414" s="3">
        <v>0.17</v>
      </c>
      <c r="P2414" s="3">
        <v>0</v>
      </c>
      <c r="Q2414" s="3">
        <v>0</v>
      </c>
      <c r="R2414" s="3">
        <v>0</v>
      </c>
    </row>
    <row r="2415" spans="1:18">
      <c r="A2415" s="3" t="s">
        <v>1378</v>
      </c>
      <c r="B2415" s="3" t="s">
        <v>1379</v>
      </c>
      <c r="C2415" s="3" t="s">
        <v>1379</v>
      </c>
      <c r="D2415" s="3" t="s">
        <v>1380</v>
      </c>
      <c r="E2415" s="3" t="s">
        <v>867</v>
      </c>
      <c r="F2415" s="3">
        <v>23.98</v>
      </c>
      <c r="G2415" s="3" t="s">
        <v>3391</v>
      </c>
      <c r="H2415" s="3"/>
      <c r="I2415" s="3" t="s">
        <v>3392</v>
      </c>
      <c r="J2415" s="3">
        <v>14</v>
      </c>
      <c r="K2415" s="3">
        <v>14</v>
      </c>
      <c r="L2415" s="3">
        <v>0</v>
      </c>
      <c r="M2415" s="3">
        <v>0</v>
      </c>
      <c r="N2415" s="3">
        <v>14</v>
      </c>
      <c r="O2415" s="3">
        <v>0.17</v>
      </c>
      <c r="P2415" s="3">
        <v>0</v>
      </c>
      <c r="Q2415" s="3">
        <v>0</v>
      </c>
      <c r="R2415" s="3">
        <v>0</v>
      </c>
    </row>
    <row r="2416" spans="1:18">
      <c r="A2416" s="3" t="s">
        <v>2067</v>
      </c>
      <c r="B2416" s="3" t="s">
        <v>2068</v>
      </c>
      <c r="C2416" s="3" t="s">
        <v>2068</v>
      </c>
      <c r="D2416" s="3" t="s">
        <v>2069</v>
      </c>
      <c r="E2416" s="3" t="s">
        <v>867</v>
      </c>
      <c r="F2416" s="3">
        <v>23.98</v>
      </c>
      <c r="G2416" s="3" t="s">
        <v>3391</v>
      </c>
      <c r="H2416" s="3"/>
      <c r="I2416" s="3" t="s">
        <v>3392</v>
      </c>
      <c r="J2416" s="3">
        <v>9</v>
      </c>
      <c r="K2416" s="3">
        <v>9</v>
      </c>
      <c r="L2416" s="3">
        <v>0</v>
      </c>
      <c r="M2416" s="3">
        <v>0</v>
      </c>
      <c r="N2416" s="3">
        <v>9</v>
      </c>
      <c r="O2416" s="3">
        <v>0.13</v>
      </c>
      <c r="P2416" s="3">
        <v>0</v>
      </c>
      <c r="Q2416" s="3">
        <v>0</v>
      </c>
      <c r="R2416" s="3">
        <v>0</v>
      </c>
    </row>
    <row r="2417" spans="1:18">
      <c r="A2417" s="3" t="s">
        <v>1984</v>
      </c>
      <c r="B2417" s="3" t="s">
        <v>1985</v>
      </c>
      <c r="C2417" s="3" t="s">
        <v>1985</v>
      </c>
      <c r="D2417" s="3" t="s">
        <v>1986</v>
      </c>
      <c r="E2417" s="3" t="s">
        <v>867</v>
      </c>
      <c r="F2417" s="3">
        <v>23.98</v>
      </c>
      <c r="G2417" s="3" t="s">
        <v>3391</v>
      </c>
      <c r="H2417" s="3"/>
      <c r="I2417" s="3" t="s">
        <v>3392</v>
      </c>
      <c r="J2417" s="3">
        <v>16</v>
      </c>
      <c r="K2417" s="3">
        <v>16</v>
      </c>
      <c r="L2417" s="3">
        <v>0</v>
      </c>
      <c r="M2417" s="3">
        <v>0</v>
      </c>
      <c r="N2417" s="3">
        <v>16</v>
      </c>
      <c r="O2417" s="3">
        <v>0.17</v>
      </c>
      <c r="P2417" s="3">
        <v>0</v>
      </c>
      <c r="Q2417" s="3">
        <v>0</v>
      </c>
      <c r="R2417" s="3">
        <v>0</v>
      </c>
    </row>
    <row r="2418" spans="1:18">
      <c r="A2418" s="3" t="s">
        <v>2938</v>
      </c>
      <c r="B2418" s="3" t="s">
        <v>2939</v>
      </c>
      <c r="C2418" s="3" t="s">
        <v>2939</v>
      </c>
      <c r="D2418" s="3" t="s">
        <v>2940</v>
      </c>
      <c r="E2418" s="3" t="s">
        <v>867</v>
      </c>
      <c r="F2418" s="3">
        <v>23.98</v>
      </c>
      <c r="G2418" s="3" t="s">
        <v>3391</v>
      </c>
      <c r="H2418" s="3"/>
      <c r="I2418" s="3" t="s">
        <v>3392</v>
      </c>
      <c r="J2418" s="3">
        <v>12</v>
      </c>
      <c r="K2418" s="3">
        <v>12</v>
      </c>
      <c r="L2418" s="3">
        <v>0</v>
      </c>
      <c r="M2418" s="3">
        <v>0</v>
      </c>
      <c r="N2418" s="3">
        <v>12</v>
      </c>
      <c r="O2418" s="3">
        <v>0.17</v>
      </c>
      <c r="P2418" s="3">
        <v>0</v>
      </c>
      <c r="Q2418" s="3">
        <v>0</v>
      </c>
      <c r="R2418" s="3">
        <v>0</v>
      </c>
    </row>
    <row r="2419" spans="1:18">
      <c r="A2419" s="3" t="s">
        <v>3149</v>
      </c>
      <c r="B2419" s="3" t="s">
        <v>3150</v>
      </c>
      <c r="C2419" s="3" t="s">
        <v>3150</v>
      </c>
      <c r="D2419" s="3" t="s">
        <v>3151</v>
      </c>
      <c r="E2419" s="3" t="s">
        <v>867</v>
      </c>
      <c r="F2419" s="3">
        <v>23.98</v>
      </c>
      <c r="G2419" s="3" t="s">
        <v>3391</v>
      </c>
      <c r="H2419" s="3"/>
      <c r="I2419" s="3" t="s">
        <v>3392</v>
      </c>
      <c r="J2419" s="3">
        <v>11</v>
      </c>
      <c r="K2419" s="3">
        <v>11</v>
      </c>
      <c r="L2419" s="3">
        <v>0</v>
      </c>
      <c r="M2419" s="3">
        <v>0</v>
      </c>
      <c r="N2419" s="3">
        <v>11</v>
      </c>
      <c r="O2419" s="3">
        <v>0.1</v>
      </c>
      <c r="P2419" s="3">
        <v>0</v>
      </c>
      <c r="Q2419" s="3">
        <v>0</v>
      </c>
      <c r="R2419" s="3">
        <v>0</v>
      </c>
    </row>
    <row r="2420" spans="1:18">
      <c r="A2420" s="3" t="s">
        <v>2419</v>
      </c>
      <c r="B2420" s="3" t="s">
        <v>2420</v>
      </c>
      <c r="C2420" s="3" t="s">
        <v>2420</v>
      </c>
      <c r="D2420" s="3" t="s">
        <v>2421</v>
      </c>
      <c r="E2420" s="3" t="s">
        <v>867</v>
      </c>
      <c r="F2420" s="3">
        <v>23.98</v>
      </c>
      <c r="G2420" s="3" t="s">
        <v>3391</v>
      </c>
      <c r="H2420" s="3"/>
      <c r="I2420" s="3" t="s">
        <v>3392</v>
      </c>
      <c r="J2420" s="3">
        <v>2</v>
      </c>
      <c r="K2420" s="3">
        <v>2</v>
      </c>
      <c r="L2420" s="3">
        <v>0</v>
      </c>
      <c r="M2420" s="3">
        <v>0</v>
      </c>
      <c r="N2420" s="3">
        <v>2</v>
      </c>
      <c r="O2420" s="3">
        <v>0.12</v>
      </c>
      <c r="P2420" s="3">
        <v>0</v>
      </c>
      <c r="Q2420" s="3">
        <v>0</v>
      </c>
      <c r="R2420" s="3">
        <v>0</v>
      </c>
    </row>
    <row r="2421" spans="1:18">
      <c r="A2421" s="3" t="s">
        <v>2778</v>
      </c>
      <c r="B2421" s="3" t="s">
        <v>2779</v>
      </c>
      <c r="C2421" s="3" t="s">
        <v>2779</v>
      </c>
      <c r="D2421" s="3" t="s">
        <v>2780</v>
      </c>
      <c r="E2421" s="3" t="s">
        <v>867</v>
      </c>
      <c r="F2421" s="3">
        <v>23.98</v>
      </c>
      <c r="G2421" s="3" t="s">
        <v>3391</v>
      </c>
      <c r="H2421" s="3"/>
      <c r="I2421" s="3" t="s">
        <v>3392</v>
      </c>
      <c r="J2421" s="3">
        <v>15</v>
      </c>
      <c r="K2421" s="3">
        <v>15</v>
      </c>
      <c r="L2421" s="3">
        <v>0</v>
      </c>
      <c r="M2421" s="3">
        <v>0</v>
      </c>
      <c r="N2421" s="3">
        <v>15</v>
      </c>
      <c r="O2421" s="3">
        <v>0.12</v>
      </c>
      <c r="P2421" s="3">
        <v>0</v>
      </c>
      <c r="Q2421" s="3">
        <v>0</v>
      </c>
      <c r="R2421" s="3">
        <v>0</v>
      </c>
    </row>
    <row r="2422" spans="1:18">
      <c r="A2422" s="3" t="s">
        <v>706</v>
      </c>
      <c r="B2422" s="3" t="s">
        <v>707</v>
      </c>
      <c r="C2422" s="3" t="s">
        <v>707</v>
      </c>
      <c r="D2422" s="3" t="s">
        <v>708</v>
      </c>
      <c r="E2422" s="3" t="s">
        <v>867</v>
      </c>
      <c r="F2422" s="3">
        <v>23.98</v>
      </c>
      <c r="G2422" s="3" t="s">
        <v>3391</v>
      </c>
      <c r="H2422" s="3"/>
      <c r="I2422" s="3" t="s">
        <v>3392</v>
      </c>
      <c r="J2422" s="3">
        <v>15</v>
      </c>
      <c r="K2422" s="3">
        <v>13</v>
      </c>
      <c r="L2422" s="3">
        <v>0</v>
      </c>
      <c r="M2422" s="3">
        <v>2</v>
      </c>
      <c r="N2422" s="3">
        <v>15</v>
      </c>
      <c r="O2422" s="3">
        <v>0.11</v>
      </c>
      <c r="P2422" s="3">
        <v>0</v>
      </c>
      <c r="Q2422" s="3">
        <v>0</v>
      </c>
      <c r="R2422" s="3">
        <v>0</v>
      </c>
    </row>
    <row r="2423" spans="1:18">
      <c r="A2423" s="3" t="s">
        <v>7314</v>
      </c>
      <c r="B2423" s="3" t="s">
        <v>738</v>
      </c>
      <c r="C2423" s="3" t="s">
        <v>738</v>
      </c>
      <c r="D2423" s="3" t="s">
        <v>739</v>
      </c>
      <c r="E2423" s="3" t="s">
        <v>867</v>
      </c>
      <c r="F2423" s="3">
        <v>23.98</v>
      </c>
      <c r="G2423" s="3" t="s">
        <v>3391</v>
      </c>
      <c r="H2423" s="3"/>
      <c r="I2423" s="3" t="s">
        <v>3392</v>
      </c>
      <c r="J2423" s="3">
        <v>0</v>
      </c>
      <c r="K2423" s="3">
        <v>0</v>
      </c>
      <c r="L2423" s="3">
        <v>0</v>
      </c>
      <c r="M2423" s="3">
        <v>0</v>
      </c>
      <c r="N2423" s="3">
        <v>0</v>
      </c>
      <c r="O2423" s="3">
        <v>0.09</v>
      </c>
      <c r="P2423" s="3">
        <v>0</v>
      </c>
      <c r="Q2423" s="3">
        <v>0</v>
      </c>
      <c r="R2423" s="3">
        <v>0</v>
      </c>
    </row>
    <row r="2424" spans="1:18">
      <c r="A2424" s="3" t="s">
        <v>7315</v>
      </c>
      <c r="B2424" s="3" t="s">
        <v>766</v>
      </c>
      <c r="C2424" s="3" t="s">
        <v>766</v>
      </c>
      <c r="D2424" s="3" t="s">
        <v>767</v>
      </c>
      <c r="E2424" s="3" t="s">
        <v>867</v>
      </c>
      <c r="F2424" s="3">
        <v>23.98</v>
      </c>
      <c r="G2424" s="3" t="s">
        <v>3391</v>
      </c>
      <c r="H2424" s="3"/>
      <c r="I2424" s="3" t="s">
        <v>3392</v>
      </c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>
        <v>0.08</v>
      </c>
      <c r="P2424" s="3">
        <v>0</v>
      </c>
      <c r="Q2424" s="3">
        <v>0</v>
      </c>
      <c r="R2424" s="3">
        <v>0</v>
      </c>
    </row>
    <row r="2425" spans="1:18">
      <c r="A2425" s="3" t="s">
        <v>2958</v>
      </c>
      <c r="B2425" s="3" t="s">
        <v>2959</v>
      </c>
      <c r="C2425" s="3" t="s">
        <v>2959</v>
      </c>
      <c r="D2425" s="3" t="s">
        <v>2960</v>
      </c>
      <c r="E2425" s="3" t="s">
        <v>867</v>
      </c>
      <c r="F2425" s="3">
        <v>23.98</v>
      </c>
      <c r="G2425" s="3" t="s">
        <v>3391</v>
      </c>
      <c r="H2425" s="3"/>
      <c r="I2425" s="3" t="s">
        <v>3392</v>
      </c>
      <c r="J2425" s="3">
        <v>25</v>
      </c>
      <c r="K2425" s="3">
        <v>25</v>
      </c>
      <c r="L2425" s="3">
        <v>0</v>
      </c>
      <c r="M2425" s="3">
        <v>0</v>
      </c>
      <c r="N2425" s="3">
        <v>25</v>
      </c>
      <c r="O2425" s="3">
        <v>0.12</v>
      </c>
      <c r="P2425" s="3">
        <v>0</v>
      </c>
      <c r="Q2425" s="3">
        <v>0</v>
      </c>
      <c r="R2425" s="3">
        <v>0</v>
      </c>
    </row>
    <row r="2426" spans="1:18">
      <c r="A2426" s="3" t="s">
        <v>1034</v>
      </c>
      <c r="B2426" s="3" t="s">
        <v>1035</v>
      </c>
      <c r="C2426" s="3" t="s">
        <v>1035</v>
      </c>
      <c r="D2426" s="3" t="s">
        <v>1036</v>
      </c>
      <c r="E2426" s="3" t="s">
        <v>867</v>
      </c>
      <c r="F2426" s="3">
        <v>23.98</v>
      </c>
      <c r="G2426" s="3" t="s">
        <v>3391</v>
      </c>
      <c r="H2426" s="3"/>
      <c r="I2426" s="3" t="s">
        <v>3392</v>
      </c>
      <c r="J2426" s="3">
        <v>5</v>
      </c>
      <c r="K2426" s="3">
        <v>5</v>
      </c>
      <c r="L2426" s="3">
        <v>0</v>
      </c>
      <c r="M2426" s="3">
        <v>0</v>
      </c>
      <c r="N2426" s="3">
        <v>5</v>
      </c>
      <c r="O2426" s="3">
        <v>0.17</v>
      </c>
      <c r="P2426" s="3">
        <v>0</v>
      </c>
      <c r="Q2426" s="3">
        <v>0</v>
      </c>
      <c r="R2426" s="3">
        <v>0</v>
      </c>
    </row>
    <row r="2427" spans="1:18">
      <c r="A2427" s="3" t="s">
        <v>703</v>
      </c>
      <c r="B2427" s="3" t="s">
        <v>704</v>
      </c>
      <c r="C2427" s="3" t="s">
        <v>704</v>
      </c>
      <c r="D2427" s="3" t="s">
        <v>705</v>
      </c>
      <c r="E2427" s="3" t="s">
        <v>867</v>
      </c>
      <c r="F2427" s="3">
        <v>23.98</v>
      </c>
      <c r="G2427" s="3" t="s">
        <v>3391</v>
      </c>
      <c r="H2427" s="3"/>
      <c r="I2427" s="3" t="s">
        <v>3392</v>
      </c>
      <c r="J2427" s="3">
        <v>4</v>
      </c>
      <c r="K2427" s="3">
        <v>0</v>
      </c>
      <c r="L2427" s="3">
        <v>0</v>
      </c>
      <c r="M2427" s="3">
        <v>4</v>
      </c>
      <c r="N2427" s="3">
        <v>4</v>
      </c>
      <c r="O2427" s="3">
        <v>0.06</v>
      </c>
      <c r="P2427" s="3">
        <v>0</v>
      </c>
      <c r="Q2427" s="3">
        <v>0</v>
      </c>
      <c r="R2427" s="3">
        <v>0</v>
      </c>
    </row>
    <row r="2428" spans="1:18">
      <c r="A2428" s="3" t="s">
        <v>7316</v>
      </c>
      <c r="B2428" s="3" t="s">
        <v>774</v>
      </c>
      <c r="C2428" s="3" t="s">
        <v>774</v>
      </c>
      <c r="D2428" s="3" t="s">
        <v>775</v>
      </c>
      <c r="E2428" s="3" t="s">
        <v>867</v>
      </c>
      <c r="F2428" s="3">
        <v>23.98</v>
      </c>
      <c r="G2428" s="3" t="s">
        <v>3391</v>
      </c>
      <c r="H2428" s="3"/>
      <c r="I2428" s="3" t="s">
        <v>3392</v>
      </c>
      <c r="J2428" s="3">
        <v>0</v>
      </c>
      <c r="K2428" s="3">
        <v>0</v>
      </c>
      <c r="L2428" s="3">
        <v>0</v>
      </c>
      <c r="M2428" s="3">
        <v>0</v>
      </c>
      <c r="N2428" s="3">
        <v>0</v>
      </c>
      <c r="O2428" s="3">
        <v>0.07</v>
      </c>
      <c r="P2428" s="3">
        <v>0</v>
      </c>
      <c r="Q2428" s="3">
        <v>0</v>
      </c>
      <c r="R2428" s="3">
        <v>0</v>
      </c>
    </row>
    <row r="2429" spans="1:18">
      <c r="A2429" s="3" t="s">
        <v>694</v>
      </c>
      <c r="B2429" s="3" t="s">
        <v>695</v>
      </c>
      <c r="C2429" s="3" t="s">
        <v>695</v>
      </c>
      <c r="D2429" s="3" t="s">
        <v>696</v>
      </c>
      <c r="E2429" s="3" t="s">
        <v>867</v>
      </c>
      <c r="F2429" s="3">
        <v>23.98</v>
      </c>
      <c r="G2429" s="3" t="s">
        <v>3391</v>
      </c>
      <c r="H2429" s="3"/>
      <c r="I2429" s="3" t="s">
        <v>3392</v>
      </c>
      <c r="J2429" s="3">
        <v>9</v>
      </c>
      <c r="K2429" s="3">
        <v>7</v>
      </c>
      <c r="L2429" s="3">
        <v>0</v>
      </c>
      <c r="M2429" s="3">
        <v>2</v>
      </c>
      <c r="N2429" s="3">
        <v>9</v>
      </c>
      <c r="O2429" s="3">
        <v>0.08</v>
      </c>
      <c r="P2429" s="3">
        <v>0</v>
      </c>
      <c r="Q2429" s="3">
        <v>0</v>
      </c>
      <c r="R2429" s="3">
        <v>0</v>
      </c>
    </row>
    <row r="2430" spans="1:18">
      <c r="A2430" s="3" t="s">
        <v>1070</v>
      </c>
      <c r="B2430" s="3" t="s">
        <v>1071</v>
      </c>
      <c r="C2430" s="3" t="s">
        <v>1071</v>
      </c>
      <c r="D2430" s="3" t="s">
        <v>1072</v>
      </c>
      <c r="E2430" s="3" t="s">
        <v>867</v>
      </c>
      <c r="F2430" s="3">
        <v>23.98</v>
      </c>
      <c r="G2430" s="3" t="s">
        <v>3391</v>
      </c>
      <c r="H2430" s="3"/>
      <c r="I2430" s="3" t="s">
        <v>3392</v>
      </c>
      <c r="J2430" s="3">
        <v>14</v>
      </c>
      <c r="K2430" s="3">
        <v>14</v>
      </c>
      <c r="L2430" s="3">
        <v>0</v>
      </c>
      <c r="M2430" s="3">
        <v>0</v>
      </c>
      <c r="N2430" s="3">
        <v>14</v>
      </c>
      <c r="O2430" s="3">
        <v>0.12</v>
      </c>
      <c r="P2430" s="3">
        <v>0</v>
      </c>
      <c r="Q2430" s="3">
        <v>0</v>
      </c>
      <c r="R2430" s="3">
        <v>0</v>
      </c>
    </row>
    <row r="2431" spans="1:18">
      <c r="A2431" s="3" t="s">
        <v>2975</v>
      </c>
      <c r="B2431" s="3" t="s">
        <v>2932</v>
      </c>
      <c r="C2431" s="3" t="s">
        <v>2932</v>
      </c>
      <c r="D2431" s="3" t="s">
        <v>2933</v>
      </c>
      <c r="E2431" s="3" t="s">
        <v>867</v>
      </c>
      <c r="F2431" s="3">
        <v>23.98</v>
      </c>
      <c r="G2431" s="3" t="s">
        <v>3391</v>
      </c>
      <c r="H2431" s="3"/>
      <c r="I2431" s="3" t="s">
        <v>3392</v>
      </c>
      <c r="J2431" s="3">
        <v>7</v>
      </c>
      <c r="K2431" s="3">
        <v>7</v>
      </c>
      <c r="L2431" s="3">
        <v>0</v>
      </c>
      <c r="M2431" s="3">
        <v>0</v>
      </c>
      <c r="N2431" s="3">
        <v>7</v>
      </c>
      <c r="O2431" s="3">
        <v>0.17</v>
      </c>
      <c r="P2431" s="3">
        <v>0</v>
      </c>
      <c r="Q2431" s="3">
        <v>0</v>
      </c>
      <c r="R2431" s="3">
        <v>0</v>
      </c>
    </row>
    <row r="2432" spans="1:18">
      <c r="A2432" s="3" t="s">
        <v>1805</v>
      </c>
      <c r="B2432" s="3" t="s">
        <v>1404</v>
      </c>
      <c r="C2432" s="3" t="s">
        <v>1404</v>
      </c>
      <c r="D2432" s="3" t="s">
        <v>1405</v>
      </c>
      <c r="E2432" s="3" t="s">
        <v>867</v>
      </c>
      <c r="F2432" s="3">
        <v>23.98</v>
      </c>
      <c r="G2432" s="3" t="s">
        <v>3391</v>
      </c>
      <c r="H2432" s="3"/>
      <c r="I2432" s="3" t="s">
        <v>3392</v>
      </c>
      <c r="J2432" s="3">
        <v>1</v>
      </c>
      <c r="K2432" s="3">
        <v>1</v>
      </c>
      <c r="L2432" s="3">
        <v>0</v>
      </c>
      <c r="M2432" s="3">
        <v>0</v>
      </c>
      <c r="N2432" s="3">
        <v>1</v>
      </c>
      <c r="O2432" s="3">
        <v>0.1</v>
      </c>
      <c r="P2432" s="3">
        <v>0</v>
      </c>
      <c r="Q2432" s="3">
        <v>0</v>
      </c>
      <c r="R2432" s="3">
        <v>0</v>
      </c>
    </row>
    <row r="2433" spans="1:18">
      <c r="A2433" s="3" t="s">
        <v>2662</v>
      </c>
      <c r="B2433" s="3" t="s">
        <v>2663</v>
      </c>
      <c r="C2433" s="3" t="s">
        <v>2663</v>
      </c>
      <c r="D2433" s="3" t="s">
        <v>2664</v>
      </c>
      <c r="E2433" s="3" t="s">
        <v>867</v>
      </c>
      <c r="F2433" s="3">
        <v>23.98</v>
      </c>
      <c r="G2433" s="3" t="s">
        <v>3391</v>
      </c>
      <c r="H2433" s="3"/>
      <c r="I2433" s="3" t="s">
        <v>3392</v>
      </c>
      <c r="J2433" s="3">
        <v>19</v>
      </c>
      <c r="K2433" s="3">
        <v>19</v>
      </c>
      <c r="L2433" s="3">
        <v>0</v>
      </c>
      <c r="M2433" s="3">
        <v>0</v>
      </c>
      <c r="N2433" s="3">
        <v>19</v>
      </c>
      <c r="O2433" s="3">
        <v>0.17</v>
      </c>
      <c r="P2433" s="3">
        <v>0</v>
      </c>
      <c r="Q2433" s="3">
        <v>0</v>
      </c>
      <c r="R2433" s="3">
        <v>0</v>
      </c>
    </row>
    <row r="2434" spans="1:18">
      <c r="A2434" s="3" t="s">
        <v>2854</v>
      </c>
      <c r="B2434" s="3" t="s">
        <v>2855</v>
      </c>
      <c r="C2434" s="3" t="s">
        <v>2855</v>
      </c>
      <c r="D2434" s="3" t="s">
        <v>2856</v>
      </c>
      <c r="E2434" s="3" t="s">
        <v>867</v>
      </c>
      <c r="F2434" s="3">
        <v>23.98</v>
      </c>
      <c r="G2434" s="3" t="s">
        <v>3391</v>
      </c>
      <c r="H2434" s="3"/>
      <c r="I2434" s="3" t="s">
        <v>3392</v>
      </c>
      <c r="J2434" s="3">
        <v>18</v>
      </c>
      <c r="K2434" s="3">
        <v>18</v>
      </c>
      <c r="L2434" s="3">
        <v>0</v>
      </c>
      <c r="M2434" s="3">
        <v>0</v>
      </c>
      <c r="N2434" s="3">
        <v>18</v>
      </c>
      <c r="O2434" s="3">
        <v>0.17</v>
      </c>
      <c r="P2434" s="3">
        <v>0</v>
      </c>
      <c r="Q2434" s="3">
        <v>0</v>
      </c>
      <c r="R2434" s="3">
        <v>0</v>
      </c>
    </row>
    <row r="2435" spans="1:18">
      <c r="A2435" s="3" t="s">
        <v>2049</v>
      </c>
      <c r="B2435" s="3" t="s">
        <v>2050</v>
      </c>
      <c r="C2435" s="3" t="s">
        <v>2050</v>
      </c>
      <c r="D2435" s="3" t="s">
        <v>2051</v>
      </c>
      <c r="E2435" s="3" t="s">
        <v>867</v>
      </c>
      <c r="F2435" s="3">
        <v>23.98</v>
      </c>
      <c r="G2435" s="3" t="s">
        <v>3391</v>
      </c>
      <c r="H2435" s="3"/>
      <c r="I2435" s="3" t="s">
        <v>3392</v>
      </c>
      <c r="J2435" s="3">
        <v>22</v>
      </c>
      <c r="K2435" s="3">
        <v>22</v>
      </c>
      <c r="L2435" s="3">
        <v>0</v>
      </c>
      <c r="M2435" s="3">
        <v>0</v>
      </c>
      <c r="N2435" s="3">
        <v>22</v>
      </c>
      <c r="O2435" s="3">
        <v>0.08</v>
      </c>
      <c r="P2435" s="3">
        <v>0</v>
      </c>
      <c r="Q2435" s="3">
        <v>0</v>
      </c>
      <c r="R2435" s="3">
        <v>0</v>
      </c>
    </row>
    <row r="2436" spans="1:18">
      <c r="A2436" s="3" t="s">
        <v>2443</v>
      </c>
      <c r="B2436" s="3" t="s">
        <v>2444</v>
      </c>
      <c r="C2436" s="3" t="s">
        <v>2444</v>
      </c>
      <c r="D2436" s="3" t="s">
        <v>2445</v>
      </c>
      <c r="E2436" s="3" t="s">
        <v>867</v>
      </c>
      <c r="F2436" s="3">
        <v>23.98</v>
      </c>
      <c r="G2436" s="3" t="s">
        <v>3391</v>
      </c>
      <c r="H2436" s="3"/>
      <c r="I2436" s="3" t="s">
        <v>3392</v>
      </c>
      <c r="J2436" s="3">
        <v>4</v>
      </c>
      <c r="K2436" s="3">
        <v>4</v>
      </c>
      <c r="L2436" s="3">
        <v>0</v>
      </c>
      <c r="M2436" s="3">
        <v>0</v>
      </c>
      <c r="N2436" s="3">
        <v>4</v>
      </c>
      <c r="O2436" s="3">
        <v>0.09</v>
      </c>
      <c r="P2436" s="3">
        <v>0</v>
      </c>
      <c r="Q2436" s="3">
        <v>0</v>
      </c>
      <c r="R2436" s="3">
        <v>0</v>
      </c>
    </row>
    <row r="2437" spans="1:18">
      <c r="A2437" s="3" t="s">
        <v>2241</v>
      </c>
      <c r="B2437" s="3" t="s">
        <v>2242</v>
      </c>
      <c r="C2437" s="3" t="s">
        <v>2242</v>
      </c>
      <c r="D2437" s="3" t="s">
        <v>2243</v>
      </c>
      <c r="E2437" s="3" t="s">
        <v>867</v>
      </c>
      <c r="F2437" s="3">
        <v>23.98</v>
      </c>
      <c r="G2437" s="3" t="s">
        <v>3391</v>
      </c>
      <c r="H2437" s="3"/>
      <c r="I2437" s="3" t="s">
        <v>3392</v>
      </c>
      <c r="J2437" s="3">
        <v>14</v>
      </c>
      <c r="K2437" s="3">
        <v>14</v>
      </c>
      <c r="L2437" s="3">
        <v>0</v>
      </c>
      <c r="M2437" s="3">
        <v>0</v>
      </c>
      <c r="N2437" s="3">
        <v>14</v>
      </c>
      <c r="O2437" s="3">
        <v>0.17</v>
      </c>
      <c r="P2437" s="3">
        <v>0</v>
      </c>
      <c r="Q2437" s="3">
        <v>0</v>
      </c>
      <c r="R2437" s="3">
        <v>0</v>
      </c>
    </row>
    <row r="2438" spans="1:18">
      <c r="A2438" s="3" t="s">
        <v>1741</v>
      </c>
      <c r="B2438" s="3" t="s">
        <v>1742</v>
      </c>
      <c r="C2438" s="3" t="s">
        <v>1742</v>
      </c>
      <c r="D2438" s="3" t="s">
        <v>1743</v>
      </c>
      <c r="E2438" s="3" t="s">
        <v>867</v>
      </c>
      <c r="F2438" s="3">
        <v>23.98</v>
      </c>
      <c r="G2438" s="3" t="s">
        <v>3391</v>
      </c>
      <c r="H2438" s="3"/>
      <c r="I2438" s="3" t="s">
        <v>3392</v>
      </c>
      <c r="J2438" s="3">
        <v>4</v>
      </c>
      <c r="K2438" s="3">
        <v>4</v>
      </c>
      <c r="L2438" s="3">
        <v>0</v>
      </c>
      <c r="M2438" s="3">
        <v>0</v>
      </c>
      <c r="N2438" s="3">
        <v>4</v>
      </c>
      <c r="O2438" s="3">
        <v>0.1</v>
      </c>
      <c r="P2438" s="3">
        <v>0</v>
      </c>
      <c r="Q2438" s="3">
        <v>0</v>
      </c>
      <c r="R2438" s="3">
        <v>0</v>
      </c>
    </row>
    <row r="2439" spans="1:18">
      <c r="A2439" s="3" t="s">
        <v>7317</v>
      </c>
      <c r="B2439" s="3" t="s">
        <v>770</v>
      </c>
      <c r="C2439" s="3" t="s">
        <v>770</v>
      </c>
      <c r="D2439" s="3" t="s">
        <v>771</v>
      </c>
      <c r="E2439" s="3" t="s">
        <v>867</v>
      </c>
      <c r="F2439" s="3">
        <v>23.98</v>
      </c>
      <c r="G2439" s="3" t="s">
        <v>3391</v>
      </c>
      <c r="H2439" s="3"/>
      <c r="I2439" s="3" t="s">
        <v>3392</v>
      </c>
      <c r="J2439" s="3">
        <v>0</v>
      </c>
      <c r="K2439" s="3">
        <v>0</v>
      </c>
      <c r="L2439" s="3">
        <v>0</v>
      </c>
      <c r="M2439" s="3">
        <v>0</v>
      </c>
      <c r="N2439" s="3">
        <v>0</v>
      </c>
      <c r="O2439" s="3">
        <v>0.11</v>
      </c>
      <c r="P2439" s="3">
        <v>0</v>
      </c>
      <c r="Q2439" s="3">
        <v>0</v>
      </c>
      <c r="R2439" s="3">
        <v>0</v>
      </c>
    </row>
    <row r="2440" spans="1:18">
      <c r="A2440" s="3" t="s">
        <v>697</v>
      </c>
      <c r="B2440" s="3" t="s">
        <v>698</v>
      </c>
      <c r="C2440" s="3" t="s">
        <v>698</v>
      </c>
      <c r="D2440" s="3" t="s">
        <v>699</v>
      </c>
      <c r="E2440" s="3" t="s">
        <v>867</v>
      </c>
      <c r="F2440" s="3">
        <v>23.98</v>
      </c>
      <c r="G2440" s="3" t="s">
        <v>3391</v>
      </c>
      <c r="H2440" s="3"/>
      <c r="I2440" s="3" t="s">
        <v>3392</v>
      </c>
      <c r="J2440" s="3">
        <v>5</v>
      </c>
      <c r="K2440" s="3">
        <v>2</v>
      </c>
      <c r="L2440" s="3">
        <v>0</v>
      </c>
      <c r="M2440" s="3">
        <v>3</v>
      </c>
      <c r="N2440" s="3">
        <v>5</v>
      </c>
      <c r="O2440" s="3">
        <v>0.08</v>
      </c>
      <c r="P2440" s="3">
        <v>0</v>
      </c>
      <c r="Q2440" s="3">
        <v>0</v>
      </c>
      <c r="R2440" s="3">
        <v>0</v>
      </c>
    </row>
    <row r="2441" spans="1:18">
      <c r="A2441" s="3" t="s">
        <v>1724</v>
      </c>
      <c r="B2441" s="3" t="s">
        <v>1725</v>
      </c>
      <c r="C2441" s="3" t="s">
        <v>1725</v>
      </c>
      <c r="D2441" s="3" t="s">
        <v>1726</v>
      </c>
      <c r="E2441" s="3" t="s">
        <v>867</v>
      </c>
      <c r="F2441" s="3">
        <v>23.98</v>
      </c>
      <c r="G2441" s="3" t="s">
        <v>3391</v>
      </c>
      <c r="H2441" s="3"/>
      <c r="I2441" s="3" t="s">
        <v>3392</v>
      </c>
      <c r="J2441" s="3">
        <v>1</v>
      </c>
      <c r="K2441" s="3">
        <v>1</v>
      </c>
      <c r="L2441" s="3">
        <v>0</v>
      </c>
      <c r="M2441" s="3">
        <v>0</v>
      </c>
      <c r="N2441" s="3">
        <v>1</v>
      </c>
      <c r="O2441" s="3">
        <v>0.17</v>
      </c>
      <c r="P2441" s="3">
        <v>0</v>
      </c>
      <c r="Q2441" s="3">
        <v>0</v>
      </c>
      <c r="R2441" s="3">
        <v>0</v>
      </c>
    </row>
    <row r="2442" spans="1:18">
      <c r="A2442" s="3" t="s">
        <v>1657</v>
      </c>
      <c r="B2442" s="3" t="s">
        <v>1658</v>
      </c>
      <c r="C2442" s="3" t="s">
        <v>1658</v>
      </c>
      <c r="D2442" s="3" t="s">
        <v>1659</v>
      </c>
      <c r="E2442" s="3" t="s">
        <v>867</v>
      </c>
      <c r="F2442" s="3">
        <v>23.98</v>
      </c>
      <c r="G2442" s="3" t="s">
        <v>3391</v>
      </c>
      <c r="H2442" s="3"/>
      <c r="I2442" s="3" t="s">
        <v>3392</v>
      </c>
      <c r="J2442" s="3">
        <v>1</v>
      </c>
      <c r="K2442" s="3">
        <v>1</v>
      </c>
      <c r="L2442" s="3">
        <v>0</v>
      </c>
      <c r="M2442" s="3">
        <v>0</v>
      </c>
      <c r="N2442" s="3">
        <v>1</v>
      </c>
      <c r="O2442" s="3">
        <v>0.17</v>
      </c>
      <c r="P2442" s="3">
        <v>0</v>
      </c>
      <c r="Q2442" s="3">
        <v>0</v>
      </c>
      <c r="R2442" s="3">
        <v>0</v>
      </c>
    </row>
    <row r="2443" spans="1:18">
      <c r="A2443" s="3" t="s">
        <v>7318</v>
      </c>
      <c r="B2443" s="3" t="s">
        <v>7319</v>
      </c>
      <c r="C2443" s="3" t="s">
        <v>7319</v>
      </c>
      <c r="D2443" s="3" t="s">
        <v>7320</v>
      </c>
      <c r="E2443" s="3" t="s">
        <v>867</v>
      </c>
      <c r="F2443" s="3">
        <v>19.98</v>
      </c>
      <c r="G2443" s="3" t="s">
        <v>3391</v>
      </c>
      <c r="H2443" s="3"/>
      <c r="I2443" s="3" t="s">
        <v>3392</v>
      </c>
      <c r="J2443" s="3">
        <v>0</v>
      </c>
      <c r="K2443" s="3">
        <v>0</v>
      </c>
      <c r="L2443" s="3">
        <v>0</v>
      </c>
      <c r="M2443" s="3">
        <v>0</v>
      </c>
      <c r="N2443" s="3">
        <v>0</v>
      </c>
      <c r="O2443" s="3">
        <v>0.12</v>
      </c>
      <c r="P2443" s="3">
        <v>0</v>
      </c>
      <c r="Q2443" s="3">
        <v>0</v>
      </c>
      <c r="R2443" s="3">
        <v>0</v>
      </c>
    </row>
    <row r="2444" spans="1:18">
      <c r="A2444" s="3" t="s">
        <v>1182</v>
      </c>
      <c r="B2444" s="3" t="s">
        <v>1183</v>
      </c>
      <c r="C2444" s="3" t="s">
        <v>1183</v>
      </c>
      <c r="D2444" s="3" t="s">
        <v>1184</v>
      </c>
      <c r="E2444" s="3" t="s">
        <v>867</v>
      </c>
      <c r="F2444" s="3">
        <v>23.98</v>
      </c>
      <c r="G2444" s="3" t="s">
        <v>3391</v>
      </c>
      <c r="H2444" s="3"/>
      <c r="I2444" s="3" t="s">
        <v>3392</v>
      </c>
      <c r="J2444" s="3">
        <v>3</v>
      </c>
      <c r="K2444" s="3">
        <v>3</v>
      </c>
      <c r="L2444" s="3">
        <v>0</v>
      </c>
      <c r="M2444" s="3">
        <v>0</v>
      </c>
      <c r="N2444" s="3">
        <v>3</v>
      </c>
      <c r="O2444" s="3">
        <v>0.17</v>
      </c>
      <c r="P2444" s="3">
        <v>0</v>
      </c>
      <c r="Q2444" s="3">
        <v>0</v>
      </c>
      <c r="R2444" s="3">
        <v>0</v>
      </c>
    </row>
    <row r="2445" spans="1:18">
      <c r="A2445" s="3" t="s">
        <v>1587</v>
      </c>
      <c r="B2445" s="3" t="s">
        <v>1588</v>
      </c>
      <c r="C2445" s="3" t="s">
        <v>1588</v>
      </c>
      <c r="D2445" s="3" t="s">
        <v>1589</v>
      </c>
      <c r="E2445" s="3" t="s">
        <v>867</v>
      </c>
      <c r="F2445" s="3">
        <v>23.98</v>
      </c>
      <c r="G2445" s="3" t="s">
        <v>3391</v>
      </c>
      <c r="H2445" s="3"/>
      <c r="I2445" s="3" t="s">
        <v>3392</v>
      </c>
      <c r="J2445" s="3">
        <v>14</v>
      </c>
      <c r="K2445" s="3">
        <v>14</v>
      </c>
      <c r="L2445" s="3">
        <v>0</v>
      </c>
      <c r="M2445" s="3">
        <v>0</v>
      </c>
      <c r="N2445" s="3">
        <v>14</v>
      </c>
      <c r="O2445" s="3">
        <v>0.1</v>
      </c>
      <c r="P2445" s="3">
        <v>0</v>
      </c>
      <c r="Q2445" s="3">
        <v>0</v>
      </c>
      <c r="R2445" s="3">
        <v>0</v>
      </c>
    </row>
    <row r="2446" spans="1:18">
      <c r="A2446" s="3" t="s">
        <v>2976</v>
      </c>
      <c r="B2446" s="3" t="s">
        <v>2977</v>
      </c>
      <c r="C2446" s="3" t="s">
        <v>2977</v>
      </c>
      <c r="D2446" s="3" t="s">
        <v>2978</v>
      </c>
      <c r="E2446" s="3" t="s">
        <v>867</v>
      </c>
      <c r="F2446" s="3">
        <v>23.98</v>
      </c>
      <c r="G2446" s="3" t="s">
        <v>3391</v>
      </c>
      <c r="H2446" s="3"/>
      <c r="I2446" s="3" t="s">
        <v>3392</v>
      </c>
      <c r="J2446" s="3">
        <v>24</v>
      </c>
      <c r="K2446" s="3">
        <v>24</v>
      </c>
      <c r="L2446" s="3">
        <v>0</v>
      </c>
      <c r="M2446" s="3">
        <v>0</v>
      </c>
      <c r="N2446" s="3">
        <v>24</v>
      </c>
      <c r="O2446" s="3">
        <v>0.17</v>
      </c>
      <c r="P2446" s="3">
        <v>0</v>
      </c>
      <c r="Q2446" s="3">
        <v>0</v>
      </c>
      <c r="R2446" s="3">
        <v>0</v>
      </c>
    </row>
    <row r="2447" spans="1:18">
      <c r="A2447" s="3" t="s">
        <v>3249</v>
      </c>
      <c r="B2447" s="3" t="s">
        <v>3250</v>
      </c>
      <c r="C2447" s="3" t="s">
        <v>3250</v>
      </c>
      <c r="D2447" s="3" t="s">
        <v>3251</v>
      </c>
      <c r="E2447" s="3" t="s">
        <v>867</v>
      </c>
      <c r="F2447" s="3">
        <v>23.98</v>
      </c>
      <c r="G2447" s="3" t="s">
        <v>3391</v>
      </c>
      <c r="H2447" s="3"/>
      <c r="I2447" s="3" t="s">
        <v>3392</v>
      </c>
      <c r="J2447" s="3">
        <v>5</v>
      </c>
      <c r="K2447" s="3">
        <v>5</v>
      </c>
      <c r="L2447" s="3">
        <v>0</v>
      </c>
      <c r="M2447" s="3">
        <v>0</v>
      </c>
      <c r="N2447" s="3">
        <v>5</v>
      </c>
      <c r="O2447" s="3">
        <v>0.1</v>
      </c>
      <c r="P2447" s="3">
        <v>0</v>
      </c>
      <c r="Q2447" s="3">
        <v>0</v>
      </c>
      <c r="R2447" s="3">
        <v>0</v>
      </c>
    </row>
    <row r="2448" spans="1:18">
      <c r="A2448" s="3" t="s">
        <v>3084</v>
      </c>
      <c r="B2448" s="3" t="s">
        <v>3085</v>
      </c>
      <c r="C2448" s="3" t="s">
        <v>3085</v>
      </c>
      <c r="D2448" s="3" t="s">
        <v>3086</v>
      </c>
      <c r="E2448" s="3" t="s">
        <v>867</v>
      </c>
      <c r="F2448" s="3">
        <v>23.98</v>
      </c>
      <c r="G2448" s="3" t="s">
        <v>3391</v>
      </c>
      <c r="H2448" s="3"/>
      <c r="I2448" s="3" t="s">
        <v>3392</v>
      </c>
      <c r="J2448" s="3">
        <v>20</v>
      </c>
      <c r="K2448" s="3">
        <v>20</v>
      </c>
      <c r="L2448" s="3">
        <v>0</v>
      </c>
      <c r="M2448" s="3">
        <v>0</v>
      </c>
      <c r="N2448" s="3">
        <v>20</v>
      </c>
      <c r="O2448" s="3">
        <v>0.17</v>
      </c>
      <c r="P2448" s="3">
        <v>0</v>
      </c>
      <c r="Q2448" s="3">
        <v>0</v>
      </c>
      <c r="R2448" s="3">
        <v>0</v>
      </c>
    </row>
    <row r="2449" spans="1:18">
      <c r="A2449" s="3" t="s">
        <v>688</v>
      </c>
      <c r="B2449" s="3" t="s">
        <v>689</v>
      </c>
      <c r="C2449" s="3" t="s">
        <v>689</v>
      </c>
      <c r="D2449" s="3" t="s">
        <v>690</v>
      </c>
      <c r="E2449" s="3" t="s">
        <v>867</v>
      </c>
      <c r="F2449" s="3">
        <v>23.98</v>
      </c>
      <c r="G2449" s="3" t="s">
        <v>3391</v>
      </c>
      <c r="H2449" s="3"/>
      <c r="I2449" s="3" t="s">
        <v>3392</v>
      </c>
      <c r="J2449" s="3">
        <v>19</v>
      </c>
      <c r="K2449" s="3">
        <v>18</v>
      </c>
      <c r="L2449" s="3">
        <v>0</v>
      </c>
      <c r="M2449" s="3">
        <v>1</v>
      </c>
      <c r="N2449" s="3">
        <v>19</v>
      </c>
      <c r="O2449" s="3">
        <v>0.17</v>
      </c>
      <c r="P2449" s="3">
        <v>0</v>
      </c>
      <c r="Q2449" s="3">
        <v>0</v>
      </c>
      <c r="R2449" s="3">
        <v>0</v>
      </c>
    </row>
    <row r="2450" spans="1:18">
      <c r="A2450" s="3" t="s">
        <v>2525</v>
      </c>
      <c r="B2450" s="3" t="s">
        <v>2526</v>
      </c>
      <c r="C2450" s="3" t="s">
        <v>2526</v>
      </c>
      <c r="D2450" s="3" t="s">
        <v>2527</v>
      </c>
      <c r="E2450" s="3" t="s">
        <v>867</v>
      </c>
      <c r="F2450" s="3">
        <v>23.98</v>
      </c>
      <c r="G2450" s="3" t="s">
        <v>3391</v>
      </c>
      <c r="H2450" s="3"/>
      <c r="I2450" s="3" t="s">
        <v>3392</v>
      </c>
      <c r="J2450" s="3">
        <v>4</v>
      </c>
      <c r="K2450" s="3">
        <v>4</v>
      </c>
      <c r="L2450" s="3">
        <v>0</v>
      </c>
      <c r="M2450" s="3">
        <v>0</v>
      </c>
      <c r="N2450" s="3">
        <v>4</v>
      </c>
      <c r="O2450" s="3">
        <v>0.13</v>
      </c>
      <c r="P2450" s="3">
        <v>0</v>
      </c>
      <c r="Q2450" s="3">
        <v>0</v>
      </c>
      <c r="R2450" s="3">
        <v>0</v>
      </c>
    </row>
    <row r="2451" spans="1:18">
      <c r="A2451" s="3" t="s">
        <v>2353</v>
      </c>
      <c r="B2451" s="3" t="s">
        <v>2354</v>
      </c>
      <c r="C2451" s="3" t="s">
        <v>2354</v>
      </c>
      <c r="D2451" s="3" t="s">
        <v>2355</v>
      </c>
      <c r="E2451" s="3" t="s">
        <v>867</v>
      </c>
      <c r="F2451" s="3">
        <v>23.98</v>
      </c>
      <c r="G2451" s="3" t="s">
        <v>3391</v>
      </c>
      <c r="H2451" s="3"/>
      <c r="I2451" s="3" t="s">
        <v>3392</v>
      </c>
      <c r="J2451" s="3">
        <v>5</v>
      </c>
      <c r="K2451" s="3">
        <v>5</v>
      </c>
      <c r="L2451" s="3">
        <v>0</v>
      </c>
      <c r="M2451" s="3">
        <v>0</v>
      </c>
      <c r="N2451" s="3">
        <v>5</v>
      </c>
      <c r="O2451" s="3">
        <v>0.14</v>
      </c>
      <c r="P2451" s="3">
        <v>0</v>
      </c>
      <c r="Q2451" s="3">
        <v>0</v>
      </c>
      <c r="R2451" s="3">
        <v>0</v>
      </c>
    </row>
    <row r="2452" spans="1:18">
      <c r="A2452" s="3" t="s">
        <v>685</v>
      </c>
      <c r="B2452" s="3" t="s">
        <v>686</v>
      </c>
      <c r="C2452" s="3" t="s">
        <v>686</v>
      </c>
      <c r="D2452" s="3" t="s">
        <v>687</v>
      </c>
      <c r="E2452" s="3" t="s">
        <v>867</v>
      </c>
      <c r="F2452" s="3">
        <v>23.98</v>
      </c>
      <c r="G2452" s="3" t="s">
        <v>3391</v>
      </c>
      <c r="H2452" s="3"/>
      <c r="I2452" s="3" t="s">
        <v>3392</v>
      </c>
      <c r="J2452" s="3">
        <v>23</v>
      </c>
      <c r="K2452" s="3">
        <v>22</v>
      </c>
      <c r="L2452" s="3">
        <v>0</v>
      </c>
      <c r="M2452" s="3">
        <v>1</v>
      </c>
      <c r="N2452" s="3">
        <v>23</v>
      </c>
      <c r="O2452" s="3">
        <v>0.17</v>
      </c>
      <c r="P2452" s="3">
        <v>0</v>
      </c>
      <c r="Q2452" s="3">
        <v>0</v>
      </c>
      <c r="R2452" s="3">
        <v>0</v>
      </c>
    </row>
    <row r="2453" spans="1:18">
      <c r="A2453" s="3" t="s">
        <v>7321</v>
      </c>
      <c r="B2453" s="3" t="s">
        <v>7322</v>
      </c>
      <c r="C2453" s="3" t="s">
        <v>7323</v>
      </c>
      <c r="D2453" s="3" t="s">
        <v>1726</v>
      </c>
      <c r="E2453" s="3" t="s">
        <v>867</v>
      </c>
      <c r="F2453" s="3">
        <v>39.98</v>
      </c>
      <c r="G2453" s="3" t="s">
        <v>3391</v>
      </c>
      <c r="H2453" s="3"/>
      <c r="I2453" s="3" t="s">
        <v>3392</v>
      </c>
      <c r="J2453" s="3">
        <v>0</v>
      </c>
      <c r="K2453" s="3">
        <v>0</v>
      </c>
      <c r="L2453" s="3">
        <v>0</v>
      </c>
      <c r="M2453" s="3">
        <v>0</v>
      </c>
      <c r="N2453" s="3">
        <v>0</v>
      </c>
      <c r="O2453" s="3">
        <v>0</v>
      </c>
      <c r="P2453" s="3">
        <v>0</v>
      </c>
      <c r="Q2453" s="3">
        <v>0</v>
      </c>
      <c r="R2453" s="3">
        <v>0</v>
      </c>
    </row>
    <row r="2454" spans="1:18">
      <c r="A2454" s="3" t="s">
        <v>7324</v>
      </c>
      <c r="B2454" s="3" t="s">
        <v>7325</v>
      </c>
      <c r="C2454" s="3" t="s">
        <v>7326</v>
      </c>
      <c r="D2454" s="3" t="s">
        <v>1659</v>
      </c>
      <c r="E2454" s="3" t="s">
        <v>867</v>
      </c>
      <c r="F2454" s="3">
        <v>39.98</v>
      </c>
      <c r="G2454" s="3" t="s">
        <v>3391</v>
      </c>
      <c r="H2454" s="3"/>
      <c r="I2454" s="3" t="s">
        <v>3392</v>
      </c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>
        <v>0</v>
      </c>
      <c r="P2454" s="3">
        <v>0</v>
      </c>
      <c r="Q2454" s="3">
        <v>0</v>
      </c>
      <c r="R2454" s="3">
        <v>0</v>
      </c>
    </row>
    <row r="2455" spans="1:18">
      <c r="A2455" s="3" t="s">
        <v>7327</v>
      </c>
      <c r="B2455" s="3" t="s">
        <v>7328</v>
      </c>
      <c r="C2455" s="3" t="s">
        <v>7329</v>
      </c>
      <c r="D2455" s="3" t="s">
        <v>7320</v>
      </c>
      <c r="E2455" s="3" t="s">
        <v>867</v>
      </c>
      <c r="F2455" s="3">
        <v>39.98</v>
      </c>
      <c r="G2455" s="3" t="s">
        <v>3391</v>
      </c>
      <c r="H2455" s="3"/>
      <c r="I2455" s="3" t="s">
        <v>3392</v>
      </c>
      <c r="J2455" s="3">
        <v>0</v>
      </c>
      <c r="K2455" s="3">
        <v>0</v>
      </c>
      <c r="L2455" s="3">
        <v>0</v>
      </c>
      <c r="M2455" s="3">
        <v>0</v>
      </c>
      <c r="N2455" s="3">
        <v>0</v>
      </c>
      <c r="O2455" s="3">
        <v>0</v>
      </c>
      <c r="P2455" s="3">
        <v>0</v>
      </c>
      <c r="Q2455" s="3">
        <v>0</v>
      </c>
      <c r="R2455" s="3">
        <v>0</v>
      </c>
    </row>
    <row r="2456" spans="1:18">
      <c r="A2456" s="3" t="s">
        <v>7330</v>
      </c>
      <c r="B2456" s="3" t="s">
        <v>7331</v>
      </c>
      <c r="C2456" s="3" t="s">
        <v>7332</v>
      </c>
      <c r="D2456" s="3" t="s">
        <v>1184</v>
      </c>
      <c r="E2456" s="3" t="s">
        <v>867</v>
      </c>
      <c r="F2456" s="3">
        <v>39.98</v>
      </c>
      <c r="G2456" s="3" t="s">
        <v>3391</v>
      </c>
      <c r="H2456" s="3"/>
      <c r="I2456" s="3" t="s">
        <v>3392</v>
      </c>
      <c r="J2456" s="3">
        <v>0</v>
      </c>
      <c r="K2456" s="3">
        <v>0</v>
      </c>
      <c r="L2456" s="3">
        <v>0</v>
      </c>
      <c r="M2456" s="3">
        <v>0</v>
      </c>
      <c r="N2456" s="3">
        <v>0</v>
      </c>
      <c r="O2456" s="3">
        <v>0</v>
      </c>
      <c r="P2456" s="3">
        <v>0</v>
      </c>
      <c r="Q2456" s="3">
        <v>0</v>
      </c>
      <c r="R2456" s="3">
        <v>0</v>
      </c>
    </row>
    <row r="2457" spans="1:18">
      <c r="A2457" s="3" t="s">
        <v>7333</v>
      </c>
      <c r="B2457" s="3" t="s">
        <v>3096</v>
      </c>
      <c r="C2457" s="3" t="s">
        <v>3096</v>
      </c>
      <c r="D2457" s="3" t="s">
        <v>3097</v>
      </c>
      <c r="E2457" s="3" t="s">
        <v>867</v>
      </c>
      <c r="F2457" s="3">
        <v>22.98</v>
      </c>
      <c r="G2457" s="3" t="s">
        <v>3391</v>
      </c>
      <c r="H2457" s="3"/>
      <c r="I2457" s="3" t="s">
        <v>3392</v>
      </c>
      <c r="J2457" s="3">
        <v>0</v>
      </c>
      <c r="K2457" s="3">
        <v>0</v>
      </c>
      <c r="L2457" s="3">
        <v>0</v>
      </c>
      <c r="M2457" s="3">
        <v>0</v>
      </c>
      <c r="N2457" s="3">
        <v>0</v>
      </c>
      <c r="O2457" s="3">
        <v>0.08</v>
      </c>
      <c r="P2457" s="3">
        <v>0</v>
      </c>
      <c r="Q2457" s="3">
        <v>0</v>
      </c>
      <c r="R2457" s="3">
        <v>0</v>
      </c>
    </row>
    <row r="2458" spans="1:18">
      <c r="A2458" s="3" t="s">
        <v>7334</v>
      </c>
      <c r="B2458" s="3" t="s">
        <v>6499</v>
      </c>
      <c r="C2458" s="3" t="s">
        <v>6499</v>
      </c>
      <c r="D2458" s="3" t="s">
        <v>6500</v>
      </c>
      <c r="E2458" s="3" t="s">
        <v>867</v>
      </c>
      <c r="F2458" s="3">
        <v>22.98</v>
      </c>
      <c r="G2458" s="3" t="s">
        <v>3391</v>
      </c>
      <c r="H2458" s="3"/>
      <c r="I2458" s="3" t="s">
        <v>3392</v>
      </c>
      <c r="J2458" s="3">
        <v>0</v>
      </c>
      <c r="K2458" s="3">
        <v>0</v>
      </c>
      <c r="L2458" s="3">
        <v>0</v>
      </c>
      <c r="M2458" s="3">
        <v>0</v>
      </c>
      <c r="N2458" s="3">
        <v>0</v>
      </c>
      <c r="O2458" s="3">
        <v>0.12</v>
      </c>
      <c r="P2458" s="3">
        <v>0</v>
      </c>
      <c r="Q2458" s="3">
        <v>0</v>
      </c>
      <c r="R2458" s="3">
        <v>0</v>
      </c>
    </row>
    <row r="2459" spans="1:18">
      <c r="A2459" s="3" t="s">
        <v>7335</v>
      </c>
      <c r="B2459" s="3" t="s">
        <v>2124</v>
      </c>
      <c r="C2459" s="3" t="s">
        <v>2124</v>
      </c>
      <c r="D2459" s="3" t="s">
        <v>2125</v>
      </c>
      <c r="E2459" s="3" t="s">
        <v>867</v>
      </c>
      <c r="F2459" s="3">
        <v>22.98</v>
      </c>
      <c r="G2459" s="3" t="s">
        <v>3391</v>
      </c>
      <c r="H2459" s="3"/>
      <c r="I2459" s="3" t="s">
        <v>3392</v>
      </c>
      <c r="J2459" s="3">
        <v>0</v>
      </c>
      <c r="K2459" s="3">
        <v>0</v>
      </c>
      <c r="L2459" s="3">
        <v>0</v>
      </c>
      <c r="M2459" s="3">
        <v>0</v>
      </c>
      <c r="N2459" s="3">
        <v>0</v>
      </c>
      <c r="O2459" s="3">
        <v>0.12</v>
      </c>
      <c r="P2459" s="3">
        <v>0</v>
      </c>
      <c r="Q2459" s="3">
        <v>0</v>
      </c>
      <c r="R2459" s="3">
        <v>0</v>
      </c>
    </row>
    <row r="2460" spans="1:18">
      <c r="A2460" s="3" t="s">
        <v>7336</v>
      </c>
      <c r="B2460" s="3" t="s">
        <v>3224</v>
      </c>
      <c r="C2460" s="3" t="s">
        <v>3224</v>
      </c>
      <c r="D2460" s="3" t="s">
        <v>3225</v>
      </c>
      <c r="E2460" s="3" t="s">
        <v>867</v>
      </c>
      <c r="F2460" s="3">
        <v>22.98</v>
      </c>
      <c r="G2460" s="3" t="s">
        <v>3391</v>
      </c>
      <c r="H2460" s="3"/>
      <c r="I2460" s="3" t="s">
        <v>3392</v>
      </c>
      <c r="J2460" s="3">
        <v>0</v>
      </c>
      <c r="K2460" s="3">
        <v>0</v>
      </c>
      <c r="L2460" s="3">
        <v>0</v>
      </c>
      <c r="M2460" s="3">
        <v>0</v>
      </c>
      <c r="N2460" s="3">
        <v>0</v>
      </c>
      <c r="O2460" s="3">
        <v>0.12</v>
      </c>
      <c r="P2460" s="3">
        <v>0</v>
      </c>
      <c r="Q2460" s="3">
        <v>0</v>
      </c>
      <c r="R2460" s="3">
        <v>0</v>
      </c>
    </row>
    <row r="2461" spans="1:18">
      <c r="A2461" s="3" t="s">
        <v>7337</v>
      </c>
      <c r="B2461" s="3" t="s">
        <v>1046</v>
      </c>
      <c r="C2461" s="3" t="s">
        <v>1046</v>
      </c>
      <c r="D2461" s="3"/>
      <c r="E2461" s="3" t="s">
        <v>3293</v>
      </c>
      <c r="F2461" s="3"/>
      <c r="G2461" s="3"/>
      <c r="H2461" s="3"/>
      <c r="I2461" s="3"/>
      <c r="J2461" s="3">
        <v>0</v>
      </c>
      <c r="K2461" s="3">
        <v>0</v>
      </c>
      <c r="L2461" s="3">
        <v>0</v>
      </c>
      <c r="M2461" s="3">
        <v>0</v>
      </c>
      <c r="N2461" s="3">
        <v>0</v>
      </c>
      <c r="O2461" s="3"/>
      <c r="P2461" s="3">
        <v>0</v>
      </c>
      <c r="Q2461" s="3">
        <v>0</v>
      </c>
      <c r="R2461" s="3">
        <v>0</v>
      </c>
    </row>
    <row r="2462" spans="1:18">
      <c r="A2462" s="3" t="s">
        <v>7338</v>
      </c>
      <c r="B2462" s="3" t="s">
        <v>6503</v>
      </c>
      <c r="C2462" s="3" t="s">
        <v>6503</v>
      </c>
      <c r="D2462" s="3" t="s">
        <v>6504</v>
      </c>
      <c r="E2462" s="3" t="s">
        <v>867</v>
      </c>
      <c r="F2462" s="3">
        <v>22.98</v>
      </c>
      <c r="G2462" s="3" t="s">
        <v>3391</v>
      </c>
      <c r="H2462" s="3"/>
      <c r="I2462" s="3" t="s">
        <v>3392</v>
      </c>
      <c r="J2462" s="3">
        <v>0</v>
      </c>
      <c r="K2462" s="3">
        <v>0</v>
      </c>
      <c r="L2462" s="3">
        <v>0</v>
      </c>
      <c r="M2462" s="3">
        <v>0</v>
      </c>
      <c r="N2462" s="3">
        <v>0</v>
      </c>
      <c r="O2462" s="3">
        <v>0.12</v>
      </c>
      <c r="P2462" s="3">
        <v>0</v>
      </c>
      <c r="Q2462" s="3">
        <v>0</v>
      </c>
      <c r="R2462" s="3">
        <v>0</v>
      </c>
    </row>
    <row r="2463" spans="1:18">
      <c r="A2463" s="3" t="s">
        <v>691</v>
      </c>
      <c r="B2463" s="3" t="s">
        <v>692</v>
      </c>
      <c r="C2463" s="3" t="s">
        <v>692</v>
      </c>
      <c r="D2463" s="3" t="s">
        <v>693</v>
      </c>
      <c r="E2463" s="3" t="s">
        <v>867</v>
      </c>
      <c r="F2463" s="3">
        <v>22.98</v>
      </c>
      <c r="G2463" s="3" t="s">
        <v>3391</v>
      </c>
      <c r="H2463" s="3"/>
      <c r="I2463" s="3" t="s">
        <v>3392</v>
      </c>
      <c r="J2463" s="3">
        <v>6</v>
      </c>
      <c r="K2463" s="3">
        <v>5</v>
      </c>
      <c r="L2463" s="3">
        <v>0</v>
      </c>
      <c r="M2463" s="3">
        <v>1</v>
      </c>
      <c r="N2463" s="3">
        <v>6</v>
      </c>
      <c r="O2463" s="3">
        <v>0.04</v>
      </c>
      <c r="P2463" s="3">
        <v>0</v>
      </c>
      <c r="Q2463" s="3">
        <v>0</v>
      </c>
      <c r="R2463" s="3">
        <v>0</v>
      </c>
    </row>
    <row r="2464" spans="1:18">
      <c r="A2464" s="3" t="s">
        <v>2694</v>
      </c>
      <c r="B2464" s="3" t="s">
        <v>2695</v>
      </c>
      <c r="C2464" s="3" t="s">
        <v>2695</v>
      </c>
      <c r="D2464" s="3" t="s">
        <v>2696</v>
      </c>
      <c r="E2464" s="3" t="s">
        <v>867</v>
      </c>
      <c r="F2464" s="3">
        <v>22.98</v>
      </c>
      <c r="G2464" s="3" t="s">
        <v>3391</v>
      </c>
      <c r="H2464" s="3"/>
      <c r="I2464" s="3" t="s">
        <v>3392</v>
      </c>
      <c r="J2464" s="3">
        <v>1</v>
      </c>
      <c r="K2464" s="3">
        <v>1</v>
      </c>
      <c r="L2464" s="3">
        <v>0</v>
      </c>
      <c r="M2464" s="3">
        <v>0</v>
      </c>
      <c r="N2464" s="3">
        <v>1</v>
      </c>
      <c r="O2464" s="3">
        <v>0.12</v>
      </c>
      <c r="P2464" s="3">
        <v>0</v>
      </c>
      <c r="Q2464" s="3">
        <v>0</v>
      </c>
      <c r="R2464" s="3">
        <v>0</v>
      </c>
    </row>
    <row r="2465" spans="1:18">
      <c r="A2465" s="3" t="s">
        <v>3240</v>
      </c>
      <c r="B2465" s="3" t="s">
        <v>3241</v>
      </c>
      <c r="C2465" s="3" t="s">
        <v>3241</v>
      </c>
      <c r="D2465" s="3" t="s">
        <v>3242</v>
      </c>
      <c r="E2465" s="3" t="s">
        <v>867</v>
      </c>
      <c r="F2465" s="3">
        <v>22.98</v>
      </c>
      <c r="G2465" s="3" t="s">
        <v>3391</v>
      </c>
      <c r="H2465" s="3"/>
      <c r="I2465" s="3" t="s">
        <v>3392</v>
      </c>
      <c r="J2465" s="3">
        <v>1</v>
      </c>
      <c r="K2465" s="3">
        <v>1</v>
      </c>
      <c r="L2465" s="3">
        <v>0</v>
      </c>
      <c r="M2465" s="3">
        <v>0</v>
      </c>
      <c r="N2465" s="3">
        <v>1</v>
      </c>
      <c r="O2465" s="3">
        <v>0.12</v>
      </c>
      <c r="P2465" s="3">
        <v>0</v>
      </c>
      <c r="Q2465" s="3">
        <v>0</v>
      </c>
      <c r="R2465" s="3">
        <v>0</v>
      </c>
    </row>
    <row r="2466" spans="1:18">
      <c r="A2466" s="3" t="s">
        <v>2806</v>
      </c>
      <c r="B2466" s="3" t="s">
        <v>2807</v>
      </c>
      <c r="C2466" s="3" t="s">
        <v>2807</v>
      </c>
      <c r="D2466" s="3" t="s">
        <v>2808</v>
      </c>
      <c r="E2466" s="3" t="s">
        <v>867</v>
      </c>
      <c r="F2466" s="3">
        <v>22.98</v>
      </c>
      <c r="G2466" s="3" t="s">
        <v>3391</v>
      </c>
      <c r="H2466" s="3"/>
      <c r="I2466" s="3" t="s">
        <v>3392</v>
      </c>
      <c r="J2466" s="3">
        <v>2</v>
      </c>
      <c r="K2466" s="3">
        <v>2</v>
      </c>
      <c r="L2466" s="3">
        <v>0</v>
      </c>
      <c r="M2466" s="3">
        <v>0</v>
      </c>
      <c r="N2466" s="3">
        <v>2</v>
      </c>
      <c r="O2466" s="3">
        <v>0.12</v>
      </c>
      <c r="P2466" s="3">
        <v>0</v>
      </c>
      <c r="Q2466" s="3">
        <v>0</v>
      </c>
      <c r="R2466" s="3">
        <v>0</v>
      </c>
    </row>
    <row r="2467" spans="1:18">
      <c r="A2467" s="3" t="s">
        <v>7339</v>
      </c>
      <c r="B2467" s="3" t="s">
        <v>6515</v>
      </c>
      <c r="C2467" s="3" t="s">
        <v>6515</v>
      </c>
      <c r="D2467" s="3" t="s">
        <v>6516</v>
      </c>
      <c r="E2467" s="3" t="s">
        <v>867</v>
      </c>
      <c r="F2467" s="3">
        <v>22.98</v>
      </c>
      <c r="G2467" s="3" t="s">
        <v>3391</v>
      </c>
      <c r="H2467" s="3"/>
      <c r="I2467" s="3" t="s">
        <v>3392</v>
      </c>
      <c r="J2467" s="3">
        <v>0</v>
      </c>
      <c r="K2467" s="3">
        <v>0</v>
      </c>
      <c r="L2467" s="3">
        <v>0</v>
      </c>
      <c r="M2467" s="3">
        <v>0</v>
      </c>
      <c r="N2467" s="3">
        <v>0</v>
      </c>
      <c r="O2467" s="3">
        <v>0.12</v>
      </c>
      <c r="P2467" s="3">
        <v>0</v>
      </c>
      <c r="Q2467" s="3">
        <v>0</v>
      </c>
      <c r="R2467" s="3">
        <v>0</v>
      </c>
    </row>
    <row r="2468" spans="1:18">
      <c r="A2468" s="3" t="s">
        <v>2293</v>
      </c>
      <c r="B2468" s="3" t="s">
        <v>2294</v>
      </c>
      <c r="C2468" s="3" t="s">
        <v>2294</v>
      </c>
      <c r="D2468" s="3" t="s">
        <v>2295</v>
      </c>
      <c r="E2468" s="3" t="s">
        <v>867</v>
      </c>
      <c r="F2468" s="3">
        <v>22.98</v>
      </c>
      <c r="G2468" s="3" t="s">
        <v>3391</v>
      </c>
      <c r="H2468" s="3"/>
      <c r="I2468" s="3" t="s">
        <v>3392</v>
      </c>
      <c r="J2468" s="3">
        <v>1</v>
      </c>
      <c r="K2468" s="3">
        <v>1</v>
      </c>
      <c r="L2468" s="3">
        <v>0</v>
      </c>
      <c r="M2468" s="3">
        <v>0</v>
      </c>
      <c r="N2468" s="3">
        <v>1</v>
      </c>
      <c r="O2468" s="3">
        <v>0.12</v>
      </c>
      <c r="P2468" s="3">
        <v>0</v>
      </c>
      <c r="Q2468" s="3">
        <v>0</v>
      </c>
      <c r="R2468" s="3">
        <v>0</v>
      </c>
    </row>
    <row r="2469" spans="1:18">
      <c r="A2469" s="3" t="s">
        <v>1165</v>
      </c>
      <c r="B2469" s="3" t="s">
        <v>1166</v>
      </c>
      <c r="C2469" s="3" t="s">
        <v>1166</v>
      </c>
      <c r="D2469" s="3" t="s">
        <v>1167</v>
      </c>
      <c r="E2469" s="3" t="s">
        <v>867</v>
      </c>
      <c r="F2469" s="3">
        <v>22.98</v>
      </c>
      <c r="G2469" s="3" t="s">
        <v>3391</v>
      </c>
      <c r="H2469" s="3"/>
      <c r="I2469" s="3" t="s">
        <v>3392</v>
      </c>
      <c r="J2469" s="3">
        <v>3</v>
      </c>
      <c r="K2469" s="3">
        <v>3</v>
      </c>
      <c r="L2469" s="3">
        <v>0</v>
      </c>
      <c r="M2469" s="3">
        <v>0</v>
      </c>
      <c r="N2469" s="3">
        <v>3</v>
      </c>
      <c r="O2469" s="3">
        <v>0.12</v>
      </c>
      <c r="P2469" s="3">
        <v>0</v>
      </c>
      <c r="Q2469" s="3">
        <v>0</v>
      </c>
      <c r="R2469" s="3">
        <v>0</v>
      </c>
    </row>
    <row r="2470" spans="1:18">
      <c r="A2470" s="3" t="s">
        <v>7340</v>
      </c>
      <c r="B2470" s="3" t="s">
        <v>6523</v>
      </c>
      <c r="C2470" s="3" t="s">
        <v>6523</v>
      </c>
      <c r="D2470" s="3" t="s">
        <v>6524</v>
      </c>
      <c r="E2470" s="3" t="s">
        <v>867</v>
      </c>
      <c r="F2470" s="3">
        <v>22.98</v>
      </c>
      <c r="G2470" s="3" t="s">
        <v>3391</v>
      </c>
      <c r="H2470" s="3"/>
      <c r="I2470" s="3" t="s">
        <v>3392</v>
      </c>
      <c r="J2470" s="3">
        <v>0</v>
      </c>
      <c r="K2470" s="3">
        <v>0</v>
      </c>
      <c r="L2470" s="3">
        <v>0</v>
      </c>
      <c r="M2470" s="3">
        <v>0</v>
      </c>
      <c r="N2470" s="3">
        <v>0</v>
      </c>
      <c r="O2470" s="3">
        <v>0.12</v>
      </c>
      <c r="P2470" s="3">
        <v>0</v>
      </c>
      <c r="Q2470" s="3">
        <v>0</v>
      </c>
      <c r="R2470" s="3">
        <v>0</v>
      </c>
    </row>
    <row r="2471" spans="1:18">
      <c r="A2471" s="3" t="s">
        <v>7341</v>
      </c>
      <c r="B2471" s="3" t="s">
        <v>3089</v>
      </c>
      <c r="C2471" s="3" t="s">
        <v>3089</v>
      </c>
      <c r="D2471" s="3"/>
      <c r="E2471" s="3" t="s">
        <v>3293</v>
      </c>
      <c r="F2471" s="3"/>
      <c r="G2471" s="3"/>
      <c r="H2471" s="3"/>
      <c r="I2471" s="3"/>
      <c r="J2471" s="3">
        <v>0</v>
      </c>
      <c r="K2471" s="3">
        <v>0</v>
      </c>
      <c r="L2471" s="3">
        <v>0</v>
      </c>
      <c r="M2471" s="3">
        <v>0</v>
      </c>
      <c r="N2471" s="3">
        <v>0</v>
      </c>
      <c r="O2471" s="3"/>
      <c r="P2471" s="3">
        <v>0</v>
      </c>
      <c r="Q2471" s="3">
        <v>0</v>
      </c>
      <c r="R2471" s="3">
        <v>0</v>
      </c>
    </row>
    <row r="2472" spans="1:18">
      <c r="A2472" s="3" t="s">
        <v>700</v>
      </c>
      <c r="B2472" s="3" t="s">
        <v>701</v>
      </c>
      <c r="C2472" s="3" t="s">
        <v>701</v>
      </c>
      <c r="D2472" s="3" t="s">
        <v>702</v>
      </c>
      <c r="E2472" s="3" t="s">
        <v>867</v>
      </c>
      <c r="F2472" s="3">
        <v>22.98</v>
      </c>
      <c r="G2472" s="3" t="s">
        <v>3391</v>
      </c>
      <c r="H2472" s="3"/>
      <c r="I2472" s="3" t="s">
        <v>3392</v>
      </c>
      <c r="J2472" s="3">
        <v>4</v>
      </c>
      <c r="K2472" s="3">
        <v>3</v>
      </c>
      <c r="L2472" s="3">
        <v>0</v>
      </c>
      <c r="M2472" s="3">
        <v>1</v>
      </c>
      <c r="N2472" s="3">
        <v>4</v>
      </c>
      <c r="O2472" s="3">
        <v>0.15</v>
      </c>
      <c r="P2472" s="3">
        <v>0</v>
      </c>
      <c r="Q2472" s="3">
        <v>0</v>
      </c>
      <c r="R2472" s="3">
        <v>0</v>
      </c>
    </row>
    <row r="2473" spans="1:18">
      <c r="A2473" s="3" t="s">
        <v>1890</v>
      </c>
      <c r="B2473" s="3" t="s">
        <v>1891</v>
      </c>
      <c r="C2473" s="3" t="s">
        <v>1891</v>
      </c>
      <c r="D2473" s="3" t="s">
        <v>1892</v>
      </c>
      <c r="E2473" s="3" t="s">
        <v>867</v>
      </c>
      <c r="F2473" s="3">
        <v>22.98</v>
      </c>
      <c r="G2473" s="3" t="s">
        <v>3391</v>
      </c>
      <c r="H2473" s="3"/>
      <c r="I2473" s="3" t="s">
        <v>3392</v>
      </c>
      <c r="J2473" s="3">
        <v>1</v>
      </c>
      <c r="K2473" s="3">
        <v>1</v>
      </c>
      <c r="L2473" s="3">
        <v>0</v>
      </c>
      <c r="M2473" s="3">
        <v>0</v>
      </c>
      <c r="N2473" s="3">
        <v>1</v>
      </c>
      <c r="O2473" s="3">
        <v>0.15</v>
      </c>
      <c r="P2473" s="3">
        <v>0</v>
      </c>
      <c r="Q2473" s="3">
        <v>0</v>
      </c>
      <c r="R2473" s="3">
        <v>0</v>
      </c>
    </row>
    <row r="2474" spans="1:18">
      <c r="A2474" s="3" t="s">
        <v>7342</v>
      </c>
      <c r="B2474" s="3" t="s">
        <v>6531</v>
      </c>
      <c r="C2474" s="3" t="s">
        <v>6531</v>
      </c>
      <c r="D2474" s="3" t="s">
        <v>6532</v>
      </c>
      <c r="E2474" s="3" t="s">
        <v>867</v>
      </c>
      <c r="F2474" s="3">
        <v>22.98</v>
      </c>
      <c r="G2474" s="3" t="s">
        <v>3391</v>
      </c>
      <c r="H2474" s="3"/>
      <c r="I2474" s="3" t="s">
        <v>3392</v>
      </c>
      <c r="J2474" s="3">
        <v>0</v>
      </c>
      <c r="K2474" s="3">
        <v>0</v>
      </c>
      <c r="L2474" s="3">
        <v>0</v>
      </c>
      <c r="M2474" s="3">
        <v>0</v>
      </c>
      <c r="N2474" s="3">
        <v>0</v>
      </c>
      <c r="O2474" s="3">
        <v>0.13</v>
      </c>
      <c r="P2474" s="3">
        <v>0</v>
      </c>
      <c r="Q2474" s="3">
        <v>0</v>
      </c>
      <c r="R2474" s="3">
        <v>0</v>
      </c>
    </row>
    <row r="2475" spans="1:18">
      <c r="A2475" s="3" t="s">
        <v>7343</v>
      </c>
      <c r="B2475" s="3" t="s">
        <v>3160</v>
      </c>
      <c r="C2475" s="3" t="s">
        <v>3160</v>
      </c>
      <c r="D2475" s="3" t="s">
        <v>3161</v>
      </c>
      <c r="E2475" s="3" t="s">
        <v>867</v>
      </c>
      <c r="F2475" s="3">
        <v>22.98</v>
      </c>
      <c r="G2475" s="3" t="s">
        <v>3391</v>
      </c>
      <c r="H2475" s="3"/>
      <c r="I2475" s="3" t="s">
        <v>3392</v>
      </c>
      <c r="J2475" s="3">
        <v>0</v>
      </c>
      <c r="K2475" s="3">
        <v>0</v>
      </c>
      <c r="L2475" s="3">
        <v>0</v>
      </c>
      <c r="M2475" s="3">
        <v>0</v>
      </c>
      <c r="N2475" s="3">
        <v>0</v>
      </c>
      <c r="O2475" s="3">
        <v>0.15</v>
      </c>
      <c r="P2475" s="3">
        <v>0</v>
      </c>
      <c r="Q2475" s="3">
        <v>0</v>
      </c>
      <c r="R2475" s="3">
        <v>0</v>
      </c>
    </row>
    <row r="2476" spans="1:18">
      <c r="A2476" s="3" t="s">
        <v>7344</v>
      </c>
      <c r="B2476" s="3" t="s">
        <v>659</v>
      </c>
      <c r="C2476" s="3" t="s">
        <v>659</v>
      </c>
      <c r="D2476" s="3" t="s">
        <v>660</v>
      </c>
      <c r="E2476" s="3" t="s">
        <v>867</v>
      </c>
      <c r="F2476" s="3">
        <v>22.98</v>
      </c>
      <c r="G2476" s="3" t="s">
        <v>3391</v>
      </c>
      <c r="H2476" s="3"/>
      <c r="I2476" s="3" t="s">
        <v>3392</v>
      </c>
      <c r="J2476" s="3">
        <v>0</v>
      </c>
      <c r="K2476" s="3">
        <v>0</v>
      </c>
      <c r="L2476" s="3">
        <v>0</v>
      </c>
      <c r="M2476" s="3">
        <v>0</v>
      </c>
      <c r="N2476" s="3">
        <v>0</v>
      </c>
      <c r="O2476" s="3">
        <v>0.12</v>
      </c>
      <c r="P2476" s="3">
        <v>0</v>
      </c>
      <c r="Q2476" s="3">
        <v>0</v>
      </c>
      <c r="R2476" s="3">
        <v>0</v>
      </c>
    </row>
    <row r="2477" spans="1:18">
      <c r="A2477" s="3" t="s">
        <v>7345</v>
      </c>
      <c r="B2477" s="3" t="s">
        <v>1729</v>
      </c>
      <c r="C2477" s="3" t="s">
        <v>1729</v>
      </c>
      <c r="D2477" s="3" t="s">
        <v>1730</v>
      </c>
      <c r="E2477" s="3" t="s">
        <v>867</v>
      </c>
      <c r="F2477" s="3">
        <v>22.98</v>
      </c>
      <c r="G2477" s="3" t="s">
        <v>3391</v>
      </c>
      <c r="H2477" s="3"/>
      <c r="I2477" s="3" t="s">
        <v>3392</v>
      </c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>
        <v>0.12</v>
      </c>
      <c r="P2477" s="3">
        <v>0</v>
      </c>
      <c r="Q2477" s="3">
        <v>0</v>
      </c>
      <c r="R2477" s="3">
        <v>0</v>
      </c>
    </row>
    <row r="2478" spans="1:18">
      <c r="A2478" s="3" t="s">
        <v>2841</v>
      </c>
      <c r="B2478" s="3" t="s">
        <v>2842</v>
      </c>
      <c r="C2478" s="3" t="s">
        <v>2842</v>
      </c>
      <c r="D2478" s="3" t="s">
        <v>2843</v>
      </c>
      <c r="E2478" s="3" t="s">
        <v>867</v>
      </c>
      <c r="F2478" s="3">
        <v>22.98</v>
      </c>
      <c r="G2478" s="3" t="s">
        <v>3391</v>
      </c>
      <c r="H2478" s="3"/>
      <c r="I2478" s="3" t="s">
        <v>3392</v>
      </c>
      <c r="J2478" s="3">
        <v>1</v>
      </c>
      <c r="K2478" s="3">
        <v>1</v>
      </c>
      <c r="L2478" s="3">
        <v>0</v>
      </c>
      <c r="M2478" s="3">
        <v>0</v>
      </c>
      <c r="N2478" s="3">
        <v>1</v>
      </c>
      <c r="O2478" s="3">
        <v>0.12</v>
      </c>
      <c r="P2478" s="3">
        <v>0</v>
      </c>
      <c r="Q2478" s="3">
        <v>0</v>
      </c>
      <c r="R2478" s="3">
        <v>0</v>
      </c>
    </row>
    <row r="2479" spans="1:18">
      <c r="A2479" s="3" t="s">
        <v>1040</v>
      </c>
      <c r="B2479" s="3" t="s">
        <v>667</v>
      </c>
      <c r="C2479" s="3" t="s">
        <v>667</v>
      </c>
      <c r="D2479" s="3" t="s">
        <v>668</v>
      </c>
      <c r="E2479" s="3" t="s">
        <v>867</v>
      </c>
      <c r="F2479" s="3">
        <v>22.98</v>
      </c>
      <c r="G2479" s="3" t="s">
        <v>3391</v>
      </c>
      <c r="H2479" s="3"/>
      <c r="I2479" s="3" t="s">
        <v>3392</v>
      </c>
      <c r="J2479" s="3">
        <v>2</v>
      </c>
      <c r="K2479" s="3">
        <v>2</v>
      </c>
      <c r="L2479" s="3">
        <v>0</v>
      </c>
      <c r="M2479" s="3">
        <v>0</v>
      </c>
      <c r="N2479" s="3">
        <v>2</v>
      </c>
      <c r="O2479" s="3">
        <v>0.12</v>
      </c>
      <c r="P2479" s="3">
        <v>0</v>
      </c>
      <c r="Q2479" s="3">
        <v>0</v>
      </c>
      <c r="R2479" s="3">
        <v>0</v>
      </c>
    </row>
    <row r="2480" spans="1:18">
      <c r="A2480" s="3" t="s">
        <v>2668</v>
      </c>
      <c r="B2480" s="3" t="s">
        <v>2669</v>
      </c>
      <c r="C2480" s="3" t="s">
        <v>2669</v>
      </c>
      <c r="D2480" s="3" t="s">
        <v>2670</v>
      </c>
      <c r="E2480" s="3" t="s">
        <v>867</v>
      </c>
      <c r="F2480" s="3">
        <v>22.98</v>
      </c>
      <c r="G2480" s="3" t="s">
        <v>3391</v>
      </c>
      <c r="H2480" s="3"/>
      <c r="I2480" s="3" t="s">
        <v>3392</v>
      </c>
      <c r="J2480" s="3">
        <v>2</v>
      </c>
      <c r="K2480" s="3">
        <v>1</v>
      </c>
      <c r="L2480" s="3">
        <v>1</v>
      </c>
      <c r="M2480" s="3">
        <v>0</v>
      </c>
      <c r="N2480" s="3">
        <v>2</v>
      </c>
      <c r="O2480" s="3">
        <v>0.15</v>
      </c>
      <c r="P2480" s="3">
        <v>0</v>
      </c>
      <c r="Q2480" s="3">
        <v>0</v>
      </c>
      <c r="R2480" s="3">
        <v>0</v>
      </c>
    </row>
    <row r="2481" spans="1:18">
      <c r="A2481" s="3" t="s">
        <v>2640</v>
      </c>
      <c r="B2481" s="3" t="s">
        <v>2028</v>
      </c>
      <c r="C2481" s="3" t="s">
        <v>2028</v>
      </c>
      <c r="D2481" s="3" t="s">
        <v>2029</v>
      </c>
      <c r="E2481" s="3" t="s">
        <v>867</v>
      </c>
      <c r="F2481" s="3">
        <v>22.98</v>
      </c>
      <c r="G2481" s="3" t="s">
        <v>3391</v>
      </c>
      <c r="H2481" s="3"/>
      <c r="I2481" s="3" t="s">
        <v>3392</v>
      </c>
      <c r="J2481" s="3">
        <v>2</v>
      </c>
      <c r="K2481" s="3">
        <v>1</v>
      </c>
      <c r="L2481" s="3">
        <v>1</v>
      </c>
      <c r="M2481" s="3">
        <v>0</v>
      </c>
      <c r="N2481" s="3">
        <v>2</v>
      </c>
      <c r="O2481" s="3">
        <v>0.17</v>
      </c>
      <c r="P2481" s="3">
        <v>0</v>
      </c>
      <c r="Q2481" s="3">
        <v>0</v>
      </c>
      <c r="R2481" s="3">
        <v>0</v>
      </c>
    </row>
    <row r="2482" spans="1:18">
      <c r="A2482" s="3" t="s">
        <v>7346</v>
      </c>
      <c r="B2482" s="3" t="s">
        <v>3036</v>
      </c>
      <c r="C2482" s="3" t="s">
        <v>3036</v>
      </c>
      <c r="D2482" s="3"/>
      <c r="E2482" s="3" t="s">
        <v>3293</v>
      </c>
      <c r="F2482" s="3"/>
      <c r="G2482" s="3"/>
      <c r="H2482" s="3"/>
      <c r="I2482" s="3"/>
      <c r="J2482" s="3">
        <v>0</v>
      </c>
      <c r="K2482" s="3">
        <v>0</v>
      </c>
      <c r="L2482" s="3">
        <v>0</v>
      </c>
      <c r="M2482" s="3">
        <v>0</v>
      </c>
      <c r="N2482" s="3">
        <v>0</v>
      </c>
      <c r="O2482" s="3"/>
      <c r="P2482" s="3">
        <v>0</v>
      </c>
      <c r="Q2482" s="3">
        <v>0</v>
      </c>
      <c r="R2482" s="3">
        <v>0</v>
      </c>
    </row>
    <row r="2483" spans="1:18">
      <c r="A2483" s="3" t="s">
        <v>2033</v>
      </c>
      <c r="B2483" s="3" t="s">
        <v>2034</v>
      </c>
      <c r="C2483" s="3" t="s">
        <v>2034</v>
      </c>
      <c r="D2483" s="3" t="s">
        <v>2035</v>
      </c>
      <c r="E2483" s="3" t="s">
        <v>867</v>
      </c>
      <c r="F2483" s="3">
        <v>22.98</v>
      </c>
      <c r="G2483" s="3" t="s">
        <v>3391</v>
      </c>
      <c r="H2483" s="3"/>
      <c r="I2483" s="3" t="s">
        <v>3392</v>
      </c>
      <c r="J2483" s="3">
        <v>3</v>
      </c>
      <c r="K2483" s="3">
        <v>3</v>
      </c>
      <c r="L2483" s="3">
        <v>0</v>
      </c>
      <c r="M2483" s="3">
        <v>0</v>
      </c>
      <c r="N2483" s="3">
        <v>3</v>
      </c>
      <c r="O2483" s="3">
        <v>0.12</v>
      </c>
      <c r="P2483" s="3">
        <v>0</v>
      </c>
      <c r="Q2483" s="3">
        <v>0</v>
      </c>
      <c r="R2483" s="3">
        <v>0</v>
      </c>
    </row>
    <row r="2484" spans="1:18">
      <c r="A2484" s="3" t="s">
        <v>2727</v>
      </c>
      <c r="B2484" s="3" t="s">
        <v>2728</v>
      </c>
      <c r="C2484" s="3" t="s">
        <v>2728</v>
      </c>
      <c r="D2484" s="3" t="s">
        <v>2729</v>
      </c>
      <c r="E2484" s="3" t="s">
        <v>867</v>
      </c>
      <c r="F2484" s="3">
        <v>22.98</v>
      </c>
      <c r="G2484" s="3" t="s">
        <v>3391</v>
      </c>
      <c r="H2484" s="3"/>
      <c r="I2484" s="3" t="s">
        <v>3392</v>
      </c>
      <c r="J2484" s="3">
        <v>1</v>
      </c>
      <c r="K2484" s="3">
        <v>1</v>
      </c>
      <c r="L2484" s="3">
        <v>0</v>
      </c>
      <c r="M2484" s="3">
        <v>0</v>
      </c>
      <c r="N2484" s="3">
        <v>1</v>
      </c>
      <c r="O2484" s="3">
        <v>0.11</v>
      </c>
      <c r="P2484" s="3">
        <v>0</v>
      </c>
      <c r="Q2484" s="3">
        <v>0</v>
      </c>
      <c r="R2484" s="3">
        <v>0</v>
      </c>
    </row>
    <row r="2485" spans="1:18">
      <c r="A2485" s="3" t="s">
        <v>1076</v>
      </c>
      <c r="B2485" s="3" t="s">
        <v>1077</v>
      </c>
      <c r="C2485" s="3" t="s">
        <v>1077</v>
      </c>
      <c r="D2485" s="3" t="s">
        <v>1078</v>
      </c>
      <c r="E2485" s="3" t="s">
        <v>867</v>
      </c>
      <c r="F2485" s="3">
        <v>22.98</v>
      </c>
      <c r="G2485" s="3" t="s">
        <v>3391</v>
      </c>
      <c r="H2485" s="3"/>
      <c r="I2485" s="3" t="s">
        <v>3392</v>
      </c>
      <c r="J2485" s="3">
        <v>1</v>
      </c>
      <c r="K2485" s="3">
        <v>1</v>
      </c>
      <c r="L2485" s="3">
        <v>0</v>
      </c>
      <c r="M2485" s="3">
        <v>0</v>
      </c>
      <c r="N2485" s="3">
        <v>1</v>
      </c>
      <c r="O2485" s="3">
        <v>0.13</v>
      </c>
      <c r="P2485" s="3">
        <v>0</v>
      </c>
      <c r="Q2485" s="3">
        <v>0</v>
      </c>
      <c r="R2485" s="3">
        <v>0</v>
      </c>
    </row>
    <row r="2486" spans="1:18">
      <c r="A2486" s="3" t="s">
        <v>7347</v>
      </c>
      <c r="B2486" s="3" t="s">
        <v>908</v>
      </c>
      <c r="C2486" s="3" t="s">
        <v>908</v>
      </c>
      <c r="D2486" s="3" t="s">
        <v>909</v>
      </c>
      <c r="E2486" s="3" t="s">
        <v>867</v>
      </c>
      <c r="F2486" s="3">
        <v>22.98</v>
      </c>
      <c r="G2486" s="3" t="s">
        <v>3391</v>
      </c>
      <c r="H2486" s="3"/>
      <c r="I2486" s="3" t="s">
        <v>3392</v>
      </c>
      <c r="J2486" s="3">
        <v>0</v>
      </c>
      <c r="K2486" s="3">
        <v>0</v>
      </c>
      <c r="L2486" s="3">
        <v>0</v>
      </c>
      <c r="M2486" s="3">
        <v>0</v>
      </c>
      <c r="N2486" s="3">
        <v>0</v>
      </c>
      <c r="O2486" s="3">
        <v>0.13</v>
      </c>
      <c r="P2486" s="3">
        <v>0</v>
      </c>
      <c r="Q2486" s="3">
        <v>0</v>
      </c>
      <c r="R2486" s="3">
        <v>0</v>
      </c>
    </row>
    <row r="2487" spans="1:18">
      <c r="A2487" s="3" t="s">
        <v>7348</v>
      </c>
      <c r="B2487" s="3" t="s">
        <v>1376</v>
      </c>
      <c r="C2487" s="3" t="s">
        <v>1376</v>
      </c>
      <c r="D2487" s="3" t="s">
        <v>1377</v>
      </c>
      <c r="E2487" s="3" t="s">
        <v>867</v>
      </c>
      <c r="F2487" s="3">
        <v>22.98</v>
      </c>
      <c r="G2487" s="3" t="s">
        <v>3391</v>
      </c>
      <c r="H2487" s="3"/>
      <c r="I2487" s="3" t="s">
        <v>3392</v>
      </c>
      <c r="J2487" s="3">
        <v>0</v>
      </c>
      <c r="K2487" s="3">
        <v>0</v>
      </c>
      <c r="L2487" s="3">
        <v>0</v>
      </c>
      <c r="M2487" s="3">
        <v>0</v>
      </c>
      <c r="N2487" s="3">
        <v>0</v>
      </c>
      <c r="O2487" s="3">
        <v>0.08</v>
      </c>
      <c r="P2487" s="3">
        <v>0</v>
      </c>
      <c r="Q2487" s="3">
        <v>0</v>
      </c>
      <c r="R2487" s="3">
        <v>0</v>
      </c>
    </row>
    <row r="2488" spans="1:18">
      <c r="A2488" s="3" t="s">
        <v>7349</v>
      </c>
      <c r="B2488" s="3" t="s">
        <v>671</v>
      </c>
      <c r="C2488" s="3" t="s">
        <v>671</v>
      </c>
      <c r="D2488" s="3"/>
      <c r="E2488" s="3" t="s">
        <v>3293</v>
      </c>
      <c r="F2488" s="3"/>
      <c r="G2488" s="3"/>
      <c r="H2488" s="3"/>
      <c r="I2488" s="3"/>
      <c r="J2488" s="3">
        <v>0</v>
      </c>
      <c r="K2488" s="3">
        <v>0</v>
      </c>
      <c r="L2488" s="3">
        <v>0</v>
      </c>
      <c r="M2488" s="3">
        <v>0</v>
      </c>
      <c r="N2488" s="3">
        <v>0</v>
      </c>
      <c r="O2488" s="3"/>
      <c r="P2488" s="3">
        <v>0</v>
      </c>
      <c r="Q2488" s="3">
        <v>0</v>
      </c>
      <c r="R2488" s="3">
        <v>0</v>
      </c>
    </row>
    <row r="2489" spans="1:18">
      <c r="A2489" s="3" t="s">
        <v>3059</v>
      </c>
      <c r="B2489" s="3" t="s">
        <v>3060</v>
      </c>
      <c r="C2489" s="3" t="s">
        <v>3060</v>
      </c>
      <c r="D2489" s="3" t="s">
        <v>3061</v>
      </c>
      <c r="E2489" s="3" t="s">
        <v>867</v>
      </c>
      <c r="F2489" s="3">
        <v>22.98</v>
      </c>
      <c r="G2489" s="3" t="s">
        <v>3391</v>
      </c>
      <c r="H2489" s="3"/>
      <c r="I2489" s="3" t="s">
        <v>3392</v>
      </c>
      <c r="J2489" s="3">
        <v>4</v>
      </c>
      <c r="K2489" s="3">
        <v>4</v>
      </c>
      <c r="L2489" s="3">
        <v>0</v>
      </c>
      <c r="M2489" s="3">
        <v>0</v>
      </c>
      <c r="N2489" s="3">
        <v>4</v>
      </c>
      <c r="O2489" s="3">
        <v>0.18</v>
      </c>
      <c r="P2489" s="3">
        <v>0</v>
      </c>
      <c r="Q2489" s="3">
        <v>0</v>
      </c>
      <c r="R2489" s="3">
        <v>0</v>
      </c>
    </row>
    <row r="2490" spans="1:18">
      <c r="A2490" s="3" t="s">
        <v>1096</v>
      </c>
      <c r="B2490" s="3" t="s">
        <v>1097</v>
      </c>
      <c r="C2490" s="3" t="s">
        <v>1097</v>
      </c>
      <c r="D2490" s="3" t="s">
        <v>1098</v>
      </c>
      <c r="E2490" s="3" t="s">
        <v>867</v>
      </c>
      <c r="F2490" s="3">
        <v>24.98</v>
      </c>
      <c r="G2490" s="3" t="s">
        <v>3391</v>
      </c>
      <c r="H2490" s="3"/>
      <c r="I2490" s="3" t="s">
        <v>3392</v>
      </c>
      <c r="J2490" s="3">
        <v>1</v>
      </c>
      <c r="K2490" s="3">
        <v>1</v>
      </c>
      <c r="L2490" s="3">
        <v>0</v>
      </c>
      <c r="M2490" s="3">
        <v>0</v>
      </c>
      <c r="N2490" s="3">
        <v>1</v>
      </c>
      <c r="O2490" s="3">
        <v>0.14</v>
      </c>
      <c r="P2490" s="3">
        <v>0</v>
      </c>
      <c r="Q2490" s="3">
        <v>0</v>
      </c>
      <c r="R2490" s="3">
        <v>0</v>
      </c>
    </row>
    <row r="2491" spans="1:18">
      <c r="A2491" s="3" t="s">
        <v>1635</v>
      </c>
      <c r="B2491" s="3" t="s">
        <v>1206</v>
      </c>
      <c r="C2491" s="3" t="s">
        <v>1206</v>
      </c>
      <c r="D2491" s="3" t="s">
        <v>1207</v>
      </c>
      <c r="E2491" s="3" t="s">
        <v>867</v>
      </c>
      <c r="F2491" s="3">
        <v>24.98</v>
      </c>
      <c r="G2491" s="3" t="s">
        <v>3391</v>
      </c>
      <c r="H2491" s="3"/>
      <c r="I2491" s="3" t="s">
        <v>3392</v>
      </c>
      <c r="J2491" s="3">
        <v>1</v>
      </c>
      <c r="K2491" s="3">
        <v>1</v>
      </c>
      <c r="L2491" s="3">
        <v>0</v>
      </c>
      <c r="M2491" s="3">
        <v>0</v>
      </c>
      <c r="N2491" s="3">
        <v>1</v>
      </c>
      <c r="O2491" s="3">
        <v>0.14</v>
      </c>
      <c r="P2491" s="3">
        <v>0</v>
      </c>
      <c r="Q2491" s="3">
        <v>0</v>
      </c>
      <c r="R2491" s="3">
        <v>0</v>
      </c>
    </row>
    <row r="2492" spans="1:18">
      <c r="A2492" s="3" t="s">
        <v>2325</v>
      </c>
      <c r="B2492" s="3" t="s">
        <v>2326</v>
      </c>
      <c r="C2492" s="3" t="s">
        <v>2326</v>
      </c>
      <c r="D2492" s="3" t="s">
        <v>2327</v>
      </c>
      <c r="E2492" s="3" t="s">
        <v>867</v>
      </c>
      <c r="F2492" s="3">
        <v>24.98</v>
      </c>
      <c r="G2492" s="3" t="s">
        <v>3391</v>
      </c>
      <c r="H2492" s="3"/>
      <c r="I2492" s="3" t="s">
        <v>3392</v>
      </c>
      <c r="J2492" s="3">
        <v>3</v>
      </c>
      <c r="K2492" s="3">
        <v>3</v>
      </c>
      <c r="L2492" s="3">
        <v>0</v>
      </c>
      <c r="M2492" s="3">
        <v>0</v>
      </c>
      <c r="N2492" s="3">
        <v>3</v>
      </c>
      <c r="O2492" s="3">
        <v>0.14</v>
      </c>
      <c r="P2492" s="3">
        <v>0</v>
      </c>
      <c r="Q2492" s="3">
        <v>0</v>
      </c>
      <c r="R2492" s="3">
        <v>0</v>
      </c>
    </row>
    <row r="2493" spans="1:18">
      <c r="A2493" s="3" t="s">
        <v>7350</v>
      </c>
      <c r="B2493" s="3" t="s">
        <v>6547</v>
      </c>
      <c r="C2493" s="3" t="s">
        <v>6547</v>
      </c>
      <c r="D2493" s="3" t="s">
        <v>6548</v>
      </c>
      <c r="E2493" s="3" t="s">
        <v>867</v>
      </c>
      <c r="F2493" s="3">
        <v>24.98</v>
      </c>
      <c r="G2493" s="3" t="s">
        <v>3391</v>
      </c>
      <c r="H2493" s="3"/>
      <c r="I2493" s="3" t="s">
        <v>3392</v>
      </c>
      <c r="J2493" s="3">
        <v>0</v>
      </c>
      <c r="K2493" s="3">
        <v>0</v>
      </c>
      <c r="L2493" s="3">
        <v>0</v>
      </c>
      <c r="M2493" s="3">
        <v>0</v>
      </c>
      <c r="N2493" s="3">
        <v>0</v>
      </c>
      <c r="O2493" s="3">
        <v>0.14</v>
      </c>
      <c r="P2493" s="3">
        <v>0</v>
      </c>
      <c r="Q2493" s="3">
        <v>0</v>
      </c>
      <c r="R2493" s="3">
        <v>0</v>
      </c>
    </row>
    <row r="2494" spans="1:18">
      <c r="A2494" s="3" t="s">
        <v>7351</v>
      </c>
      <c r="B2494" s="3" t="s">
        <v>6551</v>
      </c>
      <c r="C2494" s="3" t="s">
        <v>6551</v>
      </c>
      <c r="D2494" s="3" t="s">
        <v>6552</v>
      </c>
      <c r="E2494" s="3" t="s">
        <v>867</v>
      </c>
      <c r="F2494" s="3">
        <v>24.98</v>
      </c>
      <c r="G2494" s="3" t="s">
        <v>3391</v>
      </c>
      <c r="H2494" s="3"/>
      <c r="I2494" s="3" t="s">
        <v>3392</v>
      </c>
      <c r="J2494" s="3">
        <v>0</v>
      </c>
      <c r="K2494" s="3">
        <v>0</v>
      </c>
      <c r="L2494" s="3">
        <v>0</v>
      </c>
      <c r="M2494" s="3">
        <v>0</v>
      </c>
      <c r="N2494" s="3">
        <v>0</v>
      </c>
      <c r="O2494" s="3">
        <v>0.14</v>
      </c>
      <c r="P2494" s="3">
        <v>0</v>
      </c>
      <c r="Q2494" s="3">
        <v>0</v>
      </c>
      <c r="R2494" s="3">
        <v>0</v>
      </c>
    </row>
    <row r="2495" spans="1:18">
      <c r="A2495" s="3" t="s">
        <v>7352</v>
      </c>
      <c r="B2495" s="3" t="s">
        <v>6555</v>
      </c>
      <c r="C2495" s="3" t="s">
        <v>6555</v>
      </c>
      <c r="D2495" s="3" t="s">
        <v>6556</v>
      </c>
      <c r="E2495" s="3" t="s">
        <v>867</v>
      </c>
      <c r="F2495" s="3">
        <v>24.98</v>
      </c>
      <c r="G2495" s="3" t="s">
        <v>3391</v>
      </c>
      <c r="H2495" s="3"/>
      <c r="I2495" s="3" t="s">
        <v>3392</v>
      </c>
      <c r="J2495" s="3">
        <v>0</v>
      </c>
      <c r="K2495" s="3">
        <v>0</v>
      </c>
      <c r="L2495" s="3">
        <v>0</v>
      </c>
      <c r="M2495" s="3">
        <v>0</v>
      </c>
      <c r="N2495" s="3">
        <v>0</v>
      </c>
      <c r="O2495" s="3">
        <v>0.14</v>
      </c>
      <c r="P2495" s="3">
        <v>0</v>
      </c>
      <c r="Q2495" s="3">
        <v>0</v>
      </c>
      <c r="R2495" s="3">
        <v>0</v>
      </c>
    </row>
    <row r="2496" spans="1:18">
      <c r="A2496" s="3" t="s">
        <v>7353</v>
      </c>
      <c r="B2496" s="3" t="s">
        <v>6559</v>
      </c>
      <c r="C2496" s="3" t="s">
        <v>6559</v>
      </c>
      <c r="D2496" s="3" t="s">
        <v>6560</v>
      </c>
      <c r="E2496" s="3" t="s">
        <v>867</v>
      </c>
      <c r="F2496" s="3">
        <v>24.98</v>
      </c>
      <c r="G2496" s="3" t="s">
        <v>3391</v>
      </c>
      <c r="H2496" s="3"/>
      <c r="I2496" s="3" t="s">
        <v>3392</v>
      </c>
      <c r="J2496" s="3">
        <v>0</v>
      </c>
      <c r="K2496" s="3">
        <v>0</v>
      </c>
      <c r="L2496" s="3">
        <v>0</v>
      </c>
      <c r="M2496" s="3">
        <v>0</v>
      </c>
      <c r="N2496" s="3">
        <v>0</v>
      </c>
      <c r="O2496" s="3">
        <v>0.14</v>
      </c>
      <c r="P2496" s="3">
        <v>0</v>
      </c>
      <c r="Q2496" s="3">
        <v>0</v>
      </c>
      <c r="R2496" s="3">
        <v>0</v>
      </c>
    </row>
    <row r="2497" spans="1:18">
      <c r="A2497" s="3" t="s">
        <v>7354</v>
      </c>
      <c r="B2497" s="3" t="s">
        <v>6563</v>
      </c>
      <c r="C2497" s="3" t="s">
        <v>6563</v>
      </c>
      <c r="D2497" s="3" t="s">
        <v>6564</v>
      </c>
      <c r="E2497" s="3" t="s">
        <v>867</v>
      </c>
      <c r="F2497" s="3">
        <v>24.98</v>
      </c>
      <c r="G2497" s="3" t="s">
        <v>3391</v>
      </c>
      <c r="H2497" s="3"/>
      <c r="I2497" s="3" t="s">
        <v>3392</v>
      </c>
      <c r="J2497" s="3">
        <v>0</v>
      </c>
      <c r="K2497" s="3">
        <v>0</v>
      </c>
      <c r="L2497" s="3">
        <v>0</v>
      </c>
      <c r="M2497" s="3">
        <v>0</v>
      </c>
      <c r="N2497" s="3">
        <v>0</v>
      </c>
      <c r="O2497" s="3">
        <v>0.14</v>
      </c>
      <c r="P2497" s="3">
        <v>0</v>
      </c>
      <c r="Q2497" s="3">
        <v>0</v>
      </c>
      <c r="R2497" s="3">
        <v>0</v>
      </c>
    </row>
    <row r="2498" spans="1:18">
      <c r="A2498" s="3" t="s">
        <v>2921</v>
      </c>
      <c r="B2498" s="3" t="s">
        <v>2922</v>
      </c>
      <c r="C2498" s="3" t="s">
        <v>2922</v>
      </c>
      <c r="D2498" s="3" t="s">
        <v>2923</v>
      </c>
      <c r="E2498" s="3" t="s">
        <v>867</v>
      </c>
      <c r="F2498" s="3">
        <v>24.98</v>
      </c>
      <c r="G2498" s="3" t="s">
        <v>3391</v>
      </c>
      <c r="H2498" s="3"/>
      <c r="I2498" s="3" t="s">
        <v>3392</v>
      </c>
      <c r="J2498" s="3">
        <v>2</v>
      </c>
      <c r="K2498" s="3">
        <v>2</v>
      </c>
      <c r="L2498" s="3">
        <v>0</v>
      </c>
      <c r="M2498" s="3">
        <v>0</v>
      </c>
      <c r="N2498" s="3">
        <v>2</v>
      </c>
      <c r="O2498" s="3">
        <v>0.14</v>
      </c>
      <c r="P2498" s="3">
        <v>0</v>
      </c>
      <c r="Q2498" s="3">
        <v>0</v>
      </c>
      <c r="R2498" s="3">
        <v>0</v>
      </c>
    </row>
    <row r="2499" spans="1:18">
      <c r="A2499" s="3" t="s">
        <v>7355</v>
      </c>
      <c r="B2499" s="3" t="s">
        <v>6569</v>
      </c>
      <c r="C2499" s="3" t="s">
        <v>6569</v>
      </c>
      <c r="D2499" s="3" t="s">
        <v>6570</v>
      </c>
      <c r="E2499" s="3" t="s">
        <v>867</v>
      </c>
      <c r="F2499" s="3">
        <v>24.98</v>
      </c>
      <c r="G2499" s="3" t="s">
        <v>3391</v>
      </c>
      <c r="H2499" s="3"/>
      <c r="I2499" s="3" t="s">
        <v>3392</v>
      </c>
      <c r="J2499" s="3">
        <v>0</v>
      </c>
      <c r="K2499" s="3">
        <v>0</v>
      </c>
      <c r="L2499" s="3">
        <v>0</v>
      </c>
      <c r="M2499" s="3">
        <v>0</v>
      </c>
      <c r="N2499" s="3">
        <v>0</v>
      </c>
      <c r="O2499" s="3">
        <v>0.14</v>
      </c>
      <c r="P2499" s="3">
        <v>0</v>
      </c>
      <c r="Q2499" s="3">
        <v>0</v>
      </c>
      <c r="R2499" s="3">
        <v>0</v>
      </c>
    </row>
    <row r="2500" spans="1:18">
      <c r="A2500" s="3" t="s">
        <v>7356</v>
      </c>
      <c r="B2500" s="3" t="s">
        <v>6573</v>
      </c>
      <c r="C2500" s="3" t="s">
        <v>6573</v>
      </c>
      <c r="D2500" s="3" t="s">
        <v>6574</v>
      </c>
      <c r="E2500" s="3" t="s">
        <v>867</v>
      </c>
      <c r="F2500" s="3">
        <v>24.98</v>
      </c>
      <c r="G2500" s="3" t="s">
        <v>3391</v>
      </c>
      <c r="H2500" s="3"/>
      <c r="I2500" s="3" t="s">
        <v>3392</v>
      </c>
      <c r="J2500" s="3">
        <v>0</v>
      </c>
      <c r="K2500" s="3">
        <v>0</v>
      </c>
      <c r="L2500" s="3">
        <v>0</v>
      </c>
      <c r="M2500" s="3">
        <v>0</v>
      </c>
      <c r="N2500" s="3">
        <v>0</v>
      </c>
      <c r="O2500" s="3">
        <v>0.14</v>
      </c>
      <c r="P2500" s="3">
        <v>0</v>
      </c>
      <c r="Q2500" s="3">
        <v>0</v>
      </c>
      <c r="R2500" s="3">
        <v>0</v>
      </c>
    </row>
    <row r="2501" spans="1:18">
      <c r="A2501" s="3" t="s">
        <v>7357</v>
      </c>
      <c r="B2501" s="3" t="s">
        <v>1239</v>
      </c>
      <c r="C2501" s="3" t="s">
        <v>1239</v>
      </c>
      <c r="D2501" s="3" t="s">
        <v>1240</v>
      </c>
      <c r="E2501" s="3" t="s">
        <v>867</v>
      </c>
      <c r="F2501" s="3">
        <v>24.98</v>
      </c>
      <c r="G2501" s="3" t="s">
        <v>3391</v>
      </c>
      <c r="H2501" s="3"/>
      <c r="I2501" s="3" t="s">
        <v>3392</v>
      </c>
      <c r="J2501" s="3">
        <v>0</v>
      </c>
      <c r="K2501" s="3">
        <v>0</v>
      </c>
      <c r="L2501" s="3">
        <v>0</v>
      </c>
      <c r="M2501" s="3">
        <v>0</v>
      </c>
      <c r="N2501" s="3">
        <v>0</v>
      </c>
      <c r="O2501" s="3">
        <v>0.14</v>
      </c>
      <c r="P2501" s="3">
        <v>0</v>
      </c>
      <c r="Q2501" s="3">
        <v>0</v>
      </c>
      <c r="R2501" s="3">
        <v>0</v>
      </c>
    </row>
    <row r="2502" spans="1:18">
      <c r="A2502" s="3" t="s">
        <v>7358</v>
      </c>
      <c r="B2502" s="3" t="s">
        <v>6577</v>
      </c>
      <c r="C2502" s="3" t="s">
        <v>6577</v>
      </c>
      <c r="D2502" s="3" t="s">
        <v>6578</v>
      </c>
      <c r="E2502" s="3" t="s">
        <v>867</v>
      </c>
      <c r="F2502" s="3">
        <v>24.98</v>
      </c>
      <c r="G2502" s="3" t="s">
        <v>3391</v>
      </c>
      <c r="H2502" s="3"/>
      <c r="I2502" s="3" t="s">
        <v>3392</v>
      </c>
      <c r="J2502" s="3">
        <v>0</v>
      </c>
      <c r="K2502" s="3">
        <v>0</v>
      </c>
      <c r="L2502" s="3">
        <v>0</v>
      </c>
      <c r="M2502" s="3">
        <v>0</v>
      </c>
      <c r="N2502" s="3">
        <v>0</v>
      </c>
      <c r="O2502" s="3">
        <v>0.14</v>
      </c>
      <c r="P2502" s="3">
        <v>0</v>
      </c>
      <c r="Q2502" s="3">
        <v>0</v>
      </c>
      <c r="R2502" s="3">
        <v>0</v>
      </c>
    </row>
    <row r="2503" spans="1:18">
      <c r="A2503" s="3" t="s">
        <v>7359</v>
      </c>
      <c r="B2503" s="3" t="s">
        <v>3200</v>
      </c>
      <c r="C2503" s="3" t="s">
        <v>3200</v>
      </c>
      <c r="D2503" s="3" t="s">
        <v>3201</v>
      </c>
      <c r="E2503" s="3" t="s">
        <v>867</v>
      </c>
      <c r="F2503" s="3">
        <v>24.98</v>
      </c>
      <c r="G2503" s="3" t="s">
        <v>3391</v>
      </c>
      <c r="H2503" s="3"/>
      <c r="I2503" s="3" t="s">
        <v>3392</v>
      </c>
      <c r="J2503" s="3">
        <v>0</v>
      </c>
      <c r="K2503" s="3">
        <v>0</v>
      </c>
      <c r="L2503" s="3">
        <v>0</v>
      </c>
      <c r="M2503" s="3">
        <v>0</v>
      </c>
      <c r="N2503" s="3">
        <v>0</v>
      </c>
      <c r="O2503" s="3">
        <v>0.14</v>
      </c>
      <c r="P2503" s="3">
        <v>0</v>
      </c>
      <c r="Q2503" s="3">
        <v>0</v>
      </c>
      <c r="R2503" s="3">
        <v>0</v>
      </c>
    </row>
    <row r="2504" spans="1:18">
      <c r="A2504" s="3" t="s">
        <v>1785</v>
      </c>
      <c r="B2504" s="3" t="s">
        <v>1500</v>
      </c>
      <c r="C2504" s="3" t="s">
        <v>1500</v>
      </c>
      <c r="D2504" s="3" t="s">
        <v>1501</v>
      </c>
      <c r="E2504" s="3" t="s">
        <v>867</v>
      </c>
      <c r="F2504" s="3">
        <v>24.98</v>
      </c>
      <c r="G2504" s="3" t="s">
        <v>3391</v>
      </c>
      <c r="H2504" s="3"/>
      <c r="I2504" s="3" t="s">
        <v>3392</v>
      </c>
      <c r="J2504" s="3">
        <v>1</v>
      </c>
      <c r="K2504" s="3">
        <v>1</v>
      </c>
      <c r="L2504" s="3">
        <v>0</v>
      </c>
      <c r="M2504" s="3">
        <v>0</v>
      </c>
      <c r="N2504" s="3">
        <v>1</v>
      </c>
      <c r="O2504" s="3">
        <v>0.14</v>
      </c>
      <c r="P2504" s="3">
        <v>0</v>
      </c>
      <c r="Q2504" s="3">
        <v>0</v>
      </c>
      <c r="R2504" s="3">
        <v>0</v>
      </c>
    </row>
    <row r="2505" spans="1:18">
      <c r="A2505" s="3" t="s">
        <v>7360</v>
      </c>
      <c r="B2505" s="3" t="s">
        <v>6581</v>
      </c>
      <c r="C2505" s="3" t="s">
        <v>6581</v>
      </c>
      <c r="D2505" s="3" t="s">
        <v>6582</v>
      </c>
      <c r="E2505" s="3" t="s">
        <v>867</v>
      </c>
      <c r="F2505" s="3">
        <v>24.98</v>
      </c>
      <c r="G2505" s="3" t="s">
        <v>3391</v>
      </c>
      <c r="H2505" s="3"/>
      <c r="I2505" s="3" t="s">
        <v>3392</v>
      </c>
      <c r="J2505" s="3">
        <v>0</v>
      </c>
      <c r="K2505" s="3">
        <v>0</v>
      </c>
      <c r="L2505" s="3">
        <v>0</v>
      </c>
      <c r="M2505" s="3">
        <v>0</v>
      </c>
      <c r="N2505" s="3">
        <v>0</v>
      </c>
      <c r="O2505" s="3">
        <v>0.14</v>
      </c>
      <c r="P2505" s="3">
        <v>0</v>
      </c>
      <c r="Q2505" s="3">
        <v>0</v>
      </c>
      <c r="R2505" s="3">
        <v>0</v>
      </c>
    </row>
    <row r="2506" spans="1:18">
      <c r="A2506" s="3" t="s">
        <v>2631</v>
      </c>
      <c r="B2506" s="3" t="s">
        <v>2632</v>
      </c>
      <c r="C2506" s="3" t="s">
        <v>2632</v>
      </c>
      <c r="D2506" s="3" t="s">
        <v>2633</v>
      </c>
      <c r="E2506" s="3" t="s">
        <v>867</v>
      </c>
      <c r="F2506" s="3">
        <v>24.98</v>
      </c>
      <c r="G2506" s="3" t="s">
        <v>3391</v>
      </c>
      <c r="H2506" s="3"/>
      <c r="I2506" s="3" t="s">
        <v>3392</v>
      </c>
      <c r="J2506" s="3">
        <v>3</v>
      </c>
      <c r="K2506" s="3">
        <v>3</v>
      </c>
      <c r="L2506" s="3">
        <v>0</v>
      </c>
      <c r="M2506" s="3">
        <v>0</v>
      </c>
      <c r="N2506" s="3">
        <v>3</v>
      </c>
      <c r="O2506" s="3">
        <v>0.14</v>
      </c>
      <c r="P2506" s="3">
        <v>0</v>
      </c>
      <c r="Q2506" s="3">
        <v>0</v>
      </c>
      <c r="R2506" s="3">
        <v>0</v>
      </c>
    </row>
    <row r="2507" spans="1:18">
      <c r="A2507" s="3" t="s">
        <v>7361</v>
      </c>
      <c r="B2507" s="3" t="s">
        <v>1345</v>
      </c>
      <c r="C2507" s="3" t="s">
        <v>1345</v>
      </c>
      <c r="D2507" s="3"/>
      <c r="E2507" s="3" t="s">
        <v>3293</v>
      </c>
      <c r="F2507" s="3"/>
      <c r="G2507" s="3"/>
      <c r="H2507" s="3"/>
      <c r="I2507" s="3"/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/>
      <c r="P2507" s="3">
        <v>0</v>
      </c>
      <c r="Q2507" s="3">
        <v>0</v>
      </c>
      <c r="R2507" s="3">
        <v>0</v>
      </c>
    </row>
    <row r="2508" spans="1:18">
      <c r="A2508" s="3" t="s">
        <v>7362</v>
      </c>
      <c r="B2508" s="3" t="s">
        <v>6587</v>
      </c>
      <c r="C2508" s="3" t="s">
        <v>6587</v>
      </c>
      <c r="D2508" s="3" t="s">
        <v>6588</v>
      </c>
      <c r="E2508" s="3" t="s">
        <v>867</v>
      </c>
      <c r="F2508" s="3">
        <v>24.98</v>
      </c>
      <c r="G2508" s="3" t="s">
        <v>3391</v>
      </c>
      <c r="H2508" s="3"/>
      <c r="I2508" s="3" t="s">
        <v>3392</v>
      </c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>
        <v>0.14</v>
      </c>
      <c r="P2508" s="3">
        <v>0</v>
      </c>
      <c r="Q2508" s="3">
        <v>0</v>
      </c>
      <c r="R2508" s="3">
        <v>0</v>
      </c>
    </row>
    <row r="2509" spans="1:18">
      <c r="A2509" s="3" t="s">
        <v>7363</v>
      </c>
      <c r="B2509" s="3" t="s">
        <v>6591</v>
      </c>
      <c r="C2509" s="3" t="s">
        <v>6591</v>
      </c>
      <c r="D2509" s="3" t="s">
        <v>6592</v>
      </c>
      <c r="E2509" s="3" t="s">
        <v>867</v>
      </c>
      <c r="F2509" s="3">
        <v>24.98</v>
      </c>
      <c r="G2509" s="3" t="s">
        <v>3391</v>
      </c>
      <c r="H2509" s="3"/>
      <c r="I2509" s="3" t="s">
        <v>3392</v>
      </c>
      <c r="J2509" s="3">
        <v>0</v>
      </c>
      <c r="K2509" s="3">
        <v>0</v>
      </c>
      <c r="L2509" s="3">
        <v>0</v>
      </c>
      <c r="M2509" s="3">
        <v>0</v>
      </c>
      <c r="N2509" s="3">
        <v>0</v>
      </c>
      <c r="O2509" s="3">
        <v>0.14</v>
      </c>
      <c r="P2509" s="3">
        <v>0</v>
      </c>
      <c r="Q2509" s="3">
        <v>0</v>
      </c>
      <c r="R2509" s="3">
        <v>0</v>
      </c>
    </row>
    <row r="2510" spans="1:18">
      <c r="A2510" s="3" t="s">
        <v>7364</v>
      </c>
      <c r="B2510" s="3" t="s">
        <v>1961</v>
      </c>
      <c r="C2510" s="3" t="s">
        <v>1961</v>
      </c>
      <c r="D2510" s="3" t="s">
        <v>1962</v>
      </c>
      <c r="E2510" s="3" t="s">
        <v>867</v>
      </c>
      <c r="F2510" s="3">
        <v>24.98</v>
      </c>
      <c r="G2510" s="3" t="s">
        <v>3391</v>
      </c>
      <c r="H2510" s="3"/>
      <c r="I2510" s="3" t="s">
        <v>3392</v>
      </c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>
        <v>0.14</v>
      </c>
      <c r="P2510" s="3">
        <v>0</v>
      </c>
      <c r="Q2510" s="3">
        <v>0</v>
      </c>
      <c r="R2510" s="3">
        <v>0</v>
      </c>
    </row>
    <row r="2511" spans="1:18">
      <c r="A2511" s="3" t="s">
        <v>2001</v>
      </c>
      <c r="B2511" s="3" t="s">
        <v>1974</v>
      </c>
      <c r="C2511" s="3" t="s">
        <v>1974</v>
      </c>
      <c r="D2511" s="3" t="s">
        <v>1975</v>
      </c>
      <c r="E2511" s="3" t="s">
        <v>867</v>
      </c>
      <c r="F2511" s="3">
        <v>24.98</v>
      </c>
      <c r="G2511" s="3" t="s">
        <v>3391</v>
      </c>
      <c r="H2511" s="3"/>
      <c r="I2511" s="3" t="s">
        <v>3392</v>
      </c>
      <c r="J2511" s="3">
        <v>1</v>
      </c>
      <c r="K2511" s="3">
        <v>1</v>
      </c>
      <c r="L2511" s="3">
        <v>0</v>
      </c>
      <c r="M2511" s="3">
        <v>0</v>
      </c>
      <c r="N2511" s="3">
        <v>1</v>
      </c>
      <c r="O2511" s="3">
        <v>0.14</v>
      </c>
      <c r="P2511" s="3">
        <v>0</v>
      </c>
      <c r="Q2511" s="3">
        <v>0</v>
      </c>
      <c r="R2511" s="3">
        <v>0</v>
      </c>
    </row>
    <row r="2512" spans="1:18">
      <c r="A2512" s="3" t="s">
        <v>7365</v>
      </c>
      <c r="B2512" s="3" t="s">
        <v>6595</v>
      </c>
      <c r="C2512" s="3" t="s">
        <v>6595</v>
      </c>
      <c r="D2512" s="3" t="s">
        <v>6596</v>
      </c>
      <c r="E2512" s="3" t="s">
        <v>867</v>
      </c>
      <c r="F2512" s="3">
        <v>24.98</v>
      </c>
      <c r="G2512" s="3" t="s">
        <v>3391</v>
      </c>
      <c r="H2512" s="3"/>
      <c r="I2512" s="3" t="s">
        <v>3392</v>
      </c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>
        <v>0.14</v>
      </c>
      <c r="P2512" s="3">
        <v>0</v>
      </c>
      <c r="Q2512" s="3">
        <v>0</v>
      </c>
      <c r="R2512" s="3">
        <v>0</v>
      </c>
    </row>
    <row r="2513" spans="1:18">
      <c r="A2513" s="3" t="s">
        <v>3166</v>
      </c>
      <c r="B2513" s="3" t="s">
        <v>3167</v>
      </c>
      <c r="C2513" s="3" t="s">
        <v>3167</v>
      </c>
      <c r="D2513" s="3" t="s">
        <v>3168</v>
      </c>
      <c r="E2513" s="3" t="s">
        <v>867</v>
      </c>
      <c r="F2513" s="3">
        <v>24.98</v>
      </c>
      <c r="G2513" s="3" t="s">
        <v>3391</v>
      </c>
      <c r="H2513" s="3"/>
      <c r="I2513" s="3" t="s">
        <v>3392</v>
      </c>
      <c r="J2513" s="3">
        <v>1</v>
      </c>
      <c r="K2513" s="3">
        <v>1</v>
      </c>
      <c r="L2513" s="3">
        <v>0</v>
      </c>
      <c r="M2513" s="3">
        <v>0</v>
      </c>
      <c r="N2513" s="3">
        <v>1</v>
      </c>
      <c r="O2513" s="3">
        <v>0.14</v>
      </c>
      <c r="P2513" s="3">
        <v>0</v>
      </c>
      <c r="Q2513" s="3">
        <v>0</v>
      </c>
      <c r="R2513" s="3">
        <v>0</v>
      </c>
    </row>
    <row r="2514" spans="1:18">
      <c r="A2514" s="3" t="s">
        <v>969</v>
      </c>
      <c r="B2514" s="3" t="s">
        <v>970</v>
      </c>
      <c r="C2514" s="3" t="s">
        <v>970</v>
      </c>
      <c r="D2514" s="3" t="s">
        <v>971</v>
      </c>
      <c r="E2514" s="3" t="s">
        <v>867</v>
      </c>
      <c r="F2514" s="3">
        <v>24.98</v>
      </c>
      <c r="G2514" s="3" t="s">
        <v>3391</v>
      </c>
      <c r="H2514" s="3"/>
      <c r="I2514" s="3" t="s">
        <v>3392</v>
      </c>
      <c r="J2514" s="3">
        <v>2</v>
      </c>
      <c r="K2514" s="3">
        <v>2</v>
      </c>
      <c r="L2514" s="3">
        <v>0</v>
      </c>
      <c r="M2514" s="3">
        <v>0</v>
      </c>
      <c r="N2514" s="3">
        <v>2</v>
      </c>
      <c r="O2514" s="3">
        <v>0.14</v>
      </c>
      <c r="P2514" s="3">
        <v>0</v>
      </c>
      <c r="Q2514" s="3">
        <v>0</v>
      </c>
      <c r="R2514" s="3">
        <v>0</v>
      </c>
    </row>
    <row r="2515" spans="1:18">
      <c r="A2515" s="3" t="s">
        <v>2252</v>
      </c>
      <c r="B2515" s="3" t="s">
        <v>2253</v>
      </c>
      <c r="C2515" s="3" t="s">
        <v>2253</v>
      </c>
      <c r="D2515" s="3" t="s">
        <v>2254</v>
      </c>
      <c r="E2515" s="3" t="s">
        <v>867</v>
      </c>
      <c r="F2515" s="3">
        <v>24.98</v>
      </c>
      <c r="G2515" s="3" t="s">
        <v>3391</v>
      </c>
      <c r="H2515" s="3"/>
      <c r="I2515" s="3" t="s">
        <v>3392</v>
      </c>
      <c r="J2515" s="3">
        <v>1</v>
      </c>
      <c r="K2515" s="3">
        <v>1</v>
      </c>
      <c r="L2515" s="3">
        <v>0</v>
      </c>
      <c r="M2515" s="3">
        <v>0</v>
      </c>
      <c r="N2515" s="3">
        <v>1</v>
      </c>
      <c r="O2515" s="3">
        <v>0.19</v>
      </c>
      <c r="P2515" s="3">
        <v>0</v>
      </c>
      <c r="Q2515" s="3">
        <v>0</v>
      </c>
      <c r="R2515" s="3">
        <v>0</v>
      </c>
    </row>
    <row r="2516" spans="1:18">
      <c r="A2516" s="3" t="s">
        <v>1330</v>
      </c>
      <c r="B2516" s="3" t="s">
        <v>1331</v>
      </c>
      <c r="C2516" s="3" t="s">
        <v>1331</v>
      </c>
      <c r="D2516" s="3" t="s">
        <v>1332</v>
      </c>
      <c r="E2516" s="3" t="s">
        <v>867</v>
      </c>
      <c r="F2516" s="3">
        <v>24.98</v>
      </c>
      <c r="G2516" s="3" t="s">
        <v>3391</v>
      </c>
      <c r="H2516" s="3"/>
      <c r="I2516" s="3" t="s">
        <v>3392</v>
      </c>
      <c r="J2516" s="3">
        <v>2</v>
      </c>
      <c r="K2516" s="3">
        <v>2</v>
      </c>
      <c r="L2516" s="3">
        <v>0</v>
      </c>
      <c r="M2516" s="3">
        <v>0</v>
      </c>
      <c r="N2516" s="3">
        <v>2</v>
      </c>
      <c r="O2516" s="3">
        <v>0.14</v>
      </c>
      <c r="P2516" s="3">
        <v>0</v>
      </c>
      <c r="Q2516" s="3">
        <v>0</v>
      </c>
      <c r="R2516" s="3">
        <v>0</v>
      </c>
    </row>
    <row r="2517" spans="1:18">
      <c r="A2517" s="3" t="s">
        <v>7366</v>
      </c>
      <c r="B2517" s="3" t="s">
        <v>6603</v>
      </c>
      <c r="C2517" s="3" t="s">
        <v>6603</v>
      </c>
      <c r="D2517" s="3" t="s">
        <v>6604</v>
      </c>
      <c r="E2517" s="3" t="s">
        <v>867</v>
      </c>
      <c r="F2517" s="3">
        <v>24.98</v>
      </c>
      <c r="G2517" s="3" t="s">
        <v>3391</v>
      </c>
      <c r="H2517" s="3"/>
      <c r="I2517" s="3" t="s">
        <v>3392</v>
      </c>
      <c r="J2517" s="3">
        <v>0</v>
      </c>
      <c r="K2517" s="3">
        <v>0</v>
      </c>
      <c r="L2517" s="3">
        <v>0</v>
      </c>
      <c r="M2517" s="3">
        <v>0</v>
      </c>
      <c r="N2517" s="3">
        <v>0</v>
      </c>
      <c r="O2517" s="3">
        <v>0.14</v>
      </c>
      <c r="P2517" s="3">
        <v>0</v>
      </c>
      <c r="Q2517" s="3">
        <v>0</v>
      </c>
      <c r="R2517" s="3">
        <v>0</v>
      </c>
    </row>
    <row r="2518" spans="1:18">
      <c r="A2518" s="3" t="s">
        <v>2471</v>
      </c>
      <c r="B2518" s="3" t="s">
        <v>2472</v>
      </c>
      <c r="C2518" s="3" t="s">
        <v>2472</v>
      </c>
      <c r="D2518" s="3" t="s">
        <v>2473</v>
      </c>
      <c r="E2518" s="3" t="s">
        <v>867</v>
      </c>
      <c r="F2518" s="3">
        <v>24.98</v>
      </c>
      <c r="G2518" s="3" t="s">
        <v>3391</v>
      </c>
      <c r="H2518" s="3"/>
      <c r="I2518" s="3" t="s">
        <v>3392</v>
      </c>
      <c r="J2518" s="3">
        <v>2</v>
      </c>
      <c r="K2518" s="3">
        <v>2</v>
      </c>
      <c r="L2518" s="3">
        <v>0</v>
      </c>
      <c r="M2518" s="3">
        <v>0</v>
      </c>
      <c r="N2518" s="3">
        <v>2</v>
      </c>
      <c r="O2518" s="3">
        <v>0.14</v>
      </c>
      <c r="P2518" s="3">
        <v>0</v>
      </c>
      <c r="Q2518" s="3">
        <v>0</v>
      </c>
      <c r="R2518" s="3">
        <v>0</v>
      </c>
    </row>
    <row r="2519" spans="1:18">
      <c r="A2519" s="3" t="s">
        <v>7367</v>
      </c>
      <c r="B2519" s="3" t="s">
        <v>6609</v>
      </c>
      <c r="C2519" s="3" t="s">
        <v>6609</v>
      </c>
      <c r="D2519" s="3" t="s">
        <v>6610</v>
      </c>
      <c r="E2519" s="3" t="s">
        <v>867</v>
      </c>
      <c r="F2519" s="3">
        <v>24.98</v>
      </c>
      <c r="G2519" s="3" t="s">
        <v>3391</v>
      </c>
      <c r="H2519" s="3"/>
      <c r="I2519" s="3" t="s">
        <v>3392</v>
      </c>
      <c r="J2519" s="3">
        <v>0</v>
      </c>
      <c r="K2519" s="3">
        <v>0</v>
      </c>
      <c r="L2519" s="3">
        <v>0</v>
      </c>
      <c r="M2519" s="3">
        <v>0</v>
      </c>
      <c r="N2519" s="3">
        <v>0</v>
      </c>
      <c r="O2519" s="3">
        <v>0.14</v>
      </c>
      <c r="P2519" s="3">
        <v>0</v>
      </c>
      <c r="Q2519" s="3">
        <v>0</v>
      </c>
      <c r="R2519" s="3">
        <v>0</v>
      </c>
    </row>
    <row r="2520" spans="1:18">
      <c r="A2520" s="3" t="s">
        <v>7368</v>
      </c>
      <c r="B2520" s="3" t="s">
        <v>6613</v>
      </c>
      <c r="C2520" s="3" t="s">
        <v>6613</v>
      </c>
      <c r="D2520" s="3" t="s">
        <v>6614</v>
      </c>
      <c r="E2520" s="3" t="s">
        <v>867</v>
      </c>
      <c r="F2520" s="3">
        <v>24.98</v>
      </c>
      <c r="G2520" s="3" t="s">
        <v>3391</v>
      </c>
      <c r="H2520" s="3"/>
      <c r="I2520" s="3" t="s">
        <v>3392</v>
      </c>
      <c r="J2520" s="3">
        <v>0</v>
      </c>
      <c r="K2520" s="3">
        <v>0</v>
      </c>
      <c r="L2520" s="3">
        <v>0</v>
      </c>
      <c r="M2520" s="3">
        <v>0</v>
      </c>
      <c r="N2520" s="3">
        <v>0</v>
      </c>
      <c r="O2520" s="3">
        <v>0.14</v>
      </c>
      <c r="P2520" s="3">
        <v>0</v>
      </c>
      <c r="Q2520" s="3">
        <v>0</v>
      </c>
      <c r="R2520" s="3">
        <v>0</v>
      </c>
    </row>
    <row r="2521" spans="1:18">
      <c r="A2521" s="3" t="s">
        <v>7369</v>
      </c>
      <c r="B2521" s="3" t="s">
        <v>7370</v>
      </c>
      <c r="C2521" s="3" t="s">
        <v>7370</v>
      </c>
      <c r="D2521" s="3"/>
      <c r="E2521" s="3" t="s">
        <v>3293</v>
      </c>
      <c r="F2521" s="3"/>
      <c r="G2521" s="3"/>
      <c r="H2521" s="3"/>
      <c r="I2521" s="3"/>
      <c r="J2521" s="3">
        <v>0</v>
      </c>
      <c r="K2521" s="3">
        <v>0</v>
      </c>
      <c r="L2521" s="3">
        <v>0</v>
      </c>
      <c r="M2521" s="3">
        <v>0</v>
      </c>
      <c r="N2521" s="3">
        <v>0</v>
      </c>
      <c r="O2521" s="3"/>
      <c r="P2521" s="3">
        <v>0</v>
      </c>
      <c r="Q2521" s="3">
        <v>0</v>
      </c>
      <c r="R2521" s="3">
        <v>0</v>
      </c>
    </row>
    <row r="2522" spans="1:18">
      <c r="A2522" s="3" t="s">
        <v>7371</v>
      </c>
      <c r="B2522" s="3" t="s">
        <v>7372</v>
      </c>
      <c r="C2522" s="3" t="s">
        <v>7372</v>
      </c>
      <c r="D2522" s="3"/>
      <c r="E2522" s="3" t="s">
        <v>3293</v>
      </c>
      <c r="F2522" s="3"/>
      <c r="G2522" s="3"/>
      <c r="H2522" s="3"/>
      <c r="I2522" s="3"/>
      <c r="J2522" s="3">
        <v>0</v>
      </c>
      <c r="K2522" s="3">
        <v>0</v>
      </c>
      <c r="L2522" s="3">
        <v>0</v>
      </c>
      <c r="M2522" s="3">
        <v>0</v>
      </c>
      <c r="N2522" s="3">
        <v>0</v>
      </c>
      <c r="O2522" s="3"/>
      <c r="P2522" s="3">
        <v>0</v>
      </c>
      <c r="Q2522" s="3">
        <v>0</v>
      </c>
      <c r="R2522" s="3">
        <v>0</v>
      </c>
    </row>
    <row r="2523" spans="1:18">
      <c r="A2523" s="3" t="s">
        <v>2392</v>
      </c>
      <c r="B2523" s="3" t="s">
        <v>2393</v>
      </c>
      <c r="C2523" s="3" t="s">
        <v>2393</v>
      </c>
      <c r="D2523" s="3" t="s">
        <v>2394</v>
      </c>
      <c r="E2523" s="3" t="s">
        <v>867</v>
      </c>
      <c r="F2523" s="3">
        <v>39.98</v>
      </c>
      <c r="G2523" s="3" t="s">
        <v>3391</v>
      </c>
      <c r="H2523" s="3"/>
      <c r="I2523" s="3" t="s">
        <v>3392</v>
      </c>
      <c r="J2523" s="3">
        <v>1</v>
      </c>
      <c r="K2523" s="3">
        <v>1</v>
      </c>
      <c r="L2523" s="3">
        <v>0</v>
      </c>
      <c r="M2523" s="3">
        <v>0</v>
      </c>
      <c r="N2523" s="3">
        <v>1</v>
      </c>
      <c r="O2523" s="3">
        <v>0.25</v>
      </c>
      <c r="P2523" s="3">
        <v>0</v>
      </c>
      <c r="Q2523" s="3">
        <v>0</v>
      </c>
      <c r="R2523" s="3">
        <v>0</v>
      </c>
    </row>
    <row r="2524" spans="1:18">
      <c r="A2524" s="3" t="s">
        <v>7373</v>
      </c>
      <c r="B2524" s="3" t="s">
        <v>7374</v>
      </c>
      <c r="C2524" s="3" t="s">
        <v>7374</v>
      </c>
      <c r="D2524" s="3" t="s">
        <v>7375</v>
      </c>
      <c r="E2524" s="3" t="s">
        <v>867</v>
      </c>
      <c r="F2524" s="3">
        <v>39.98</v>
      </c>
      <c r="G2524" s="3" t="s">
        <v>3391</v>
      </c>
      <c r="H2524" s="3"/>
      <c r="I2524" s="3" t="s">
        <v>3392</v>
      </c>
      <c r="J2524" s="3">
        <v>0</v>
      </c>
      <c r="K2524" s="3">
        <v>0</v>
      </c>
      <c r="L2524" s="3">
        <v>0</v>
      </c>
      <c r="M2524" s="3">
        <v>0</v>
      </c>
      <c r="N2524" s="3">
        <v>0</v>
      </c>
      <c r="O2524" s="3">
        <v>0.29</v>
      </c>
      <c r="P2524" s="3">
        <v>0</v>
      </c>
      <c r="Q2524" s="3">
        <v>0</v>
      </c>
      <c r="R2524" s="3">
        <v>0</v>
      </c>
    </row>
    <row r="2525" spans="1:18">
      <c r="A2525" s="3" t="s">
        <v>7376</v>
      </c>
      <c r="B2525" s="3" t="s">
        <v>7377</v>
      </c>
      <c r="C2525" s="3" t="s">
        <v>7377</v>
      </c>
      <c r="D2525" s="3" t="s">
        <v>7378</v>
      </c>
      <c r="E2525" s="3" t="s">
        <v>867</v>
      </c>
      <c r="F2525" s="3">
        <v>39.98</v>
      </c>
      <c r="G2525" s="3" t="s">
        <v>3391</v>
      </c>
      <c r="H2525" s="3"/>
      <c r="I2525" s="3" t="s">
        <v>3392</v>
      </c>
      <c r="J2525" s="3">
        <v>0</v>
      </c>
      <c r="K2525" s="3">
        <v>0</v>
      </c>
      <c r="L2525" s="3">
        <v>0</v>
      </c>
      <c r="M2525" s="3">
        <v>0</v>
      </c>
      <c r="N2525" s="3">
        <v>0</v>
      </c>
      <c r="O2525" s="3">
        <v>0.25</v>
      </c>
      <c r="P2525" s="3">
        <v>0</v>
      </c>
      <c r="Q2525" s="3">
        <v>0</v>
      </c>
      <c r="R2525" s="3">
        <v>0</v>
      </c>
    </row>
    <row r="2526" spans="1:18">
      <c r="A2526" s="3" t="s">
        <v>1789</v>
      </c>
      <c r="B2526" s="3" t="s">
        <v>1790</v>
      </c>
      <c r="C2526" s="3" t="s">
        <v>1790</v>
      </c>
      <c r="D2526" s="3" t="s">
        <v>1791</v>
      </c>
      <c r="E2526" s="3" t="s">
        <v>867</v>
      </c>
      <c r="F2526" s="3">
        <v>39.98</v>
      </c>
      <c r="G2526" s="3" t="s">
        <v>3391</v>
      </c>
      <c r="H2526" s="3"/>
      <c r="I2526" s="3" t="s">
        <v>3392</v>
      </c>
      <c r="J2526" s="3">
        <v>1</v>
      </c>
      <c r="K2526" s="3">
        <v>1</v>
      </c>
      <c r="L2526" s="3">
        <v>0</v>
      </c>
      <c r="M2526" s="3">
        <v>0</v>
      </c>
      <c r="N2526" s="3">
        <v>1</v>
      </c>
      <c r="O2526" s="3">
        <v>0.22</v>
      </c>
      <c r="P2526" s="3">
        <v>0</v>
      </c>
      <c r="Q2526" s="3">
        <v>0</v>
      </c>
      <c r="R2526" s="3">
        <v>0</v>
      </c>
    </row>
    <row r="2527" spans="1:18">
      <c r="A2527" s="3" t="s">
        <v>7379</v>
      </c>
      <c r="B2527" s="3" t="s">
        <v>7380</v>
      </c>
      <c r="C2527" s="3" t="s">
        <v>7380</v>
      </c>
      <c r="D2527" s="3" t="s">
        <v>7381</v>
      </c>
      <c r="E2527" s="3" t="s">
        <v>867</v>
      </c>
      <c r="F2527" s="3">
        <v>39.98</v>
      </c>
      <c r="G2527" s="3" t="s">
        <v>3391</v>
      </c>
      <c r="H2527" s="3"/>
      <c r="I2527" s="3" t="s">
        <v>3392</v>
      </c>
      <c r="J2527" s="3">
        <v>0</v>
      </c>
      <c r="K2527" s="3">
        <v>0</v>
      </c>
      <c r="L2527" s="3">
        <v>0</v>
      </c>
      <c r="M2527" s="3">
        <v>0</v>
      </c>
      <c r="N2527" s="3">
        <v>0</v>
      </c>
      <c r="O2527" s="3">
        <v>0.21</v>
      </c>
      <c r="P2527" s="3">
        <v>0</v>
      </c>
      <c r="Q2527" s="3">
        <v>0</v>
      </c>
      <c r="R2527" s="3">
        <v>0</v>
      </c>
    </row>
    <row r="2528" spans="1:18">
      <c r="A2528" s="3" t="s">
        <v>7382</v>
      </c>
      <c r="B2528" s="3" t="s">
        <v>7383</v>
      </c>
      <c r="C2528" s="3" t="s">
        <v>7383</v>
      </c>
      <c r="D2528" s="3" t="s">
        <v>7384</v>
      </c>
      <c r="E2528" s="3" t="s">
        <v>867</v>
      </c>
      <c r="F2528" s="3">
        <v>39.98</v>
      </c>
      <c r="G2528" s="3" t="s">
        <v>3391</v>
      </c>
      <c r="H2528" s="3"/>
      <c r="I2528" s="3" t="s">
        <v>3392</v>
      </c>
      <c r="J2528" s="3">
        <v>0</v>
      </c>
      <c r="K2528" s="3">
        <v>0</v>
      </c>
      <c r="L2528" s="3">
        <v>0</v>
      </c>
      <c r="M2528" s="3">
        <v>0</v>
      </c>
      <c r="N2528" s="3">
        <v>0</v>
      </c>
      <c r="O2528" s="3">
        <v>0.25</v>
      </c>
      <c r="P2528" s="3">
        <v>0</v>
      </c>
      <c r="Q2528" s="3">
        <v>0</v>
      </c>
      <c r="R2528" s="3">
        <v>0</v>
      </c>
    </row>
    <row r="2529" spans="1:18">
      <c r="A2529" s="3" t="s">
        <v>7385</v>
      </c>
      <c r="B2529" s="3" t="s">
        <v>7386</v>
      </c>
      <c r="C2529" s="3" t="s">
        <v>7386</v>
      </c>
      <c r="D2529" s="3" t="s">
        <v>7387</v>
      </c>
      <c r="E2529" s="3" t="s">
        <v>867</v>
      </c>
      <c r="F2529" s="3">
        <v>39.98</v>
      </c>
      <c r="G2529" s="3" t="s">
        <v>3391</v>
      </c>
      <c r="H2529" s="3"/>
      <c r="I2529" s="3" t="s">
        <v>3392</v>
      </c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>
        <v>0.23</v>
      </c>
      <c r="P2529" s="3">
        <v>0</v>
      </c>
      <c r="Q2529" s="3">
        <v>0</v>
      </c>
      <c r="R2529" s="3">
        <v>0</v>
      </c>
    </row>
    <row r="2530" spans="1:18">
      <c r="A2530" s="3" t="s">
        <v>7388</v>
      </c>
      <c r="B2530" s="3" t="s">
        <v>7389</v>
      </c>
      <c r="C2530" s="3" t="s">
        <v>7389</v>
      </c>
      <c r="D2530" s="3" t="s">
        <v>7390</v>
      </c>
      <c r="E2530" s="3" t="s">
        <v>867</v>
      </c>
      <c r="F2530" s="3">
        <v>39.98</v>
      </c>
      <c r="G2530" s="3" t="s">
        <v>3391</v>
      </c>
      <c r="H2530" s="3"/>
      <c r="I2530" s="3" t="s">
        <v>3392</v>
      </c>
      <c r="J2530" s="3">
        <v>0</v>
      </c>
      <c r="K2530" s="3">
        <v>0</v>
      </c>
      <c r="L2530" s="3">
        <v>0</v>
      </c>
      <c r="M2530" s="3">
        <v>0</v>
      </c>
      <c r="N2530" s="3">
        <v>0</v>
      </c>
      <c r="O2530" s="3">
        <v>0.25</v>
      </c>
      <c r="P2530" s="3">
        <v>0</v>
      </c>
      <c r="Q2530" s="3">
        <v>0</v>
      </c>
      <c r="R2530" s="3">
        <v>0</v>
      </c>
    </row>
    <row r="2531" spans="1:18">
      <c r="A2531" s="3" t="s">
        <v>7391</v>
      </c>
      <c r="B2531" s="3" t="s">
        <v>7392</v>
      </c>
      <c r="C2531" s="3" t="s">
        <v>7392</v>
      </c>
      <c r="D2531" s="3" t="s">
        <v>7393</v>
      </c>
      <c r="E2531" s="3" t="s">
        <v>867</v>
      </c>
      <c r="F2531" s="3">
        <v>39.98</v>
      </c>
      <c r="G2531" s="3" t="s">
        <v>3391</v>
      </c>
      <c r="H2531" s="3"/>
      <c r="I2531" s="3" t="s">
        <v>3392</v>
      </c>
      <c r="J2531" s="3">
        <v>0</v>
      </c>
      <c r="K2531" s="3">
        <v>0</v>
      </c>
      <c r="L2531" s="3">
        <v>0</v>
      </c>
      <c r="M2531" s="3">
        <v>0</v>
      </c>
      <c r="N2531" s="3">
        <v>0</v>
      </c>
      <c r="O2531" s="3">
        <v>0.18</v>
      </c>
      <c r="P2531" s="3">
        <v>0</v>
      </c>
      <c r="Q2531" s="3">
        <v>0</v>
      </c>
      <c r="R2531" s="3">
        <v>0</v>
      </c>
    </row>
    <row r="2532" spans="1:18">
      <c r="A2532" s="3" t="s">
        <v>1735</v>
      </c>
      <c r="B2532" s="3" t="s">
        <v>1736</v>
      </c>
      <c r="C2532" s="3" t="s">
        <v>1736</v>
      </c>
      <c r="D2532" s="3" t="s">
        <v>1737</v>
      </c>
      <c r="E2532" s="3" t="s">
        <v>867</v>
      </c>
      <c r="F2532" s="3">
        <v>23.98</v>
      </c>
      <c r="G2532" s="3" t="s">
        <v>3391</v>
      </c>
      <c r="H2532" s="3"/>
      <c r="I2532" s="3" t="s">
        <v>3392</v>
      </c>
      <c r="J2532" s="3">
        <v>4</v>
      </c>
      <c r="K2532" s="3">
        <v>4</v>
      </c>
      <c r="L2532" s="3">
        <v>0</v>
      </c>
      <c r="M2532" s="3">
        <v>0</v>
      </c>
      <c r="N2532" s="3">
        <v>4</v>
      </c>
      <c r="O2532" s="3">
        <v>0.09</v>
      </c>
      <c r="P2532" s="3">
        <v>0</v>
      </c>
      <c r="Q2532" s="3">
        <v>0</v>
      </c>
      <c r="R2532" s="3">
        <v>0</v>
      </c>
    </row>
    <row r="2533" spans="1:18">
      <c r="A2533" s="3" t="s">
        <v>3052</v>
      </c>
      <c r="B2533" s="3" t="s">
        <v>3053</v>
      </c>
      <c r="C2533" s="3" t="s">
        <v>3053</v>
      </c>
      <c r="D2533" s="3" t="s">
        <v>3054</v>
      </c>
      <c r="E2533" s="3" t="s">
        <v>867</v>
      </c>
      <c r="F2533" s="3">
        <v>23.98</v>
      </c>
      <c r="G2533" s="3" t="s">
        <v>3391</v>
      </c>
      <c r="H2533" s="3"/>
      <c r="I2533" s="3" t="s">
        <v>3392</v>
      </c>
      <c r="J2533" s="3">
        <v>1</v>
      </c>
      <c r="K2533" s="3">
        <v>1</v>
      </c>
      <c r="L2533" s="3">
        <v>0</v>
      </c>
      <c r="M2533" s="3">
        <v>0</v>
      </c>
      <c r="N2533" s="3">
        <v>1</v>
      </c>
      <c r="O2533" s="3">
        <v>0.09</v>
      </c>
      <c r="P2533" s="3">
        <v>0</v>
      </c>
      <c r="Q2533" s="3">
        <v>0</v>
      </c>
      <c r="R2533" s="3">
        <v>0</v>
      </c>
    </row>
    <row r="2534" spans="1:18">
      <c r="A2534" s="3" t="s">
        <v>1792</v>
      </c>
      <c r="B2534" s="3" t="s">
        <v>1793</v>
      </c>
      <c r="C2534" s="3" t="s">
        <v>1793</v>
      </c>
      <c r="D2534" s="3" t="s">
        <v>1794</v>
      </c>
      <c r="E2534" s="3" t="s">
        <v>867</v>
      </c>
      <c r="F2534" s="3">
        <v>23.98</v>
      </c>
      <c r="G2534" s="3" t="s">
        <v>3391</v>
      </c>
      <c r="H2534" s="3"/>
      <c r="I2534" s="3" t="s">
        <v>3392</v>
      </c>
      <c r="J2534" s="3">
        <v>4</v>
      </c>
      <c r="K2534" s="3">
        <v>4</v>
      </c>
      <c r="L2534" s="3">
        <v>0</v>
      </c>
      <c r="M2534" s="3">
        <v>0</v>
      </c>
      <c r="N2534" s="3">
        <v>4</v>
      </c>
      <c r="O2534" s="3">
        <v>0.09</v>
      </c>
      <c r="P2534" s="3">
        <v>0</v>
      </c>
      <c r="Q2534" s="3">
        <v>0</v>
      </c>
      <c r="R2534" s="3">
        <v>0</v>
      </c>
    </row>
    <row r="2535" spans="1:18">
      <c r="A2535" s="3" t="s">
        <v>1908</v>
      </c>
      <c r="B2535" s="3" t="s">
        <v>1909</v>
      </c>
      <c r="C2535" s="3" t="s">
        <v>1909</v>
      </c>
      <c r="D2535" s="3" t="s">
        <v>1910</v>
      </c>
      <c r="E2535" s="3" t="s">
        <v>867</v>
      </c>
      <c r="F2535" s="3">
        <v>23.98</v>
      </c>
      <c r="G2535" s="3" t="s">
        <v>3391</v>
      </c>
      <c r="H2535" s="3"/>
      <c r="I2535" s="3" t="s">
        <v>3392</v>
      </c>
      <c r="J2535" s="3">
        <v>3</v>
      </c>
      <c r="K2535" s="3">
        <v>3</v>
      </c>
      <c r="L2535" s="3">
        <v>0</v>
      </c>
      <c r="M2535" s="3">
        <v>0</v>
      </c>
      <c r="N2535" s="3">
        <v>3</v>
      </c>
      <c r="O2535" s="3">
        <v>0.09</v>
      </c>
      <c r="P2535" s="3">
        <v>0</v>
      </c>
      <c r="Q2535" s="3">
        <v>0</v>
      </c>
      <c r="R2535" s="3">
        <v>0</v>
      </c>
    </row>
    <row r="2536" spans="1:18">
      <c r="A2536" s="3" t="s">
        <v>1684</v>
      </c>
      <c r="B2536" s="3" t="s">
        <v>1685</v>
      </c>
      <c r="C2536" s="3" t="s">
        <v>1685</v>
      </c>
      <c r="D2536" s="3" t="s">
        <v>1686</v>
      </c>
      <c r="E2536" s="3" t="s">
        <v>867</v>
      </c>
      <c r="F2536" s="3">
        <v>23.98</v>
      </c>
      <c r="G2536" s="3" t="s">
        <v>3391</v>
      </c>
      <c r="H2536" s="3"/>
      <c r="I2536" s="3" t="s">
        <v>3392</v>
      </c>
      <c r="J2536" s="3">
        <v>7</v>
      </c>
      <c r="K2536" s="3">
        <v>7</v>
      </c>
      <c r="L2536" s="3">
        <v>0</v>
      </c>
      <c r="M2536" s="3">
        <v>0</v>
      </c>
      <c r="N2536" s="3">
        <v>7</v>
      </c>
      <c r="O2536" s="3">
        <v>0.09</v>
      </c>
      <c r="P2536" s="3">
        <v>0</v>
      </c>
      <c r="Q2536" s="3">
        <v>0</v>
      </c>
      <c r="R2536" s="3">
        <v>0</v>
      </c>
    </row>
    <row r="2537" spans="1:18">
      <c r="A2537" s="3" t="s">
        <v>1879</v>
      </c>
      <c r="B2537" s="3" t="s">
        <v>1880</v>
      </c>
      <c r="C2537" s="3" t="s">
        <v>1880</v>
      </c>
      <c r="D2537" s="3" t="s">
        <v>1881</v>
      </c>
      <c r="E2537" s="3" t="s">
        <v>867</v>
      </c>
      <c r="F2537" s="3">
        <v>23.98</v>
      </c>
      <c r="G2537" s="3" t="s">
        <v>3391</v>
      </c>
      <c r="H2537" s="3"/>
      <c r="I2537" s="3" t="s">
        <v>3392</v>
      </c>
      <c r="J2537" s="3">
        <v>4</v>
      </c>
      <c r="K2537" s="3">
        <v>4</v>
      </c>
      <c r="L2537" s="3">
        <v>0</v>
      </c>
      <c r="M2537" s="3">
        <v>0</v>
      </c>
      <c r="N2537" s="3">
        <v>4</v>
      </c>
      <c r="O2537" s="3">
        <v>0.09</v>
      </c>
      <c r="P2537" s="3">
        <v>0</v>
      </c>
      <c r="Q2537" s="3">
        <v>0</v>
      </c>
      <c r="R2537" s="3">
        <v>0</v>
      </c>
    </row>
    <row r="2538" spans="1:18">
      <c r="A2538" s="3" t="s">
        <v>2193</v>
      </c>
      <c r="B2538" s="3" t="s">
        <v>2194</v>
      </c>
      <c r="C2538" s="3" t="s">
        <v>2194</v>
      </c>
      <c r="D2538" s="3" t="s">
        <v>2195</v>
      </c>
      <c r="E2538" s="3" t="s">
        <v>867</v>
      </c>
      <c r="F2538" s="3">
        <v>23.98</v>
      </c>
      <c r="G2538" s="3" t="s">
        <v>3391</v>
      </c>
      <c r="H2538" s="3"/>
      <c r="I2538" s="3" t="s">
        <v>3392</v>
      </c>
      <c r="J2538" s="3">
        <v>5</v>
      </c>
      <c r="K2538" s="3">
        <v>5</v>
      </c>
      <c r="L2538" s="3">
        <v>0</v>
      </c>
      <c r="M2538" s="3">
        <v>0</v>
      </c>
      <c r="N2538" s="3">
        <v>5</v>
      </c>
      <c r="O2538" s="3">
        <v>0.09</v>
      </c>
      <c r="P2538" s="3">
        <v>0</v>
      </c>
      <c r="Q2538" s="3">
        <v>0</v>
      </c>
      <c r="R2538" s="3">
        <v>0</v>
      </c>
    </row>
    <row r="2539" spans="1:18">
      <c r="A2539" s="3" t="s">
        <v>7394</v>
      </c>
      <c r="B2539" s="3" t="s">
        <v>6688</v>
      </c>
      <c r="C2539" s="3" t="s">
        <v>6688</v>
      </c>
      <c r="D2539" s="3" t="s">
        <v>6689</v>
      </c>
      <c r="E2539" s="3" t="s">
        <v>867</v>
      </c>
      <c r="F2539" s="3">
        <v>23.98</v>
      </c>
      <c r="G2539" s="3" t="s">
        <v>3391</v>
      </c>
      <c r="H2539" s="3"/>
      <c r="I2539" s="3" t="s">
        <v>3392</v>
      </c>
      <c r="J2539" s="3">
        <v>0</v>
      </c>
      <c r="K2539" s="3">
        <v>0</v>
      </c>
      <c r="L2539" s="3">
        <v>0</v>
      </c>
      <c r="M2539" s="3">
        <v>0</v>
      </c>
      <c r="N2539" s="3">
        <v>0</v>
      </c>
      <c r="O2539" s="3">
        <v>0.09</v>
      </c>
      <c r="P2539" s="3">
        <v>0</v>
      </c>
      <c r="Q2539" s="3">
        <v>0</v>
      </c>
      <c r="R2539" s="3">
        <v>0</v>
      </c>
    </row>
    <row r="2540" spans="1:18">
      <c r="A2540" s="3" t="s">
        <v>3155</v>
      </c>
      <c r="B2540" s="3" t="s">
        <v>3156</v>
      </c>
      <c r="C2540" s="3" t="s">
        <v>3156</v>
      </c>
      <c r="D2540" s="3" t="s">
        <v>3157</v>
      </c>
      <c r="E2540" s="3" t="s">
        <v>867</v>
      </c>
      <c r="F2540" s="3">
        <v>23.98</v>
      </c>
      <c r="G2540" s="3" t="s">
        <v>3391</v>
      </c>
      <c r="H2540" s="3"/>
      <c r="I2540" s="3" t="s">
        <v>3392</v>
      </c>
      <c r="J2540" s="3">
        <v>6</v>
      </c>
      <c r="K2540" s="3">
        <v>6</v>
      </c>
      <c r="L2540" s="3">
        <v>0</v>
      </c>
      <c r="M2540" s="3">
        <v>0</v>
      </c>
      <c r="N2540" s="3">
        <v>6</v>
      </c>
      <c r="O2540" s="3">
        <v>0.09</v>
      </c>
      <c r="P2540" s="3">
        <v>0</v>
      </c>
      <c r="Q2540" s="3">
        <v>0</v>
      </c>
      <c r="R2540" s="3">
        <v>0</v>
      </c>
    </row>
    <row r="2541" spans="1:18">
      <c r="A2541" s="3" t="s">
        <v>1295</v>
      </c>
      <c r="B2541" s="3" t="s">
        <v>1296</v>
      </c>
      <c r="C2541" s="3" t="s">
        <v>1296</v>
      </c>
      <c r="D2541" s="3" t="s">
        <v>1297</v>
      </c>
      <c r="E2541" s="3" t="s">
        <v>867</v>
      </c>
      <c r="F2541" s="3">
        <v>23.98</v>
      </c>
      <c r="G2541" s="3" t="s">
        <v>3391</v>
      </c>
      <c r="H2541" s="3"/>
      <c r="I2541" s="3" t="s">
        <v>3392</v>
      </c>
      <c r="J2541" s="3">
        <v>1</v>
      </c>
      <c r="K2541" s="3">
        <v>1</v>
      </c>
      <c r="L2541" s="3">
        <v>0</v>
      </c>
      <c r="M2541" s="3">
        <v>0</v>
      </c>
      <c r="N2541" s="3">
        <v>1</v>
      </c>
      <c r="O2541" s="3">
        <v>0.09</v>
      </c>
      <c r="P2541" s="3">
        <v>0</v>
      </c>
      <c r="Q2541" s="3">
        <v>0</v>
      </c>
      <c r="R2541" s="3">
        <v>0</v>
      </c>
    </row>
    <row r="2542" spans="1:18">
      <c r="A2542" s="3" t="s">
        <v>2543</v>
      </c>
      <c r="B2542" s="3" t="s">
        <v>2544</v>
      </c>
      <c r="C2542" s="3" t="s">
        <v>2544</v>
      </c>
      <c r="D2542" s="3" t="s">
        <v>2545</v>
      </c>
      <c r="E2542" s="3" t="s">
        <v>867</v>
      </c>
      <c r="F2542" s="3">
        <v>23.98</v>
      </c>
      <c r="G2542" s="3" t="s">
        <v>3391</v>
      </c>
      <c r="H2542" s="3"/>
      <c r="I2542" s="3" t="s">
        <v>3392</v>
      </c>
      <c r="J2542" s="3">
        <v>1</v>
      </c>
      <c r="K2542" s="3">
        <v>1</v>
      </c>
      <c r="L2542" s="3">
        <v>0</v>
      </c>
      <c r="M2542" s="3">
        <v>0</v>
      </c>
      <c r="N2542" s="3">
        <v>1</v>
      </c>
      <c r="O2542" s="3">
        <v>0.09</v>
      </c>
      <c r="P2542" s="3">
        <v>0</v>
      </c>
      <c r="Q2542" s="3">
        <v>0</v>
      </c>
      <c r="R2542" s="3">
        <v>0</v>
      </c>
    </row>
    <row r="2543" spans="1:18">
      <c r="A2543" s="3" t="s">
        <v>2007</v>
      </c>
      <c r="B2543" s="3" t="s">
        <v>2008</v>
      </c>
      <c r="C2543" s="3" t="s">
        <v>2008</v>
      </c>
      <c r="D2543" s="3" t="s">
        <v>2009</v>
      </c>
      <c r="E2543" s="3" t="s">
        <v>867</v>
      </c>
      <c r="F2543" s="3">
        <v>23.98</v>
      </c>
      <c r="G2543" s="3" t="s">
        <v>3391</v>
      </c>
      <c r="H2543" s="3"/>
      <c r="I2543" s="3" t="s">
        <v>3392</v>
      </c>
      <c r="J2543" s="3">
        <v>6</v>
      </c>
      <c r="K2543" s="3">
        <v>6</v>
      </c>
      <c r="L2543" s="3">
        <v>0</v>
      </c>
      <c r="M2543" s="3">
        <v>0</v>
      </c>
      <c r="N2543" s="3">
        <v>6</v>
      </c>
      <c r="O2543" s="3">
        <v>0.09</v>
      </c>
      <c r="P2543" s="3">
        <v>0</v>
      </c>
      <c r="Q2543" s="3">
        <v>0</v>
      </c>
      <c r="R2543" s="3">
        <v>0</v>
      </c>
    </row>
    <row r="2544" spans="1:18">
      <c r="A2544" s="3" t="s">
        <v>1422</v>
      </c>
      <c r="B2544" s="3" t="s">
        <v>1423</v>
      </c>
      <c r="C2544" s="3" t="s">
        <v>1423</v>
      </c>
      <c r="D2544" s="3" t="s">
        <v>1424</v>
      </c>
      <c r="E2544" s="3" t="s">
        <v>867</v>
      </c>
      <c r="F2544" s="3">
        <v>23.98</v>
      </c>
      <c r="G2544" s="3" t="s">
        <v>3391</v>
      </c>
      <c r="H2544" s="3"/>
      <c r="I2544" s="3" t="s">
        <v>3392</v>
      </c>
      <c r="J2544" s="3">
        <v>0</v>
      </c>
      <c r="K2544" s="3">
        <v>0</v>
      </c>
      <c r="L2544" s="3">
        <v>0</v>
      </c>
      <c r="M2544" s="3">
        <v>0</v>
      </c>
      <c r="N2544" s="3">
        <v>0</v>
      </c>
      <c r="O2544" s="3">
        <v>0.09</v>
      </c>
      <c r="P2544" s="3">
        <v>0</v>
      </c>
      <c r="Q2544" s="3">
        <v>0</v>
      </c>
      <c r="R2544" s="3">
        <v>0</v>
      </c>
    </row>
    <row r="2545" spans="1:18">
      <c r="A2545" s="3" t="s">
        <v>1083</v>
      </c>
      <c r="B2545" s="3" t="s">
        <v>1084</v>
      </c>
      <c r="C2545" s="3" t="s">
        <v>1084</v>
      </c>
      <c r="D2545" s="3" t="s">
        <v>1085</v>
      </c>
      <c r="E2545" s="3" t="s">
        <v>867</v>
      </c>
      <c r="F2545" s="3">
        <v>23.98</v>
      </c>
      <c r="G2545" s="3" t="s">
        <v>3391</v>
      </c>
      <c r="H2545" s="3"/>
      <c r="I2545" s="3" t="s">
        <v>3392</v>
      </c>
      <c r="J2545" s="3">
        <v>3</v>
      </c>
      <c r="K2545" s="3">
        <v>3</v>
      </c>
      <c r="L2545" s="3">
        <v>0</v>
      </c>
      <c r="M2545" s="3">
        <v>0</v>
      </c>
      <c r="N2545" s="3">
        <v>3</v>
      </c>
      <c r="O2545" s="3">
        <v>0.09</v>
      </c>
      <c r="P2545" s="3">
        <v>0</v>
      </c>
      <c r="Q2545" s="3">
        <v>0</v>
      </c>
      <c r="R2545" s="3">
        <v>0</v>
      </c>
    </row>
    <row r="2546" spans="1:18">
      <c r="A2546" s="3" t="s">
        <v>1687</v>
      </c>
      <c r="B2546" s="3" t="s">
        <v>1688</v>
      </c>
      <c r="C2546" s="3" t="s">
        <v>1688</v>
      </c>
      <c r="D2546" s="3" t="s">
        <v>1689</v>
      </c>
      <c r="E2546" s="3" t="s">
        <v>867</v>
      </c>
      <c r="F2546" s="3">
        <v>23.98</v>
      </c>
      <c r="G2546" s="3" t="s">
        <v>3391</v>
      </c>
      <c r="H2546" s="3"/>
      <c r="I2546" s="3" t="s">
        <v>3392</v>
      </c>
      <c r="J2546" s="3">
        <v>2</v>
      </c>
      <c r="K2546" s="3">
        <v>2</v>
      </c>
      <c r="L2546" s="3">
        <v>0</v>
      </c>
      <c r="M2546" s="3">
        <v>0</v>
      </c>
      <c r="N2546" s="3">
        <v>2</v>
      </c>
      <c r="O2546" s="3">
        <v>0.09</v>
      </c>
      <c r="P2546" s="3">
        <v>0</v>
      </c>
      <c r="Q2546" s="3">
        <v>0</v>
      </c>
      <c r="R2546" s="3">
        <v>0</v>
      </c>
    </row>
    <row r="2547" spans="1:18">
      <c r="A2547" s="3" t="s">
        <v>7395</v>
      </c>
      <c r="B2547" s="3" t="s">
        <v>6713</v>
      </c>
      <c r="C2547" s="3" t="s">
        <v>6713</v>
      </c>
      <c r="D2547" s="3" t="s">
        <v>6714</v>
      </c>
      <c r="E2547" s="3" t="s">
        <v>867</v>
      </c>
      <c r="F2547" s="3">
        <v>23.98</v>
      </c>
      <c r="G2547" s="3" t="s">
        <v>3391</v>
      </c>
      <c r="H2547" s="3"/>
      <c r="I2547" s="3" t="s">
        <v>3392</v>
      </c>
      <c r="J2547" s="3">
        <v>0</v>
      </c>
      <c r="K2547" s="3">
        <v>0</v>
      </c>
      <c r="L2547" s="3">
        <v>0</v>
      </c>
      <c r="M2547" s="3">
        <v>0</v>
      </c>
      <c r="N2547" s="3">
        <v>0</v>
      </c>
      <c r="O2547" s="3">
        <v>0.09</v>
      </c>
      <c r="P2547" s="3">
        <v>0</v>
      </c>
      <c r="Q2547" s="3">
        <v>0</v>
      </c>
      <c r="R2547" s="3">
        <v>0</v>
      </c>
    </row>
    <row r="2548" spans="1:18">
      <c r="A2548" s="3" t="s">
        <v>2792</v>
      </c>
      <c r="B2548" s="3" t="s">
        <v>2793</v>
      </c>
      <c r="C2548" s="3" t="s">
        <v>2793</v>
      </c>
      <c r="D2548" s="3" t="s">
        <v>2794</v>
      </c>
      <c r="E2548" s="3" t="s">
        <v>867</v>
      </c>
      <c r="F2548" s="3">
        <v>23.98</v>
      </c>
      <c r="G2548" s="3" t="s">
        <v>3391</v>
      </c>
      <c r="H2548" s="3"/>
      <c r="I2548" s="3" t="s">
        <v>3392</v>
      </c>
      <c r="J2548" s="3">
        <v>5</v>
      </c>
      <c r="K2548" s="3">
        <v>5</v>
      </c>
      <c r="L2548" s="3">
        <v>0</v>
      </c>
      <c r="M2548" s="3">
        <v>0</v>
      </c>
      <c r="N2548" s="3">
        <v>5</v>
      </c>
      <c r="O2548" s="3">
        <v>0.09</v>
      </c>
      <c r="P2548" s="3">
        <v>0</v>
      </c>
      <c r="Q2548" s="3">
        <v>0</v>
      </c>
      <c r="R2548" s="3">
        <v>0</v>
      </c>
    </row>
    <row r="2549" spans="1:18">
      <c r="A2549" s="3" t="s">
        <v>1799</v>
      </c>
      <c r="B2549" s="3" t="s">
        <v>1800</v>
      </c>
      <c r="C2549" s="3" t="s">
        <v>1800</v>
      </c>
      <c r="D2549" s="3" t="s">
        <v>1801</v>
      </c>
      <c r="E2549" s="3" t="s">
        <v>867</v>
      </c>
      <c r="F2549" s="3">
        <v>23.98</v>
      </c>
      <c r="G2549" s="3" t="s">
        <v>3391</v>
      </c>
      <c r="H2549" s="3"/>
      <c r="I2549" s="3" t="s">
        <v>3392</v>
      </c>
      <c r="J2549" s="3">
        <v>5</v>
      </c>
      <c r="K2549" s="3">
        <v>5</v>
      </c>
      <c r="L2549" s="3">
        <v>0</v>
      </c>
      <c r="M2549" s="3">
        <v>0</v>
      </c>
      <c r="N2549" s="3">
        <v>5</v>
      </c>
      <c r="O2549" s="3">
        <v>0.09</v>
      </c>
      <c r="P2549" s="3">
        <v>0</v>
      </c>
      <c r="Q2549" s="3">
        <v>0</v>
      </c>
      <c r="R2549" s="3">
        <v>0</v>
      </c>
    </row>
    <row r="2550" spans="1:18">
      <c r="A2550" s="3" t="s">
        <v>1162</v>
      </c>
      <c r="B2550" s="3" t="s">
        <v>1163</v>
      </c>
      <c r="C2550" s="3" t="s">
        <v>1163</v>
      </c>
      <c r="D2550" s="3" t="s">
        <v>1164</v>
      </c>
      <c r="E2550" s="3" t="s">
        <v>867</v>
      </c>
      <c r="F2550" s="3">
        <v>23.98</v>
      </c>
      <c r="G2550" s="3" t="s">
        <v>3391</v>
      </c>
      <c r="H2550" s="3"/>
      <c r="I2550" s="3" t="s">
        <v>3392</v>
      </c>
      <c r="J2550" s="3">
        <v>5</v>
      </c>
      <c r="K2550" s="3">
        <v>5</v>
      </c>
      <c r="L2550" s="3">
        <v>0</v>
      </c>
      <c r="M2550" s="3">
        <v>0</v>
      </c>
      <c r="N2550" s="3">
        <v>5</v>
      </c>
      <c r="O2550" s="3">
        <v>0.09</v>
      </c>
      <c r="P2550" s="3">
        <v>0</v>
      </c>
      <c r="Q2550" s="3">
        <v>0</v>
      </c>
      <c r="R2550" s="3">
        <v>0</v>
      </c>
    </row>
    <row r="2551" spans="1:18">
      <c r="A2551" s="3" t="s">
        <v>2857</v>
      </c>
      <c r="B2551" s="3" t="s">
        <v>2858</v>
      </c>
      <c r="C2551" s="3" t="s">
        <v>2858</v>
      </c>
      <c r="D2551" s="3" t="s">
        <v>2859</v>
      </c>
      <c r="E2551" s="3" t="s">
        <v>867</v>
      </c>
      <c r="F2551" s="3">
        <v>23.98</v>
      </c>
      <c r="G2551" s="3" t="s">
        <v>3391</v>
      </c>
      <c r="H2551" s="3"/>
      <c r="I2551" s="3" t="s">
        <v>3392</v>
      </c>
      <c r="J2551" s="3">
        <v>4</v>
      </c>
      <c r="K2551" s="3">
        <v>4</v>
      </c>
      <c r="L2551" s="3">
        <v>0</v>
      </c>
      <c r="M2551" s="3">
        <v>0</v>
      </c>
      <c r="N2551" s="3">
        <v>4</v>
      </c>
      <c r="O2551" s="3">
        <v>0.09</v>
      </c>
      <c r="P2551" s="3">
        <v>0</v>
      </c>
      <c r="Q2551" s="3">
        <v>0</v>
      </c>
      <c r="R2551" s="3">
        <v>0</v>
      </c>
    </row>
    <row r="2552" spans="1:18">
      <c r="A2552" s="3" t="s">
        <v>3275</v>
      </c>
      <c r="B2552" s="3" t="s">
        <v>3276</v>
      </c>
      <c r="C2552" s="3" t="s">
        <v>3276</v>
      </c>
      <c r="D2552" s="3" t="s">
        <v>3277</v>
      </c>
      <c r="E2552" s="3" t="s">
        <v>867</v>
      </c>
      <c r="F2552" s="3">
        <v>23.98</v>
      </c>
      <c r="G2552" s="3" t="s">
        <v>3391</v>
      </c>
      <c r="H2552" s="3"/>
      <c r="I2552" s="3" t="s">
        <v>3392</v>
      </c>
      <c r="J2552" s="3">
        <v>5</v>
      </c>
      <c r="K2552" s="3">
        <v>5</v>
      </c>
      <c r="L2552" s="3">
        <v>0</v>
      </c>
      <c r="M2552" s="3">
        <v>0</v>
      </c>
      <c r="N2552" s="3">
        <v>5</v>
      </c>
      <c r="O2552" s="3">
        <v>0.09</v>
      </c>
      <c r="P2552" s="3">
        <v>0</v>
      </c>
      <c r="Q2552" s="3">
        <v>0</v>
      </c>
      <c r="R2552" s="3">
        <v>0</v>
      </c>
    </row>
    <row r="2553" spans="1:18">
      <c r="A2553" s="3" t="s">
        <v>1604</v>
      </c>
      <c r="B2553" s="3" t="s">
        <v>1605</v>
      </c>
      <c r="C2553" s="3" t="s">
        <v>1605</v>
      </c>
      <c r="D2553" s="3" t="s">
        <v>1606</v>
      </c>
      <c r="E2553" s="3" t="s">
        <v>867</v>
      </c>
      <c r="F2553" s="3">
        <v>23.98</v>
      </c>
      <c r="G2553" s="3" t="s">
        <v>3391</v>
      </c>
      <c r="H2553" s="3"/>
      <c r="I2553" s="3" t="s">
        <v>3392</v>
      </c>
      <c r="J2553" s="3">
        <v>4</v>
      </c>
      <c r="K2553" s="3">
        <v>4</v>
      </c>
      <c r="L2553" s="3">
        <v>0</v>
      </c>
      <c r="M2553" s="3">
        <v>0</v>
      </c>
      <c r="N2553" s="3">
        <v>4</v>
      </c>
      <c r="O2553" s="3">
        <v>0.09</v>
      </c>
      <c r="P2553" s="3">
        <v>0</v>
      </c>
      <c r="Q2553" s="3">
        <v>0</v>
      </c>
      <c r="R2553" s="3">
        <v>0</v>
      </c>
    </row>
    <row r="2554" spans="1:18">
      <c r="A2554" s="3" t="s">
        <v>1231</v>
      </c>
      <c r="B2554" s="3" t="s">
        <v>1232</v>
      </c>
      <c r="C2554" s="3" t="s">
        <v>1232</v>
      </c>
      <c r="D2554" s="3" t="s">
        <v>1233</v>
      </c>
      <c r="E2554" s="3" t="s">
        <v>867</v>
      </c>
      <c r="F2554" s="3">
        <v>23.98</v>
      </c>
      <c r="G2554" s="3" t="s">
        <v>3391</v>
      </c>
      <c r="H2554" s="3"/>
      <c r="I2554" s="3" t="s">
        <v>3392</v>
      </c>
      <c r="J2554" s="3">
        <v>4</v>
      </c>
      <c r="K2554" s="3">
        <v>4</v>
      </c>
      <c r="L2554" s="3">
        <v>0</v>
      </c>
      <c r="M2554" s="3">
        <v>0</v>
      </c>
      <c r="N2554" s="3">
        <v>4</v>
      </c>
      <c r="O2554" s="3">
        <v>0.09</v>
      </c>
      <c r="P2554" s="3">
        <v>0</v>
      </c>
      <c r="Q2554" s="3">
        <v>0</v>
      </c>
      <c r="R2554" s="3">
        <v>0</v>
      </c>
    </row>
    <row r="2555" spans="1:18">
      <c r="A2555" s="3" t="s">
        <v>1923</v>
      </c>
      <c r="B2555" s="3" t="s">
        <v>1924</v>
      </c>
      <c r="C2555" s="3" t="s">
        <v>1924</v>
      </c>
      <c r="D2555" s="3" t="s">
        <v>1925</v>
      </c>
      <c r="E2555" s="3" t="s">
        <v>867</v>
      </c>
      <c r="F2555" s="3">
        <v>23.98</v>
      </c>
      <c r="G2555" s="3" t="s">
        <v>3391</v>
      </c>
      <c r="H2555" s="3"/>
      <c r="I2555" s="3" t="s">
        <v>3392</v>
      </c>
      <c r="J2555" s="3">
        <v>6</v>
      </c>
      <c r="K2555" s="3">
        <v>6</v>
      </c>
      <c r="L2555" s="3">
        <v>0</v>
      </c>
      <c r="M2555" s="3">
        <v>0</v>
      </c>
      <c r="N2555" s="3">
        <v>6</v>
      </c>
      <c r="O2555" s="3">
        <v>0.09</v>
      </c>
      <c r="P2555" s="3">
        <v>0</v>
      </c>
      <c r="Q2555" s="3">
        <v>0</v>
      </c>
      <c r="R2555" s="3">
        <v>0</v>
      </c>
    </row>
    <row r="2556" spans="1:18">
      <c r="A2556" s="3" t="s">
        <v>1545</v>
      </c>
      <c r="B2556" s="3" t="s">
        <v>1546</v>
      </c>
      <c r="C2556" s="3" t="s">
        <v>1546</v>
      </c>
      <c r="D2556" s="3" t="s">
        <v>1547</v>
      </c>
      <c r="E2556" s="3" t="s">
        <v>867</v>
      </c>
      <c r="F2556" s="3">
        <v>23.98</v>
      </c>
      <c r="G2556" s="3" t="s">
        <v>3391</v>
      </c>
      <c r="H2556" s="3"/>
      <c r="I2556" s="3" t="s">
        <v>3392</v>
      </c>
      <c r="J2556" s="3">
        <v>9</v>
      </c>
      <c r="K2556" s="3">
        <v>9</v>
      </c>
      <c r="L2556" s="3">
        <v>0</v>
      </c>
      <c r="M2556" s="3">
        <v>0</v>
      </c>
      <c r="N2556" s="3">
        <v>9</v>
      </c>
      <c r="O2556" s="3">
        <v>0.09</v>
      </c>
      <c r="P2556" s="3">
        <v>0</v>
      </c>
      <c r="Q2556" s="3">
        <v>0</v>
      </c>
      <c r="R2556" s="3">
        <v>0</v>
      </c>
    </row>
    <row r="2557" spans="1:18">
      <c r="A2557" s="3" t="s">
        <v>1911</v>
      </c>
      <c r="B2557" s="3" t="s">
        <v>1912</v>
      </c>
      <c r="C2557" s="3" t="s">
        <v>1912</v>
      </c>
      <c r="D2557" s="3" t="s">
        <v>1913</v>
      </c>
      <c r="E2557" s="3" t="s">
        <v>867</v>
      </c>
      <c r="F2557" s="3">
        <v>23.98</v>
      </c>
      <c r="G2557" s="3" t="s">
        <v>3391</v>
      </c>
      <c r="H2557" s="3"/>
      <c r="I2557" s="3" t="s">
        <v>3392</v>
      </c>
      <c r="J2557" s="3">
        <v>5</v>
      </c>
      <c r="K2557" s="3">
        <v>5</v>
      </c>
      <c r="L2557" s="3">
        <v>0</v>
      </c>
      <c r="M2557" s="3">
        <v>0</v>
      </c>
      <c r="N2557" s="3">
        <v>5</v>
      </c>
      <c r="O2557" s="3">
        <v>0.09</v>
      </c>
      <c r="P2557" s="3">
        <v>0</v>
      </c>
      <c r="Q2557" s="3">
        <v>0</v>
      </c>
      <c r="R2557" s="3">
        <v>0</v>
      </c>
    </row>
    <row r="2558" spans="1:18">
      <c r="A2558" s="3" t="s">
        <v>2336</v>
      </c>
      <c r="B2558" s="3" t="s">
        <v>2337</v>
      </c>
      <c r="C2558" s="3" t="s">
        <v>2337</v>
      </c>
      <c r="D2558" s="3" t="s">
        <v>2338</v>
      </c>
      <c r="E2558" s="3" t="s">
        <v>867</v>
      </c>
      <c r="F2558" s="3">
        <v>23.98</v>
      </c>
      <c r="G2558" s="3" t="s">
        <v>3391</v>
      </c>
      <c r="H2558" s="3"/>
      <c r="I2558" s="3" t="s">
        <v>3392</v>
      </c>
      <c r="J2558" s="3">
        <v>8</v>
      </c>
      <c r="K2558" s="3">
        <v>8</v>
      </c>
      <c r="L2558" s="3">
        <v>0</v>
      </c>
      <c r="M2558" s="3">
        <v>0</v>
      </c>
      <c r="N2558" s="3">
        <v>8</v>
      </c>
      <c r="O2558" s="3">
        <v>0.09</v>
      </c>
      <c r="P2558" s="3">
        <v>0</v>
      </c>
      <c r="Q2558" s="3">
        <v>0</v>
      </c>
      <c r="R2558" s="3">
        <v>0</v>
      </c>
    </row>
    <row r="2559" spans="1:18">
      <c r="A2559" s="3" t="s">
        <v>3115</v>
      </c>
      <c r="B2559" s="3" t="s">
        <v>3116</v>
      </c>
      <c r="C2559" s="3" t="s">
        <v>3116</v>
      </c>
      <c r="D2559" s="3" t="s">
        <v>3117</v>
      </c>
      <c r="E2559" s="3" t="s">
        <v>867</v>
      </c>
      <c r="F2559" s="3">
        <v>23.98</v>
      </c>
      <c r="G2559" s="3" t="s">
        <v>3391</v>
      </c>
      <c r="H2559" s="3"/>
      <c r="I2559" s="3" t="s">
        <v>3392</v>
      </c>
      <c r="J2559" s="3">
        <v>7</v>
      </c>
      <c r="K2559" s="3">
        <v>7</v>
      </c>
      <c r="L2559" s="3">
        <v>0</v>
      </c>
      <c r="M2559" s="3">
        <v>0</v>
      </c>
      <c r="N2559" s="3">
        <v>7</v>
      </c>
      <c r="O2559" s="3">
        <v>0.09</v>
      </c>
      <c r="P2559" s="3">
        <v>0</v>
      </c>
      <c r="Q2559" s="3">
        <v>0</v>
      </c>
      <c r="R2559" s="3">
        <v>0</v>
      </c>
    </row>
    <row r="2560" spans="1:18">
      <c r="A2560" s="3" t="s">
        <v>3139</v>
      </c>
      <c r="B2560" s="3" t="s">
        <v>3140</v>
      </c>
      <c r="C2560" s="3" t="s">
        <v>3140</v>
      </c>
      <c r="D2560" s="3" t="s">
        <v>3141</v>
      </c>
      <c r="E2560" s="3" t="s">
        <v>867</v>
      </c>
      <c r="F2560" s="3">
        <v>23.98</v>
      </c>
      <c r="G2560" s="3" t="s">
        <v>3391</v>
      </c>
      <c r="H2560" s="3"/>
      <c r="I2560" s="3" t="s">
        <v>3392</v>
      </c>
      <c r="J2560" s="3">
        <v>6</v>
      </c>
      <c r="K2560" s="3">
        <v>6</v>
      </c>
      <c r="L2560" s="3">
        <v>0</v>
      </c>
      <c r="M2560" s="3">
        <v>0</v>
      </c>
      <c r="N2560" s="3">
        <v>6</v>
      </c>
      <c r="O2560" s="3">
        <v>0.09</v>
      </c>
      <c r="P2560" s="3">
        <v>0</v>
      </c>
      <c r="Q2560" s="3">
        <v>0</v>
      </c>
      <c r="R2560" s="3">
        <v>0</v>
      </c>
    </row>
    <row r="2561" spans="1:18">
      <c r="A2561" s="3" t="s">
        <v>2803</v>
      </c>
      <c r="B2561" s="3" t="s">
        <v>2804</v>
      </c>
      <c r="C2561" s="3" t="s">
        <v>2804</v>
      </c>
      <c r="D2561" s="3" t="s">
        <v>2805</v>
      </c>
      <c r="E2561" s="3" t="s">
        <v>867</v>
      </c>
      <c r="F2561" s="3">
        <v>23.98</v>
      </c>
      <c r="G2561" s="3" t="s">
        <v>3391</v>
      </c>
      <c r="H2561" s="3"/>
      <c r="I2561" s="3" t="s">
        <v>3392</v>
      </c>
      <c r="J2561" s="3">
        <v>3</v>
      </c>
      <c r="K2561" s="3">
        <v>3</v>
      </c>
      <c r="L2561" s="3">
        <v>0</v>
      </c>
      <c r="M2561" s="3">
        <v>0</v>
      </c>
      <c r="N2561" s="3">
        <v>3</v>
      </c>
      <c r="O2561" s="3">
        <v>0.09</v>
      </c>
      <c r="P2561" s="3">
        <v>0</v>
      </c>
      <c r="Q2561" s="3">
        <v>0</v>
      </c>
      <c r="R2561" s="3">
        <v>0</v>
      </c>
    </row>
    <row r="2562" spans="1:18">
      <c r="A2562" s="3" t="s">
        <v>1111</v>
      </c>
      <c r="B2562" s="3" t="s">
        <v>1112</v>
      </c>
      <c r="C2562" s="3" t="s">
        <v>1112</v>
      </c>
      <c r="D2562" s="3" t="s">
        <v>1113</v>
      </c>
      <c r="E2562" s="3" t="s">
        <v>867</v>
      </c>
      <c r="F2562" s="3">
        <v>23.98</v>
      </c>
      <c r="G2562" s="3" t="s">
        <v>3391</v>
      </c>
      <c r="H2562" s="3"/>
      <c r="I2562" s="3" t="s">
        <v>3392</v>
      </c>
      <c r="J2562" s="3">
        <v>8</v>
      </c>
      <c r="K2562" s="3">
        <v>8</v>
      </c>
      <c r="L2562" s="3">
        <v>0</v>
      </c>
      <c r="M2562" s="3">
        <v>0</v>
      </c>
      <c r="N2562" s="3">
        <v>8</v>
      </c>
      <c r="O2562" s="3">
        <v>0.09</v>
      </c>
      <c r="P2562" s="3">
        <v>0</v>
      </c>
      <c r="Q2562" s="3">
        <v>0</v>
      </c>
      <c r="R2562" s="3">
        <v>0</v>
      </c>
    </row>
    <row r="2563" spans="1:18">
      <c r="A2563" s="3" t="s">
        <v>7396</v>
      </c>
      <c r="B2563" s="3" t="s">
        <v>6751</v>
      </c>
      <c r="C2563" s="3" t="s">
        <v>6751</v>
      </c>
      <c r="D2563" s="3" t="s">
        <v>6752</v>
      </c>
      <c r="E2563" s="3" t="s">
        <v>867</v>
      </c>
      <c r="F2563" s="3">
        <v>23.98</v>
      </c>
      <c r="G2563" s="3" t="s">
        <v>3391</v>
      </c>
      <c r="H2563" s="3"/>
      <c r="I2563" s="3" t="s">
        <v>3392</v>
      </c>
      <c r="J2563" s="3">
        <v>0</v>
      </c>
      <c r="K2563" s="3">
        <v>0</v>
      </c>
      <c r="L2563" s="3">
        <v>0</v>
      </c>
      <c r="M2563" s="3">
        <v>0</v>
      </c>
      <c r="N2563" s="3">
        <v>0</v>
      </c>
      <c r="O2563" s="3">
        <v>0.09</v>
      </c>
      <c r="P2563" s="3">
        <v>0</v>
      </c>
      <c r="Q2563" s="3">
        <v>0</v>
      </c>
      <c r="R2563" s="3">
        <v>0</v>
      </c>
    </row>
    <row r="2564" spans="1:18">
      <c r="A2564" s="3" t="s">
        <v>7397</v>
      </c>
      <c r="B2564" s="3" t="s">
        <v>6755</v>
      </c>
      <c r="C2564" s="3" t="s">
        <v>6755</v>
      </c>
      <c r="D2564" s="3" t="s">
        <v>6756</v>
      </c>
      <c r="E2564" s="3" t="s">
        <v>867</v>
      </c>
      <c r="F2564" s="3">
        <v>23.98</v>
      </c>
      <c r="G2564" s="3" t="s">
        <v>3391</v>
      </c>
      <c r="H2564" s="3"/>
      <c r="I2564" s="3" t="s">
        <v>3392</v>
      </c>
      <c r="J2564" s="3">
        <v>0</v>
      </c>
      <c r="K2564" s="3">
        <v>0</v>
      </c>
      <c r="L2564" s="3">
        <v>0</v>
      </c>
      <c r="M2564" s="3">
        <v>0</v>
      </c>
      <c r="N2564" s="3">
        <v>0</v>
      </c>
      <c r="O2564" s="3">
        <v>0.09</v>
      </c>
      <c r="P2564" s="3">
        <v>0</v>
      </c>
      <c r="Q2564" s="3">
        <v>0</v>
      </c>
      <c r="R2564" s="3">
        <v>0</v>
      </c>
    </row>
    <row r="2565" spans="1:18">
      <c r="A2565" s="3" t="s">
        <v>7398</v>
      </c>
      <c r="B2565" s="3" t="s">
        <v>6759</v>
      </c>
      <c r="C2565" s="3" t="s">
        <v>6759</v>
      </c>
      <c r="D2565" s="3" t="s">
        <v>6760</v>
      </c>
      <c r="E2565" s="3" t="s">
        <v>867</v>
      </c>
      <c r="F2565" s="3">
        <v>23.98</v>
      </c>
      <c r="G2565" s="3" t="s">
        <v>3391</v>
      </c>
      <c r="H2565" s="3"/>
      <c r="I2565" s="3" t="s">
        <v>3392</v>
      </c>
      <c r="J2565" s="3">
        <v>0</v>
      </c>
      <c r="K2565" s="3">
        <v>0</v>
      </c>
      <c r="L2565" s="3">
        <v>0</v>
      </c>
      <c r="M2565" s="3">
        <v>0</v>
      </c>
      <c r="N2565" s="3">
        <v>0</v>
      </c>
      <c r="O2565" s="3">
        <v>0.09</v>
      </c>
      <c r="P2565" s="3">
        <v>0</v>
      </c>
      <c r="Q2565" s="3">
        <v>0</v>
      </c>
      <c r="R2565" s="3">
        <v>0</v>
      </c>
    </row>
    <row r="2566" spans="1:18">
      <c r="A2566" s="3" t="s">
        <v>960</v>
      </c>
      <c r="B2566" s="3" t="s">
        <v>961</v>
      </c>
      <c r="C2566" s="3" t="s">
        <v>961</v>
      </c>
      <c r="D2566" s="3" t="s">
        <v>962</v>
      </c>
      <c r="E2566" s="3" t="s">
        <v>867</v>
      </c>
      <c r="F2566" s="3">
        <v>23.98</v>
      </c>
      <c r="G2566" s="3" t="s">
        <v>3391</v>
      </c>
      <c r="H2566" s="3"/>
      <c r="I2566" s="3" t="s">
        <v>3392</v>
      </c>
      <c r="J2566" s="3">
        <v>3</v>
      </c>
      <c r="K2566" s="3">
        <v>3</v>
      </c>
      <c r="L2566" s="3">
        <v>0</v>
      </c>
      <c r="M2566" s="3">
        <v>0</v>
      </c>
      <c r="N2566" s="3">
        <v>3</v>
      </c>
      <c r="O2566" s="3">
        <v>0.09</v>
      </c>
      <c r="P2566" s="3">
        <v>0</v>
      </c>
      <c r="Q2566" s="3">
        <v>0</v>
      </c>
      <c r="R2566" s="3">
        <v>0</v>
      </c>
    </row>
    <row r="2567" spans="1:18">
      <c r="A2567" s="3" t="s">
        <v>7399</v>
      </c>
      <c r="B2567" s="3" t="s">
        <v>6781</v>
      </c>
      <c r="C2567" s="3" t="s">
        <v>6781</v>
      </c>
      <c r="D2567" s="3"/>
      <c r="E2567" s="3" t="s">
        <v>3293</v>
      </c>
      <c r="F2567" s="3"/>
      <c r="G2567" s="3"/>
      <c r="H2567" s="3"/>
      <c r="I2567" s="3"/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/>
      <c r="P2567" s="3">
        <v>0</v>
      </c>
      <c r="Q2567" s="3">
        <v>0</v>
      </c>
      <c r="R2567" s="3">
        <v>0</v>
      </c>
    </row>
    <row r="2568" spans="1:18">
      <c r="A2568" s="3" t="s">
        <v>1315</v>
      </c>
      <c r="B2568" s="3" t="s">
        <v>1316</v>
      </c>
      <c r="C2568" s="3" t="s">
        <v>1316</v>
      </c>
      <c r="D2568" s="3" t="s">
        <v>1317</v>
      </c>
      <c r="E2568" s="3" t="s">
        <v>867</v>
      </c>
      <c r="F2568" s="3">
        <v>23.98</v>
      </c>
      <c r="G2568" s="3" t="s">
        <v>3391</v>
      </c>
      <c r="H2568" s="3"/>
      <c r="I2568" s="3" t="s">
        <v>3392</v>
      </c>
      <c r="J2568" s="3">
        <v>2</v>
      </c>
      <c r="K2568" s="3">
        <v>2</v>
      </c>
      <c r="L2568" s="3">
        <v>0</v>
      </c>
      <c r="M2568" s="3">
        <v>0</v>
      </c>
      <c r="N2568" s="3">
        <v>2</v>
      </c>
      <c r="O2568" s="3">
        <v>0.09</v>
      </c>
      <c r="P2568" s="3">
        <v>0</v>
      </c>
      <c r="Q2568" s="3">
        <v>0</v>
      </c>
      <c r="R2568" s="3">
        <v>0</v>
      </c>
    </row>
    <row r="2569" spans="1:18">
      <c r="A2569" s="3" t="s">
        <v>3028</v>
      </c>
      <c r="B2569" s="3" t="s">
        <v>3029</v>
      </c>
      <c r="C2569" s="3" t="s">
        <v>3029</v>
      </c>
      <c r="D2569" s="3" t="s">
        <v>3030</v>
      </c>
      <c r="E2569" s="3" t="s">
        <v>867</v>
      </c>
      <c r="F2569" s="3">
        <v>23.98</v>
      </c>
      <c r="G2569" s="3" t="s">
        <v>3391</v>
      </c>
      <c r="H2569" s="3"/>
      <c r="I2569" s="3" t="s">
        <v>3392</v>
      </c>
      <c r="J2569" s="3">
        <v>1</v>
      </c>
      <c r="K2569" s="3">
        <v>1</v>
      </c>
      <c r="L2569" s="3">
        <v>0</v>
      </c>
      <c r="M2569" s="3">
        <v>0</v>
      </c>
      <c r="N2569" s="3">
        <v>1</v>
      </c>
      <c r="O2569" s="3">
        <v>0.09</v>
      </c>
      <c r="P2569" s="3">
        <v>0</v>
      </c>
      <c r="Q2569" s="3">
        <v>0</v>
      </c>
      <c r="R2569" s="3">
        <v>0</v>
      </c>
    </row>
    <row r="2570" spans="1:18">
      <c r="A2570" s="3" t="s">
        <v>2270</v>
      </c>
      <c r="B2570" s="3" t="s">
        <v>762</v>
      </c>
      <c r="C2570" s="3" t="s">
        <v>762</v>
      </c>
      <c r="D2570" s="3" t="s">
        <v>763</v>
      </c>
      <c r="E2570" s="3" t="s">
        <v>867</v>
      </c>
      <c r="F2570" s="3">
        <v>23.98</v>
      </c>
      <c r="G2570" s="3" t="s">
        <v>3391</v>
      </c>
      <c r="H2570" s="3"/>
      <c r="I2570" s="3" t="s">
        <v>3392</v>
      </c>
      <c r="J2570" s="3">
        <v>6</v>
      </c>
      <c r="K2570" s="3">
        <v>6</v>
      </c>
      <c r="L2570" s="3">
        <v>0</v>
      </c>
      <c r="M2570" s="3">
        <v>0</v>
      </c>
      <c r="N2570" s="3">
        <v>6</v>
      </c>
      <c r="O2570" s="3">
        <v>0.12</v>
      </c>
      <c r="P2570" s="3">
        <v>0</v>
      </c>
      <c r="Q2570" s="3">
        <v>0</v>
      </c>
      <c r="R2570" s="3">
        <v>0</v>
      </c>
    </row>
    <row r="2571" spans="1:18">
      <c r="A2571" s="3" t="s">
        <v>7400</v>
      </c>
      <c r="B2571" s="3" t="s">
        <v>7401</v>
      </c>
      <c r="C2571" s="3" t="s">
        <v>7401</v>
      </c>
      <c r="D2571" s="3" t="s">
        <v>7402</v>
      </c>
      <c r="E2571" s="3" t="s">
        <v>867</v>
      </c>
      <c r="F2571" s="3">
        <v>22.98</v>
      </c>
      <c r="G2571" s="3" t="s">
        <v>3391</v>
      </c>
      <c r="H2571" s="3"/>
      <c r="I2571" s="3" t="s">
        <v>3392</v>
      </c>
      <c r="J2571" s="3">
        <v>0</v>
      </c>
      <c r="K2571" s="3">
        <v>0</v>
      </c>
      <c r="L2571" s="3">
        <v>0</v>
      </c>
      <c r="M2571" s="3">
        <v>0</v>
      </c>
      <c r="N2571" s="3">
        <v>0</v>
      </c>
      <c r="O2571" s="3">
        <v>0.08</v>
      </c>
      <c r="P2571" s="3">
        <v>0</v>
      </c>
      <c r="Q2571" s="3">
        <v>0</v>
      </c>
      <c r="R2571" s="3">
        <v>0</v>
      </c>
    </row>
    <row r="2572" spans="1:18">
      <c r="A2572" s="3" t="s">
        <v>733</v>
      </c>
      <c r="B2572" s="3" t="s">
        <v>734</v>
      </c>
      <c r="C2572" s="3" t="s">
        <v>734</v>
      </c>
      <c r="D2572" s="3" t="s">
        <v>735</v>
      </c>
      <c r="E2572" s="3" t="s">
        <v>867</v>
      </c>
      <c r="F2572" s="3">
        <v>22.98</v>
      </c>
      <c r="G2572" s="3" t="s">
        <v>3391</v>
      </c>
      <c r="H2572" s="3"/>
      <c r="I2572" s="3" t="s">
        <v>3392</v>
      </c>
      <c r="J2572" s="3">
        <v>13</v>
      </c>
      <c r="K2572" s="3">
        <v>11</v>
      </c>
      <c r="L2572" s="3">
        <v>0</v>
      </c>
      <c r="M2572" s="3">
        <v>2</v>
      </c>
      <c r="N2572" s="3">
        <v>13</v>
      </c>
      <c r="O2572" s="3">
        <v>0.08</v>
      </c>
      <c r="P2572" s="3">
        <v>0</v>
      </c>
      <c r="Q2572" s="3">
        <v>0</v>
      </c>
      <c r="R2572" s="3">
        <v>0</v>
      </c>
    </row>
    <row r="2573" spans="1:18">
      <c r="A2573" s="3" t="s">
        <v>1700</v>
      </c>
      <c r="B2573" s="3" t="s">
        <v>1029</v>
      </c>
      <c r="C2573" s="3" t="s">
        <v>1029</v>
      </c>
      <c r="D2573" s="3" t="s">
        <v>1030</v>
      </c>
      <c r="E2573" s="3" t="s">
        <v>867</v>
      </c>
      <c r="F2573" s="3">
        <v>22.98</v>
      </c>
      <c r="G2573" s="3" t="s">
        <v>3391</v>
      </c>
      <c r="H2573" s="3"/>
      <c r="I2573" s="3" t="s">
        <v>3392</v>
      </c>
      <c r="J2573" s="3">
        <v>15</v>
      </c>
      <c r="K2573" s="3">
        <v>15</v>
      </c>
      <c r="L2573" s="3">
        <v>0</v>
      </c>
      <c r="M2573" s="3">
        <v>0</v>
      </c>
      <c r="N2573" s="3">
        <v>15</v>
      </c>
      <c r="O2573" s="3">
        <v>0.08</v>
      </c>
      <c r="P2573" s="3">
        <v>0</v>
      </c>
      <c r="Q2573" s="3">
        <v>0</v>
      </c>
      <c r="R2573" s="3">
        <v>0</v>
      </c>
    </row>
    <row r="2574" spans="1:18">
      <c r="A2574" s="3" t="s">
        <v>2239</v>
      </c>
      <c r="B2574" s="3" t="s">
        <v>1321</v>
      </c>
      <c r="C2574" s="3" t="s">
        <v>1321</v>
      </c>
      <c r="D2574" s="3" t="s">
        <v>1322</v>
      </c>
      <c r="E2574" s="3" t="s">
        <v>867</v>
      </c>
      <c r="F2574" s="3">
        <v>22.98</v>
      </c>
      <c r="G2574" s="3" t="s">
        <v>3391</v>
      </c>
      <c r="H2574" s="3"/>
      <c r="I2574" s="3" t="s">
        <v>3392</v>
      </c>
      <c r="J2574" s="3">
        <v>6</v>
      </c>
      <c r="K2574" s="3">
        <v>6</v>
      </c>
      <c r="L2574" s="3">
        <v>0</v>
      </c>
      <c r="M2574" s="3">
        <v>0</v>
      </c>
      <c r="N2574" s="3">
        <v>6</v>
      </c>
      <c r="O2574" s="3">
        <v>0.08</v>
      </c>
      <c r="P2574" s="3">
        <v>0</v>
      </c>
      <c r="Q2574" s="3">
        <v>0</v>
      </c>
      <c r="R2574" s="3">
        <v>0</v>
      </c>
    </row>
    <row r="2575" spans="1:18">
      <c r="A2575" s="3" t="s">
        <v>7403</v>
      </c>
      <c r="B2575" s="3" t="s">
        <v>6825</v>
      </c>
      <c r="C2575" s="3" t="s">
        <v>6825</v>
      </c>
      <c r="D2575" s="3" t="s">
        <v>6826</v>
      </c>
      <c r="E2575" s="3" t="s">
        <v>867</v>
      </c>
      <c r="F2575" s="3">
        <v>26.98</v>
      </c>
      <c r="G2575" s="3" t="s">
        <v>3391</v>
      </c>
      <c r="H2575" s="3"/>
      <c r="I2575" s="3" t="s">
        <v>3392</v>
      </c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>
        <v>0.13</v>
      </c>
      <c r="P2575" s="3">
        <v>0</v>
      </c>
      <c r="Q2575" s="3">
        <v>0</v>
      </c>
      <c r="R2575" s="3">
        <v>0</v>
      </c>
    </row>
    <row r="2576" spans="1:18">
      <c r="A2576" s="3" t="s">
        <v>2982</v>
      </c>
      <c r="B2576" s="3" t="s">
        <v>2983</v>
      </c>
      <c r="C2576" s="3" t="s">
        <v>2983</v>
      </c>
      <c r="D2576" s="3" t="s">
        <v>2984</v>
      </c>
      <c r="E2576" s="3" t="s">
        <v>867</v>
      </c>
      <c r="F2576" s="3">
        <v>26.98</v>
      </c>
      <c r="G2576" s="3" t="s">
        <v>3391</v>
      </c>
      <c r="H2576" s="3"/>
      <c r="I2576" s="3" t="s">
        <v>3392</v>
      </c>
      <c r="J2576" s="3">
        <v>0</v>
      </c>
      <c r="K2576" s="3">
        <v>0</v>
      </c>
      <c r="L2576" s="3">
        <v>0</v>
      </c>
      <c r="M2576" s="3">
        <v>0</v>
      </c>
      <c r="N2576" s="3">
        <v>0</v>
      </c>
      <c r="O2576" s="3">
        <v>0.13</v>
      </c>
      <c r="P2576" s="3">
        <v>0</v>
      </c>
      <c r="Q2576" s="3">
        <v>0</v>
      </c>
      <c r="R2576" s="3">
        <v>0</v>
      </c>
    </row>
    <row r="2577" spans="1:18">
      <c r="A2577" s="3" t="s">
        <v>3226</v>
      </c>
      <c r="B2577" s="3" t="s">
        <v>2150</v>
      </c>
      <c r="C2577" s="3" t="s">
        <v>2150</v>
      </c>
      <c r="D2577" s="3" t="s">
        <v>2151</v>
      </c>
      <c r="E2577" s="3" t="s">
        <v>867</v>
      </c>
      <c r="F2577" s="3">
        <v>26.98</v>
      </c>
      <c r="G2577" s="3" t="s">
        <v>3391</v>
      </c>
      <c r="H2577" s="3"/>
      <c r="I2577" s="3" t="s">
        <v>3392</v>
      </c>
      <c r="J2577" s="3">
        <v>1</v>
      </c>
      <c r="K2577" s="3">
        <v>1</v>
      </c>
      <c r="L2577" s="3">
        <v>0</v>
      </c>
      <c r="M2577" s="3">
        <v>0</v>
      </c>
      <c r="N2577" s="3">
        <v>1</v>
      </c>
      <c r="O2577" s="3">
        <v>0.13</v>
      </c>
      <c r="P2577" s="3">
        <v>0</v>
      </c>
      <c r="Q2577" s="3">
        <v>0</v>
      </c>
      <c r="R2577" s="3">
        <v>0</v>
      </c>
    </row>
    <row r="2578" spans="1:18">
      <c r="A2578" s="3" t="s">
        <v>730</v>
      </c>
      <c r="B2578" s="3" t="s">
        <v>731</v>
      </c>
      <c r="C2578" s="3" t="s">
        <v>731</v>
      </c>
      <c r="D2578" s="3" t="s">
        <v>732</v>
      </c>
      <c r="E2578" s="3" t="s">
        <v>867</v>
      </c>
      <c r="F2578" s="3">
        <v>26.98</v>
      </c>
      <c r="G2578" s="3" t="s">
        <v>3391</v>
      </c>
      <c r="H2578" s="3"/>
      <c r="I2578" s="3" t="s">
        <v>3392</v>
      </c>
      <c r="J2578" s="3">
        <v>3</v>
      </c>
      <c r="K2578" s="3">
        <v>0</v>
      </c>
      <c r="L2578" s="3">
        <v>0</v>
      </c>
      <c r="M2578" s="3">
        <v>3</v>
      </c>
      <c r="N2578" s="3">
        <v>3</v>
      </c>
      <c r="O2578" s="3">
        <v>0.13</v>
      </c>
      <c r="P2578" s="3">
        <v>0</v>
      </c>
      <c r="Q2578" s="3">
        <v>0</v>
      </c>
      <c r="R2578" s="3">
        <v>0</v>
      </c>
    </row>
    <row r="2579" spans="1:18">
      <c r="A2579" s="3" t="s">
        <v>7404</v>
      </c>
      <c r="B2579" s="3" t="s">
        <v>6833</v>
      </c>
      <c r="C2579" s="3" t="s">
        <v>6833</v>
      </c>
      <c r="D2579" s="3" t="s">
        <v>6834</v>
      </c>
      <c r="E2579" s="3" t="s">
        <v>867</v>
      </c>
      <c r="F2579" s="3">
        <v>26.98</v>
      </c>
      <c r="G2579" s="3" t="s">
        <v>3391</v>
      </c>
      <c r="H2579" s="3"/>
      <c r="I2579" s="3" t="s">
        <v>3392</v>
      </c>
      <c r="J2579" s="3">
        <v>0</v>
      </c>
      <c r="K2579" s="3">
        <v>0</v>
      </c>
      <c r="L2579" s="3">
        <v>0</v>
      </c>
      <c r="M2579" s="3">
        <v>0</v>
      </c>
      <c r="N2579" s="3">
        <v>0</v>
      </c>
      <c r="O2579" s="3">
        <v>0.13</v>
      </c>
      <c r="P2579" s="3">
        <v>0</v>
      </c>
      <c r="Q2579" s="3">
        <v>0</v>
      </c>
      <c r="R2579" s="3">
        <v>0</v>
      </c>
    </row>
    <row r="2580" spans="1:18">
      <c r="A2580" s="3" t="s">
        <v>7405</v>
      </c>
      <c r="B2580" s="3" t="s">
        <v>6837</v>
      </c>
      <c r="C2580" s="3" t="s">
        <v>6837</v>
      </c>
      <c r="D2580" s="3" t="s">
        <v>6838</v>
      </c>
      <c r="E2580" s="3" t="s">
        <v>867</v>
      </c>
      <c r="F2580" s="3">
        <v>26.98</v>
      </c>
      <c r="G2580" s="3" t="s">
        <v>3391</v>
      </c>
      <c r="H2580" s="3"/>
      <c r="I2580" s="3" t="s">
        <v>3392</v>
      </c>
      <c r="J2580" s="3">
        <v>0</v>
      </c>
      <c r="K2580" s="3">
        <v>0</v>
      </c>
      <c r="L2580" s="3">
        <v>0</v>
      </c>
      <c r="M2580" s="3">
        <v>0</v>
      </c>
      <c r="N2580" s="3">
        <v>0</v>
      </c>
      <c r="O2580" s="3">
        <v>0.13</v>
      </c>
      <c r="P2580" s="3">
        <v>0</v>
      </c>
      <c r="Q2580" s="3">
        <v>0</v>
      </c>
      <c r="R2580" s="3">
        <v>0</v>
      </c>
    </row>
    <row r="2581" spans="1:18">
      <c r="A2581" s="3" t="s">
        <v>1176</v>
      </c>
      <c r="B2581" s="3" t="s">
        <v>1177</v>
      </c>
      <c r="C2581" s="3" t="s">
        <v>1177</v>
      </c>
      <c r="D2581" s="3" t="s">
        <v>1178</v>
      </c>
      <c r="E2581" s="3" t="s">
        <v>867</v>
      </c>
      <c r="F2581" s="3">
        <v>26.98</v>
      </c>
      <c r="G2581" s="3" t="s">
        <v>3391</v>
      </c>
      <c r="H2581" s="3"/>
      <c r="I2581" s="3" t="s">
        <v>3392</v>
      </c>
      <c r="J2581" s="3">
        <v>4</v>
      </c>
      <c r="K2581" s="3">
        <v>4</v>
      </c>
      <c r="L2581" s="3">
        <v>0</v>
      </c>
      <c r="M2581" s="3">
        <v>0</v>
      </c>
      <c r="N2581" s="3">
        <v>4</v>
      </c>
      <c r="O2581" s="3">
        <v>0.13</v>
      </c>
      <c r="P2581" s="3">
        <v>0</v>
      </c>
      <c r="Q2581" s="3">
        <v>0</v>
      </c>
      <c r="R2581" s="3">
        <v>0</v>
      </c>
    </row>
    <row r="2582" spans="1:18">
      <c r="A2582" s="3" t="s">
        <v>2757</v>
      </c>
      <c r="B2582" s="3" t="s">
        <v>2758</v>
      </c>
      <c r="C2582" s="3" t="s">
        <v>2758</v>
      </c>
      <c r="D2582" s="3" t="s">
        <v>2759</v>
      </c>
      <c r="E2582" s="3" t="s">
        <v>867</v>
      </c>
      <c r="F2582" s="3">
        <v>26.98</v>
      </c>
      <c r="G2582" s="3" t="s">
        <v>3391</v>
      </c>
      <c r="H2582" s="3"/>
      <c r="I2582" s="3" t="s">
        <v>3392</v>
      </c>
      <c r="J2582" s="3">
        <v>4</v>
      </c>
      <c r="K2582" s="3">
        <v>4</v>
      </c>
      <c r="L2582" s="3">
        <v>0</v>
      </c>
      <c r="M2582" s="3">
        <v>0</v>
      </c>
      <c r="N2582" s="3">
        <v>4</v>
      </c>
      <c r="O2582" s="3">
        <v>0.13</v>
      </c>
      <c r="P2582" s="3">
        <v>0</v>
      </c>
      <c r="Q2582" s="3">
        <v>0</v>
      </c>
      <c r="R2582" s="3">
        <v>0</v>
      </c>
    </row>
    <row r="2583" spans="1:18">
      <c r="A2583" s="3" t="s">
        <v>7406</v>
      </c>
      <c r="B2583" s="3" t="s">
        <v>1411</v>
      </c>
      <c r="C2583" s="3" t="s">
        <v>1411</v>
      </c>
      <c r="D2583" s="3" t="s">
        <v>1412</v>
      </c>
      <c r="E2583" s="3" t="s">
        <v>867</v>
      </c>
      <c r="F2583" s="3">
        <v>23.98</v>
      </c>
      <c r="G2583" s="3" t="s">
        <v>3391</v>
      </c>
      <c r="H2583" s="3"/>
      <c r="I2583" s="3" t="s">
        <v>3392</v>
      </c>
      <c r="J2583" s="3">
        <v>0</v>
      </c>
      <c r="K2583" s="3">
        <v>0</v>
      </c>
      <c r="L2583" s="3">
        <v>0</v>
      </c>
      <c r="M2583" s="3">
        <v>0</v>
      </c>
      <c r="N2583" s="3">
        <v>0</v>
      </c>
      <c r="O2583" s="3">
        <v>0.13</v>
      </c>
      <c r="P2583" s="3">
        <v>0</v>
      </c>
      <c r="Q2583" s="3">
        <v>0</v>
      </c>
      <c r="R2583" s="3">
        <v>0</v>
      </c>
    </row>
    <row r="2584" spans="1:18">
      <c r="A2584" s="3" t="s">
        <v>1382</v>
      </c>
      <c r="B2584" s="3" t="s">
        <v>1383</v>
      </c>
      <c r="C2584" s="3" t="s">
        <v>1383</v>
      </c>
      <c r="D2584" s="3" t="s">
        <v>1384</v>
      </c>
      <c r="E2584" s="3" t="s">
        <v>867</v>
      </c>
      <c r="F2584" s="3">
        <v>26.98</v>
      </c>
      <c r="G2584" s="3" t="s">
        <v>3391</v>
      </c>
      <c r="H2584" s="3"/>
      <c r="I2584" s="3" t="s">
        <v>3392</v>
      </c>
      <c r="J2584" s="3">
        <v>2</v>
      </c>
      <c r="K2584" s="3">
        <v>2</v>
      </c>
      <c r="L2584" s="3">
        <v>0</v>
      </c>
      <c r="M2584" s="3">
        <v>0</v>
      </c>
      <c r="N2584" s="3">
        <v>2</v>
      </c>
      <c r="O2584" s="3">
        <v>0.13</v>
      </c>
      <c r="P2584" s="3">
        <v>0</v>
      </c>
      <c r="Q2584" s="3">
        <v>0</v>
      </c>
      <c r="R2584" s="3">
        <v>0</v>
      </c>
    </row>
    <row r="2585" spans="1:18">
      <c r="A2585" s="3" t="s">
        <v>2819</v>
      </c>
      <c r="B2585" s="3" t="s">
        <v>2820</v>
      </c>
      <c r="C2585" s="3" t="s">
        <v>2820</v>
      </c>
      <c r="D2585" s="3" t="s">
        <v>2821</v>
      </c>
      <c r="E2585" s="3" t="s">
        <v>867</v>
      </c>
      <c r="F2585" s="3">
        <v>26.98</v>
      </c>
      <c r="G2585" s="3" t="s">
        <v>3391</v>
      </c>
      <c r="H2585" s="3"/>
      <c r="I2585" s="3" t="s">
        <v>3392</v>
      </c>
      <c r="J2585" s="3">
        <v>2</v>
      </c>
      <c r="K2585" s="3">
        <v>2</v>
      </c>
      <c r="L2585" s="3">
        <v>0</v>
      </c>
      <c r="M2585" s="3">
        <v>0</v>
      </c>
      <c r="N2585" s="3">
        <v>2</v>
      </c>
      <c r="O2585" s="3">
        <v>0.13</v>
      </c>
      <c r="P2585" s="3">
        <v>0</v>
      </c>
      <c r="Q2585" s="3">
        <v>0</v>
      </c>
      <c r="R2585" s="3">
        <v>0</v>
      </c>
    </row>
    <row r="2586" spans="1:18">
      <c r="A2586" s="3" t="s">
        <v>724</v>
      </c>
      <c r="B2586" s="3" t="s">
        <v>725</v>
      </c>
      <c r="C2586" s="3" t="s">
        <v>725</v>
      </c>
      <c r="D2586" s="3" t="s">
        <v>726</v>
      </c>
      <c r="E2586" s="3" t="s">
        <v>867</v>
      </c>
      <c r="F2586" s="3">
        <v>26.98</v>
      </c>
      <c r="G2586" s="3" t="s">
        <v>3391</v>
      </c>
      <c r="H2586" s="3"/>
      <c r="I2586" s="3" t="s">
        <v>3392</v>
      </c>
      <c r="J2586" s="3">
        <v>2</v>
      </c>
      <c r="K2586" s="3">
        <v>1</v>
      </c>
      <c r="L2586" s="3">
        <v>0</v>
      </c>
      <c r="M2586" s="3">
        <v>1</v>
      </c>
      <c r="N2586" s="3">
        <v>2</v>
      </c>
      <c r="O2586" s="3">
        <v>0.13</v>
      </c>
      <c r="P2586" s="3">
        <v>0</v>
      </c>
      <c r="Q2586" s="3">
        <v>0</v>
      </c>
      <c r="R2586" s="3">
        <v>0</v>
      </c>
    </row>
    <row r="2587" spans="1:18">
      <c r="A2587" s="3" t="s">
        <v>2944</v>
      </c>
      <c r="B2587" s="3" t="s">
        <v>2945</v>
      </c>
      <c r="C2587" s="3" t="s">
        <v>2945</v>
      </c>
      <c r="D2587" s="3" t="s">
        <v>2946</v>
      </c>
      <c r="E2587" s="3" t="s">
        <v>867</v>
      </c>
      <c r="F2587" s="3">
        <v>26.98</v>
      </c>
      <c r="G2587" s="3" t="s">
        <v>3391</v>
      </c>
      <c r="H2587" s="3"/>
      <c r="I2587" s="3" t="s">
        <v>3392</v>
      </c>
      <c r="J2587" s="3">
        <v>3</v>
      </c>
      <c r="K2587" s="3">
        <v>3</v>
      </c>
      <c r="L2587" s="3">
        <v>0</v>
      </c>
      <c r="M2587" s="3">
        <v>0</v>
      </c>
      <c r="N2587" s="3">
        <v>3</v>
      </c>
      <c r="O2587" s="3">
        <v>0.13</v>
      </c>
      <c r="P2587" s="3">
        <v>0</v>
      </c>
      <c r="Q2587" s="3">
        <v>0</v>
      </c>
      <c r="R2587" s="3">
        <v>0</v>
      </c>
    </row>
    <row r="2588" spans="1:18">
      <c r="A2588" s="3" t="s">
        <v>7407</v>
      </c>
      <c r="B2588" s="3" t="s">
        <v>6853</v>
      </c>
      <c r="C2588" s="3" t="s">
        <v>6853</v>
      </c>
      <c r="D2588" s="3" t="s">
        <v>6854</v>
      </c>
      <c r="E2588" s="3" t="s">
        <v>867</v>
      </c>
      <c r="F2588" s="3">
        <v>26.98</v>
      </c>
      <c r="G2588" s="3" t="s">
        <v>3391</v>
      </c>
      <c r="H2588" s="3"/>
      <c r="I2588" s="3" t="s">
        <v>3392</v>
      </c>
      <c r="J2588" s="3">
        <v>0</v>
      </c>
      <c r="K2588" s="3">
        <v>0</v>
      </c>
      <c r="L2588" s="3">
        <v>0</v>
      </c>
      <c r="M2588" s="3">
        <v>0</v>
      </c>
      <c r="N2588" s="3">
        <v>0</v>
      </c>
      <c r="O2588" s="3">
        <v>0.13</v>
      </c>
      <c r="P2588" s="3">
        <v>0</v>
      </c>
      <c r="Q2588" s="3">
        <v>0</v>
      </c>
      <c r="R2588" s="3">
        <v>0</v>
      </c>
    </row>
    <row r="2589" spans="1:18">
      <c r="A2589" s="3" t="s">
        <v>7408</v>
      </c>
      <c r="B2589" s="3" t="s">
        <v>6857</v>
      </c>
      <c r="C2589" s="3" t="s">
        <v>6857</v>
      </c>
      <c r="D2589" s="3" t="s">
        <v>6858</v>
      </c>
      <c r="E2589" s="3" t="s">
        <v>867</v>
      </c>
      <c r="F2589" s="3">
        <v>26.98</v>
      </c>
      <c r="G2589" s="3" t="s">
        <v>3391</v>
      </c>
      <c r="H2589" s="3"/>
      <c r="I2589" s="3" t="s">
        <v>3392</v>
      </c>
      <c r="J2589" s="3">
        <v>0</v>
      </c>
      <c r="K2589" s="3">
        <v>0</v>
      </c>
      <c r="L2589" s="3">
        <v>0</v>
      </c>
      <c r="M2589" s="3">
        <v>0</v>
      </c>
      <c r="N2589" s="3">
        <v>0</v>
      </c>
      <c r="O2589" s="3">
        <v>0.13</v>
      </c>
      <c r="P2589" s="3">
        <v>0</v>
      </c>
      <c r="Q2589" s="3">
        <v>0</v>
      </c>
      <c r="R2589" s="3">
        <v>0</v>
      </c>
    </row>
    <row r="2590" spans="1:18">
      <c r="A2590" s="3" t="s">
        <v>2474</v>
      </c>
      <c r="B2590" s="3" t="s">
        <v>2475</v>
      </c>
      <c r="C2590" s="3" t="s">
        <v>2475</v>
      </c>
      <c r="D2590" s="3" t="s">
        <v>2476</v>
      </c>
      <c r="E2590" s="3" t="s">
        <v>867</v>
      </c>
      <c r="F2590" s="3">
        <v>26.98</v>
      </c>
      <c r="G2590" s="3" t="s">
        <v>3391</v>
      </c>
      <c r="H2590" s="3"/>
      <c r="I2590" s="3" t="s">
        <v>3392</v>
      </c>
      <c r="J2590" s="3">
        <v>2</v>
      </c>
      <c r="K2590" s="3">
        <v>2</v>
      </c>
      <c r="L2590" s="3">
        <v>0</v>
      </c>
      <c r="M2590" s="3">
        <v>0</v>
      </c>
      <c r="N2590" s="3">
        <v>2</v>
      </c>
      <c r="O2590" s="3">
        <v>0.13</v>
      </c>
      <c r="P2590" s="3">
        <v>0</v>
      </c>
      <c r="Q2590" s="3">
        <v>0</v>
      </c>
      <c r="R2590" s="3">
        <v>0</v>
      </c>
    </row>
    <row r="2591" spans="1:18">
      <c r="A2591" s="3" t="s">
        <v>2275</v>
      </c>
      <c r="B2591" s="3" t="s">
        <v>2276</v>
      </c>
      <c r="C2591" s="3" t="s">
        <v>2276</v>
      </c>
      <c r="D2591" s="3" t="s">
        <v>2277</v>
      </c>
      <c r="E2591" s="3" t="s">
        <v>867</v>
      </c>
      <c r="F2591" s="3">
        <v>26.98</v>
      </c>
      <c r="G2591" s="3" t="s">
        <v>3391</v>
      </c>
      <c r="H2591" s="3"/>
      <c r="I2591" s="3" t="s">
        <v>3392</v>
      </c>
      <c r="J2591" s="3">
        <v>4</v>
      </c>
      <c r="K2591" s="3">
        <v>3</v>
      </c>
      <c r="L2591" s="3">
        <v>1</v>
      </c>
      <c r="M2591" s="3">
        <v>0</v>
      </c>
      <c r="N2591" s="3">
        <v>4</v>
      </c>
      <c r="O2591" s="3">
        <v>0.13</v>
      </c>
      <c r="P2591" s="3">
        <v>0</v>
      </c>
      <c r="Q2591" s="3">
        <v>0</v>
      </c>
      <c r="R2591" s="3">
        <v>0</v>
      </c>
    </row>
    <row r="2592" spans="1:18">
      <c r="A2592" s="3" t="s">
        <v>3025</v>
      </c>
      <c r="B2592" s="3" t="s">
        <v>3026</v>
      </c>
      <c r="C2592" s="3" t="s">
        <v>3026</v>
      </c>
      <c r="D2592" s="3" t="s">
        <v>3027</v>
      </c>
      <c r="E2592" s="3" t="s">
        <v>867</v>
      </c>
      <c r="F2592" s="3">
        <v>26.98</v>
      </c>
      <c r="G2592" s="3" t="s">
        <v>3391</v>
      </c>
      <c r="H2592" s="3"/>
      <c r="I2592" s="3" t="s">
        <v>3392</v>
      </c>
      <c r="J2592" s="3">
        <v>5</v>
      </c>
      <c r="K2592" s="3">
        <v>5</v>
      </c>
      <c r="L2592" s="3">
        <v>0</v>
      </c>
      <c r="M2592" s="3">
        <v>0</v>
      </c>
      <c r="N2592" s="3">
        <v>5</v>
      </c>
      <c r="O2592" s="3">
        <v>0.13</v>
      </c>
      <c r="P2592" s="3">
        <v>0</v>
      </c>
      <c r="Q2592" s="3">
        <v>0</v>
      </c>
      <c r="R2592" s="3">
        <v>0</v>
      </c>
    </row>
    <row r="2593" spans="1:18">
      <c r="A2593" s="3" t="s">
        <v>7409</v>
      </c>
      <c r="B2593" s="3" t="s">
        <v>6867</v>
      </c>
      <c r="C2593" s="3" t="s">
        <v>6867</v>
      </c>
      <c r="D2593" s="3" t="s">
        <v>6868</v>
      </c>
      <c r="E2593" s="3" t="s">
        <v>867</v>
      </c>
      <c r="F2593" s="3">
        <v>26.98</v>
      </c>
      <c r="G2593" s="3" t="s">
        <v>3391</v>
      </c>
      <c r="H2593" s="3"/>
      <c r="I2593" s="3" t="s">
        <v>3392</v>
      </c>
      <c r="J2593" s="3">
        <v>0</v>
      </c>
      <c r="K2593" s="3">
        <v>0</v>
      </c>
      <c r="L2593" s="3">
        <v>0</v>
      </c>
      <c r="M2593" s="3">
        <v>0</v>
      </c>
      <c r="N2593" s="3">
        <v>0</v>
      </c>
      <c r="O2593" s="3">
        <v>0.13</v>
      </c>
      <c r="P2593" s="3">
        <v>0</v>
      </c>
      <c r="Q2593" s="3">
        <v>0</v>
      </c>
      <c r="R2593" s="3">
        <v>0</v>
      </c>
    </row>
    <row r="2594" spans="1:18">
      <c r="A2594" s="3" t="s">
        <v>3227</v>
      </c>
      <c r="B2594" s="3" t="s">
        <v>3228</v>
      </c>
      <c r="C2594" s="3" t="s">
        <v>3228</v>
      </c>
      <c r="D2594" s="3" t="s">
        <v>3229</v>
      </c>
      <c r="E2594" s="3" t="s">
        <v>867</v>
      </c>
      <c r="F2594" s="3">
        <v>26.98</v>
      </c>
      <c r="G2594" s="3" t="s">
        <v>3391</v>
      </c>
      <c r="H2594" s="3"/>
      <c r="I2594" s="3" t="s">
        <v>3392</v>
      </c>
      <c r="J2594" s="3">
        <v>2</v>
      </c>
      <c r="K2594" s="3">
        <v>2</v>
      </c>
      <c r="L2594" s="3">
        <v>0</v>
      </c>
      <c r="M2594" s="3">
        <v>0</v>
      </c>
      <c r="N2594" s="3">
        <v>2</v>
      </c>
      <c r="O2594" s="3">
        <v>0.13</v>
      </c>
      <c r="P2594" s="3">
        <v>0</v>
      </c>
      <c r="Q2594" s="3">
        <v>0</v>
      </c>
      <c r="R2594" s="3">
        <v>0</v>
      </c>
    </row>
    <row r="2595" spans="1:18">
      <c r="A2595" s="3" t="s">
        <v>1598</v>
      </c>
      <c r="B2595" s="3" t="s">
        <v>1599</v>
      </c>
      <c r="C2595" s="3" t="s">
        <v>1599</v>
      </c>
      <c r="D2595" s="3" t="s">
        <v>1600</v>
      </c>
      <c r="E2595" s="3" t="s">
        <v>867</v>
      </c>
      <c r="F2595" s="3">
        <v>26.98</v>
      </c>
      <c r="G2595" s="3" t="s">
        <v>3391</v>
      </c>
      <c r="H2595" s="3"/>
      <c r="I2595" s="3" t="s">
        <v>3392</v>
      </c>
      <c r="J2595" s="3">
        <v>5</v>
      </c>
      <c r="K2595" s="3">
        <v>5</v>
      </c>
      <c r="L2595" s="3">
        <v>0</v>
      </c>
      <c r="M2595" s="3">
        <v>0</v>
      </c>
      <c r="N2595" s="3">
        <v>5</v>
      </c>
      <c r="O2595" s="3">
        <v>0.13</v>
      </c>
      <c r="P2595" s="3">
        <v>0</v>
      </c>
      <c r="Q2595" s="3">
        <v>0</v>
      </c>
      <c r="R2595" s="3">
        <v>0</v>
      </c>
    </row>
    <row r="2596" spans="1:18">
      <c r="A2596" s="3" t="s">
        <v>2093</v>
      </c>
      <c r="B2596" s="3" t="s">
        <v>1306</v>
      </c>
      <c r="C2596" s="3" t="s">
        <v>1306</v>
      </c>
      <c r="D2596" s="3" t="s">
        <v>1307</v>
      </c>
      <c r="E2596" s="3" t="s">
        <v>867</v>
      </c>
      <c r="F2596" s="3">
        <v>20.98</v>
      </c>
      <c r="G2596" s="3" t="s">
        <v>3391</v>
      </c>
      <c r="H2596" s="3"/>
      <c r="I2596" s="3" t="s">
        <v>3392</v>
      </c>
      <c r="J2596" s="3">
        <v>1</v>
      </c>
      <c r="K2596" s="3">
        <v>1</v>
      </c>
      <c r="L2596" s="3">
        <v>0</v>
      </c>
      <c r="M2596" s="3">
        <v>0</v>
      </c>
      <c r="N2596" s="3">
        <v>1</v>
      </c>
      <c r="O2596" s="3">
        <v>0.11</v>
      </c>
      <c r="P2596" s="3">
        <v>0</v>
      </c>
      <c r="Q2596" s="3">
        <v>0</v>
      </c>
      <c r="R2596" s="3">
        <v>0</v>
      </c>
    </row>
    <row r="2597" spans="1:18">
      <c r="A2597" s="3" t="s">
        <v>1138</v>
      </c>
      <c r="B2597" s="3" t="s">
        <v>1139</v>
      </c>
      <c r="C2597" s="3" t="s">
        <v>1139</v>
      </c>
      <c r="D2597" s="3" t="s">
        <v>1140</v>
      </c>
      <c r="E2597" s="3" t="s">
        <v>867</v>
      </c>
      <c r="F2597" s="3">
        <v>20.98</v>
      </c>
      <c r="G2597" s="3" t="s">
        <v>3391</v>
      </c>
      <c r="H2597" s="3"/>
      <c r="I2597" s="3" t="s">
        <v>3392</v>
      </c>
      <c r="J2597" s="3">
        <v>4</v>
      </c>
      <c r="K2597" s="3">
        <v>4</v>
      </c>
      <c r="L2597" s="3">
        <v>0</v>
      </c>
      <c r="M2597" s="3">
        <v>0</v>
      </c>
      <c r="N2597" s="3">
        <v>4</v>
      </c>
      <c r="O2597" s="3">
        <v>0.08</v>
      </c>
      <c r="P2597" s="3">
        <v>0</v>
      </c>
      <c r="Q2597" s="3">
        <v>0</v>
      </c>
      <c r="R2597" s="3">
        <v>0</v>
      </c>
    </row>
    <row r="2598" spans="1:18">
      <c r="A2598" s="3" t="s">
        <v>2449</v>
      </c>
      <c r="B2598" s="3" t="s">
        <v>2450</v>
      </c>
      <c r="C2598" s="3" t="s">
        <v>2450</v>
      </c>
      <c r="D2598" s="3" t="s">
        <v>2451</v>
      </c>
      <c r="E2598" s="3" t="s">
        <v>867</v>
      </c>
      <c r="F2598" s="3">
        <v>20.98</v>
      </c>
      <c r="G2598" s="3" t="s">
        <v>3391</v>
      </c>
      <c r="H2598" s="3"/>
      <c r="I2598" s="3" t="s">
        <v>3392</v>
      </c>
      <c r="J2598" s="3">
        <v>1</v>
      </c>
      <c r="K2598" s="3">
        <v>1</v>
      </c>
      <c r="L2598" s="3">
        <v>0</v>
      </c>
      <c r="M2598" s="3">
        <v>0</v>
      </c>
      <c r="N2598" s="3">
        <v>1</v>
      </c>
      <c r="O2598" s="3">
        <v>0.08</v>
      </c>
      <c r="P2598" s="3">
        <v>0</v>
      </c>
      <c r="Q2598" s="3">
        <v>0</v>
      </c>
      <c r="R2598" s="3">
        <v>0</v>
      </c>
    </row>
    <row r="2599" spans="1:18">
      <c r="A2599" s="3" t="s">
        <v>1902</v>
      </c>
      <c r="B2599" s="3" t="s">
        <v>1903</v>
      </c>
      <c r="C2599" s="3" t="s">
        <v>1903</v>
      </c>
      <c r="D2599" s="3" t="s">
        <v>1904</v>
      </c>
      <c r="E2599" s="3" t="s">
        <v>867</v>
      </c>
      <c r="F2599" s="3">
        <v>20.98</v>
      </c>
      <c r="G2599" s="3" t="s">
        <v>3391</v>
      </c>
      <c r="H2599" s="3"/>
      <c r="I2599" s="3" t="s">
        <v>3392</v>
      </c>
      <c r="J2599" s="3">
        <v>7</v>
      </c>
      <c r="K2599" s="3">
        <v>7</v>
      </c>
      <c r="L2599" s="3">
        <v>0</v>
      </c>
      <c r="M2599" s="3">
        <v>0</v>
      </c>
      <c r="N2599" s="3">
        <v>7</v>
      </c>
      <c r="O2599" s="3">
        <v>0.08</v>
      </c>
      <c r="P2599" s="3">
        <v>0</v>
      </c>
      <c r="Q2599" s="3">
        <v>0</v>
      </c>
      <c r="R2599" s="3">
        <v>0</v>
      </c>
    </row>
    <row r="2600" spans="1:18">
      <c r="A2600" s="3" t="s">
        <v>1758</v>
      </c>
      <c r="B2600" s="3" t="s">
        <v>1759</v>
      </c>
      <c r="C2600" s="3" t="s">
        <v>1759</v>
      </c>
      <c r="D2600" s="3" t="s">
        <v>1760</v>
      </c>
      <c r="E2600" s="3" t="s">
        <v>867</v>
      </c>
      <c r="F2600" s="3">
        <v>20.98</v>
      </c>
      <c r="G2600" s="3" t="s">
        <v>3391</v>
      </c>
      <c r="H2600" s="3"/>
      <c r="I2600" s="3" t="s">
        <v>3392</v>
      </c>
      <c r="J2600" s="3">
        <v>16</v>
      </c>
      <c r="K2600" s="3">
        <v>16</v>
      </c>
      <c r="L2600" s="3">
        <v>0</v>
      </c>
      <c r="M2600" s="3">
        <v>0</v>
      </c>
      <c r="N2600" s="3">
        <v>16</v>
      </c>
      <c r="O2600" s="3">
        <v>0.08</v>
      </c>
      <c r="P2600" s="3">
        <v>0</v>
      </c>
      <c r="Q2600" s="3">
        <v>0</v>
      </c>
      <c r="R2600" s="3">
        <v>0</v>
      </c>
    </row>
    <row r="2601" spans="1:18">
      <c r="A2601" s="3" t="s">
        <v>1385</v>
      </c>
      <c r="B2601" s="3" t="s">
        <v>1386</v>
      </c>
      <c r="C2601" s="3" t="s">
        <v>1386</v>
      </c>
      <c r="D2601" s="3" t="s">
        <v>1387</v>
      </c>
      <c r="E2601" s="3" t="s">
        <v>867</v>
      </c>
      <c r="F2601" s="3">
        <v>20.98</v>
      </c>
      <c r="G2601" s="3" t="s">
        <v>3391</v>
      </c>
      <c r="H2601" s="3"/>
      <c r="I2601" s="3" t="s">
        <v>3392</v>
      </c>
      <c r="J2601" s="3">
        <v>14</v>
      </c>
      <c r="K2601" s="3">
        <v>14</v>
      </c>
      <c r="L2601" s="3">
        <v>0</v>
      </c>
      <c r="M2601" s="3">
        <v>0</v>
      </c>
      <c r="N2601" s="3">
        <v>14</v>
      </c>
      <c r="O2601" s="3">
        <v>0.08</v>
      </c>
      <c r="P2601" s="3">
        <v>0</v>
      </c>
      <c r="Q2601" s="3">
        <v>0</v>
      </c>
      <c r="R2601" s="3">
        <v>0</v>
      </c>
    </row>
    <row r="2602" spans="1:18">
      <c r="A2602" s="3" t="s">
        <v>1399</v>
      </c>
      <c r="B2602" s="3" t="s">
        <v>1400</v>
      </c>
      <c r="C2602" s="3" t="s">
        <v>1400</v>
      </c>
      <c r="D2602" s="3" t="s">
        <v>1401</v>
      </c>
      <c r="E2602" s="3" t="s">
        <v>867</v>
      </c>
      <c r="F2602" s="3">
        <v>20.98</v>
      </c>
      <c r="G2602" s="3" t="s">
        <v>3391</v>
      </c>
      <c r="H2602" s="3"/>
      <c r="I2602" s="3" t="s">
        <v>3392</v>
      </c>
      <c r="J2602" s="3">
        <v>4</v>
      </c>
      <c r="K2602" s="3">
        <v>4</v>
      </c>
      <c r="L2602" s="3">
        <v>0</v>
      </c>
      <c r="M2602" s="3">
        <v>0</v>
      </c>
      <c r="N2602" s="3">
        <v>4</v>
      </c>
      <c r="O2602" s="3">
        <v>0.08</v>
      </c>
      <c r="P2602" s="3">
        <v>0</v>
      </c>
      <c r="Q2602" s="3">
        <v>0</v>
      </c>
      <c r="R2602" s="3">
        <v>0</v>
      </c>
    </row>
    <row r="2603" spans="1:18">
      <c r="A2603" s="3" t="s">
        <v>2961</v>
      </c>
      <c r="B2603" s="3" t="s">
        <v>2962</v>
      </c>
      <c r="C2603" s="3" t="s">
        <v>2962</v>
      </c>
      <c r="D2603" s="3" t="s">
        <v>2963</v>
      </c>
      <c r="E2603" s="3" t="s">
        <v>867</v>
      </c>
      <c r="F2603" s="3">
        <v>20.98</v>
      </c>
      <c r="G2603" s="3" t="s">
        <v>3391</v>
      </c>
      <c r="H2603" s="3"/>
      <c r="I2603" s="3" t="s">
        <v>3392</v>
      </c>
      <c r="J2603" s="3">
        <v>14</v>
      </c>
      <c r="K2603" s="3">
        <v>14</v>
      </c>
      <c r="L2603" s="3">
        <v>0</v>
      </c>
      <c r="M2603" s="3">
        <v>0</v>
      </c>
      <c r="N2603" s="3">
        <v>14</v>
      </c>
      <c r="O2603" s="3">
        <v>0.08</v>
      </c>
      <c r="P2603" s="3">
        <v>0</v>
      </c>
      <c r="Q2603" s="3">
        <v>0</v>
      </c>
      <c r="R2603" s="3">
        <v>0</v>
      </c>
    </row>
    <row r="2604" spans="1:18">
      <c r="A2604" s="3" t="s">
        <v>727</v>
      </c>
      <c r="B2604" s="3" t="s">
        <v>728</v>
      </c>
      <c r="C2604" s="3" t="s">
        <v>728</v>
      </c>
      <c r="D2604" s="3" t="s">
        <v>729</v>
      </c>
      <c r="E2604" s="3" t="s">
        <v>867</v>
      </c>
      <c r="F2604" s="3">
        <v>20.98</v>
      </c>
      <c r="G2604" s="3" t="s">
        <v>3391</v>
      </c>
      <c r="H2604" s="3"/>
      <c r="I2604" s="3" t="s">
        <v>3392</v>
      </c>
      <c r="J2604" s="3">
        <v>5</v>
      </c>
      <c r="K2604" s="3">
        <v>4</v>
      </c>
      <c r="L2604" s="3">
        <v>0</v>
      </c>
      <c r="M2604" s="3">
        <v>1</v>
      </c>
      <c r="N2604" s="3">
        <v>5</v>
      </c>
      <c r="O2604" s="3">
        <v>0.08</v>
      </c>
      <c r="P2604" s="3">
        <v>0</v>
      </c>
      <c r="Q2604" s="3">
        <v>0</v>
      </c>
      <c r="R2604" s="3">
        <v>0</v>
      </c>
    </row>
    <row r="2605" spans="1:18">
      <c r="A2605" s="3" t="s">
        <v>7410</v>
      </c>
      <c r="B2605" s="3" t="s">
        <v>2374</v>
      </c>
      <c r="C2605" s="3" t="s">
        <v>2374</v>
      </c>
      <c r="D2605" s="3" t="s">
        <v>2375</v>
      </c>
      <c r="E2605" s="3" t="s">
        <v>867</v>
      </c>
      <c r="F2605" s="3">
        <v>20.98</v>
      </c>
      <c r="G2605" s="3" t="s">
        <v>3391</v>
      </c>
      <c r="H2605" s="3"/>
      <c r="I2605" s="3" t="s">
        <v>3392</v>
      </c>
      <c r="J2605" s="3">
        <v>0</v>
      </c>
      <c r="K2605" s="3">
        <v>0</v>
      </c>
      <c r="L2605" s="3">
        <v>0</v>
      </c>
      <c r="M2605" s="3">
        <v>0</v>
      </c>
      <c r="N2605" s="3">
        <v>0</v>
      </c>
      <c r="O2605" s="3">
        <v>0.08</v>
      </c>
      <c r="P2605" s="3">
        <v>0</v>
      </c>
      <c r="Q2605" s="3">
        <v>0</v>
      </c>
      <c r="R2605" s="3">
        <v>0</v>
      </c>
    </row>
    <row r="2606" spans="1:18">
      <c r="A2606" s="3" t="s">
        <v>2446</v>
      </c>
      <c r="B2606" s="3" t="s">
        <v>2447</v>
      </c>
      <c r="C2606" s="3" t="s">
        <v>2447</v>
      </c>
      <c r="D2606" s="3" t="s">
        <v>2448</v>
      </c>
      <c r="E2606" s="3" t="s">
        <v>867</v>
      </c>
      <c r="F2606" s="3">
        <v>20.98</v>
      </c>
      <c r="G2606" s="3" t="s">
        <v>3391</v>
      </c>
      <c r="H2606" s="3"/>
      <c r="I2606" s="3" t="s">
        <v>3392</v>
      </c>
      <c r="J2606" s="3">
        <v>1</v>
      </c>
      <c r="K2606" s="3">
        <v>1</v>
      </c>
      <c r="L2606" s="3">
        <v>0</v>
      </c>
      <c r="M2606" s="3">
        <v>0</v>
      </c>
      <c r="N2606" s="3">
        <v>1</v>
      </c>
      <c r="O2606" s="3">
        <v>0.08</v>
      </c>
      <c r="P2606" s="3">
        <v>0</v>
      </c>
      <c r="Q2606" s="3">
        <v>0</v>
      </c>
      <c r="R2606" s="3">
        <v>0</v>
      </c>
    </row>
    <row r="2607" spans="1:18">
      <c r="A2607" s="3" t="s">
        <v>718</v>
      </c>
      <c r="B2607" s="3" t="s">
        <v>719</v>
      </c>
      <c r="C2607" s="3" t="s">
        <v>719</v>
      </c>
      <c r="D2607" s="3" t="s">
        <v>720</v>
      </c>
      <c r="E2607" s="3" t="s">
        <v>867</v>
      </c>
      <c r="F2607" s="3">
        <v>20.98</v>
      </c>
      <c r="G2607" s="3" t="s">
        <v>3391</v>
      </c>
      <c r="H2607" s="3"/>
      <c r="I2607" s="3" t="s">
        <v>3392</v>
      </c>
      <c r="J2607" s="3">
        <v>2</v>
      </c>
      <c r="K2607" s="3">
        <v>0</v>
      </c>
      <c r="L2607" s="3">
        <v>0</v>
      </c>
      <c r="M2607" s="3">
        <v>2</v>
      </c>
      <c r="N2607" s="3">
        <v>2</v>
      </c>
      <c r="O2607" s="3">
        <v>0.08</v>
      </c>
      <c r="P2607" s="3">
        <v>0</v>
      </c>
      <c r="Q2607" s="3">
        <v>0</v>
      </c>
      <c r="R2607" s="3">
        <v>0</v>
      </c>
    </row>
    <row r="2608" spans="1:18">
      <c r="A2608" s="3" t="s">
        <v>3128</v>
      </c>
      <c r="B2608" s="3" t="s">
        <v>3129</v>
      </c>
      <c r="C2608" s="3" t="s">
        <v>3129</v>
      </c>
      <c r="D2608" s="3" t="s">
        <v>3130</v>
      </c>
      <c r="E2608" s="3" t="s">
        <v>867</v>
      </c>
      <c r="F2608" s="3">
        <v>20.98</v>
      </c>
      <c r="G2608" s="3" t="s">
        <v>3391</v>
      </c>
      <c r="H2608" s="3"/>
      <c r="I2608" s="3" t="s">
        <v>3392</v>
      </c>
      <c r="J2608" s="3">
        <v>1</v>
      </c>
      <c r="K2608" s="3">
        <v>1</v>
      </c>
      <c r="L2608" s="3">
        <v>0</v>
      </c>
      <c r="M2608" s="3">
        <v>0</v>
      </c>
      <c r="N2608" s="3">
        <v>1</v>
      </c>
      <c r="O2608" s="3">
        <v>0.08</v>
      </c>
      <c r="P2608" s="3">
        <v>0</v>
      </c>
      <c r="Q2608" s="3">
        <v>0</v>
      </c>
      <c r="R2608" s="3">
        <v>0</v>
      </c>
    </row>
    <row r="2609" spans="1:18">
      <c r="A2609" s="3" t="s">
        <v>2870</v>
      </c>
      <c r="B2609" s="3" t="s">
        <v>2871</v>
      </c>
      <c r="C2609" s="3" t="s">
        <v>2871</v>
      </c>
      <c r="D2609" s="3" t="s">
        <v>2872</v>
      </c>
      <c r="E2609" s="3" t="s">
        <v>867</v>
      </c>
      <c r="F2609" s="3">
        <v>20.98</v>
      </c>
      <c r="G2609" s="3" t="s">
        <v>3391</v>
      </c>
      <c r="H2609" s="3"/>
      <c r="I2609" s="3" t="s">
        <v>3392</v>
      </c>
      <c r="J2609" s="3">
        <v>1</v>
      </c>
      <c r="K2609" s="3">
        <v>1</v>
      </c>
      <c r="L2609" s="3">
        <v>0</v>
      </c>
      <c r="M2609" s="3">
        <v>0</v>
      </c>
      <c r="N2609" s="3">
        <v>1</v>
      </c>
      <c r="O2609" s="3">
        <v>0.08</v>
      </c>
      <c r="P2609" s="3">
        <v>0</v>
      </c>
      <c r="Q2609" s="3">
        <v>0</v>
      </c>
      <c r="R2609" s="3">
        <v>0</v>
      </c>
    </row>
    <row r="2610" spans="1:18">
      <c r="A2610" s="3" t="s">
        <v>2361</v>
      </c>
      <c r="B2610" s="3" t="s">
        <v>2362</v>
      </c>
      <c r="C2610" s="3" t="s">
        <v>2362</v>
      </c>
      <c r="D2610" s="3" t="s">
        <v>2363</v>
      </c>
      <c r="E2610" s="3" t="s">
        <v>867</v>
      </c>
      <c r="F2610" s="3">
        <v>20.98</v>
      </c>
      <c r="G2610" s="3" t="s">
        <v>3391</v>
      </c>
      <c r="H2610" s="3"/>
      <c r="I2610" s="3" t="s">
        <v>3392</v>
      </c>
      <c r="J2610" s="3">
        <v>3</v>
      </c>
      <c r="K2610" s="3">
        <v>3</v>
      </c>
      <c r="L2610" s="3">
        <v>0</v>
      </c>
      <c r="M2610" s="3">
        <v>0</v>
      </c>
      <c r="N2610" s="3">
        <v>3</v>
      </c>
      <c r="O2610" s="3">
        <v>0.07</v>
      </c>
      <c r="P2610" s="3">
        <v>0</v>
      </c>
      <c r="Q2610" s="3">
        <v>0</v>
      </c>
      <c r="R2610" s="3">
        <v>0</v>
      </c>
    </row>
    <row r="2611" spans="1:18">
      <c r="A2611" s="3" t="s">
        <v>1218</v>
      </c>
      <c r="B2611" s="3" t="s">
        <v>1104</v>
      </c>
      <c r="C2611" s="3" t="s">
        <v>1104</v>
      </c>
      <c r="D2611" s="3" t="s">
        <v>1105</v>
      </c>
      <c r="E2611" s="3" t="s">
        <v>867</v>
      </c>
      <c r="F2611" s="3">
        <v>20.98</v>
      </c>
      <c r="G2611" s="3" t="s">
        <v>3391</v>
      </c>
      <c r="H2611" s="3"/>
      <c r="I2611" s="3" t="s">
        <v>3392</v>
      </c>
      <c r="J2611" s="3">
        <v>1</v>
      </c>
      <c r="K2611" s="3">
        <v>1</v>
      </c>
      <c r="L2611" s="3">
        <v>0</v>
      </c>
      <c r="M2611" s="3">
        <v>0</v>
      </c>
      <c r="N2611" s="3">
        <v>1</v>
      </c>
      <c r="O2611" s="3">
        <v>0.08</v>
      </c>
      <c r="P2611" s="3">
        <v>0</v>
      </c>
      <c r="Q2611" s="3">
        <v>0</v>
      </c>
      <c r="R2611" s="3">
        <v>0</v>
      </c>
    </row>
    <row r="2612" spans="1:18">
      <c r="A2612" s="3" t="s">
        <v>715</v>
      </c>
      <c r="B2612" s="3" t="s">
        <v>716</v>
      </c>
      <c r="C2612" s="3" t="s">
        <v>716</v>
      </c>
      <c r="D2612" s="3" t="s">
        <v>717</v>
      </c>
      <c r="E2612" s="3" t="s">
        <v>867</v>
      </c>
      <c r="F2612" s="3">
        <v>20.98</v>
      </c>
      <c r="G2612" s="3" t="s">
        <v>3391</v>
      </c>
      <c r="H2612" s="3"/>
      <c r="I2612" s="3" t="s">
        <v>3392</v>
      </c>
      <c r="J2612" s="3">
        <v>11</v>
      </c>
      <c r="K2612" s="3">
        <v>10</v>
      </c>
      <c r="L2612" s="3">
        <v>0</v>
      </c>
      <c r="M2612" s="3">
        <v>1</v>
      </c>
      <c r="N2612" s="3">
        <v>11</v>
      </c>
      <c r="O2612" s="3">
        <v>0.08</v>
      </c>
      <c r="P2612" s="3">
        <v>0</v>
      </c>
      <c r="Q2612" s="3">
        <v>0</v>
      </c>
      <c r="R2612" s="3">
        <v>0</v>
      </c>
    </row>
    <row r="2613" spans="1:18">
      <c r="A2613" s="3" t="s">
        <v>721</v>
      </c>
      <c r="B2613" s="3" t="s">
        <v>722</v>
      </c>
      <c r="C2613" s="3" t="s">
        <v>722</v>
      </c>
      <c r="D2613" s="3" t="s">
        <v>723</v>
      </c>
      <c r="E2613" s="3" t="s">
        <v>867</v>
      </c>
      <c r="F2613" s="3">
        <v>20.98</v>
      </c>
      <c r="G2613" s="3" t="s">
        <v>3391</v>
      </c>
      <c r="H2613" s="3"/>
      <c r="I2613" s="3" t="s">
        <v>3392</v>
      </c>
      <c r="J2613" s="3">
        <v>12</v>
      </c>
      <c r="K2613" s="3">
        <v>11</v>
      </c>
      <c r="L2613" s="3">
        <v>0</v>
      </c>
      <c r="M2613" s="3">
        <v>1</v>
      </c>
      <c r="N2613" s="3">
        <v>12</v>
      </c>
      <c r="O2613" s="3">
        <v>0.08</v>
      </c>
      <c r="P2613" s="3">
        <v>0</v>
      </c>
      <c r="Q2613" s="3">
        <v>0</v>
      </c>
      <c r="R2613" s="3">
        <v>0</v>
      </c>
    </row>
    <row r="2614" spans="1:18">
      <c r="A2614" s="3" t="s">
        <v>1064</v>
      </c>
      <c r="B2614" s="3" t="s">
        <v>1065</v>
      </c>
      <c r="C2614" s="3" t="s">
        <v>1065</v>
      </c>
      <c r="D2614" s="3" t="s">
        <v>1066</v>
      </c>
      <c r="E2614" s="3" t="s">
        <v>867</v>
      </c>
      <c r="F2614" s="3">
        <v>20.98</v>
      </c>
      <c r="G2614" s="3" t="s">
        <v>3391</v>
      </c>
      <c r="H2614" s="3"/>
      <c r="I2614" s="3" t="s">
        <v>3392</v>
      </c>
      <c r="J2614" s="3">
        <v>4</v>
      </c>
      <c r="K2614" s="3">
        <v>4</v>
      </c>
      <c r="L2614" s="3">
        <v>0</v>
      </c>
      <c r="M2614" s="3">
        <v>0</v>
      </c>
      <c r="N2614" s="3">
        <v>4</v>
      </c>
      <c r="O2614" s="3">
        <v>0.08</v>
      </c>
      <c r="P2614" s="3">
        <v>0</v>
      </c>
      <c r="Q2614" s="3">
        <v>0</v>
      </c>
      <c r="R2614" s="3">
        <v>0</v>
      </c>
    </row>
    <row r="2615" spans="1:18">
      <c r="A2615" s="3" t="s">
        <v>1893</v>
      </c>
      <c r="B2615" s="3" t="s">
        <v>1894</v>
      </c>
      <c r="C2615" s="3" t="s">
        <v>1894</v>
      </c>
      <c r="D2615" s="3" t="s">
        <v>1895</v>
      </c>
      <c r="E2615" s="3" t="s">
        <v>867</v>
      </c>
      <c r="F2615" s="3">
        <v>20.98</v>
      </c>
      <c r="G2615" s="3" t="s">
        <v>3391</v>
      </c>
      <c r="H2615" s="3"/>
      <c r="I2615" s="3" t="s">
        <v>3392</v>
      </c>
      <c r="J2615" s="3">
        <v>8</v>
      </c>
      <c r="K2615" s="3">
        <v>8</v>
      </c>
      <c r="L2615" s="3">
        <v>0</v>
      </c>
      <c r="M2615" s="3">
        <v>0</v>
      </c>
      <c r="N2615" s="3">
        <v>8</v>
      </c>
      <c r="O2615" s="3">
        <v>0.05</v>
      </c>
      <c r="P2615" s="3">
        <v>0</v>
      </c>
      <c r="Q2615" s="3">
        <v>0</v>
      </c>
      <c r="R2615" s="3">
        <v>0</v>
      </c>
    </row>
    <row r="2616" spans="1:18">
      <c r="A2616" s="3" t="s">
        <v>1460</v>
      </c>
      <c r="B2616" s="3" t="s">
        <v>1461</v>
      </c>
      <c r="C2616" s="3" t="s">
        <v>1461</v>
      </c>
      <c r="D2616" s="3" t="s">
        <v>1462</v>
      </c>
      <c r="E2616" s="3" t="s">
        <v>867</v>
      </c>
      <c r="F2616" s="3">
        <v>20.98</v>
      </c>
      <c r="G2616" s="3" t="s">
        <v>3391</v>
      </c>
      <c r="H2616" s="3"/>
      <c r="I2616" s="3" t="s">
        <v>3392</v>
      </c>
      <c r="J2616" s="3">
        <v>6</v>
      </c>
      <c r="K2616" s="3">
        <v>6</v>
      </c>
      <c r="L2616" s="3">
        <v>0</v>
      </c>
      <c r="M2616" s="3">
        <v>0</v>
      </c>
      <c r="N2616" s="3">
        <v>6</v>
      </c>
      <c r="O2616" s="3">
        <v>0.08</v>
      </c>
      <c r="P2616" s="3">
        <v>0</v>
      </c>
      <c r="Q2616" s="3">
        <v>0</v>
      </c>
      <c r="R2616" s="3">
        <v>0</v>
      </c>
    </row>
    <row r="2617" spans="1:18">
      <c r="A2617" s="3" t="s">
        <v>1723</v>
      </c>
      <c r="B2617" s="3" t="s">
        <v>1521</v>
      </c>
      <c r="C2617" s="3" t="s">
        <v>1521</v>
      </c>
      <c r="D2617" s="3" t="s">
        <v>1522</v>
      </c>
      <c r="E2617" s="3" t="s">
        <v>867</v>
      </c>
      <c r="F2617" s="3">
        <v>20.98</v>
      </c>
      <c r="G2617" s="3" t="s">
        <v>3391</v>
      </c>
      <c r="H2617" s="3"/>
      <c r="I2617" s="3" t="s">
        <v>3392</v>
      </c>
      <c r="J2617" s="3">
        <v>1</v>
      </c>
      <c r="K2617" s="3">
        <v>1</v>
      </c>
      <c r="L2617" s="3">
        <v>0</v>
      </c>
      <c r="M2617" s="3">
        <v>0</v>
      </c>
      <c r="N2617" s="3">
        <v>1</v>
      </c>
      <c r="O2617" s="3">
        <v>0.08</v>
      </c>
      <c r="P2617" s="3">
        <v>0</v>
      </c>
      <c r="Q2617" s="3">
        <v>0</v>
      </c>
      <c r="R2617" s="3">
        <v>0</v>
      </c>
    </row>
    <row r="2618" spans="1:18">
      <c r="A2618" s="3" t="s">
        <v>2428</v>
      </c>
      <c r="B2618" s="3" t="s">
        <v>2429</v>
      </c>
      <c r="C2618" s="3" t="s">
        <v>2429</v>
      </c>
      <c r="D2618" s="3" t="s">
        <v>2430</v>
      </c>
      <c r="E2618" s="3" t="s">
        <v>867</v>
      </c>
      <c r="F2618" s="3">
        <v>20.98</v>
      </c>
      <c r="G2618" s="3" t="s">
        <v>3391</v>
      </c>
      <c r="H2618" s="3"/>
      <c r="I2618" s="3" t="s">
        <v>3392</v>
      </c>
      <c r="J2618" s="3">
        <v>8</v>
      </c>
      <c r="K2618" s="3">
        <v>8</v>
      </c>
      <c r="L2618" s="3">
        <v>0</v>
      </c>
      <c r="M2618" s="3">
        <v>0</v>
      </c>
      <c r="N2618" s="3">
        <v>8</v>
      </c>
      <c r="O2618" s="3">
        <v>0.08</v>
      </c>
      <c r="P2618" s="3">
        <v>0</v>
      </c>
      <c r="Q2618" s="3">
        <v>0</v>
      </c>
      <c r="R2618" s="3">
        <v>0</v>
      </c>
    </row>
    <row r="2619" spans="1:18">
      <c r="A2619" s="3" t="s">
        <v>1016</v>
      </c>
      <c r="B2619" s="3" t="s">
        <v>1017</v>
      </c>
      <c r="C2619" s="3" t="s">
        <v>1017</v>
      </c>
      <c r="D2619" s="3" t="s">
        <v>1018</v>
      </c>
      <c r="E2619" s="3" t="s">
        <v>867</v>
      </c>
      <c r="F2619" s="3">
        <v>20.98</v>
      </c>
      <c r="G2619" s="3" t="s">
        <v>3391</v>
      </c>
      <c r="H2619" s="3"/>
      <c r="I2619" s="3" t="s">
        <v>3392</v>
      </c>
      <c r="J2619" s="3">
        <v>3</v>
      </c>
      <c r="K2619" s="3">
        <v>3</v>
      </c>
      <c r="L2619" s="3">
        <v>0</v>
      </c>
      <c r="M2619" s="3">
        <v>0</v>
      </c>
      <c r="N2619" s="3">
        <v>3</v>
      </c>
      <c r="O2619" s="3">
        <v>0.08</v>
      </c>
      <c r="P2619" s="3">
        <v>0</v>
      </c>
      <c r="Q2619" s="3">
        <v>0</v>
      </c>
      <c r="R2619" s="3">
        <v>0</v>
      </c>
    </row>
    <row r="2620" spans="1:18">
      <c r="A2620" s="3" t="s">
        <v>7411</v>
      </c>
      <c r="B2620" s="3" t="s">
        <v>3220</v>
      </c>
      <c r="C2620" s="3" t="s">
        <v>3220</v>
      </c>
      <c r="D2620" s="3" t="s">
        <v>3221</v>
      </c>
      <c r="E2620" s="3" t="s">
        <v>867</v>
      </c>
      <c r="F2620" s="3">
        <v>20.98</v>
      </c>
      <c r="G2620" s="3" t="s">
        <v>3391</v>
      </c>
      <c r="H2620" s="3"/>
      <c r="I2620" s="3" t="s">
        <v>3392</v>
      </c>
      <c r="J2620" s="3">
        <v>0</v>
      </c>
      <c r="K2620" s="3">
        <v>0</v>
      </c>
      <c r="L2620" s="3">
        <v>0</v>
      </c>
      <c r="M2620" s="3">
        <v>0</v>
      </c>
      <c r="N2620" s="3">
        <v>0</v>
      </c>
      <c r="O2620" s="3">
        <v>0.08</v>
      </c>
      <c r="P2620" s="3">
        <v>0</v>
      </c>
      <c r="Q2620" s="3">
        <v>0</v>
      </c>
      <c r="R2620" s="3">
        <v>0</v>
      </c>
    </row>
    <row r="2621" spans="1:18">
      <c r="A2621" s="3" t="s">
        <v>3041</v>
      </c>
      <c r="B2621" s="3" t="s">
        <v>3042</v>
      </c>
      <c r="C2621" s="3" t="s">
        <v>3042</v>
      </c>
      <c r="D2621" s="3" t="s">
        <v>3043</v>
      </c>
      <c r="E2621" s="3" t="s">
        <v>867</v>
      </c>
      <c r="F2621" s="3">
        <v>20.98</v>
      </c>
      <c r="G2621" s="3" t="s">
        <v>3391</v>
      </c>
      <c r="H2621" s="3"/>
      <c r="I2621" s="3" t="s">
        <v>3392</v>
      </c>
      <c r="J2621" s="3">
        <v>11</v>
      </c>
      <c r="K2621" s="3">
        <v>11</v>
      </c>
      <c r="L2621" s="3">
        <v>0</v>
      </c>
      <c r="M2621" s="3">
        <v>0</v>
      </c>
      <c r="N2621" s="3">
        <v>11</v>
      </c>
      <c r="O2621" s="3">
        <v>0.05</v>
      </c>
      <c r="P2621" s="3">
        <v>0</v>
      </c>
      <c r="Q2621" s="3">
        <v>0</v>
      </c>
      <c r="R2621" s="3">
        <v>0</v>
      </c>
    </row>
    <row r="2622" spans="1:18">
      <c r="A2622" s="3" t="s">
        <v>2992</v>
      </c>
      <c r="B2622" s="3" t="s">
        <v>2993</v>
      </c>
      <c r="C2622" s="3" t="s">
        <v>2993</v>
      </c>
      <c r="D2622" s="3" t="s">
        <v>2994</v>
      </c>
      <c r="E2622" s="3" t="s">
        <v>867</v>
      </c>
      <c r="F2622" s="3">
        <v>20.98</v>
      </c>
      <c r="G2622" s="3" t="s">
        <v>3391</v>
      </c>
      <c r="H2622" s="3"/>
      <c r="I2622" s="3" t="s">
        <v>3392</v>
      </c>
      <c r="J2622" s="3">
        <v>3</v>
      </c>
      <c r="K2622" s="3">
        <v>3</v>
      </c>
      <c r="L2622" s="3">
        <v>0</v>
      </c>
      <c r="M2622" s="3">
        <v>0</v>
      </c>
      <c r="N2622" s="3">
        <v>3</v>
      </c>
      <c r="O2622" s="3">
        <v>0.08</v>
      </c>
      <c r="P2622" s="3">
        <v>0</v>
      </c>
      <c r="Q2622" s="3">
        <v>0</v>
      </c>
      <c r="R2622" s="3">
        <v>0</v>
      </c>
    </row>
    <row r="2623" spans="1:18">
      <c r="A2623" s="3" t="s">
        <v>2943</v>
      </c>
      <c r="B2623" s="3" t="s">
        <v>1284</v>
      </c>
      <c r="C2623" s="3" t="s">
        <v>1284</v>
      </c>
      <c r="D2623" s="3" t="s">
        <v>1285</v>
      </c>
      <c r="E2623" s="3" t="s">
        <v>867</v>
      </c>
      <c r="F2623" s="3">
        <v>20.98</v>
      </c>
      <c r="G2623" s="3" t="s">
        <v>3391</v>
      </c>
      <c r="H2623" s="3"/>
      <c r="I2623" s="3" t="s">
        <v>3392</v>
      </c>
      <c r="J2623" s="3">
        <v>2</v>
      </c>
      <c r="K2623" s="3">
        <v>2</v>
      </c>
      <c r="L2623" s="3">
        <v>0</v>
      </c>
      <c r="M2623" s="3">
        <v>0</v>
      </c>
      <c r="N2623" s="3">
        <v>2</v>
      </c>
      <c r="O2623" s="3">
        <v>0.08</v>
      </c>
      <c r="P2623" s="3">
        <v>0</v>
      </c>
      <c r="Q2623" s="3">
        <v>0</v>
      </c>
      <c r="R2623" s="3">
        <v>0</v>
      </c>
    </row>
    <row r="2624" spans="1:18">
      <c r="A2624" s="3" t="s">
        <v>7412</v>
      </c>
      <c r="B2624" s="3" t="s">
        <v>7413</v>
      </c>
      <c r="C2624" s="3" t="s">
        <v>674</v>
      </c>
      <c r="D2624" s="3" t="s">
        <v>675</v>
      </c>
      <c r="E2624" s="3" t="s">
        <v>867</v>
      </c>
      <c r="F2624" s="3">
        <v>22.98</v>
      </c>
      <c r="G2624" s="3" t="s">
        <v>3391</v>
      </c>
      <c r="H2624" s="3"/>
      <c r="I2624" s="3" t="s">
        <v>3392</v>
      </c>
      <c r="J2624" s="3">
        <v>0</v>
      </c>
      <c r="K2624" s="3">
        <v>0</v>
      </c>
      <c r="L2624" s="3">
        <v>0</v>
      </c>
      <c r="M2624" s="3">
        <v>0</v>
      </c>
      <c r="N2624" s="3">
        <v>41</v>
      </c>
      <c r="O2624" s="3">
        <v>0.08</v>
      </c>
      <c r="P2624" s="3">
        <v>0</v>
      </c>
      <c r="Q2624" s="3">
        <v>41</v>
      </c>
      <c r="R2624" s="3">
        <v>0</v>
      </c>
    </row>
    <row r="2625" spans="1:18">
      <c r="A2625" s="3" t="s">
        <v>752</v>
      </c>
      <c r="B2625" s="3" t="s">
        <v>753</v>
      </c>
      <c r="C2625" s="3" t="s">
        <v>754</v>
      </c>
      <c r="D2625" s="3" t="s">
        <v>755</v>
      </c>
      <c r="E2625" s="3" t="s">
        <v>867</v>
      </c>
      <c r="F2625" s="3">
        <v>22.98</v>
      </c>
      <c r="G2625" s="3" t="s">
        <v>3391</v>
      </c>
      <c r="H2625" s="3"/>
      <c r="I2625" s="3" t="s">
        <v>3392</v>
      </c>
      <c r="J2625" s="3">
        <v>13</v>
      </c>
      <c r="K2625" s="3">
        <v>8</v>
      </c>
      <c r="L2625" s="3">
        <v>0</v>
      </c>
      <c r="M2625" s="3">
        <v>5</v>
      </c>
      <c r="N2625" s="3">
        <v>50</v>
      </c>
      <c r="O2625" s="3">
        <v>0.11</v>
      </c>
      <c r="P2625" s="3">
        <v>0</v>
      </c>
      <c r="Q2625" s="3">
        <v>37</v>
      </c>
      <c r="R2625" s="3">
        <v>0</v>
      </c>
    </row>
    <row r="2626" spans="1:18">
      <c r="A2626" s="3" t="s">
        <v>7414</v>
      </c>
      <c r="B2626" s="3" t="s">
        <v>7415</v>
      </c>
      <c r="C2626" s="3" t="s">
        <v>7401</v>
      </c>
      <c r="D2626" s="3" t="s">
        <v>7402</v>
      </c>
      <c r="E2626" s="3" t="s">
        <v>867</v>
      </c>
      <c r="F2626" s="3">
        <v>22.98</v>
      </c>
      <c r="G2626" s="3" t="s">
        <v>3391</v>
      </c>
      <c r="H2626" s="3"/>
      <c r="I2626" s="3" t="s">
        <v>3392</v>
      </c>
      <c r="J2626" s="3">
        <v>0</v>
      </c>
      <c r="K2626" s="3">
        <v>0</v>
      </c>
      <c r="L2626" s="3">
        <v>0</v>
      </c>
      <c r="M2626" s="3">
        <v>0</v>
      </c>
      <c r="N2626" s="3">
        <v>23</v>
      </c>
      <c r="O2626" s="3">
        <v>0.08</v>
      </c>
      <c r="P2626" s="3">
        <v>0</v>
      </c>
      <c r="Q2626" s="3">
        <v>23</v>
      </c>
      <c r="R2626" s="3">
        <v>0</v>
      </c>
    </row>
    <row r="2627" spans="1:18">
      <c r="A2627" s="3" t="s">
        <v>7416</v>
      </c>
      <c r="B2627" s="3" t="s">
        <v>7417</v>
      </c>
      <c r="C2627" s="3" t="s">
        <v>680</v>
      </c>
      <c r="D2627" s="3" t="s">
        <v>681</v>
      </c>
      <c r="E2627" s="3" t="s">
        <v>867</v>
      </c>
      <c r="F2627" s="3">
        <v>22.98</v>
      </c>
      <c r="G2627" s="3" t="s">
        <v>3391</v>
      </c>
      <c r="H2627" s="3"/>
      <c r="I2627" s="3" t="s">
        <v>3392</v>
      </c>
      <c r="J2627" s="3">
        <v>0</v>
      </c>
      <c r="K2627" s="3">
        <v>0</v>
      </c>
      <c r="L2627" s="3">
        <v>0</v>
      </c>
      <c r="M2627" s="3">
        <v>0</v>
      </c>
      <c r="N2627" s="3">
        <v>39</v>
      </c>
      <c r="O2627" s="3">
        <v>0.08</v>
      </c>
      <c r="P2627" s="3">
        <v>0</v>
      </c>
      <c r="Q2627" s="3">
        <v>39</v>
      </c>
      <c r="R2627" s="3">
        <v>0</v>
      </c>
    </row>
    <row r="2628" spans="1:18">
      <c r="A2628" s="3" t="s">
        <v>7418</v>
      </c>
      <c r="B2628" s="3" t="s">
        <v>7419</v>
      </c>
      <c r="C2628" s="3" t="s">
        <v>2817</v>
      </c>
      <c r="D2628" s="3" t="s">
        <v>2818</v>
      </c>
      <c r="E2628" s="3" t="s">
        <v>867</v>
      </c>
      <c r="F2628" s="3">
        <v>22.98</v>
      </c>
      <c r="G2628" s="3" t="s">
        <v>3391</v>
      </c>
      <c r="H2628" s="3"/>
      <c r="I2628" s="3" t="s">
        <v>3392</v>
      </c>
      <c r="J2628" s="3">
        <v>0</v>
      </c>
      <c r="K2628" s="3">
        <v>0</v>
      </c>
      <c r="L2628" s="3">
        <v>0</v>
      </c>
      <c r="M2628" s="3">
        <v>0</v>
      </c>
      <c r="N2628" s="3">
        <v>0</v>
      </c>
      <c r="O2628" s="3">
        <v>0.08</v>
      </c>
      <c r="P2628" s="3">
        <v>0</v>
      </c>
      <c r="Q2628" s="3">
        <v>0</v>
      </c>
      <c r="R2628" s="3">
        <v>0</v>
      </c>
    </row>
    <row r="2629" spans="1:18">
      <c r="A2629" s="3" t="s">
        <v>3002</v>
      </c>
      <c r="B2629" s="3" t="s">
        <v>3003</v>
      </c>
      <c r="C2629" s="3" t="s">
        <v>734</v>
      </c>
      <c r="D2629" s="3" t="s">
        <v>735</v>
      </c>
      <c r="E2629" s="3" t="s">
        <v>867</v>
      </c>
      <c r="F2629" s="3">
        <v>22.98</v>
      </c>
      <c r="G2629" s="3" t="s">
        <v>3391</v>
      </c>
      <c r="H2629" s="3"/>
      <c r="I2629" s="3" t="s">
        <v>3392</v>
      </c>
      <c r="J2629" s="3">
        <v>6</v>
      </c>
      <c r="K2629" s="3">
        <v>6</v>
      </c>
      <c r="L2629" s="3">
        <v>0</v>
      </c>
      <c r="M2629" s="3">
        <v>0</v>
      </c>
      <c r="N2629" s="3">
        <v>6</v>
      </c>
      <c r="O2629" s="3">
        <v>0.08</v>
      </c>
      <c r="P2629" s="3">
        <v>0</v>
      </c>
      <c r="Q2629" s="3">
        <v>0</v>
      </c>
      <c r="R2629" s="3">
        <v>0</v>
      </c>
    </row>
    <row r="2630" spans="1:18">
      <c r="A2630" s="3" t="s">
        <v>7420</v>
      </c>
      <c r="B2630" s="3" t="s">
        <v>7421</v>
      </c>
      <c r="C2630" s="3" t="s">
        <v>677</v>
      </c>
      <c r="D2630" s="3" t="s">
        <v>678</v>
      </c>
      <c r="E2630" s="3" t="s">
        <v>867</v>
      </c>
      <c r="F2630" s="3">
        <v>22.98</v>
      </c>
      <c r="G2630" s="3" t="s">
        <v>3391</v>
      </c>
      <c r="H2630" s="3"/>
      <c r="I2630" s="3" t="s">
        <v>3392</v>
      </c>
      <c r="J2630" s="3">
        <v>0</v>
      </c>
      <c r="K2630" s="3">
        <v>0</v>
      </c>
      <c r="L2630" s="3">
        <v>0</v>
      </c>
      <c r="M2630" s="3">
        <v>0</v>
      </c>
      <c r="N2630" s="3">
        <v>0</v>
      </c>
      <c r="O2630" s="3">
        <v>0.08</v>
      </c>
      <c r="P2630" s="3">
        <v>0</v>
      </c>
      <c r="Q2630" s="3">
        <v>0</v>
      </c>
      <c r="R2630" s="3">
        <v>0</v>
      </c>
    </row>
    <row r="2631" spans="1:18">
      <c r="A2631" s="3" t="s">
        <v>7422</v>
      </c>
      <c r="B2631" s="3" t="s">
        <v>7423</v>
      </c>
      <c r="C2631" s="3" t="s">
        <v>2031</v>
      </c>
      <c r="D2631" s="3" t="s">
        <v>2032</v>
      </c>
      <c r="E2631" s="3" t="s">
        <v>867</v>
      </c>
      <c r="F2631" s="3">
        <v>22.98</v>
      </c>
      <c r="G2631" s="3" t="s">
        <v>3391</v>
      </c>
      <c r="H2631" s="3"/>
      <c r="I2631" s="3" t="s">
        <v>3392</v>
      </c>
      <c r="J2631" s="3">
        <v>0</v>
      </c>
      <c r="K2631" s="3">
        <v>0</v>
      </c>
      <c r="L2631" s="3">
        <v>0</v>
      </c>
      <c r="M2631" s="3">
        <v>0</v>
      </c>
      <c r="N2631" s="3">
        <v>0</v>
      </c>
      <c r="O2631" s="3">
        <v>0.08</v>
      </c>
      <c r="P2631" s="3">
        <v>0</v>
      </c>
      <c r="Q2631" s="3">
        <v>0</v>
      </c>
      <c r="R2631" s="3">
        <v>0</v>
      </c>
    </row>
    <row r="2632" spans="1:18">
      <c r="A2632" s="3" t="s">
        <v>7424</v>
      </c>
      <c r="B2632" s="3" t="s">
        <v>7425</v>
      </c>
      <c r="C2632" s="3" t="s">
        <v>7279</v>
      </c>
      <c r="D2632" s="3" t="s">
        <v>7280</v>
      </c>
      <c r="E2632" s="3" t="s">
        <v>867</v>
      </c>
      <c r="F2632" s="3">
        <v>22.98</v>
      </c>
      <c r="G2632" s="3" t="s">
        <v>3391</v>
      </c>
      <c r="H2632" s="3"/>
      <c r="I2632" s="3" t="s">
        <v>3392</v>
      </c>
      <c r="J2632" s="3">
        <v>0</v>
      </c>
      <c r="K2632" s="3">
        <v>0</v>
      </c>
      <c r="L2632" s="3">
        <v>0</v>
      </c>
      <c r="M2632" s="3">
        <v>0</v>
      </c>
      <c r="N2632" s="3">
        <v>20</v>
      </c>
      <c r="O2632" s="3">
        <v>0.08</v>
      </c>
      <c r="P2632" s="3">
        <v>0</v>
      </c>
      <c r="Q2632" s="3">
        <v>20</v>
      </c>
      <c r="R2632" s="3">
        <v>0</v>
      </c>
    </row>
    <row r="2633" spans="1:18">
      <c r="A2633" s="3" t="s">
        <v>3094</v>
      </c>
      <c r="B2633" s="3" t="s">
        <v>3095</v>
      </c>
      <c r="C2633" s="3" t="s">
        <v>3096</v>
      </c>
      <c r="D2633" s="3" t="s">
        <v>3097</v>
      </c>
      <c r="E2633" s="3" t="s">
        <v>867</v>
      </c>
      <c r="F2633" s="3">
        <v>22.98</v>
      </c>
      <c r="G2633" s="3" t="s">
        <v>3391</v>
      </c>
      <c r="H2633" s="3"/>
      <c r="I2633" s="3" t="s">
        <v>3392</v>
      </c>
      <c r="J2633" s="3">
        <v>4</v>
      </c>
      <c r="K2633" s="3">
        <v>4</v>
      </c>
      <c r="L2633" s="3">
        <v>0</v>
      </c>
      <c r="M2633" s="3">
        <v>0</v>
      </c>
      <c r="N2633" s="3">
        <v>25</v>
      </c>
      <c r="O2633" s="3">
        <v>0.08</v>
      </c>
      <c r="P2633" s="3">
        <v>0</v>
      </c>
      <c r="Q2633" s="3">
        <v>21</v>
      </c>
      <c r="R2633" s="3">
        <v>0</v>
      </c>
    </row>
    <row r="2634" spans="1:18">
      <c r="A2634" s="3" t="s">
        <v>7426</v>
      </c>
      <c r="B2634" s="3" t="s">
        <v>7427</v>
      </c>
      <c r="C2634" s="3" t="s">
        <v>2588</v>
      </c>
      <c r="D2634" s="3" t="s">
        <v>2589</v>
      </c>
      <c r="E2634" s="3" t="s">
        <v>867</v>
      </c>
      <c r="F2634" s="3">
        <v>22.98</v>
      </c>
      <c r="G2634" s="3" t="s">
        <v>3391</v>
      </c>
      <c r="H2634" s="3"/>
      <c r="I2634" s="3" t="s">
        <v>3392</v>
      </c>
      <c r="J2634" s="3">
        <v>0</v>
      </c>
      <c r="K2634" s="3">
        <v>0</v>
      </c>
      <c r="L2634" s="3">
        <v>0</v>
      </c>
      <c r="M2634" s="3">
        <v>0</v>
      </c>
      <c r="N2634" s="3">
        <v>32</v>
      </c>
      <c r="O2634" s="3">
        <v>0.08</v>
      </c>
      <c r="P2634" s="3">
        <v>0</v>
      </c>
      <c r="Q2634" s="3">
        <v>32</v>
      </c>
      <c r="R2634" s="3">
        <v>0</v>
      </c>
    </row>
    <row r="2635" spans="1:18">
      <c r="A2635" s="3" t="s">
        <v>7428</v>
      </c>
      <c r="B2635" s="3" t="s">
        <v>7429</v>
      </c>
      <c r="C2635" s="3" t="s">
        <v>1507</v>
      </c>
      <c r="D2635" s="3" t="s">
        <v>1508</v>
      </c>
      <c r="E2635" s="3" t="s">
        <v>867</v>
      </c>
      <c r="F2635" s="3">
        <v>22.98</v>
      </c>
      <c r="G2635" s="3" t="s">
        <v>3391</v>
      </c>
      <c r="H2635" s="3"/>
      <c r="I2635" s="3" t="s">
        <v>3392</v>
      </c>
      <c r="J2635" s="3">
        <v>0</v>
      </c>
      <c r="K2635" s="3">
        <v>0</v>
      </c>
      <c r="L2635" s="3">
        <v>0</v>
      </c>
      <c r="M2635" s="3">
        <v>0</v>
      </c>
      <c r="N2635" s="3">
        <v>24</v>
      </c>
      <c r="O2635" s="3">
        <v>0.08</v>
      </c>
      <c r="P2635" s="3">
        <v>0</v>
      </c>
      <c r="Q2635" s="3">
        <v>24</v>
      </c>
      <c r="R2635" s="3">
        <v>0</v>
      </c>
    </row>
    <row r="2636" spans="1:18">
      <c r="A2636" s="3" t="s">
        <v>7430</v>
      </c>
      <c r="B2636" s="3" t="s">
        <v>7431</v>
      </c>
      <c r="C2636" s="3" t="s">
        <v>1439</v>
      </c>
      <c r="D2636" s="3" t="s">
        <v>1440</v>
      </c>
      <c r="E2636" s="3" t="s">
        <v>867</v>
      </c>
      <c r="F2636" s="3">
        <v>22.98</v>
      </c>
      <c r="G2636" s="3" t="s">
        <v>3391</v>
      </c>
      <c r="H2636" s="3"/>
      <c r="I2636" s="3" t="s">
        <v>3392</v>
      </c>
      <c r="J2636" s="3">
        <v>0</v>
      </c>
      <c r="K2636" s="3">
        <v>0</v>
      </c>
      <c r="L2636" s="3">
        <v>0</v>
      </c>
      <c r="M2636" s="3">
        <v>0</v>
      </c>
      <c r="N2636" s="3">
        <v>0</v>
      </c>
      <c r="O2636" s="3">
        <v>0.08</v>
      </c>
      <c r="P2636" s="3">
        <v>0</v>
      </c>
      <c r="Q2636" s="3">
        <v>0</v>
      </c>
      <c r="R2636" s="3">
        <v>0</v>
      </c>
    </row>
    <row r="2637" spans="1:18">
      <c r="A2637" s="3" t="s">
        <v>7432</v>
      </c>
      <c r="B2637" s="3" t="s">
        <v>7433</v>
      </c>
      <c r="C2637" s="3" t="s">
        <v>2672</v>
      </c>
      <c r="D2637" s="3" t="s">
        <v>2673</v>
      </c>
      <c r="E2637" s="3" t="s">
        <v>867</v>
      </c>
      <c r="F2637" s="3">
        <v>22.98</v>
      </c>
      <c r="G2637" s="3" t="s">
        <v>3391</v>
      </c>
      <c r="H2637" s="3"/>
      <c r="I2637" s="3" t="s">
        <v>3392</v>
      </c>
      <c r="J2637" s="3">
        <v>0</v>
      </c>
      <c r="K2637" s="3">
        <v>0</v>
      </c>
      <c r="L2637" s="3">
        <v>0</v>
      </c>
      <c r="M2637" s="3">
        <v>0</v>
      </c>
      <c r="N2637" s="3">
        <v>0</v>
      </c>
      <c r="O2637" s="3">
        <v>0.08</v>
      </c>
      <c r="P2637" s="3">
        <v>0</v>
      </c>
      <c r="Q2637" s="3">
        <v>0</v>
      </c>
      <c r="R2637" s="3">
        <v>0</v>
      </c>
    </row>
    <row r="2638" spans="1:18">
      <c r="A2638" s="3" t="s">
        <v>7434</v>
      </c>
      <c r="B2638" s="3" t="s">
        <v>7435</v>
      </c>
      <c r="C2638" s="3" t="s">
        <v>2205</v>
      </c>
      <c r="D2638" s="3" t="s">
        <v>2206</v>
      </c>
      <c r="E2638" s="3" t="s">
        <v>867</v>
      </c>
      <c r="F2638" s="3">
        <v>22.98</v>
      </c>
      <c r="G2638" s="3" t="s">
        <v>3391</v>
      </c>
      <c r="H2638" s="3"/>
      <c r="I2638" s="3" t="s">
        <v>3392</v>
      </c>
      <c r="J2638" s="3">
        <v>0</v>
      </c>
      <c r="K2638" s="3">
        <v>0</v>
      </c>
      <c r="L2638" s="3">
        <v>0</v>
      </c>
      <c r="M2638" s="3">
        <v>0</v>
      </c>
      <c r="N2638" s="3">
        <v>0</v>
      </c>
      <c r="O2638" s="3">
        <v>0.08</v>
      </c>
      <c r="P2638" s="3">
        <v>0</v>
      </c>
      <c r="Q2638" s="3">
        <v>0</v>
      </c>
      <c r="R2638" s="3">
        <v>0</v>
      </c>
    </row>
    <row r="2639" spans="1:18">
      <c r="A2639" s="3" t="s">
        <v>1019</v>
      </c>
      <c r="B2639" s="3" t="s">
        <v>1020</v>
      </c>
      <c r="C2639" s="3" t="s">
        <v>1021</v>
      </c>
      <c r="D2639" s="3" t="s">
        <v>1022</v>
      </c>
      <c r="E2639" s="3" t="s">
        <v>867</v>
      </c>
      <c r="F2639" s="3">
        <v>22.98</v>
      </c>
      <c r="G2639" s="3" t="s">
        <v>3391</v>
      </c>
      <c r="H2639" s="3"/>
      <c r="I2639" s="3" t="s">
        <v>3392</v>
      </c>
      <c r="J2639" s="3">
        <v>6</v>
      </c>
      <c r="K2639" s="3">
        <v>6</v>
      </c>
      <c r="L2639" s="3">
        <v>0</v>
      </c>
      <c r="M2639" s="3">
        <v>0</v>
      </c>
      <c r="N2639" s="3">
        <v>6</v>
      </c>
      <c r="O2639" s="3">
        <v>0.08</v>
      </c>
      <c r="P2639" s="3">
        <v>0</v>
      </c>
      <c r="Q2639" s="3">
        <v>0</v>
      </c>
      <c r="R2639" s="3">
        <v>0</v>
      </c>
    </row>
    <row r="2640" spans="1:18">
      <c r="A2640" s="3" t="s">
        <v>7436</v>
      </c>
      <c r="B2640" s="3" t="s">
        <v>7437</v>
      </c>
      <c r="C2640" s="3" t="s">
        <v>7282</v>
      </c>
      <c r="D2640" s="3" t="s">
        <v>7283</v>
      </c>
      <c r="E2640" s="3" t="s">
        <v>867</v>
      </c>
      <c r="F2640" s="3">
        <v>22.98</v>
      </c>
      <c r="G2640" s="3" t="s">
        <v>3391</v>
      </c>
      <c r="H2640" s="3"/>
      <c r="I2640" s="3" t="s">
        <v>3392</v>
      </c>
      <c r="J2640" s="3">
        <v>0</v>
      </c>
      <c r="K2640" s="3">
        <v>0</v>
      </c>
      <c r="L2640" s="3">
        <v>0</v>
      </c>
      <c r="M2640" s="3">
        <v>0</v>
      </c>
      <c r="N2640" s="3">
        <v>23</v>
      </c>
      <c r="O2640" s="3">
        <v>0.08</v>
      </c>
      <c r="P2640" s="3">
        <v>0</v>
      </c>
      <c r="Q2640" s="3">
        <v>23</v>
      </c>
      <c r="R2640" s="3">
        <v>0</v>
      </c>
    </row>
    <row r="2641" spans="1:18">
      <c r="A2641" s="3" t="s">
        <v>744</v>
      </c>
      <c r="B2641" s="3" t="s">
        <v>745</v>
      </c>
      <c r="C2641" s="3" t="s">
        <v>746</v>
      </c>
      <c r="D2641" s="3" t="s">
        <v>747</v>
      </c>
      <c r="E2641" s="3" t="s">
        <v>867</v>
      </c>
      <c r="F2641" s="3">
        <v>22.98</v>
      </c>
      <c r="G2641" s="3" t="s">
        <v>3391</v>
      </c>
      <c r="H2641" s="3"/>
      <c r="I2641" s="3" t="s">
        <v>3392</v>
      </c>
      <c r="J2641" s="3">
        <v>6</v>
      </c>
      <c r="K2641" s="3">
        <v>3</v>
      </c>
      <c r="L2641" s="3">
        <v>0</v>
      </c>
      <c r="M2641" s="3">
        <v>3</v>
      </c>
      <c r="N2641" s="3">
        <v>24</v>
      </c>
      <c r="O2641" s="3">
        <v>0.08</v>
      </c>
      <c r="P2641" s="3">
        <v>0</v>
      </c>
      <c r="Q2641" s="3">
        <v>18</v>
      </c>
      <c r="R2641" s="3">
        <v>0</v>
      </c>
    </row>
    <row r="2642" spans="1:18">
      <c r="A2642" s="3" t="s">
        <v>7438</v>
      </c>
      <c r="B2642" s="3" t="s">
        <v>7439</v>
      </c>
      <c r="C2642" s="3" t="s">
        <v>7286</v>
      </c>
      <c r="D2642" s="3" t="s">
        <v>7287</v>
      </c>
      <c r="E2642" s="3" t="s">
        <v>867</v>
      </c>
      <c r="F2642" s="3">
        <v>22.98</v>
      </c>
      <c r="G2642" s="3" t="s">
        <v>3391</v>
      </c>
      <c r="H2642" s="3"/>
      <c r="I2642" s="3" t="s">
        <v>3392</v>
      </c>
      <c r="J2642" s="3">
        <v>0</v>
      </c>
      <c r="K2642" s="3">
        <v>0</v>
      </c>
      <c r="L2642" s="3">
        <v>0</v>
      </c>
      <c r="M2642" s="3">
        <v>0</v>
      </c>
      <c r="N2642" s="3">
        <v>15</v>
      </c>
      <c r="O2642" s="3">
        <v>0.08</v>
      </c>
      <c r="P2642" s="3">
        <v>0</v>
      </c>
      <c r="Q2642" s="3">
        <v>15</v>
      </c>
      <c r="R2642" s="3">
        <v>0</v>
      </c>
    </row>
    <row r="2643" spans="1:18">
      <c r="A2643" s="3" t="s">
        <v>7440</v>
      </c>
      <c r="B2643" s="3" t="s">
        <v>7441</v>
      </c>
      <c r="C2643" s="3" t="s">
        <v>2136</v>
      </c>
      <c r="D2643" s="3" t="s">
        <v>2137</v>
      </c>
      <c r="E2643" s="3" t="s">
        <v>867</v>
      </c>
      <c r="F2643" s="3">
        <v>22.98</v>
      </c>
      <c r="G2643" s="3" t="s">
        <v>3391</v>
      </c>
      <c r="H2643" s="3"/>
      <c r="I2643" s="3" t="s">
        <v>3392</v>
      </c>
      <c r="J2643" s="3">
        <v>0</v>
      </c>
      <c r="K2643" s="3">
        <v>0</v>
      </c>
      <c r="L2643" s="3">
        <v>0</v>
      </c>
      <c r="M2643" s="3">
        <v>0</v>
      </c>
      <c r="N2643" s="3">
        <v>32</v>
      </c>
      <c r="O2643" s="3">
        <v>0.08</v>
      </c>
      <c r="P2643" s="3">
        <v>0</v>
      </c>
      <c r="Q2643" s="3">
        <v>32</v>
      </c>
      <c r="R2643" s="3">
        <v>0</v>
      </c>
    </row>
    <row r="2644" spans="1:18">
      <c r="A2644" s="3" t="s">
        <v>7442</v>
      </c>
      <c r="B2644" s="3" t="s">
        <v>7443</v>
      </c>
      <c r="C2644" s="3" t="s">
        <v>1877</v>
      </c>
      <c r="D2644" s="3" t="s">
        <v>1878</v>
      </c>
      <c r="E2644" s="3" t="s">
        <v>867</v>
      </c>
      <c r="F2644" s="3">
        <v>22.98</v>
      </c>
      <c r="G2644" s="3" t="s">
        <v>3391</v>
      </c>
      <c r="H2644" s="3"/>
      <c r="I2644" s="3" t="s">
        <v>3392</v>
      </c>
      <c r="J2644" s="3">
        <v>0</v>
      </c>
      <c r="K2644" s="3">
        <v>0</v>
      </c>
      <c r="L2644" s="3">
        <v>0</v>
      </c>
      <c r="M2644" s="3">
        <v>0</v>
      </c>
      <c r="N2644" s="3">
        <v>25</v>
      </c>
      <c r="O2644" s="3">
        <v>0.08</v>
      </c>
      <c r="P2644" s="3">
        <v>0</v>
      </c>
      <c r="Q2644" s="3">
        <v>25</v>
      </c>
      <c r="R2644" s="3">
        <v>0</v>
      </c>
    </row>
    <row r="2645" spans="1:18">
      <c r="A2645" s="3" t="s">
        <v>1027</v>
      </c>
      <c r="B2645" s="3" t="s">
        <v>1028</v>
      </c>
      <c r="C2645" s="3" t="s">
        <v>1029</v>
      </c>
      <c r="D2645" s="3" t="s">
        <v>1030</v>
      </c>
      <c r="E2645" s="3" t="s">
        <v>867</v>
      </c>
      <c r="F2645" s="3">
        <v>22.98</v>
      </c>
      <c r="G2645" s="3" t="s">
        <v>3391</v>
      </c>
      <c r="H2645" s="3"/>
      <c r="I2645" s="3" t="s">
        <v>3392</v>
      </c>
      <c r="J2645" s="3">
        <v>9</v>
      </c>
      <c r="K2645" s="3">
        <v>9</v>
      </c>
      <c r="L2645" s="3">
        <v>0</v>
      </c>
      <c r="M2645" s="3">
        <v>0</v>
      </c>
      <c r="N2645" s="3">
        <v>26</v>
      </c>
      <c r="O2645" s="3">
        <v>0.08</v>
      </c>
      <c r="P2645" s="3">
        <v>0</v>
      </c>
      <c r="Q2645" s="3">
        <v>17</v>
      </c>
      <c r="R2645" s="3">
        <v>0</v>
      </c>
    </row>
    <row r="2646" spans="1:18">
      <c r="A2646" s="3" t="s">
        <v>7444</v>
      </c>
      <c r="B2646" s="3" t="s">
        <v>7445</v>
      </c>
      <c r="C2646" s="3" t="s">
        <v>1209</v>
      </c>
      <c r="D2646" s="3" t="s">
        <v>1210</v>
      </c>
      <c r="E2646" s="3" t="s">
        <v>867</v>
      </c>
      <c r="F2646" s="3">
        <v>22.98</v>
      </c>
      <c r="G2646" s="3" t="s">
        <v>3391</v>
      </c>
      <c r="H2646" s="3"/>
      <c r="I2646" s="3" t="s">
        <v>3392</v>
      </c>
      <c r="J2646" s="3">
        <v>0</v>
      </c>
      <c r="K2646" s="3">
        <v>0</v>
      </c>
      <c r="L2646" s="3">
        <v>0</v>
      </c>
      <c r="M2646" s="3">
        <v>0</v>
      </c>
      <c r="N2646" s="3">
        <v>17</v>
      </c>
      <c r="O2646" s="3">
        <v>0.08</v>
      </c>
      <c r="P2646" s="3">
        <v>0</v>
      </c>
      <c r="Q2646" s="3">
        <v>17</v>
      </c>
      <c r="R2646" s="3">
        <v>0</v>
      </c>
    </row>
    <row r="2647" spans="1:18">
      <c r="A2647" s="3" t="s">
        <v>7446</v>
      </c>
      <c r="B2647" s="3" t="s">
        <v>7447</v>
      </c>
      <c r="C2647" s="3" t="s">
        <v>939</v>
      </c>
      <c r="D2647" s="3" t="s">
        <v>940</v>
      </c>
      <c r="E2647" s="3" t="s">
        <v>867</v>
      </c>
      <c r="F2647" s="3">
        <v>22.98</v>
      </c>
      <c r="G2647" s="3" t="s">
        <v>3391</v>
      </c>
      <c r="H2647" s="3"/>
      <c r="I2647" s="3" t="s">
        <v>3392</v>
      </c>
      <c r="J2647" s="3">
        <v>0</v>
      </c>
      <c r="K2647" s="3">
        <v>0</v>
      </c>
      <c r="L2647" s="3">
        <v>0</v>
      </c>
      <c r="M2647" s="3">
        <v>0</v>
      </c>
      <c r="N2647" s="3">
        <v>30</v>
      </c>
      <c r="O2647" s="3">
        <v>0.08</v>
      </c>
      <c r="P2647" s="3">
        <v>0</v>
      </c>
      <c r="Q2647" s="3">
        <v>30</v>
      </c>
      <c r="R2647" s="3">
        <v>0</v>
      </c>
    </row>
    <row r="2648" spans="1:18">
      <c r="A2648" s="3" t="s">
        <v>1319</v>
      </c>
      <c r="B2648" s="3" t="s">
        <v>1320</v>
      </c>
      <c r="C2648" s="3" t="s">
        <v>1321</v>
      </c>
      <c r="D2648" s="3" t="s">
        <v>1322</v>
      </c>
      <c r="E2648" s="3" t="s">
        <v>867</v>
      </c>
      <c r="F2648" s="3">
        <v>22.98</v>
      </c>
      <c r="G2648" s="3" t="s">
        <v>3391</v>
      </c>
      <c r="H2648" s="3"/>
      <c r="I2648" s="3" t="s">
        <v>3392</v>
      </c>
      <c r="J2648" s="3">
        <v>9</v>
      </c>
      <c r="K2648" s="3">
        <v>9</v>
      </c>
      <c r="L2648" s="3">
        <v>0</v>
      </c>
      <c r="M2648" s="3">
        <v>0</v>
      </c>
      <c r="N2648" s="3">
        <v>21</v>
      </c>
      <c r="O2648" s="3">
        <v>0.08</v>
      </c>
      <c r="P2648" s="3">
        <v>0</v>
      </c>
      <c r="Q2648" s="3">
        <v>12</v>
      </c>
      <c r="R2648" s="3">
        <v>0</v>
      </c>
    </row>
    <row r="2649" spans="1:18">
      <c r="A2649" s="3" t="s">
        <v>2285</v>
      </c>
      <c r="B2649" s="3" t="s">
        <v>2286</v>
      </c>
      <c r="C2649" s="3" t="s">
        <v>1280</v>
      </c>
      <c r="D2649" s="3" t="s">
        <v>1281</v>
      </c>
      <c r="E2649" s="3" t="s">
        <v>867</v>
      </c>
      <c r="F2649" s="3">
        <v>22.98</v>
      </c>
      <c r="G2649" s="3" t="s">
        <v>3391</v>
      </c>
      <c r="H2649" s="3"/>
      <c r="I2649" s="3" t="s">
        <v>3392</v>
      </c>
      <c r="J2649" s="3">
        <v>1</v>
      </c>
      <c r="K2649" s="3">
        <v>1</v>
      </c>
      <c r="L2649" s="3">
        <v>0</v>
      </c>
      <c r="M2649" s="3">
        <v>0</v>
      </c>
      <c r="N2649" s="3">
        <v>16</v>
      </c>
      <c r="O2649" s="3">
        <v>0.08</v>
      </c>
      <c r="P2649" s="3">
        <v>0</v>
      </c>
      <c r="Q2649" s="3">
        <v>15</v>
      </c>
      <c r="R2649" s="3">
        <v>0</v>
      </c>
    </row>
    <row r="2650" spans="1:18">
      <c r="A2650" s="3" t="s">
        <v>7448</v>
      </c>
      <c r="B2650" s="3" t="s">
        <v>7449</v>
      </c>
      <c r="C2650" s="3" t="s">
        <v>7293</v>
      </c>
      <c r="D2650" s="3" t="s">
        <v>7294</v>
      </c>
      <c r="E2650" s="3" t="s">
        <v>867</v>
      </c>
      <c r="F2650" s="3">
        <v>22.98</v>
      </c>
      <c r="G2650" s="3" t="s">
        <v>3391</v>
      </c>
      <c r="H2650" s="3"/>
      <c r="I2650" s="3" t="s">
        <v>3392</v>
      </c>
      <c r="J2650" s="3">
        <v>0</v>
      </c>
      <c r="K2650" s="3">
        <v>0</v>
      </c>
      <c r="L2650" s="3">
        <v>0</v>
      </c>
      <c r="M2650" s="3">
        <v>0</v>
      </c>
      <c r="N2650" s="3">
        <v>16</v>
      </c>
      <c r="O2650" s="3">
        <v>0.08</v>
      </c>
      <c r="P2650" s="3">
        <v>0</v>
      </c>
      <c r="Q2650" s="3">
        <v>16</v>
      </c>
      <c r="R2650" s="3">
        <v>0</v>
      </c>
    </row>
    <row r="2651" spans="1:18">
      <c r="A2651" s="3" t="s">
        <v>7450</v>
      </c>
      <c r="B2651" s="3" t="s">
        <v>7451</v>
      </c>
      <c r="C2651" s="3" t="s">
        <v>3153</v>
      </c>
      <c r="D2651" s="3" t="s">
        <v>3154</v>
      </c>
      <c r="E2651" s="3" t="s">
        <v>867</v>
      </c>
      <c r="F2651" s="3">
        <v>22.98</v>
      </c>
      <c r="G2651" s="3" t="s">
        <v>3391</v>
      </c>
      <c r="H2651" s="3"/>
      <c r="I2651" s="3" t="s">
        <v>3392</v>
      </c>
      <c r="J2651" s="3">
        <v>0</v>
      </c>
      <c r="K2651" s="3">
        <v>0</v>
      </c>
      <c r="L2651" s="3">
        <v>0</v>
      </c>
      <c r="M2651" s="3">
        <v>0</v>
      </c>
      <c r="N2651" s="3">
        <v>17</v>
      </c>
      <c r="O2651" s="3">
        <v>0.08</v>
      </c>
      <c r="P2651" s="3">
        <v>0</v>
      </c>
      <c r="Q2651" s="3">
        <v>17</v>
      </c>
      <c r="R2651" s="3">
        <v>0</v>
      </c>
    </row>
    <row r="2652" spans="1:18">
      <c r="A2652" s="3" t="s">
        <v>748</v>
      </c>
      <c r="B2652" s="3" t="s">
        <v>749</v>
      </c>
      <c r="C2652" s="3" t="s">
        <v>750</v>
      </c>
      <c r="D2652" s="3" t="s">
        <v>751</v>
      </c>
      <c r="E2652" s="3" t="s">
        <v>867</v>
      </c>
      <c r="F2652" s="3">
        <v>22.98</v>
      </c>
      <c r="G2652" s="3" t="s">
        <v>3391</v>
      </c>
      <c r="H2652" s="3"/>
      <c r="I2652" s="3" t="s">
        <v>3392</v>
      </c>
      <c r="J2652" s="3">
        <v>13</v>
      </c>
      <c r="K2652" s="3">
        <v>6</v>
      </c>
      <c r="L2652" s="3">
        <v>0</v>
      </c>
      <c r="M2652" s="3">
        <v>7</v>
      </c>
      <c r="N2652" s="3">
        <v>18</v>
      </c>
      <c r="O2652" s="3">
        <v>0.08</v>
      </c>
      <c r="P2652" s="3">
        <v>0</v>
      </c>
      <c r="Q2652" s="3">
        <v>5</v>
      </c>
      <c r="R2652" s="3">
        <v>0</v>
      </c>
    </row>
    <row r="2653" spans="1:18">
      <c r="A2653" s="3" t="s">
        <v>740</v>
      </c>
      <c r="B2653" s="3" t="s">
        <v>741</v>
      </c>
      <c r="C2653" s="3" t="s">
        <v>742</v>
      </c>
      <c r="D2653" s="3" t="s">
        <v>743</v>
      </c>
      <c r="E2653" s="3" t="s">
        <v>867</v>
      </c>
      <c r="F2653" s="3">
        <v>22.98</v>
      </c>
      <c r="G2653" s="3" t="s">
        <v>3391</v>
      </c>
      <c r="H2653" s="3"/>
      <c r="I2653" s="3" t="s">
        <v>3392</v>
      </c>
      <c r="J2653" s="3">
        <v>7</v>
      </c>
      <c r="K2653" s="3">
        <v>0</v>
      </c>
      <c r="L2653" s="3">
        <v>0</v>
      </c>
      <c r="M2653" s="3">
        <v>7</v>
      </c>
      <c r="N2653" s="3">
        <v>22</v>
      </c>
      <c r="O2653" s="3">
        <v>0.08</v>
      </c>
      <c r="P2653" s="3">
        <v>0</v>
      </c>
      <c r="Q2653" s="3">
        <v>15</v>
      </c>
      <c r="R2653" s="3">
        <v>0</v>
      </c>
    </row>
    <row r="2654" spans="1:18">
      <c r="A2654" s="3" t="s">
        <v>756</v>
      </c>
      <c r="B2654" s="3" t="s">
        <v>757</v>
      </c>
      <c r="C2654" s="3" t="s">
        <v>758</v>
      </c>
      <c r="D2654" s="3" t="s">
        <v>759</v>
      </c>
      <c r="E2654" s="3" t="s">
        <v>867</v>
      </c>
      <c r="F2654" s="3">
        <v>22.98</v>
      </c>
      <c r="G2654" s="3" t="s">
        <v>3391</v>
      </c>
      <c r="H2654" s="3"/>
      <c r="I2654" s="3" t="s">
        <v>3392</v>
      </c>
      <c r="J2654" s="3">
        <v>3</v>
      </c>
      <c r="K2654" s="3">
        <v>2</v>
      </c>
      <c r="L2654" s="3">
        <v>0</v>
      </c>
      <c r="M2654" s="3">
        <v>1</v>
      </c>
      <c r="N2654" s="3">
        <v>18</v>
      </c>
      <c r="O2654" s="3">
        <v>0.08</v>
      </c>
      <c r="P2654" s="3">
        <v>0</v>
      </c>
      <c r="Q2654" s="3">
        <v>15</v>
      </c>
      <c r="R2654" s="3">
        <v>0</v>
      </c>
    </row>
    <row r="2655" spans="1:18">
      <c r="A2655" s="3" t="s">
        <v>7452</v>
      </c>
      <c r="B2655" s="3" t="s">
        <v>7453</v>
      </c>
      <c r="C2655" s="3" t="s">
        <v>683</v>
      </c>
      <c r="D2655" s="3" t="s">
        <v>684</v>
      </c>
      <c r="E2655" s="3" t="s">
        <v>867</v>
      </c>
      <c r="F2655" s="3">
        <v>22.98</v>
      </c>
      <c r="G2655" s="3" t="s">
        <v>3391</v>
      </c>
      <c r="H2655" s="3"/>
      <c r="I2655" s="3" t="s">
        <v>3392</v>
      </c>
      <c r="J2655" s="3">
        <v>0</v>
      </c>
      <c r="K2655" s="3">
        <v>0</v>
      </c>
      <c r="L2655" s="3">
        <v>0</v>
      </c>
      <c r="M2655" s="3">
        <v>0</v>
      </c>
      <c r="N2655" s="3">
        <v>16</v>
      </c>
      <c r="O2655" s="3">
        <v>0.08</v>
      </c>
      <c r="P2655" s="3">
        <v>0</v>
      </c>
      <c r="Q2655" s="3">
        <v>16</v>
      </c>
      <c r="R2655" s="3">
        <v>0</v>
      </c>
    </row>
    <row r="2656" spans="1:18">
      <c r="A2656" s="3" t="s">
        <v>7454</v>
      </c>
      <c r="B2656" s="3" t="s">
        <v>7455</v>
      </c>
      <c r="C2656" s="3" t="s">
        <v>7299</v>
      </c>
      <c r="D2656" s="3" t="s">
        <v>7456</v>
      </c>
      <c r="E2656" s="3" t="s">
        <v>867</v>
      </c>
      <c r="F2656" s="3">
        <v>22.98</v>
      </c>
      <c r="G2656" s="3" t="s">
        <v>3391</v>
      </c>
      <c r="H2656" s="3"/>
      <c r="I2656" s="3" t="s">
        <v>3392</v>
      </c>
      <c r="J2656" s="3">
        <v>0</v>
      </c>
      <c r="K2656" s="3">
        <v>0</v>
      </c>
      <c r="L2656" s="3">
        <v>0</v>
      </c>
      <c r="M2656" s="3">
        <v>0</v>
      </c>
      <c r="N2656" s="3">
        <v>0</v>
      </c>
      <c r="O2656" s="3">
        <v>0.08</v>
      </c>
      <c r="P2656" s="3">
        <v>0</v>
      </c>
      <c r="Q2656" s="3">
        <v>0</v>
      </c>
      <c r="R2656" s="3">
        <v>0</v>
      </c>
    </row>
    <row r="2657" spans="1:18">
      <c r="A2657" s="3" t="s">
        <v>7457</v>
      </c>
      <c r="B2657" s="3" t="s">
        <v>7458</v>
      </c>
      <c r="C2657" s="3" t="s">
        <v>7301</v>
      </c>
      <c r="D2657" s="3" t="s">
        <v>7459</v>
      </c>
      <c r="E2657" s="3" t="s">
        <v>867</v>
      </c>
      <c r="F2657" s="3">
        <v>22.98</v>
      </c>
      <c r="G2657" s="3" t="s">
        <v>3391</v>
      </c>
      <c r="H2657" s="3"/>
      <c r="I2657" s="3" t="s">
        <v>3392</v>
      </c>
      <c r="J2657" s="3">
        <v>0</v>
      </c>
      <c r="K2657" s="3">
        <v>0</v>
      </c>
      <c r="L2657" s="3">
        <v>0</v>
      </c>
      <c r="M2657" s="3">
        <v>0</v>
      </c>
      <c r="N2657" s="3">
        <v>0</v>
      </c>
      <c r="O2657" s="3">
        <v>0.08</v>
      </c>
      <c r="P2657" s="3">
        <v>0</v>
      </c>
      <c r="Q2657" s="3">
        <v>0</v>
      </c>
      <c r="R2657" s="3">
        <v>0</v>
      </c>
    </row>
    <row r="2658" spans="1:18">
      <c r="A2658" s="3" t="s">
        <v>7460</v>
      </c>
      <c r="B2658" s="3" t="s">
        <v>7461</v>
      </c>
      <c r="C2658" s="3" t="s">
        <v>7303</v>
      </c>
      <c r="D2658" s="3" t="s">
        <v>7304</v>
      </c>
      <c r="E2658" s="3" t="s">
        <v>867</v>
      </c>
      <c r="F2658" s="3">
        <v>22.98</v>
      </c>
      <c r="G2658" s="3" t="s">
        <v>3391</v>
      </c>
      <c r="H2658" s="3"/>
      <c r="I2658" s="3" t="s">
        <v>3392</v>
      </c>
      <c r="J2658" s="3">
        <v>0</v>
      </c>
      <c r="K2658" s="3">
        <v>0</v>
      </c>
      <c r="L2658" s="3">
        <v>0</v>
      </c>
      <c r="M2658" s="3">
        <v>0</v>
      </c>
      <c r="N2658" s="3">
        <v>0</v>
      </c>
      <c r="O2658" s="3">
        <v>0.08</v>
      </c>
      <c r="P2658" s="3">
        <v>0</v>
      </c>
      <c r="Q2658" s="3">
        <v>0</v>
      </c>
      <c r="R2658" s="3">
        <v>0</v>
      </c>
    </row>
    <row r="2659" spans="1:18">
      <c r="A2659" s="3" t="s">
        <v>7462</v>
      </c>
      <c r="B2659" s="3" t="s">
        <v>7463</v>
      </c>
      <c r="C2659" s="3" t="s">
        <v>7464</v>
      </c>
      <c r="D2659" s="3" t="s">
        <v>7465</v>
      </c>
      <c r="E2659" s="3" t="s">
        <v>867</v>
      </c>
      <c r="F2659" s="3">
        <v>22.98</v>
      </c>
      <c r="G2659" s="3" t="s">
        <v>3391</v>
      </c>
      <c r="H2659" s="3"/>
      <c r="I2659" s="3" t="s">
        <v>3392</v>
      </c>
      <c r="J2659" s="3">
        <v>0</v>
      </c>
      <c r="K2659" s="3">
        <v>0</v>
      </c>
      <c r="L2659" s="3">
        <v>0</v>
      </c>
      <c r="M2659" s="3">
        <v>0</v>
      </c>
      <c r="N2659" s="3">
        <v>0</v>
      </c>
      <c r="O2659" s="3">
        <v>0.08</v>
      </c>
      <c r="P2659" s="3">
        <v>0</v>
      </c>
      <c r="Q2659" s="3">
        <v>0</v>
      </c>
      <c r="R2659" s="3">
        <v>0</v>
      </c>
    </row>
    <row r="2660" spans="1:18">
      <c r="A2660" s="3" t="s">
        <v>7466</v>
      </c>
      <c r="B2660" s="3" t="s">
        <v>7467</v>
      </c>
      <c r="C2660" s="3" t="s">
        <v>2256</v>
      </c>
      <c r="D2660" s="3" t="s">
        <v>2257</v>
      </c>
      <c r="E2660" s="3" t="s">
        <v>867</v>
      </c>
      <c r="F2660" s="3">
        <v>22.98</v>
      </c>
      <c r="G2660" s="3" t="s">
        <v>3391</v>
      </c>
      <c r="H2660" s="3"/>
      <c r="I2660" s="3" t="s">
        <v>3392</v>
      </c>
      <c r="J2660" s="3">
        <v>0</v>
      </c>
      <c r="K2660" s="3">
        <v>0</v>
      </c>
      <c r="L2660" s="3">
        <v>0</v>
      </c>
      <c r="M2660" s="3">
        <v>0</v>
      </c>
      <c r="N2660" s="3">
        <v>32</v>
      </c>
      <c r="O2660" s="3">
        <v>0.08</v>
      </c>
      <c r="P2660" s="3">
        <v>0</v>
      </c>
      <c r="Q2660" s="3">
        <v>32</v>
      </c>
      <c r="R2660" s="3">
        <v>0</v>
      </c>
    </row>
    <row r="2661" spans="1:18">
      <c r="A2661" s="3" t="s">
        <v>7468</v>
      </c>
      <c r="B2661" s="3" t="s">
        <v>7469</v>
      </c>
      <c r="C2661" s="3" t="s">
        <v>2263</v>
      </c>
      <c r="D2661" s="3" t="s">
        <v>2264</v>
      </c>
      <c r="E2661" s="3" t="s">
        <v>867</v>
      </c>
      <c r="F2661" s="3">
        <v>22.98</v>
      </c>
      <c r="G2661" s="3" t="s">
        <v>3391</v>
      </c>
      <c r="H2661" s="3"/>
      <c r="I2661" s="3" t="s">
        <v>3392</v>
      </c>
      <c r="J2661" s="3">
        <v>0</v>
      </c>
      <c r="K2661" s="3">
        <v>0</v>
      </c>
      <c r="L2661" s="3">
        <v>0</v>
      </c>
      <c r="M2661" s="3">
        <v>0</v>
      </c>
      <c r="N2661" s="3">
        <v>28</v>
      </c>
      <c r="O2661" s="3">
        <v>0.08</v>
      </c>
      <c r="P2661" s="3">
        <v>0</v>
      </c>
      <c r="Q2661" s="3">
        <v>28</v>
      </c>
      <c r="R2661" s="3">
        <v>0</v>
      </c>
    </row>
    <row r="2662" spans="1:18">
      <c r="A2662" s="3" t="s">
        <v>7470</v>
      </c>
      <c r="B2662" s="3" t="s">
        <v>7471</v>
      </c>
      <c r="C2662" s="3" t="s">
        <v>7312</v>
      </c>
      <c r="D2662" s="3" t="s">
        <v>7313</v>
      </c>
      <c r="E2662" s="3" t="s">
        <v>867</v>
      </c>
      <c r="F2662" s="3">
        <v>22.98</v>
      </c>
      <c r="G2662" s="3" t="s">
        <v>3391</v>
      </c>
      <c r="H2662" s="3"/>
      <c r="I2662" s="3" t="s">
        <v>3392</v>
      </c>
      <c r="J2662" s="3">
        <v>0</v>
      </c>
      <c r="K2662" s="3">
        <v>0</v>
      </c>
      <c r="L2662" s="3">
        <v>0</v>
      </c>
      <c r="M2662" s="3">
        <v>0</v>
      </c>
      <c r="N2662" s="3">
        <v>15</v>
      </c>
      <c r="O2662" s="3">
        <v>0.08</v>
      </c>
      <c r="P2662" s="3">
        <v>0</v>
      </c>
      <c r="Q2662" s="3">
        <v>15</v>
      </c>
      <c r="R2662" s="3">
        <v>0</v>
      </c>
    </row>
    <row r="2663" spans="1:18">
      <c r="A2663" s="3" t="s">
        <v>7472</v>
      </c>
      <c r="B2663" s="3" t="s">
        <v>7473</v>
      </c>
      <c r="C2663" s="3" t="s">
        <v>710</v>
      </c>
      <c r="D2663" s="3" t="s">
        <v>711</v>
      </c>
      <c r="E2663" s="3" t="s">
        <v>867</v>
      </c>
      <c r="F2663" s="3">
        <v>22.98</v>
      </c>
      <c r="G2663" s="3" t="s">
        <v>3391</v>
      </c>
      <c r="H2663" s="3"/>
      <c r="I2663" s="3" t="s">
        <v>3392</v>
      </c>
      <c r="J2663" s="3">
        <v>0</v>
      </c>
      <c r="K2663" s="3">
        <v>0</v>
      </c>
      <c r="L2663" s="3">
        <v>0</v>
      </c>
      <c r="M2663" s="3">
        <v>0</v>
      </c>
      <c r="N2663" s="3">
        <v>37</v>
      </c>
      <c r="O2663" s="3">
        <v>0.08</v>
      </c>
      <c r="P2663" s="3">
        <v>0</v>
      </c>
      <c r="Q2663" s="3">
        <v>37</v>
      </c>
      <c r="R2663" s="3">
        <v>0</v>
      </c>
    </row>
    <row r="2664" spans="1:18">
      <c r="A2664" s="3" t="s">
        <v>7474</v>
      </c>
      <c r="B2664" s="3" t="s">
        <v>7475</v>
      </c>
      <c r="C2664" s="3" t="s">
        <v>1478</v>
      </c>
      <c r="D2664" s="3" t="s">
        <v>1479</v>
      </c>
      <c r="E2664" s="3" t="s">
        <v>867</v>
      </c>
      <c r="F2664" s="3">
        <v>22.98</v>
      </c>
      <c r="G2664" s="3" t="s">
        <v>3391</v>
      </c>
      <c r="H2664" s="3"/>
      <c r="I2664" s="3" t="s">
        <v>3392</v>
      </c>
      <c r="J2664" s="3">
        <v>0</v>
      </c>
      <c r="K2664" s="3">
        <v>0</v>
      </c>
      <c r="L2664" s="3">
        <v>0</v>
      </c>
      <c r="M2664" s="3">
        <v>0</v>
      </c>
      <c r="N2664" s="3">
        <v>32</v>
      </c>
      <c r="O2664" s="3">
        <v>0.11</v>
      </c>
      <c r="P2664" s="3">
        <v>0</v>
      </c>
      <c r="Q2664" s="3">
        <v>32</v>
      </c>
      <c r="R2664" s="3">
        <v>0</v>
      </c>
    </row>
    <row r="2665" spans="1:18">
      <c r="A2665" s="3" t="s">
        <v>7476</v>
      </c>
      <c r="B2665" s="3" t="s">
        <v>7477</v>
      </c>
      <c r="C2665" s="3" t="s">
        <v>7306</v>
      </c>
      <c r="D2665" s="3" t="s">
        <v>7307</v>
      </c>
      <c r="E2665" s="3" t="s">
        <v>867</v>
      </c>
      <c r="F2665" s="3">
        <v>22.98</v>
      </c>
      <c r="G2665" s="3" t="s">
        <v>3391</v>
      </c>
      <c r="H2665" s="3"/>
      <c r="I2665" s="3" t="s">
        <v>3392</v>
      </c>
      <c r="J2665" s="3">
        <v>0</v>
      </c>
      <c r="K2665" s="3">
        <v>0</v>
      </c>
      <c r="L2665" s="3">
        <v>0</v>
      </c>
      <c r="M2665" s="3">
        <v>0</v>
      </c>
      <c r="N2665" s="3">
        <v>48</v>
      </c>
      <c r="O2665" s="3">
        <v>0.08</v>
      </c>
      <c r="P2665" s="3">
        <v>0</v>
      </c>
      <c r="Q2665" s="3">
        <v>48</v>
      </c>
      <c r="R2665" s="3">
        <v>0</v>
      </c>
    </row>
    <row r="2666" spans="1:18">
      <c r="A2666" s="3" t="s">
        <v>7478</v>
      </c>
      <c r="B2666" s="3" t="s">
        <v>7479</v>
      </c>
      <c r="C2666" s="3" t="s">
        <v>7309</v>
      </c>
      <c r="D2666" s="3" t="s">
        <v>7310</v>
      </c>
      <c r="E2666" s="3" t="s">
        <v>867</v>
      </c>
      <c r="F2666" s="3">
        <v>22.98</v>
      </c>
      <c r="G2666" s="3" t="s">
        <v>3391</v>
      </c>
      <c r="H2666" s="3"/>
      <c r="I2666" s="3" t="s">
        <v>3392</v>
      </c>
      <c r="J2666" s="3">
        <v>0</v>
      </c>
      <c r="K2666" s="3">
        <v>0</v>
      </c>
      <c r="L2666" s="3">
        <v>0</v>
      </c>
      <c r="M2666" s="3">
        <v>0</v>
      </c>
      <c r="N2666" s="3">
        <v>10</v>
      </c>
      <c r="O2666" s="3">
        <v>0.07</v>
      </c>
      <c r="P2666" s="3">
        <v>0</v>
      </c>
      <c r="Q2666" s="3">
        <v>10</v>
      </c>
      <c r="R2666" s="3">
        <v>0</v>
      </c>
    </row>
    <row r="2667" spans="1:18">
      <c r="A2667" s="3" t="s">
        <v>7480</v>
      </c>
      <c r="B2667" s="3" t="s">
        <v>7481</v>
      </c>
      <c r="C2667" s="3" t="s">
        <v>2550</v>
      </c>
      <c r="D2667" s="3" t="s">
        <v>2551</v>
      </c>
      <c r="E2667" s="3" t="s">
        <v>867</v>
      </c>
      <c r="F2667" s="3">
        <v>22.98</v>
      </c>
      <c r="G2667" s="3" t="s">
        <v>3391</v>
      </c>
      <c r="H2667" s="3"/>
      <c r="I2667" s="3" t="s">
        <v>3392</v>
      </c>
      <c r="J2667" s="3">
        <v>0</v>
      </c>
      <c r="K2667" s="3">
        <v>0</v>
      </c>
      <c r="L2667" s="3">
        <v>0</v>
      </c>
      <c r="M2667" s="3">
        <v>0</v>
      </c>
      <c r="N2667" s="3">
        <v>42</v>
      </c>
      <c r="O2667" s="3">
        <v>0.08</v>
      </c>
      <c r="P2667" s="3">
        <v>0</v>
      </c>
      <c r="Q2667" s="3">
        <v>42</v>
      </c>
      <c r="R2667" s="3">
        <v>0</v>
      </c>
    </row>
    <row r="2668" spans="1:18">
      <c r="A2668" s="3" t="s">
        <v>3191</v>
      </c>
      <c r="B2668" s="3" t="s">
        <v>3192</v>
      </c>
      <c r="C2668" s="3" t="s">
        <v>1035</v>
      </c>
      <c r="D2668" s="3" t="s">
        <v>1036</v>
      </c>
      <c r="E2668" s="3" t="s">
        <v>867</v>
      </c>
      <c r="F2668" s="3">
        <v>23.98</v>
      </c>
      <c r="G2668" s="3" t="s">
        <v>3391</v>
      </c>
      <c r="H2668" s="3"/>
      <c r="I2668" s="3" t="s">
        <v>3392</v>
      </c>
      <c r="J2668" s="3">
        <v>10</v>
      </c>
      <c r="K2668" s="3">
        <v>10</v>
      </c>
      <c r="L2668" s="3">
        <v>0</v>
      </c>
      <c r="M2668" s="3">
        <v>0</v>
      </c>
      <c r="N2668" s="3">
        <v>47</v>
      </c>
      <c r="O2668" s="3">
        <v>0.17</v>
      </c>
      <c r="P2668" s="3">
        <v>0</v>
      </c>
      <c r="Q2668" s="3">
        <v>37</v>
      </c>
      <c r="R2668" s="3">
        <v>0</v>
      </c>
    </row>
    <row r="2669" spans="1:18">
      <c r="A2669" s="3" t="s">
        <v>3142</v>
      </c>
      <c r="B2669" s="3" t="s">
        <v>3143</v>
      </c>
      <c r="C2669" s="3" t="s">
        <v>704</v>
      </c>
      <c r="D2669" s="3" t="s">
        <v>705</v>
      </c>
      <c r="E2669" s="3" t="s">
        <v>867</v>
      </c>
      <c r="F2669" s="3">
        <v>23.98</v>
      </c>
      <c r="G2669" s="3" t="s">
        <v>3391</v>
      </c>
      <c r="H2669" s="3"/>
      <c r="I2669" s="3" t="s">
        <v>3392</v>
      </c>
      <c r="J2669" s="3">
        <v>6</v>
      </c>
      <c r="K2669" s="3">
        <v>6</v>
      </c>
      <c r="L2669" s="3">
        <v>0</v>
      </c>
      <c r="M2669" s="3">
        <v>0</v>
      </c>
      <c r="N2669" s="3">
        <v>27</v>
      </c>
      <c r="O2669" s="3">
        <v>0.06</v>
      </c>
      <c r="P2669" s="3">
        <v>0</v>
      </c>
      <c r="Q2669" s="3">
        <v>21</v>
      </c>
      <c r="R2669" s="3">
        <v>0</v>
      </c>
    </row>
    <row r="2670" spans="1:18">
      <c r="A2670" s="3" t="s">
        <v>772</v>
      </c>
      <c r="B2670" s="3" t="s">
        <v>773</v>
      </c>
      <c r="C2670" s="3" t="s">
        <v>774</v>
      </c>
      <c r="D2670" s="3" t="s">
        <v>775</v>
      </c>
      <c r="E2670" s="3" t="s">
        <v>867</v>
      </c>
      <c r="F2670" s="3">
        <v>23.98</v>
      </c>
      <c r="G2670" s="3" t="s">
        <v>3391</v>
      </c>
      <c r="H2670" s="3"/>
      <c r="I2670" s="3" t="s">
        <v>3392</v>
      </c>
      <c r="J2670" s="3">
        <v>5</v>
      </c>
      <c r="K2670" s="3">
        <v>3</v>
      </c>
      <c r="L2670" s="3">
        <v>0</v>
      </c>
      <c r="M2670" s="3">
        <v>2</v>
      </c>
      <c r="N2670" s="3">
        <v>27</v>
      </c>
      <c r="O2670" s="3">
        <v>0.07</v>
      </c>
      <c r="P2670" s="3">
        <v>0</v>
      </c>
      <c r="Q2670" s="3">
        <v>22</v>
      </c>
      <c r="R2670" s="3">
        <v>0</v>
      </c>
    </row>
    <row r="2671" spans="1:18">
      <c r="A2671" s="3" t="s">
        <v>7482</v>
      </c>
      <c r="B2671" s="3" t="s">
        <v>7483</v>
      </c>
      <c r="C2671" s="3" t="s">
        <v>695</v>
      </c>
      <c r="D2671" s="3" t="s">
        <v>696</v>
      </c>
      <c r="E2671" s="3" t="s">
        <v>867</v>
      </c>
      <c r="F2671" s="3">
        <v>23.98</v>
      </c>
      <c r="G2671" s="3" t="s">
        <v>3391</v>
      </c>
      <c r="H2671" s="3"/>
      <c r="I2671" s="3" t="s">
        <v>3392</v>
      </c>
      <c r="J2671" s="3">
        <v>0</v>
      </c>
      <c r="K2671" s="3">
        <v>0</v>
      </c>
      <c r="L2671" s="3">
        <v>0</v>
      </c>
      <c r="M2671" s="3">
        <v>0</v>
      </c>
      <c r="N2671" s="3">
        <v>40</v>
      </c>
      <c r="O2671" s="3">
        <v>0.08</v>
      </c>
      <c r="P2671" s="3">
        <v>0</v>
      </c>
      <c r="Q2671" s="3">
        <v>40</v>
      </c>
      <c r="R2671" s="3">
        <v>0</v>
      </c>
    </row>
    <row r="2672" spans="1:18">
      <c r="A2672" s="3" t="s">
        <v>7484</v>
      </c>
      <c r="B2672" s="3" t="s">
        <v>7485</v>
      </c>
      <c r="C2672" s="3" t="s">
        <v>713</v>
      </c>
      <c r="D2672" s="3" t="s">
        <v>714</v>
      </c>
      <c r="E2672" s="3" t="s">
        <v>867</v>
      </c>
      <c r="F2672" s="3">
        <v>23.98</v>
      </c>
      <c r="G2672" s="3" t="s">
        <v>3391</v>
      </c>
      <c r="H2672" s="3"/>
      <c r="I2672" s="3" t="s">
        <v>3392</v>
      </c>
      <c r="J2672" s="3">
        <v>0</v>
      </c>
      <c r="K2672" s="3">
        <v>0</v>
      </c>
      <c r="L2672" s="3">
        <v>0</v>
      </c>
      <c r="M2672" s="3">
        <v>0</v>
      </c>
      <c r="N2672" s="3">
        <v>0</v>
      </c>
      <c r="O2672" s="3">
        <v>0.09</v>
      </c>
      <c r="P2672" s="3">
        <v>0</v>
      </c>
      <c r="Q2672" s="3">
        <v>0</v>
      </c>
      <c r="R2672" s="3">
        <v>0</v>
      </c>
    </row>
    <row r="2673" spans="1:18">
      <c r="A2673" s="3" t="s">
        <v>7486</v>
      </c>
      <c r="B2673" s="3" t="s">
        <v>7487</v>
      </c>
      <c r="C2673" s="3" t="s">
        <v>1717</v>
      </c>
      <c r="D2673" s="3" t="s">
        <v>1718</v>
      </c>
      <c r="E2673" s="3" t="s">
        <v>867</v>
      </c>
      <c r="F2673" s="3">
        <v>23.98</v>
      </c>
      <c r="G2673" s="3" t="s">
        <v>3391</v>
      </c>
      <c r="H2673" s="3"/>
      <c r="I2673" s="3" t="s">
        <v>3392</v>
      </c>
      <c r="J2673" s="3">
        <v>0</v>
      </c>
      <c r="K2673" s="3">
        <v>0</v>
      </c>
      <c r="L2673" s="3">
        <v>0</v>
      </c>
      <c r="M2673" s="3">
        <v>0</v>
      </c>
      <c r="N2673" s="3">
        <v>20</v>
      </c>
      <c r="O2673" s="3">
        <v>0.11</v>
      </c>
      <c r="P2673" s="3">
        <v>0</v>
      </c>
      <c r="Q2673" s="3">
        <v>20</v>
      </c>
      <c r="R2673" s="3">
        <v>0</v>
      </c>
    </row>
    <row r="2674" spans="1:18">
      <c r="A2674" s="3" t="s">
        <v>2603</v>
      </c>
      <c r="B2674" s="3" t="s">
        <v>2604</v>
      </c>
      <c r="C2674" s="3" t="s">
        <v>2291</v>
      </c>
      <c r="D2674" s="3" t="s">
        <v>2292</v>
      </c>
      <c r="E2674" s="3" t="s">
        <v>867</v>
      </c>
      <c r="F2674" s="3">
        <v>23.98</v>
      </c>
      <c r="G2674" s="3" t="s">
        <v>3391</v>
      </c>
      <c r="H2674" s="3"/>
      <c r="I2674" s="3" t="s">
        <v>3392</v>
      </c>
      <c r="J2674" s="3">
        <v>0</v>
      </c>
      <c r="K2674" s="3">
        <v>0</v>
      </c>
      <c r="L2674" s="3">
        <v>0</v>
      </c>
      <c r="M2674" s="3">
        <v>0</v>
      </c>
      <c r="N2674" s="3">
        <v>2</v>
      </c>
      <c r="O2674" s="3">
        <v>0.19</v>
      </c>
      <c r="P2674" s="3">
        <v>0</v>
      </c>
      <c r="Q2674" s="3">
        <v>2</v>
      </c>
      <c r="R2674" s="3">
        <v>0</v>
      </c>
    </row>
    <row r="2675" spans="1:18">
      <c r="A2675" s="3" t="s">
        <v>7488</v>
      </c>
      <c r="B2675" s="3" t="s">
        <v>7489</v>
      </c>
      <c r="C2675" s="3" t="s">
        <v>2370</v>
      </c>
      <c r="D2675" s="3" t="s">
        <v>2371</v>
      </c>
      <c r="E2675" s="3" t="s">
        <v>867</v>
      </c>
      <c r="F2675" s="3">
        <v>23.98</v>
      </c>
      <c r="G2675" s="3" t="s">
        <v>3391</v>
      </c>
      <c r="H2675" s="3"/>
      <c r="I2675" s="3" t="s">
        <v>3392</v>
      </c>
      <c r="J2675" s="3">
        <v>0</v>
      </c>
      <c r="K2675" s="3">
        <v>0</v>
      </c>
      <c r="L2675" s="3">
        <v>0</v>
      </c>
      <c r="M2675" s="3">
        <v>0</v>
      </c>
      <c r="N2675" s="3">
        <v>10</v>
      </c>
      <c r="O2675" s="3">
        <v>0.13</v>
      </c>
      <c r="P2675" s="3">
        <v>0</v>
      </c>
      <c r="Q2675" s="3">
        <v>10</v>
      </c>
      <c r="R2675" s="3">
        <v>0</v>
      </c>
    </row>
    <row r="2676" spans="1:18">
      <c r="A2676" s="3" t="s">
        <v>7490</v>
      </c>
      <c r="B2676" s="3" t="s">
        <v>7491</v>
      </c>
      <c r="C2676" s="3" t="s">
        <v>1262</v>
      </c>
      <c r="D2676" s="3" t="s">
        <v>1263</v>
      </c>
      <c r="E2676" s="3" t="s">
        <v>867</v>
      </c>
      <c r="F2676" s="3">
        <v>23.98</v>
      </c>
      <c r="G2676" s="3" t="s">
        <v>3391</v>
      </c>
      <c r="H2676" s="3"/>
      <c r="I2676" s="3" t="s">
        <v>3392</v>
      </c>
      <c r="J2676" s="3">
        <v>0</v>
      </c>
      <c r="K2676" s="3">
        <v>0</v>
      </c>
      <c r="L2676" s="3">
        <v>0</v>
      </c>
      <c r="M2676" s="3">
        <v>0</v>
      </c>
      <c r="N2676" s="3">
        <v>32</v>
      </c>
      <c r="O2676" s="3">
        <v>0.17</v>
      </c>
      <c r="P2676" s="3">
        <v>0</v>
      </c>
      <c r="Q2676" s="3">
        <v>32</v>
      </c>
      <c r="R2676" s="3">
        <v>0</v>
      </c>
    </row>
    <row r="2677" spans="1:18">
      <c r="A2677" s="3" t="s">
        <v>7492</v>
      </c>
      <c r="B2677" s="3" t="s">
        <v>7493</v>
      </c>
      <c r="C2677" s="3" t="s">
        <v>1379</v>
      </c>
      <c r="D2677" s="3" t="s">
        <v>1380</v>
      </c>
      <c r="E2677" s="3" t="s">
        <v>867</v>
      </c>
      <c r="F2677" s="3">
        <v>23.98</v>
      </c>
      <c r="G2677" s="3" t="s">
        <v>3391</v>
      </c>
      <c r="H2677" s="3"/>
      <c r="I2677" s="3" t="s">
        <v>3392</v>
      </c>
      <c r="J2677" s="3">
        <v>0</v>
      </c>
      <c r="K2677" s="3">
        <v>0</v>
      </c>
      <c r="L2677" s="3">
        <v>0</v>
      </c>
      <c r="M2677" s="3">
        <v>0</v>
      </c>
      <c r="N2677" s="3">
        <v>32</v>
      </c>
      <c r="O2677" s="3">
        <v>0.17</v>
      </c>
      <c r="P2677" s="3">
        <v>0</v>
      </c>
      <c r="Q2677" s="3">
        <v>32</v>
      </c>
      <c r="R2677" s="3">
        <v>0</v>
      </c>
    </row>
    <row r="2678" spans="1:18">
      <c r="A2678" s="3" t="s">
        <v>7494</v>
      </c>
      <c r="B2678" s="3" t="s">
        <v>7495</v>
      </c>
      <c r="C2678" s="3" t="s">
        <v>2068</v>
      </c>
      <c r="D2678" s="3" t="s">
        <v>2069</v>
      </c>
      <c r="E2678" s="3" t="s">
        <v>867</v>
      </c>
      <c r="F2678" s="3">
        <v>23.98</v>
      </c>
      <c r="G2678" s="3" t="s">
        <v>3391</v>
      </c>
      <c r="H2678" s="3"/>
      <c r="I2678" s="3" t="s">
        <v>3392</v>
      </c>
      <c r="J2678" s="3">
        <v>0</v>
      </c>
      <c r="K2678" s="3">
        <v>0</v>
      </c>
      <c r="L2678" s="3">
        <v>0</v>
      </c>
      <c r="M2678" s="3">
        <v>0</v>
      </c>
      <c r="N2678" s="3">
        <v>13</v>
      </c>
      <c r="O2678" s="3">
        <v>0.13</v>
      </c>
      <c r="P2678" s="3">
        <v>0</v>
      </c>
      <c r="Q2678" s="3">
        <v>13</v>
      </c>
      <c r="R2678" s="3">
        <v>0</v>
      </c>
    </row>
    <row r="2679" spans="1:18">
      <c r="A2679" s="3" t="s">
        <v>7496</v>
      </c>
      <c r="B2679" s="3" t="s">
        <v>7497</v>
      </c>
      <c r="C2679" s="3" t="s">
        <v>1985</v>
      </c>
      <c r="D2679" s="3" t="s">
        <v>1986</v>
      </c>
      <c r="E2679" s="3" t="s">
        <v>867</v>
      </c>
      <c r="F2679" s="3">
        <v>23.98</v>
      </c>
      <c r="G2679" s="3" t="s">
        <v>3391</v>
      </c>
      <c r="H2679" s="3"/>
      <c r="I2679" s="3" t="s">
        <v>3392</v>
      </c>
      <c r="J2679" s="3">
        <v>0</v>
      </c>
      <c r="K2679" s="3">
        <v>0</v>
      </c>
      <c r="L2679" s="3">
        <v>0</v>
      </c>
      <c r="M2679" s="3">
        <v>0</v>
      </c>
      <c r="N2679" s="3">
        <v>32</v>
      </c>
      <c r="O2679" s="3">
        <v>0.17</v>
      </c>
      <c r="P2679" s="3">
        <v>0</v>
      </c>
      <c r="Q2679" s="3">
        <v>32</v>
      </c>
      <c r="R2679" s="3">
        <v>0</v>
      </c>
    </row>
    <row r="2680" spans="1:18">
      <c r="A2680" s="3" t="s">
        <v>7498</v>
      </c>
      <c r="B2680" s="3" t="s">
        <v>7499</v>
      </c>
      <c r="C2680" s="3" t="s">
        <v>2939</v>
      </c>
      <c r="D2680" s="3" t="s">
        <v>2940</v>
      </c>
      <c r="E2680" s="3" t="s">
        <v>867</v>
      </c>
      <c r="F2680" s="3">
        <v>23.98</v>
      </c>
      <c r="G2680" s="3" t="s">
        <v>3391</v>
      </c>
      <c r="H2680" s="3"/>
      <c r="I2680" s="3" t="s">
        <v>3392</v>
      </c>
      <c r="J2680" s="3">
        <v>0</v>
      </c>
      <c r="K2680" s="3">
        <v>0</v>
      </c>
      <c r="L2680" s="3">
        <v>0</v>
      </c>
      <c r="M2680" s="3">
        <v>0</v>
      </c>
      <c r="N2680" s="3">
        <v>0</v>
      </c>
      <c r="O2680" s="3">
        <v>0.17</v>
      </c>
      <c r="P2680" s="3">
        <v>0</v>
      </c>
      <c r="Q2680" s="3">
        <v>0</v>
      </c>
      <c r="R2680" s="3">
        <v>0</v>
      </c>
    </row>
    <row r="2681" spans="1:18">
      <c r="A2681" s="3" t="s">
        <v>7500</v>
      </c>
      <c r="B2681" s="3" t="s">
        <v>7501</v>
      </c>
      <c r="C2681" s="3" t="s">
        <v>3150</v>
      </c>
      <c r="D2681" s="3" t="s">
        <v>3151</v>
      </c>
      <c r="E2681" s="3" t="s">
        <v>867</v>
      </c>
      <c r="F2681" s="3">
        <v>23.98</v>
      </c>
      <c r="G2681" s="3" t="s">
        <v>3391</v>
      </c>
      <c r="H2681" s="3"/>
      <c r="I2681" s="3" t="s">
        <v>3392</v>
      </c>
      <c r="J2681" s="3">
        <v>0</v>
      </c>
      <c r="K2681" s="3">
        <v>0</v>
      </c>
      <c r="L2681" s="3">
        <v>0</v>
      </c>
      <c r="M2681" s="3">
        <v>0</v>
      </c>
      <c r="N2681" s="3">
        <v>0</v>
      </c>
      <c r="O2681" s="3">
        <v>0.1</v>
      </c>
      <c r="P2681" s="3">
        <v>0</v>
      </c>
      <c r="Q2681" s="3">
        <v>0</v>
      </c>
      <c r="R2681" s="3">
        <v>0</v>
      </c>
    </row>
    <row r="2682" spans="1:18">
      <c r="A2682" s="3" t="s">
        <v>7502</v>
      </c>
      <c r="B2682" s="3" t="s">
        <v>7503</v>
      </c>
      <c r="C2682" s="3" t="s">
        <v>2420</v>
      </c>
      <c r="D2682" s="3" t="s">
        <v>2421</v>
      </c>
      <c r="E2682" s="3" t="s">
        <v>867</v>
      </c>
      <c r="F2682" s="3">
        <v>23.98</v>
      </c>
      <c r="G2682" s="3" t="s">
        <v>3391</v>
      </c>
      <c r="H2682" s="3"/>
      <c r="I2682" s="3" t="s">
        <v>3392</v>
      </c>
      <c r="J2682" s="3">
        <v>0</v>
      </c>
      <c r="K2682" s="3">
        <v>0</v>
      </c>
      <c r="L2682" s="3">
        <v>0</v>
      </c>
      <c r="M2682" s="3">
        <v>0</v>
      </c>
      <c r="N2682" s="3">
        <v>6</v>
      </c>
      <c r="O2682" s="3">
        <v>0.12</v>
      </c>
      <c r="P2682" s="3">
        <v>0</v>
      </c>
      <c r="Q2682" s="3">
        <v>6</v>
      </c>
      <c r="R2682" s="3">
        <v>0</v>
      </c>
    </row>
    <row r="2683" spans="1:18">
      <c r="A2683" s="3" t="s">
        <v>7504</v>
      </c>
      <c r="B2683" s="3" t="s">
        <v>7505</v>
      </c>
      <c r="C2683" s="3" t="s">
        <v>2779</v>
      </c>
      <c r="D2683" s="3" t="s">
        <v>2780</v>
      </c>
      <c r="E2683" s="3" t="s">
        <v>867</v>
      </c>
      <c r="F2683" s="3">
        <v>23.98</v>
      </c>
      <c r="G2683" s="3" t="s">
        <v>3391</v>
      </c>
      <c r="H2683" s="3"/>
      <c r="I2683" s="3" t="s">
        <v>3392</v>
      </c>
      <c r="J2683" s="3">
        <v>0</v>
      </c>
      <c r="K2683" s="3">
        <v>0</v>
      </c>
      <c r="L2683" s="3">
        <v>0</v>
      </c>
      <c r="M2683" s="3">
        <v>0</v>
      </c>
      <c r="N2683" s="3">
        <v>0</v>
      </c>
      <c r="O2683" s="3">
        <v>0.12</v>
      </c>
      <c r="P2683" s="3">
        <v>0</v>
      </c>
      <c r="Q2683" s="3">
        <v>0</v>
      </c>
      <c r="R2683" s="3">
        <v>0</v>
      </c>
    </row>
    <row r="2684" spans="1:18">
      <c r="A2684" s="3" t="s">
        <v>7506</v>
      </c>
      <c r="B2684" s="3" t="s">
        <v>7507</v>
      </c>
      <c r="C2684" s="3" t="s">
        <v>707</v>
      </c>
      <c r="D2684" s="3" t="s">
        <v>708</v>
      </c>
      <c r="E2684" s="3" t="s">
        <v>867</v>
      </c>
      <c r="F2684" s="3">
        <v>23.98</v>
      </c>
      <c r="G2684" s="3" t="s">
        <v>3391</v>
      </c>
      <c r="H2684" s="3"/>
      <c r="I2684" s="3" t="s">
        <v>3392</v>
      </c>
      <c r="J2684" s="3">
        <v>0</v>
      </c>
      <c r="K2684" s="3">
        <v>0</v>
      </c>
      <c r="L2684" s="3">
        <v>0</v>
      </c>
      <c r="M2684" s="3">
        <v>0</v>
      </c>
      <c r="N2684" s="3">
        <v>40</v>
      </c>
      <c r="O2684" s="3">
        <v>0.11</v>
      </c>
      <c r="P2684" s="3">
        <v>0</v>
      </c>
      <c r="Q2684" s="3">
        <v>40</v>
      </c>
      <c r="R2684" s="3">
        <v>0</v>
      </c>
    </row>
    <row r="2685" spans="1:18">
      <c r="A2685" s="3" t="s">
        <v>736</v>
      </c>
      <c r="B2685" s="3" t="s">
        <v>737</v>
      </c>
      <c r="C2685" s="3" t="s">
        <v>738</v>
      </c>
      <c r="D2685" s="3" t="s">
        <v>739</v>
      </c>
      <c r="E2685" s="3" t="s">
        <v>867</v>
      </c>
      <c r="F2685" s="3">
        <v>23.98</v>
      </c>
      <c r="G2685" s="3" t="s">
        <v>3391</v>
      </c>
      <c r="H2685" s="3"/>
      <c r="I2685" s="3" t="s">
        <v>3392</v>
      </c>
      <c r="J2685" s="3">
        <v>4</v>
      </c>
      <c r="K2685" s="3">
        <v>3</v>
      </c>
      <c r="L2685" s="3">
        <v>0</v>
      </c>
      <c r="M2685" s="3">
        <v>1</v>
      </c>
      <c r="N2685" s="3">
        <v>24</v>
      </c>
      <c r="O2685" s="3">
        <v>0.09</v>
      </c>
      <c r="P2685" s="3">
        <v>0</v>
      </c>
      <c r="Q2685" s="3">
        <v>20</v>
      </c>
      <c r="R2685" s="3">
        <v>0</v>
      </c>
    </row>
    <row r="2686" spans="1:18">
      <c r="A2686" s="3" t="s">
        <v>764</v>
      </c>
      <c r="B2686" s="3" t="s">
        <v>765</v>
      </c>
      <c r="C2686" s="3" t="s">
        <v>766</v>
      </c>
      <c r="D2686" s="3" t="s">
        <v>767</v>
      </c>
      <c r="E2686" s="3" t="s">
        <v>867</v>
      </c>
      <c r="F2686" s="3">
        <v>23.98</v>
      </c>
      <c r="G2686" s="3" t="s">
        <v>3391</v>
      </c>
      <c r="H2686" s="3"/>
      <c r="I2686" s="3" t="s">
        <v>3392</v>
      </c>
      <c r="J2686" s="3">
        <v>5</v>
      </c>
      <c r="K2686" s="3">
        <v>0</v>
      </c>
      <c r="L2686" s="3">
        <v>0</v>
      </c>
      <c r="M2686" s="3">
        <v>5</v>
      </c>
      <c r="N2686" s="3">
        <v>10</v>
      </c>
      <c r="O2686" s="3">
        <v>0.08</v>
      </c>
      <c r="P2686" s="3">
        <v>0</v>
      </c>
      <c r="Q2686" s="3">
        <v>5</v>
      </c>
      <c r="R2686" s="3">
        <v>0</v>
      </c>
    </row>
    <row r="2687" spans="1:18">
      <c r="A2687" s="3" t="s">
        <v>7508</v>
      </c>
      <c r="B2687" s="3" t="s">
        <v>7509</v>
      </c>
      <c r="C2687" s="3" t="s">
        <v>2959</v>
      </c>
      <c r="D2687" s="3" t="s">
        <v>2960</v>
      </c>
      <c r="E2687" s="3" t="s">
        <v>867</v>
      </c>
      <c r="F2687" s="3">
        <v>23.98</v>
      </c>
      <c r="G2687" s="3" t="s">
        <v>3391</v>
      </c>
      <c r="H2687" s="3"/>
      <c r="I2687" s="3" t="s">
        <v>3392</v>
      </c>
      <c r="J2687" s="3">
        <v>0</v>
      </c>
      <c r="K2687" s="3">
        <v>0</v>
      </c>
      <c r="L2687" s="3">
        <v>0</v>
      </c>
      <c r="M2687" s="3">
        <v>0</v>
      </c>
      <c r="N2687" s="3">
        <v>45</v>
      </c>
      <c r="O2687" s="3">
        <v>0.12</v>
      </c>
      <c r="P2687" s="3">
        <v>0</v>
      </c>
      <c r="Q2687" s="3">
        <v>45</v>
      </c>
      <c r="R2687" s="3">
        <v>0</v>
      </c>
    </row>
    <row r="2688" spans="1:18">
      <c r="A2688" s="3" t="s">
        <v>7510</v>
      </c>
      <c r="B2688" s="3" t="s">
        <v>7511</v>
      </c>
      <c r="C2688" s="3" t="s">
        <v>1071</v>
      </c>
      <c r="D2688" s="3" t="s">
        <v>1072</v>
      </c>
      <c r="E2688" s="3" t="s">
        <v>867</v>
      </c>
      <c r="F2688" s="3">
        <v>23.98</v>
      </c>
      <c r="G2688" s="3" t="s">
        <v>3391</v>
      </c>
      <c r="H2688" s="3"/>
      <c r="I2688" s="3" t="s">
        <v>3392</v>
      </c>
      <c r="J2688" s="3">
        <v>0</v>
      </c>
      <c r="K2688" s="3">
        <v>0</v>
      </c>
      <c r="L2688" s="3">
        <v>0</v>
      </c>
      <c r="M2688" s="3">
        <v>0</v>
      </c>
      <c r="N2688" s="3">
        <v>11</v>
      </c>
      <c r="O2688" s="3">
        <v>0.12</v>
      </c>
      <c r="P2688" s="3">
        <v>0</v>
      </c>
      <c r="Q2688" s="3">
        <v>11</v>
      </c>
      <c r="R2688" s="3">
        <v>0</v>
      </c>
    </row>
    <row r="2689" spans="1:18">
      <c r="A2689" s="3" t="s">
        <v>2930</v>
      </c>
      <c r="B2689" s="3" t="s">
        <v>2931</v>
      </c>
      <c r="C2689" s="3" t="s">
        <v>2932</v>
      </c>
      <c r="D2689" s="3" t="s">
        <v>2933</v>
      </c>
      <c r="E2689" s="3" t="s">
        <v>867</v>
      </c>
      <c r="F2689" s="3">
        <v>23.98</v>
      </c>
      <c r="G2689" s="3" t="s">
        <v>3391</v>
      </c>
      <c r="H2689" s="3"/>
      <c r="I2689" s="3" t="s">
        <v>3392</v>
      </c>
      <c r="J2689" s="3">
        <v>3</v>
      </c>
      <c r="K2689" s="3">
        <v>3</v>
      </c>
      <c r="L2689" s="3">
        <v>0</v>
      </c>
      <c r="M2689" s="3">
        <v>0</v>
      </c>
      <c r="N2689" s="3">
        <v>11</v>
      </c>
      <c r="O2689" s="3">
        <v>0.17</v>
      </c>
      <c r="P2689" s="3">
        <v>0</v>
      </c>
      <c r="Q2689" s="3">
        <v>8</v>
      </c>
      <c r="R2689" s="3">
        <v>0</v>
      </c>
    </row>
    <row r="2690" spans="1:18">
      <c r="A2690" s="3" t="s">
        <v>1402</v>
      </c>
      <c r="B2690" s="3" t="s">
        <v>1403</v>
      </c>
      <c r="C2690" s="3" t="s">
        <v>1404</v>
      </c>
      <c r="D2690" s="3" t="s">
        <v>1405</v>
      </c>
      <c r="E2690" s="3" t="s">
        <v>867</v>
      </c>
      <c r="F2690" s="3">
        <v>23.98</v>
      </c>
      <c r="G2690" s="3" t="s">
        <v>3391</v>
      </c>
      <c r="H2690" s="3"/>
      <c r="I2690" s="3" t="s">
        <v>3392</v>
      </c>
      <c r="J2690" s="3">
        <v>2</v>
      </c>
      <c r="K2690" s="3">
        <v>2</v>
      </c>
      <c r="L2690" s="3">
        <v>0</v>
      </c>
      <c r="M2690" s="3">
        <v>0</v>
      </c>
      <c r="N2690" s="3">
        <v>14</v>
      </c>
      <c r="O2690" s="3">
        <v>0.1</v>
      </c>
      <c r="P2690" s="3">
        <v>0</v>
      </c>
      <c r="Q2690" s="3">
        <v>12</v>
      </c>
      <c r="R2690" s="3">
        <v>0</v>
      </c>
    </row>
    <row r="2691" spans="1:18">
      <c r="A2691" s="3" t="s">
        <v>7512</v>
      </c>
      <c r="B2691" s="3" t="s">
        <v>7513</v>
      </c>
      <c r="C2691" s="3" t="s">
        <v>2663</v>
      </c>
      <c r="D2691" s="3" t="s">
        <v>2664</v>
      </c>
      <c r="E2691" s="3" t="s">
        <v>867</v>
      </c>
      <c r="F2691" s="3">
        <v>23.98</v>
      </c>
      <c r="G2691" s="3" t="s">
        <v>3391</v>
      </c>
      <c r="H2691" s="3"/>
      <c r="I2691" s="3" t="s">
        <v>3392</v>
      </c>
      <c r="J2691" s="3">
        <v>0</v>
      </c>
      <c r="K2691" s="3">
        <v>0</v>
      </c>
      <c r="L2691" s="3">
        <v>0</v>
      </c>
      <c r="M2691" s="3">
        <v>0</v>
      </c>
      <c r="N2691" s="3">
        <v>10</v>
      </c>
      <c r="O2691" s="3">
        <v>0.17</v>
      </c>
      <c r="P2691" s="3">
        <v>0</v>
      </c>
      <c r="Q2691" s="3">
        <v>10</v>
      </c>
      <c r="R2691" s="3">
        <v>0</v>
      </c>
    </row>
    <row r="2692" spans="1:18">
      <c r="A2692" s="3" t="s">
        <v>7514</v>
      </c>
      <c r="B2692" s="3" t="s">
        <v>7515</v>
      </c>
      <c r="C2692" s="3" t="s">
        <v>2855</v>
      </c>
      <c r="D2692" s="3" t="s">
        <v>2856</v>
      </c>
      <c r="E2692" s="3" t="s">
        <v>867</v>
      </c>
      <c r="F2692" s="3">
        <v>23.98</v>
      </c>
      <c r="G2692" s="3" t="s">
        <v>3391</v>
      </c>
      <c r="H2692" s="3"/>
      <c r="I2692" s="3" t="s">
        <v>3392</v>
      </c>
      <c r="J2692" s="3">
        <v>0</v>
      </c>
      <c r="K2692" s="3">
        <v>0</v>
      </c>
      <c r="L2692" s="3">
        <v>0</v>
      </c>
      <c r="M2692" s="3">
        <v>0</v>
      </c>
      <c r="N2692" s="3">
        <v>33</v>
      </c>
      <c r="O2692" s="3">
        <v>0.17</v>
      </c>
      <c r="P2692" s="3">
        <v>0</v>
      </c>
      <c r="Q2692" s="3">
        <v>33</v>
      </c>
      <c r="R2692" s="3">
        <v>0</v>
      </c>
    </row>
    <row r="2693" spans="1:18">
      <c r="A2693" s="3" t="s">
        <v>7516</v>
      </c>
      <c r="B2693" s="3" t="s">
        <v>7517</v>
      </c>
      <c r="C2693" s="3" t="s">
        <v>2050</v>
      </c>
      <c r="D2693" s="3" t="s">
        <v>2051</v>
      </c>
      <c r="E2693" s="3" t="s">
        <v>867</v>
      </c>
      <c r="F2693" s="3">
        <v>23.98</v>
      </c>
      <c r="G2693" s="3" t="s">
        <v>3391</v>
      </c>
      <c r="H2693" s="3"/>
      <c r="I2693" s="3" t="s">
        <v>3392</v>
      </c>
      <c r="J2693" s="3">
        <v>0</v>
      </c>
      <c r="K2693" s="3">
        <v>0</v>
      </c>
      <c r="L2693" s="3">
        <v>0</v>
      </c>
      <c r="M2693" s="3">
        <v>0</v>
      </c>
      <c r="N2693" s="3">
        <v>14</v>
      </c>
      <c r="O2693" s="3">
        <v>0.08</v>
      </c>
      <c r="P2693" s="3">
        <v>0</v>
      </c>
      <c r="Q2693" s="3">
        <v>14</v>
      </c>
      <c r="R2693" s="3">
        <v>0</v>
      </c>
    </row>
    <row r="2694" spans="1:18">
      <c r="A2694" s="3" t="s">
        <v>7518</v>
      </c>
      <c r="B2694" s="3" t="s">
        <v>7519</v>
      </c>
      <c r="C2694" s="3" t="s">
        <v>2444</v>
      </c>
      <c r="D2694" s="3" t="s">
        <v>2445</v>
      </c>
      <c r="E2694" s="3" t="s">
        <v>867</v>
      </c>
      <c r="F2694" s="3">
        <v>23.98</v>
      </c>
      <c r="G2694" s="3" t="s">
        <v>3391</v>
      </c>
      <c r="H2694" s="3"/>
      <c r="I2694" s="3" t="s">
        <v>3392</v>
      </c>
      <c r="J2694" s="3">
        <v>0</v>
      </c>
      <c r="K2694" s="3">
        <v>0</v>
      </c>
      <c r="L2694" s="3">
        <v>0</v>
      </c>
      <c r="M2694" s="3">
        <v>0</v>
      </c>
      <c r="N2694" s="3">
        <v>10</v>
      </c>
      <c r="O2694" s="3">
        <v>0.09</v>
      </c>
      <c r="P2694" s="3">
        <v>0</v>
      </c>
      <c r="Q2694" s="3">
        <v>10</v>
      </c>
      <c r="R2694" s="3">
        <v>0</v>
      </c>
    </row>
    <row r="2695" spans="1:18">
      <c r="A2695" s="3" t="s">
        <v>7520</v>
      </c>
      <c r="B2695" s="3" t="s">
        <v>7521</v>
      </c>
      <c r="C2695" s="3" t="s">
        <v>2242</v>
      </c>
      <c r="D2695" s="3" t="s">
        <v>2243</v>
      </c>
      <c r="E2695" s="3" t="s">
        <v>867</v>
      </c>
      <c r="F2695" s="3">
        <v>23.98</v>
      </c>
      <c r="G2695" s="3" t="s">
        <v>3391</v>
      </c>
      <c r="H2695" s="3"/>
      <c r="I2695" s="3" t="s">
        <v>3392</v>
      </c>
      <c r="J2695" s="3">
        <v>0</v>
      </c>
      <c r="K2695" s="3">
        <v>0</v>
      </c>
      <c r="L2695" s="3">
        <v>0</v>
      </c>
      <c r="M2695" s="3">
        <v>0</v>
      </c>
      <c r="N2695" s="3">
        <v>23</v>
      </c>
      <c r="O2695" s="3">
        <v>0.17</v>
      </c>
      <c r="P2695" s="3">
        <v>0</v>
      </c>
      <c r="Q2695" s="3">
        <v>23</v>
      </c>
      <c r="R2695" s="3">
        <v>0</v>
      </c>
    </row>
    <row r="2696" spans="1:18">
      <c r="A2696" s="3" t="s">
        <v>7522</v>
      </c>
      <c r="B2696" s="3" t="s">
        <v>7523</v>
      </c>
      <c r="C2696" s="3" t="s">
        <v>1742</v>
      </c>
      <c r="D2696" s="3" t="s">
        <v>1743</v>
      </c>
      <c r="E2696" s="3" t="s">
        <v>867</v>
      </c>
      <c r="F2696" s="3">
        <v>23.98</v>
      </c>
      <c r="G2696" s="3" t="s">
        <v>3391</v>
      </c>
      <c r="H2696" s="3"/>
      <c r="I2696" s="3" t="s">
        <v>3392</v>
      </c>
      <c r="J2696" s="3">
        <v>0</v>
      </c>
      <c r="K2696" s="3">
        <v>0</v>
      </c>
      <c r="L2696" s="3">
        <v>0</v>
      </c>
      <c r="M2696" s="3">
        <v>0</v>
      </c>
      <c r="N2696" s="3">
        <v>41</v>
      </c>
      <c r="O2696" s="3">
        <v>0.1</v>
      </c>
      <c r="P2696" s="3">
        <v>0</v>
      </c>
      <c r="Q2696" s="3">
        <v>41</v>
      </c>
      <c r="R2696" s="3">
        <v>0</v>
      </c>
    </row>
    <row r="2697" spans="1:18">
      <c r="A2697" s="3" t="s">
        <v>768</v>
      </c>
      <c r="B2697" s="3" t="s">
        <v>769</v>
      </c>
      <c r="C2697" s="3" t="s">
        <v>770</v>
      </c>
      <c r="D2697" s="3" t="s">
        <v>771</v>
      </c>
      <c r="E2697" s="3" t="s">
        <v>867</v>
      </c>
      <c r="F2697" s="3">
        <v>23.98</v>
      </c>
      <c r="G2697" s="3" t="s">
        <v>3391</v>
      </c>
      <c r="H2697" s="3"/>
      <c r="I2697" s="3" t="s">
        <v>3392</v>
      </c>
      <c r="J2697" s="3">
        <v>8</v>
      </c>
      <c r="K2697" s="3">
        <v>5</v>
      </c>
      <c r="L2697" s="3">
        <v>0</v>
      </c>
      <c r="M2697" s="3">
        <v>3</v>
      </c>
      <c r="N2697" s="3">
        <v>32</v>
      </c>
      <c r="O2697" s="3">
        <v>0.11</v>
      </c>
      <c r="P2697" s="3">
        <v>0</v>
      </c>
      <c r="Q2697" s="3">
        <v>24</v>
      </c>
      <c r="R2697" s="3">
        <v>0</v>
      </c>
    </row>
    <row r="2698" spans="1:18">
      <c r="A2698" s="3" t="s">
        <v>7524</v>
      </c>
      <c r="B2698" s="3" t="s">
        <v>7525</v>
      </c>
      <c r="C2698" s="3" t="s">
        <v>698</v>
      </c>
      <c r="D2698" s="3" t="s">
        <v>699</v>
      </c>
      <c r="E2698" s="3" t="s">
        <v>867</v>
      </c>
      <c r="F2698" s="3">
        <v>23.98</v>
      </c>
      <c r="G2698" s="3" t="s">
        <v>3391</v>
      </c>
      <c r="H2698" s="3"/>
      <c r="I2698" s="3" t="s">
        <v>3392</v>
      </c>
      <c r="J2698" s="3">
        <v>0</v>
      </c>
      <c r="K2698" s="3">
        <v>0</v>
      </c>
      <c r="L2698" s="3">
        <v>0</v>
      </c>
      <c r="M2698" s="3">
        <v>0</v>
      </c>
      <c r="N2698" s="3">
        <v>8</v>
      </c>
      <c r="O2698" s="3">
        <v>0.08</v>
      </c>
      <c r="P2698" s="3">
        <v>0</v>
      </c>
      <c r="Q2698" s="3">
        <v>8</v>
      </c>
      <c r="R2698" s="3">
        <v>0</v>
      </c>
    </row>
    <row r="2699" spans="1:18">
      <c r="A2699" s="3" t="s">
        <v>760</v>
      </c>
      <c r="B2699" s="3" t="s">
        <v>761</v>
      </c>
      <c r="C2699" s="3" t="s">
        <v>762</v>
      </c>
      <c r="D2699" s="3" t="s">
        <v>763</v>
      </c>
      <c r="E2699" s="3" t="s">
        <v>867</v>
      </c>
      <c r="F2699" s="3">
        <v>23.98</v>
      </c>
      <c r="G2699" s="3" t="s">
        <v>3391</v>
      </c>
      <c r="H2699" s="3"/>
      <c r="I2699" s="3" t="s">
        <v>3392</v>
      </c>
      <c r="J2699" s="3">
        <v>6</v>
      </c>
      <c r="K2699" s="3">
        <v>5</v>
      </c>
      <c r="L2699" s="3">
        <v>0</v>
      </c>
      <c r="M2699" s="3">
        <v>1</v>
      </c>
      <c r="N2699" s="3">
        <v>40</v>
      </c>
      <c r="O2699" s="3">
        <v>0.12</v>
      </c>
      <c r="P2699" s="3">
        <v>0</v>
      </c>
      <c r="Q2699" s="3">
        <v>34</v>
      </c>
      <c r="R2699" s="3">
        <v>0</v>
      </c>
    </row>
    <row r="2700" spans="1:18">
      <c r="A2700" s="3" t="s">
        <v>7526</v>
      </c>
      <c r="B2700" s="3" t="s">
        <v>7527</v>
      </c>
      <c r="C2700" s="3" t="s">
        <v>1725</v>
      </c>
      <c r="D2700" s="3" t="s">
        <v>1726</v>
      </c>
      <c r="E2700" s="3" t="s">
        <v>867</v>
      </c>
      <c r="F2700" s="3">
        <v>23.98</v>
      </c>
      <c r="G2700" s="3" t="s">
        <v>3391</v>
      </c>
      <c r="H2700" s="3"/>
      <c r="I2700" s="3" t="s">
        <v>3392</v>
      </c>
      <c r="J2700" s="3">
        <v>0</v>
      </c>
      <c r="K2700" s="3">
        <v>0</v>
      </c>
      <c r="L2700" s="3">
        <v>0</v>
      </c>
      <c r="M2700" s="3">
        <v>0</v>
      </c>
      <c r="N2700" s="3">
        <v>0</v>
      </c>
      <c r="O2700" s="3">
        <v>0.17</v>
      </c>
      <c r="P2700" s="3">
        <v>0</v>
      </c>
      <c r="Q2700" s="3">
        <v>0</v>
      </c>
      <c r="R2700" s="3">
        <v>0</v>
      </c>
    </row>
    <row r="2701" spans="1:18">
      <c r="A2701" s="3" t="s">
        <v>7528</v>
      </c>
      <c r="B2701" s="3" t="s">
        <v>7529</v>
      </c>
      <c r="C2701" s="3" t="s">
        <v>1658</v>
      </c>
      <c r="D2701" s="3" t="s">
        <v>1659</v>
      </c>
      <c r="E2701" s="3" t="s">
        <v>867</v>
      </c>
      <c r="F2701" s="3">
        <v>23.98</v>
      </c>
      <c r="G2701" s="3" t="s">
        <v>3391</v>
      </c>
      <c r="H2701" s="3"/>
      <c r="I2701" s="3" t="s">
        <v>3392</v>
      </c>
      <c r="J2701" s="3">
        <v>0</v>
      </c>
      <c r="K2701" s="3">
        <v>0</v>
      </c>
      <c r="L2701" s="3">
        <v>0</v>
      </c>
      <c r="M2701" s="3">
        <v>0</v>
      </c>
      <c r="N2701" s="3">
        <v>0</v>
      </c>
      <c r="O2701" s="3">
        <v>0.17</v>
      </c>
      <c r="P2701" s="3">
        <v>0</v>
      </c>
      <c r="Q2701" s="3">
        <v>0</v>
      </c>
      <c r="R2701" s="3">
        <v>0</v>
      </c>
    </row>
    <row r="2702" spans="1:18">
      <c r="A2702" s="3" t="s">
        <v>7530</v>
      </c>
      <c r="B2702" s="3" t="s">
        <v>7531</v>
      </c>
      <c r="C2702" s="3" t="s">
        <v>7319</v>
      </c>
      <c r="D2702" s="3" t="s">
        <v>7320</v>
      </c>
      <c r="E2702" s="3" t="s">
        <v>867</v>
      </c>
      <c r="F2702" s="3">
        <v>23.98</v>
      </c>
      <c r="G2702" s="3" t="s">
        <v>3391</v>
      </c>
      <c r="H2702" s="3"/>
      <c r="I2702" s="3" t="s">
        <v>3392</v>
      </c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>
        <v>0.12</v>
      </c>
      <c r="P2702" s="3">
        <v>0</v>
      </c>
      <c r="Q2702" s="3">
        <v>0</v>
      </c>
      <c r="R2702" s="3">
        <v>0</v>
      </c>
    </row>
    <row r="2703" spans="1:18">
      <c r="A2703" s="3" t="s">
        <v>7532</v>
      </c>
      <c r="B2703" s="3" t="s">
        <v>7533</v>
      </c>
      <c r="C2703" s="3" t="s">
        <v>1183</v>
      </c>
      <c r="D2703" s="3" t="s">
        <v>1184</v>
      </c>
      <c r="E2703" s="3" t="s">
        <v>867</v>
      </c>
      <c r="F2703" s="3">
        <v>23.98</v>
      </c>
      <c r="G2703" s="3" t="s">
        <v>3391</v>
      </c>
      <c r="H2703" s="3"/>
      <c r="I2703" s="3" t="s">
        <v>3392</v>
      </c>
      <c r="J2703" s="3">
        <v>0</v>
      </c>
      <c r="K2703" s="3">
        <v>0</v>
      </c>
      <c r="L2703" s="3">
        <v>0</v>
      </c>
      <c r="M2703" s="3">
        <v>0</v>
      </c>
      <c r="N2703" s="3">
        <v>0</v>
      </c>
      <c r="O2703" s="3">
        <v>0.17</v>
      </c>
      <c r="P2703" s="3">
        <v>0</v>
      </c>
      <c r="Q2703" s="3">
        <v>0</v>
      </c>
      <c r="R2703" s="3">
        <v>0</v>
      </c>
    </row>
    <row r="2704" spans="1:18">
      <c r="A2704" s="3" t="s">
        <v>7534</v>
      </c>
      <c r="B2704" s="3" t="s">
        <v>7535</v>
      </c>
      <c r="C2704" s="3" t="s">
        <v>689</v>
      </c>
      <c r="D2704" s="3" t="s">
        <v>690</v>
      </c>
      <c r="E2704" s="3" t="s">
        <v>867</v>
      </c>
      <c r="F2704" s="3">
        <v>23.98</v>
      </c>
      <c r="G2704" s="3" t="s">
        <v>3391</v>
      </c>
      <c r="H2704" s="3"/>
      <c r="I2704" s="3" t="s">
        <v>3392</v>
      </c>
      <c r="J2704" s="3">
        <v>0</v>
      </c>
      <c r="K2704" s="3">
        <v>0</v>
      </c>
      <c r="L2704" s="3">
        <v>0</v>
      </c>
      <c r="M2704" s="3">
        <v>0</v>
      </c>
      <c r="N2704" s="3">
        <v>28</v>
      </c>
      <c r="O2704" s="3">
        <v>0.17</v>
      </c>
      <c r="P2704" s="3">
        <v>0</v>
      </c>
      <c r="Q2704" s="3">
        <v>28</v>
      </c>
      <c r="R2704" s="3">
        <v>0</v>
      </c>
    </row>
    <row r="2705" spans="1:18">
      <c r="A2705" s="3" t="s">
        <v>7536</v>
      </c>
      <c r="B2705" s="3" t="s">
        <v>7537</v>
      </c>
      <c r="C2705" s="3" t="s">
        <v>2526</v>
      </c>
      <c r="D2705" s="3" t="s">
        <v>2527</v>
      </c>
      <c r="E2705" s="3" t="s">
        <v>867</v>
      </c>
      <c r="F2705" s="3">
        <v>23.98</v>
      </c>
      <c r="G2705" s="3" t="s">
        <v>3391</v>
      </c>
      <c r="H2705" s="3"/>
      <c r="I2705" s="3" t="s">
        <v>3392</v>
      </c>
      <c r="J2705" s="3">
        <v>0</v>
      </c>
      <c r="K2705" s="3">
        <v>0</v>
      </c>
      <c r="L2705" s="3">
        <v>0</v>
      </c>
      <c r="M2705" s="3">
        <v>0</v>
      </c>
      <c r="N2705" s="3">
        <v>43</v>
      </c>
      <c r="O2705" s="3">
        <v>0.13</v>
      </c>
      <c r="P2705" s="3">
        <v>0</v>
      </c>
      <c r="Q2705" s="3">
        <v>43</v>
      </c>
      <c r="R2705" s="3">
        <v>0</v>
      </c>
    </row>
    <row r="2706" spans="1:18">
      <c r="A2706" s="3" t="s">
        <v>2825</v>
      </c>
      <c r="B2706" s="3" t="s">
        <v>2826</v>
      </c>
      <c r="C2706" s="3" t="s">
        <v>2354</v>
      </c>
      <c r="D2706" s="3" t="s">
        <v>2355</v>
      </c>
      <c r="E2706" s="3" t="s">
        <v>867</v>
      </c>
      <c r="F2706" s="3">
        <v>23.98</v>
      </c>
      <c r="G2706" s="3" t="s">
        <v>3391</v>
      </c>
      <c r="H2706" s="3"/>
      <c r="I2706" s="3" t="s">
        <v>3392</v>
      </c>
      <c r="J2706" s="3">
        <v>2</v>
      </c>
      <c r="K2706" s="3">
        <v>2</v>
      </c>
      <c r="L2706" s="3">
        <v>0</v>
      </c>
      <c r="M2706" s="3">
        <v>0</v>
      </c>
      <c r="N2706" s="3">
        <v>27</v>
      </c>
      <c r="O2706" s="3">
        <v>0.14</v>
      </c>
      <c r="P2706" s="3">
        <v>0</v>
      </c>
      <c r="Q2706" s="3">
        <v>25</v>
      </c>
      <c r="R2706" s="3">
        <v>0</v>
      </c>
    </row>
    <row r="2707" spans="1:18">
      <c r="A2707" s="3" t="s">
        <v>7538</v>
      </c>
      <c r="B2707" s="3" t="s">
        <v>7539</v>
      </c>
      <c r="C2707" s="3" t="s">
        <v>686</v>
      </c>
      <c r="D2707" s="3" t="s">
        <v>687</v>
      </c>
      <c r="E2707" s="3" t="s">
        <v>867</v>
      </c>
      <c r="F2707" s="3">
        <v>23.98</v>
      </c>
      <c r="G2707" s="3" t="s">
        <v>3391</v>
      </c>
      <c r="H2707" s="3"/>
      <c r="I2707" s="3" t="s">
        <v>3392</v>
      </c>
      <c r="J2707" s="3">
        <v>0</v>
      </c>
      <c r="K2707" s="3">
        <v>0</v>
      </c>
      <c r="L2707" s="3">
        <v>0</v>
      </c>
      <c r="M2707" s="3">
        <v>0</v>
      </c>
      <c r="N2707" s="3">
        <v>34</v>
      </c>
      <c r="O2707" s="3">
        <v>0.17</v>
      </c>
      <c r="P2707" s="3">
        <v>0</v>
      </c>
      <c r="Q2707" s="3">
        <v>34</v>
      </c>
      <c r="R2707" s="3">
        <v>0</v>
      </c>
    </row>
    <row r="2708" spans="1:18">
      <c r="A2708" s="3" t="s">
        <v>7540</v>
      </c>
      <c r="B2708" s="3" t="s">
        <v>7541</v>
      </c>
      <c r="C2708" s="3" t="s">
        <v>1588</v>
      </c>
      <c r="D2708" s="3" t="s">
        <v>1589</v>
      </c>
      <c r="E2708" s="3" t="s">
        <v>867</v>
      </c>
      <c r="F2708" s="3">
        <v>23.98</v>
      </c>
      <c r="G2708" s="3" t="s">
        <v>3391</v>
      </c>
      <c r="H2708" s="3"/>
      <c r="I2708" s="3" t="s">
        <v>3392</v>
      </c>
      <c r="J2708" s="3">
        <v>0</v>
      </c>
      <c r="K2708" s="3">
        <v>0</v>
      </c>
      <c r="L2708" s="3">
        <v>0</v>
      </c>
      <c r="M2708" s="3">
        <v>0</v>
      </c>
      <c r="N2708" s="3">
        <v>43</v>
      </c>
      <c r="O2708" s="3">
        <v>0.1</v>
      </c>
      <c r="P2708" s="3">
        <v>0</v>
      </c>
      <c r="Q2708" s="3">
        <v>43</v>
      </c>
      <c r="R2708" s="3">
        <v>0</v>
      </c>
    </row>
    <row r="2709" spans="1:18">
      <c r="A2709" s="3" t="s">
        <v>7542</v>
      </c>
      <c r="B2709" s="3" t="s">
        <v>7543</v>
      </c>
      <c r="C2709" s="3" t="s">
        <v>2977</v>
      </c>
      <c r="D2709" s="3" t="s">
        <v>2978</v>
      </c>
      <c r="E2709" s="3" t="s">
        <v>867</v>
      </c>
      <c r="F2709" s="3">
        <v>23.98</v>
      </c>
      <c r="G2709" s="3" t="s">
        <v>3391</v>
      </c>
      <c r="H2709" s="3"/>
      <c r="I2709" s="3" t="s">
        <v>3392</v>
      </c>
      <c r="J2709" s="3">
        <v>0</v>
      </c>
      <c r="K2709" s="3">
        <v>0</v>
      </c>
      <c r="L2709" s="3">
        <v>0</v>
      </c>
      <c r="M2709" s="3">
        <v>0</v>
      </c>
      <c r="N2709" s="3">
        <v>35</v>
      </c>
      <c r="O2709" s="3">
        <v>0.17</v>
      </c>
      <c r="P2709" s="3">
        <v>0</v>
      </c>
      <c r="Q2709" s="3">
        <v>35</v>
      </c>
      <c r="R2709" s="3">
        <v>0</v>
      </c>
    </row>
    <row r="2710" spans="1:18">
      <c r="A2710" s="3" t="s">
        <v>7544</v>
      </c>
      <c r="B2710" s="3" t="s">
        <v>7545</v>
      </c>
      <c r="C2710" s="3" t="s">
        <v>3250</v>
      </c>
      <c r="D2710" s="3" t="s">
        <v>3251</v>
      </c>
      <c r="E2710" s="3" t="s">
        <v>867</v>
      </c>
      <c r="F2710" s="3">
        <v>23.98</v>
      </c>
      <c r="G2710" s="3" t="s">
        <v>3391</v>
      </c>
      <c r="H2710" s="3"/>
      <c r="I2710" s="3" t="s">
        <v>3392</v>
      </c>
      <c r="J2710" s="3">
        <v>0</v>
      </c>
      <c r="K2710" s="3">
        <v>0</v>
      </c>
      <c r="L2710" s="3">
        <v>0</v>
      </c>
      <c r="M2710" s="3">
        <v>0</v>
      </c>
      <c r="N2710" s="3">
        <v>9</v>
      </c>
      <c r="O2710" s="3">
        <v>0.1</v>
      </c>
      <c r="P2710" s="3">
        <v>0</v>
      </c>
      <c r="Q2710" s="3">
        <v>9</v>
      </c>
      <c r="R2710" s="3">
        <v>0</v>
      </c>
    </row>
    <row r="2711" spans="1:18">
      <c r="A2711" s="3" t="s">
        <v>7546</v>
      </c>
      <c r="B2711" s="3" t="s">
        <v>7547</v>
      </c>
      <c r="C2711" s="3" t="s">
        <v>3085</v>
      </c>
      <c r="D2711" s="3" t="s">
        <v>3086</v>
      </c>
      <c r="E2711" s="3" t="s">
        <v>867</v>
      </c>
      <c r="F2711" s="3">
        <v>23.98</v>
      </c>
      <c r="G2711" s="3" t="s">
        <v>3391</v>
      </c>
      <c r="H2711" s="3"/>
      <c r="I2711" s="3" t="s">
        <v>3392</v>
      </c>
      <c r="J2711" s="3">
        <v>0</v>
      </c>
      <c r="K2711" s="3">
        <v>0</v>
      </c>
      <c r="L2711" s="3">
        <v>0</v>
      </c>
      <c r="M2711" s="3">
        <v>0</v>
      </c>
      <c r="N2711" s="3">
        <v>25</v>
      </c>
      <c r="O2711" s="3">
        <v>0.17</v>
      </c>
      <c r="P2711" s="3">
        <v>0</v>
      </c>
      <c r="Q2711" s="3">
        <v>25</v>
      </c>
      <c r="R2711" s="3">
        <v>0</v>
      </c>
    </row>
    <row r="2712" spans="1:18">
      <c r="A2712" s="3" t="s">
        <v>7548</v>
      </c>
      <c r="B2712" s="3" t="s">
        <v>7549</v>
      </c>
      <c r="C2712" s="3" t="s">
        <v>7203</v>
      </c>
      <c r="D2712" s="3"/>
      <c r="E2712" s="3" t="s">
        <v>3293</v>
      </c>
      <c r="F2712" s="3"/>
      <c r="G2712" s="3"/>
      <c r="H2712" s="3"/>
      <c r="I2712" s="3"/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/>
      <c r="P2712" s="3">
        <v>0</v>
      </c>
      <c r="Q2712" s="3">
        <v>0</v>
      </c>
      <c r="R2712" s="3">
        <v>0</v>
      </c>
    </row>
    <row r="2713" spans="1:18">
      <c r="A2713" s="3" t="s">
        <v>7550</v>
      </c>
      <c r="B2713" s="3" t="s">
        <v>7551</v>
      </c>
      <c r="C2713" s="3" t="s">
        <v>7207</v>
      </c>
      <c r="D2713" s="3"/>
      <c r="E2713" s="3" t="s">
        <v>3293</v>
      </c>
      <c r="F2713" s="3"/>
      <c r="G2713" s="3"/>
      <c r="H2713" s="3"/>
      <c r="I2713" s="3"/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/>
      <c r="P2713" s="3">
        <v>0</v>
      </c>
      <c r="Q2713" s="3">
        <v>0</v>
      </c>
      <c r="R2713" s="3">
        <v>0</v>
      </c>
    </row>
    <row r="2714" spans="1:18">
      <c r="A2714" s="3" t="s">
        <v>7552</v>
      </c>
      <c r="B2714" s="3" t="s">
        <v>7553</v>
      </c>
      <c r="C2714" s="3" t="s">
        <v>7211</v>
      </c>
      <c r="D2714" s="3"/>
      <c r="E2714" s="3" t="s">
        <v>3293</v>
      </c>
      <c r="F2714" s="3"/>
      <c r="G2714" s="3"/>
      <c r="H2714" s="3"/>
      <c r="I2714" s="3"/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/>
      <c r="P2714" s="3">
        <v>0</v>
      </c>
      <c r="Q2714" s="3">
        <v>0</v>
      </c>
      <c r="R2714" s="3">
        <v>0</v>
      </c>
    </row>
    <row r="2715" spans="1:18">
      <c r="A2715" s="3" t="s">
        <v>7554</v>
      </c>
      <c r="B2715" s="3" t="s">
        <v>7555</v>
      </c>
      <c r="C2715" s="3" t="s">
        <v>7215</v>
      </c>
      <c r="D2715" s="3"/>
      <c r="E2715" s="3" t="s">
        <v>3293</v>
      </c>
      <c r="F2715" s="3"/>
      <c r="G2715" s="3"/>
      <c r="H2715" s="3"/>
      <c r="I2715" s="3"/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/>
      <c r="P2715" s="3">
        <v>0</v>
      </c>
      <c r="Q2715" s="3">
        <v>0</v>
      </c>
      <c r="R2715" s="3">
        <v>0</v>
      </c>
    </row>
    <row r="2716" spans="1:18">
      <c r="A2716" s="3" t="s">
        <v>7556</v>
      </c>
      <c r="B2716" s="3" t="s">
        <v>7557</v>
      </c>
      <c r="C2716" s="3" t="s">
        <v>7219</v>
      </c>
      <c r="D2716" s="3"/>
      <c r="E2716" s="3" t="s">
        <v>3293</v>
      </c>
      <c r="F2716" s="3"/>
      <c r="G2716" s="3"/>
      <c r="H2716" s="3"/>
      <c r="I2716" s="3"/>
      <c r="J2716" s="3">
        <v>0</v>
      </c>
      <c r="K2716" s="3">
        <v>0</v>
      </c>
      <c r="L2716" s="3">
        <v>0</v>
      </c>
      <c r="M2716" s="3">
        <v>0</v>
      </c>
      <c r="N2716" s="3">
        <v>0</v>
      </c>
      <c r="O2716" s="3"/>
      <c r="P2716" s="3">
        <v>0</v>
      </c>
      <c r="Q2716" s="3">
        <v>0</v>
      </c>
      <c r="R2716" s="3">
        <v>0</v>
      </c>
    </row>
    <row r="2717" spans="1:18">
      <c r="A2717" s="3" t="s">
        <v>7558</v>
      </c>
      <c r="B2717" s="3" t="s">
        <v>7559</v>
      </c>
      <c r="C2717" s="3" t="s">
        <v>7223</v>
      </c>
      <c r="D2717" s="3"/>
      <c r="E2717" s="3" t="s">
        <v>3293</v>
      </c>
      <c r="F2717" s="3"/>
      <c r="G2717" s="3"/>
      <c r="H2717" s="3"/>
      <c r="I2717" s="3"/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/>
      <c r="P2717" s="3">
        <v>0</v>
      </c>
      <c r="Q2717" s="3">
        <v>0</v>
      </c>
      <c r="R2717" s="3">
        <v>0</v>
      </c>
    </row>
    <row r="2718" spans="1:18">
      <c r="A2718" s="3" t="s">
        <v>7560</v>
      </c>
      <c r="B2718" s="3" t="s">
        <v>7561</v>
      </c>
      <c r="C2718" s="3" t="s">
        <v>7227</v>
      </c>
      <c r="D2718" s="3"/>
      <c r="E2718" s="3" t="s">
        <v>3293</v>
      </c>
      <c r="F2718" s="3"/>
      <c r="G2718" s="3"/>
      <c r="H2718" s="3"/>
      <c r="I2718" s="3"/>
      <c r="J2718" s="3">
        <v>0</v>
      </c>
      <c r="K2718" s="3">
        <v>0</v>
      </c>
      <c r="L2718" s="3">
        <v>0</v>
      </c>
      <c r="M2718" s="3">
        <v>0</v>
      </c>
      <c r="N2718" s="3">
        <v>0</v>
      </c>
      <c r="O2718" s="3"/>
      <c r="P2718" s="3">
        <v>0</v>
      </c>
      <c r="Q2718" s="3">
        <v>0</v>
      </c>
      <c r="R2718" s="3">
        <v>0</v>
      </c>
    </row>
    <row r="2719" spans="1:18">
      <c r="A2719" s="3" t="s">
        <v>7562</v>
      </c>
      <c r="B2719" s="3" t="s">
        <v>7563</v>
      </c>
      <c r="C2719" s="3" t="s">
        <v>7231</v>
      </c>
      <c r="D2719" s="3"/>
      <c r="E2719" s="3" t="s">
        <v>3293</v>
      </c>
      <c r="F2719" s="3"/>
      <c r="G2719" s="3"/>
      <c r="H2719" s="3"/>
      <c r="I2719" s="3"/>
      <c r="J2719" s="3">
        <v>0</v>
      </c>
      <c r="K2719" s="3">
        <v>0</v>
      </c>
      <c r="L2719" s="3">
        <v>0</v>
      </c>
      <c r="M2719" s="3">
        <v>0</v>
      </c>
      <c r="N2719" s="3">
        <v>0</v>
      </c>
      <c r="O2719" s="3"/>
      <c r="P2719" s="3">
        <v>0</v>
      </c>
      <c r="Q2719" s="3">
        <v>0</v>
      </c>
      <c r="R2719" s="3">
        <v>0</v>
      </c>
    </row>
    <row r="2720" spans="1:18">
      <c r="A2720" s="3" t="s">
        <v>7564</v>
      </c>
      <c r="B2720" s="3" t="s">
        <v>7565</v>
      </c>
      <c r="C2720" s="3" t="s">
        <v>7235</v>
      </c>
      <c r="D2720" s="3"/>
      <c r="E2720" s="3" t="s">
        <v>3293</v>
      </c>
      <c r="F2720" s="3"/>
      <c r="G2720" s="3"/>
      <c r="H2720" s="3"/>
      <c r="I2720" s="3"/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/>
      <c r="P2720" s="3">
        <v>0</v>
      </c>
      <c r="Q2720" s="3">
        <v>0</v>
      </c>
      <c r="R2720" s="3">
        <v>0</v>
      </c>
    </row>
    <row r="2721" spans="1:18">
      <c r="A2721" s="3" t="s">
        <v>7566</v>
      </c>
      <c r="B2721" s="3" t="s">
        <v>7567</v>
      </c>
      <c r="C2721" s="3" t="s">
        <v>7239</v>
      </c>
      <c r="D2721" s="3"/>
      <c r="E2721" s="3" t="s">
        <v>3293</v>
      </c>
      <c r="F2721" s="3"/>
      <c r="G2721" s="3"/>
      <c r="H2721" s="3"/>
      <c r="I2721" s="3"/>
      <c r="J2721" s="3">
        <v>0</v>
      </c>
      <c r="K2721" s="3">
        <v>0</v>
      </c>
      <c r="L2721" s="3">
        <v>0</v>
      </c>
      <c r="M2721" s="3">
        <v>0</v>
      </c>
      <c r="N2721" s="3">
        <v>0</v>
      </c>
      <c r="O2721" s="3"/>
      <c r="P2721" s="3">
        <v>0</v>
      </c>
      <c r="Q2721" s="3">
        <v>0</v>
      </c>
      <c r="R2721" s="3">
        <v>0</v>
      </c>
    </row>
    <row r="2722" spans="1:18">
      <c r="A2722" s="3" t="s">
        <v>7568</v>
      </c>
      <c r="B2722" s="3" t="s">
        <v>7569</v>
      </c>
      <c r="C2722" s="3" t="s">
        <v>7243</v>
      </c>
      <c r="D2722" s="3"/>
      <c r="E2722" s="3" t="s">
        <v>3293</v>
      </c>
      <c r="F2722" s="3"/>
      <c r="G2722" s="3"/>
      <c r="H2722" s="3"/>
      <c r="I2722" s="3"/>
      <c r="J2722" s="3">
        <v>0</v>
      </c>
      <c r="K2722" s="3">
        <v>0</v>
      </c>
      <c r="L2722" s="3">
        <v>0</v>
      </c>
      <c r="M2722" s="3">
        <v>0</v>
      </c>
      <c r="N2722" s="3">
        <v>0</v>
      </c>
      <c r="O2722" s="3"/>
      <c r="P2722" s="3">
        <v>0</v>
      </c>
      <c r="Q2722" s="3">
        <v>0</v>
      </c>
      <c r="R2722" s="3">
        <v>0</v>
      </c>
    </row>
    <row r="2723" spans="1:18">
      <c r="A2723" s="3" t="s">
        <v>7570</v>
      </c>
      <c r="B2723" s="3" t="s">
        <v>7571</v>
      </c>
      <c r="C2723" s="3" t="s">
        <v>7247</v>
      </c>
      <c r="D2723" s="3"/>
      <c r="E2723" s="3" t="s">
        <v>3293</v>
      </c>
      <c r="F2723" s="3"/>
      <c r="G2723" s="3"/>
      <c r="H2723" s="3"/>
      <c r="I2723" s="3"/>
      <c r="J2723" s="3">
        <v>0</v>
      </c>
      <c r="K2723" s="3">
        <v>0</v>
      </c>
      <c r="L2723" s="3">
        <v>0</v>
      </c>
      <c r="M2723" s="3">
        <v>0</v>
      </c>
      <c r="N2723" s="3">
        <v>0</v>
      </c>
      <c r="O2723" s="3"/>
      <c r="P2723" s="3">
        <v>0</v>
      </c>
      <c r="Q2723" s="3">
        <v>0</v>
      </c>
      <c r="R2723" s="3">
        <v>0</v>
      </c>
    </row>
    <row r="2724" spans="1:18">
      <c r="A2724" s="3" t="s">
        <v>7572</v>
      </c>
      <c r="B2724" s="3" t="s">
        <v>7573</v>
      </c>
      <c r="C2724" s="3" t="s">
        <v>7251</v>
      </c>
      <c r="D2724" s="3"/>
      <c r="E2724" s="3" t="s">
        <v>3293</v>
      </c>
      <c r="F2724" s="3"/>
      <c r="G2724" s="3"/>
      <c r="H2724" s="3"/>
      <c r="I2724" s="3"/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/>
      <c r="P2724" s="3">
        <v>0</v>
      </c>
      <c r="Q2724" s="3">
        <v>0</v>
      </c>
      <c r="R2724" s="3">
        <v>0</v>
      </c>
    </row>
    <row r="2725" spans="1:18">
      <c r="A2725" s="3" t="s">
        <v>7574</v>
      </c>
      <c r="B2725" s="3" t="s">
        <v>7575</v>
      </c>
      <c r="C2725" s="3" t="s">
        <v>7255</v>
      </c>
      <c r="D2725" s="3"/>
      <c r="E2725" s="3" t="s">
        <v>3293</v>
      </c>
      <c r="F2725" s="3"/>
      <c r="G2725" s="3"/>
      <c r="H2725" s="3"/>
      <c r="I2725" s="3"/>
      <c r="J2725" s="3">
        <v>0</v>
      </c>
      <c r="K2725" s="3">
        <v>0</v>
      </c>
      <c r="L2725" s="3">
        <v>0</v>
      </c>
      <c r="M2725" s="3">
        <v>0</v>
      </c>
      <c r="N2725" s="3">
        <v>0</v>
      </c>
      <c r="O2725" s="3"/>
      <c r="P2725" s="3">
        <v>0</v>
      </c>
      <c r="Q2725" s="3">
        <v>0</v>
      </c>
      <c r="R2725" s="3">
        <v>0</v>
      </c>
    </row>
    <row r="2726" spans="1:18">
      <c r="A2726" s="3" t="s">
        <v>7576</v>
      </c>
      <c r="B2726" s="3" t="s">
        <v>7577</v>
      </c>
      <c r="C2726" s="3" t="s">
        <v>7259</v>
      </c>
      <c r="D2726" s="3"/>
      <c r="E2726" s="3" t="s">
        <v>3293</v>
      </c>
      <c r="F2726" s="3"/>
      <c r="G2726" s="3"/>
      <c r="H2726" s="3"/>
      <c r="I2726" s="3"/>
      <c r="J2726" s="3">
        <v>0</v>
      </c>
      <c r="K2726" s="3">
        <v>0</v>
      </c>
      <c r="L2726" s="3">
        <v>0</v>
      </c>
      <c r="M2726" s="3">
        <v>0</v>
      </c>
      <c r="N2726" s="3">
        <v>0</v>
      </c>
      <c r="O2726" s="3"/>
      <c r="P2726" s="3">
        <v>0</v>
      </c>
      <c r="Q2726" s="3">
        <v>0</v>
      </c>
      <c r="R2726" s="3">
        <v>0</v>
      </c>
    </row>
    <row r="2727" spans="1:18">
      <c r="A2727" s="3" t="s">
        <v>7578</v>
      </c>
      <c r="B2727" s="3" t="s">
        <v>7579</v>
      </c>
      <c r="C2727" s="3" t="s">
        <v>7263</v>
      </c>
      <c r="D2727" s="3"/>
      <c r="E2727" s="3" t="s">
        <v>3293</v>
      </c>
      <c r="F2727" s="3"/>
      <c r="G2727" s="3"/>
      <c r="H2727" s="3"/>
      <c r="I2727" s="3"/>
      <c r="J2727" s="3">
        <v>0</v>
      </c>
      <c r="K2727" s="3">
        <v>0</v>
      </c>
      <c r="L2727" s="3">
        <v>0</v>
      </c>
      <c r="M2727" s="3">
        <v>0</v>
      </c>
      <c r="N2727" s="3">
        <v>0</v>
      </c>
      <c r="O2727" s="3"/>
      <c r="P2727" s="3">
        <v>0</v>
      </c>
      <c r="Q2727" s="3">
        <v>0</v>
      </c>
      <c r="R2727" s="3">
        <v>0</v>
      </c>
    </row>
    <row r="2728" spans="1:18">
      <c r="A2728" s="3" t="s">
        <v>7580</v>
      </c>
      <c r="B2728" s="3" t="s">
        <v>7581</v>
      </c>
      <c r="C2728" s="3" t="s">
        <v>7582</v>
      </c>
      <c r="D2728" s="3" t="s">
        <v>3242</v>
      </c>
      <c r="E2728" s="3" t="s">
        <v>867</v>
      </c>
      <c r="F2728" s="3">
        <v>22.98</v>
      </c>
      <c r="G2728" s="3" t="s">
        <v>3391</v>
      </c>
      <c r="H2728" s="3"/>
      <c r="I2728" s="3" t="s">
        <v>3392</v>
      </c>
      <c r="J2728" s="3">
        <v>0</v>
      </c>
      <c r="K2728" s="3">
        <v>0</v>
      </c>
      <c r="L2728" s="3">
        <v>0</v>
      </c>
      <c r="M2728" s="3">
        <v>0</v>
      </c>
      <c r="N2728" s="3">
        <v>0</v>
      </c>
      <c r="O2728" s="3">
        <v>0</v>
      </c>
      <c r="P2728" s="3">
        <v>0</v>
      </c>
      <c r="Q2728" s="3">
        <v>0</v>
      </c>
      <c r="R2728" s="3">
        <v>0</v>
      </c>
    </row>
    <row r="2729" spans="1:18">
      <c r="A2729" s="3" t="s">
        <v>7583</v>
      </c>
      <c r="B2729" s="3" t="s">
        <v>7584</v>
      </c>
      <c r="C2729" s="3" t="s">
        <v>7585</v>
      </c>
      <c r="D2729" s="3" t="s">
        <v>6504</v>
      </c>
      <c r="E2729" s="3" t="s">
        <v>867</v>
      </c>
      <c r="F2729" s="3">
        <v>22.98</v>
      </c>
      <c r="G2729" s="3" t="s">
        <v>3391</v>
      </c>
      <c r="H2729" s="3"/>
      <c r="I2729" s="3" t="s">
        <v>3392</v>
      </c>
      <c r="J2729" s="3">
        <v>0</v>
      </c>
      <c r="K2729" s="3">
        <v>0</v>
      </c>
      <c r="L2729" s="3">
        <v>0</v>
      </c>
      <c r="M2729" s="3">
        <v>0</v>
      </c>
      <c r="N2729" s="3">
        <v>0</v>
      </c>
      <c r="O2729" s="3">
        <v>0</v>
      </c>
      <c r="P2729" s="3">
        <v>0</v>
      </c>
      <c r="Q2729" s="3">
        <v>0</v>
      </c>
      <c r="R2729" s="3">
        <v>0</v>
      </c>
    </row>
    <row r="2730" spans="1:18">
      <c r="A2730" s="3" t="s">
        <v>7586</v>
      </c>
      <c r="B2730" s="3" t="s">
        <v>7587</v>
      </c>
      <c r="C2730" s="3" t="s">
        <v>7588</v>
      </c>
      <c r="D2730" s="3" t="s">
        <v>693</v>
      </c>
      <c r="E2730" s="3" t="s">
        <v>867</v>
      </c>
      <c r="F2730" s="3">
        <v>22.98</v>
      </c>
      <c r="G2730" s="3" t="s">
        <v>3391</v>
      </c>
      <c r="H2730" s="3"/>
      <c r="I2730" s="3" t="s">
        <v>3392</v>
      </c>
      <c r="J2730" s="3">
        <v>0</v>
      </c>
      <c r="K2730" s="3">
        <v>0</v>
      </c>
      <c r="L2730" s="3">
        <v>0</v>
      </c>
      <c r="M2730" s="3">
        <v>0</v>
      </c>
      <c r="N2730" s="3">
        <v>0</v>
      </c>
      <c r="O2730" s="3">
        <v>0</v>
      </c>
      <c r="P2730" s="3">
        <v>0</v>
      </c>
      <c r="Q2730" s="3">
        <v>0</v>
      </c>
      <c r="R2730" s="3">
        <v>0</v>
      </c>
    </row>
    <row r="2731" spans="1:18">
      <c r="A2731" s="3" t="s">
        <v>7589</v>
      </c>
      <c r="B2731" s="3" t="s">
        <v>7590</v>
      </c>
      <c r="C2731" s="3" t="s">
        <v>7591</v>
      </c>
      <c r="D2731" s="3" t="s">
        <v>1078</v>
      </c>
      <c r="E2731" s="3" t="s">
        <v>867</v>
      </c>
      <c r="F2731" s="3">
        <v>22.98</v>
      </c>
      <c r="G2731" s="3" t="s">
        <v>3391</v>
      </c>
      <c r="H2731" s="3"/>
      <c r="I2731" s="3" t="s">
        <v>3392</v>
      </c>
      <c r="J2731" s="3">
        <v>0</v>
      </c>
      <c r="K2731" s="3">
        <v>0</v>
      </c>
      <c r="L2731" s="3">
        <v>0</v>
      </c>
      <c r="M2731" s="3">
        <v>0</v>
      </c>
      <c r="N2731" s="3">
        <v>0</v>
      </c>
      <c r="O2731" s="3">
        <v>0</v>
      </c>
      <c r="P2731" s="3">
        <v>0</v>
      </c>
      <c r="Q2731" s="3">
        <v>0</v>
      </c>
      <c r="R2731" s="3">
        <v>0</v>
      </c>
    </row>
    <row r="2732" spans="1:18">
      <c r="A2732" s="3" t="s">
        <v>7592</v>
      </c>
      <c r="B2732" s="3" t="s">
        <v>7593</v>
      </c>
      <c r="C2732" s="3" t="s">
        <v>7594</v>
      </c>
      <c r="D2732" s="3" t="s">
        <v>1167</v>
      </c>
      <c r="E2732" s="3" t="s">
        <v>867</v>
      </c>
      <c r="F2732" s="3">
        <v>22.98</v>
      </c>
      <c r="G2732" s="3" t="s">
        <v>3391</v>
      </c>
      <c r="H2732" s="3"/>
      <c r="I2732" s="3" t="s">
        <v>3392</v>
      </c>
      <c r="J2732" s="3">
        <v>0</v>
      </c>
      <c r="K2732" s="3">
        <v>0</v>
      </c>
      <c r="L2732" s="3">
        <v>0</v>
      </c>
      <c r="M2732" s="3">
        <v>0</v>
      </c>
      <c r="N2732" s="3">
        <v>0</v>
      </c>
      <c r="O2732" s="3">
        <v>0</v>
      </c>
      <c r="P2732" s="3">
        <v>0</v>
      </c>
      <c r="Q2732" s="3">
        <v>0</v>
      </c>
      <c r="R2732" s="3">
        <v>0</v>
      </c>
    </row>
    <row r="2733" spans="1:18">
      <c r="A2733" s="3" t="s">
        <v>7595</v>
      </c>
      <c r="B2733" s="3" t="s">
        <v>7596</v>
      </c>
      <c r="C2733" s="3" t="s">
        <v>7597</v>
      </c>
      <c r="D2733" s="3" t="s">
        <v>2808</v>
      </c>
      <c r="E2733" s="3" t="s">
        <v>867</v>
      </c>
      <c r="F2733" s="3">
        <v>22.98</v>
      </c>
      <c r="G2733" s="3" t="s">
        <v>3391</v>
      </c>
      <c r="H2733" s="3"/>
      <c r="I2733" s="3" t="s">
        <v>3392</v>
      </c>
      <c r="J2733" s="3">
        <v>0</v>
      </c>
      <c r="K2733" s="3">
        <v>0</v>
      </c>
      <c r="L2733" s="3">
        <v>0</v>
      </c>
      <c r="M2733" s="3">
        <v>0</v>
      </c>
      <c r="N2733" s="3">
        <v>0</v>
      </c>
      <c r="O2733" s="3">
        <v>0</v>
      </c>
      <c r="P2733" s="3">
        <v>0</v>
      </c>
      <c r="Q2733" s="3">
        <v>0</v>
      </c>
      <c r="R2733" s="3">
        <v>0</v>
      </c>
    </row>
    <row r="2734" spans="1:18">
      <c r="A2734" s="3" t="s">
        <v>7598</v>
      </c>
      <c r="B2734" s="3" t="s">
        <v>7599</v>
      </c>
      <c r="C2734" s="3" t="s">
        <v>7600</v>
      </c>
      <c r="D2734" s="3" t="s">
        <v>6516</v>
      </c>
      <c r="E2734" s="3" t="s">
        <v>867</v>
      </c>
      <c r="F2734" s="3">
        <v>22.98</v>
      </c>
      <c r="G2734" s="3" t="s">
        <v>3391</v>
      </c>
      <c r="H2734" s="3"/>
      <c r="I2734" s="3" t="s">
        <v>3392</v>
      </c>
      <c r="J2734" s="3">
        <v>0</v>
      </c>
      <c r="K2734" s="3">
        <v>0</v>
      </c>
      <c r="L2734" s="3">
        <v>0</v>
      </c>
      <c r="M2734" s="3">
        <v>0</v>
      </c>
      <c r="N2734" s="3">
        <v>0</v>
      </c>
      <c r="O2734" s="3">
        <v>0</v>
      </c>
      <c r="P2734" s="3">
        <v>0</v>
      </c>
      <c r="Q2734" s="3">
        <v>0</v>
      </c>
      <c r="R2734" s="3">
        <v>0</v>
      </c>
    </row>
    <row r="2735" spans="1:18">
      <c r="A2735" s="3" t="s">
        <v>7601</v>
      </c>
      <c r="B2735" s="3" t="s">
        <v>7602</v>
      </c>
      <c r="C2735" s="3" t="s">
        <v>7603</v>
      </c>
      <c r="D2735" s="3" t="s">
        <v>1539</v>
      </c>
      <c r="E2735" s="3" t="s">
        <v>867</v>
      </c>
      <c r="F2735" s="3">
        <v>22.98</v>
      </c>
      <c r="G2735" s="3" t="s">
        <v>3391</v>
      </c>
      <c r="H2735" s="3"/>
      <c r="I2735" s="3" t="s">
        <v>3392</v>
      </c>
      <c r="J2735" s="3">
        <v>0</v>
      </c>
      <c r="K2735" s="3">
        <v>0</v>
      </c>
      <c r="L2735" s="3">
        <v>0</v>
      </c>
      <c r="M2735" s="3">
        <v>0</v>
      </c>
      <c r="N2735" s="3">
        <v>0</v>
      </c>
      <c r="O2735" s="3">
        <v>0</v>
      </c>
      <c r="P2735" s="3">
        <v>0</v>
      </c>
      <c r="Q2735" s="3">
        <v>0</v>
      </c>
      <c r="R2735" s="3">
        <v>0</v>
      </c>
    </row>
    <row r="2736" spans="1:18">
      <c r="A2736" s="3" t="s">
        <v>7604</v>
      </c>
      <c r="B2736" s="3" t="s">
        <v>7605</v>
      </c>
      <c r="C2736" s="3" t="s">
        <v>7606</v>
      </c>
      <c r="D2736" s="3" t="s">
        <v>3161</v>
      </c>
      <c r="E2736" s="3" t="s">
        <v>867</v>
      </c>
      <c r="F2736" s="3">
        <v>22.98</v>
      </c>
      <c r="G2736" s="3" t="s">
        <v>3391</v>
      </c>
      <c r="H2736" s="3"/>
      <c r="I2736" s="3" t="s">
        <v>3392</v>
      </c>
      <c r="J2736" s="3">
        <v>0</v>
      </c>
      <c r="K2736" s="3">
        <v>0</v>
      </c>
      <c r="L2736" s="3">
        <v>0</v>
      </c>
      <c r="M2736" s="3">
        <v>0</v>
      </c>
      <c r="N2736" s="3">
        <v>0</v>
      </c>
      <c r="O2736" s="3">
        <v>0</v>
      </c>
      <c r="P2736" s="3">
        <v>0</v>
      </c>
      <c r="Q2736" s="3">
        <v>0</v>
      </c>
      <c r="R2736" s="3">
        <v>0</v>
      </c>
    </row>
    <row r="2737" spans="1:18">
      <c r="A2737" s="3" t="s">
        <v>7607</v>
      </c>
      <c r="B2737" s="3" t="s">
        <v>7608</v>
      </c>
      <c r="C2737" s="3" t="s">
        <v>7609</v>
      </c>
      <c r="D2737" s="3" t="s">
        <v>1892</v>
      </c>
      <c r="E2737" s="3" t="s">
        <v>867</v>
      </c>
      <c r="F2737" s="3">
        <v>22.98</v>
      </c>
      <c r="G2737" s="3" t="s">
        <v>3391</v>
      </c>
      <c r="H2737" s="3"/>
      <c r="I2737" s="3" t="s">
        <v>3392</v>
      </c>
      <c r="J2737" s="3">
        <v>0</v>
      </c>
      <c r="K2737" s="3">
        <v>0</v>
      </c>
      <c r="L2737" s="3">
        <v>0</v>
      </c>
      <c r="M2737" s="3">
        <v>0</v>
      </c>
      <c r="N2737" s="3">
        <v>0</v>
      </c>
      <c r="O2737" s="3">
        <v>0</v>
      </c>
      <c r="P2737" s="3">
        <v>0</v>
      </c>
      <c r="Q2737" s="3">
        <v>0</v>
      </c>
      <c r="R2737" s="3">
        <v>0</v>
      </c>
    </row>
    <row r="2738" spans="1:18">
      <c r="A2738" s="3" t="s">
        <v>7610</v>
      </c>
      <c r="B2738" s="3" t="s">
        <v>7611</v>
      </c>
      <c r="C2738" s="3" t="s">
        <v>7612</v>
      </c>
      <c r="D2738" s="3" t="s">
        <v>6532</v>
      </c>
      <c r="E2738" s="3" t="s">
        <v>867</v>
      </c>
      <c r="F2738" s="3">
        <v>22.98</v>
      </c>
      <c r="G2738" s="3" t="s">
        <v>3391</v>
      </c>
      <c r="H2738" s="3"/>
      <c r="I2738" s="3" t="s">
        <v>3392</v>
      </c>
      <c r="J2738" s="3">
        <v>0</v>
      </c>
      <c r="K2738" s="3">
        <v>0</v>
      </c>
      <c r="L2738" s="3">
        <v>0</v>
      </c>
      <c r="M2738" s="3">
        <v>0</v>
      </c>
      <c r="N2738" s="3">
        <v>0</v>
      </c>
      <c r="O2738" s="3">
        <v>0</v>
      </c>
      <c r="P2738" s="3">
        <v>0</v>
      </c>
      <c r="Q2738" s="3">
        <v>0</v>
      </c>
      <c r="R2738" s="3">
        <v>0</v>
      </c>
    </row>
    <row r="2739" spans="1:18">
      <c r="A2739" s="3" t="s">
        <v>7613</v>
      </c>
      <c r="B2739" s="3" t="s">
        <v>7614</v>
      </c>
      <c r="C2739" s="3" t="s">
        <v>7615</v>
      </c>
      <c r="D2739" s="3" t="s">
        <v>3090</v>
      </c>
      <c r="E2739" s="3" t="s">
        <v>867</v>
      </c>
      <c r="F2739" s="3">
        <v>22.98</v>
      </c>
      <c r="G2739" s="3" t="s">
        <v>3391</v>
      </c>
      <c r="H2739" s="3"/>
      <c r="I2739" s="3" t="s">
        <v>3392</v>
      </c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>
        <v>0</v>
      </c>
      <c r="P2739" s="3">
        <v>0</v>
      </c>
      <c r="Q2739" s="3">
        <v>0</v>
      </c>
      <c r="R2739" s="3">
        <v>0</v>
      </c>
    </row>
    <row r="2740" spans="1:18">
      <c r="A2740" s="3" t="s">
        <v>7616</v>
      </c>
      <c r="B2740" s="3" t="s">
        <v>7617</v>
      </c>
      <c r="C2740" s="3" t="s">
        <v>7618</v>
      </c>
      <c r="D2740" s="3" t="s">
        <v>668</v>
      </c>
      <c r="E2740" s="3" t="s">
        <v>867</v>
      </c>
      <c r="F2740" s="3">
        <v>22.98</v>
      </c>
      <c r="G2740" s="3" t="s">
        <v>3391</v>
      </c>
      <c r="H2740" s="3"/>
      <c r="I2740" s="3" t="s">
        <v>3392</v>
      </c>
      <c r="J2740" s="3">
        <v>0</v>
      </c>
      <c r="K2740" s="3">
        <v>0</v>
      </c>
      <c r="L2740" s="3">
        <v>0</v>
      </c>
      <c r="M2740" s="3">
        <v>0</v>
      </c>
      <c r="N2740" s="3">
        <v>0</v>
      </c>
      <c r="O2740" s="3">
        <v>0</v>
      </c>
      <c r="P2740" s="3">
        <v>0</v>
      </c>
      <c r="Q2740" s="3">
        <v>0</v>
      </c>
      <c r="R2740" s="3">
        <v>0</v>
      </c>
    </row>
    <row r="2741" spans="1:18">
      <c r="A2741" s="3" t="s">
        <v>7619</v>
      </c>
      <c r="B2741" s="3" t="s">
        <v>7620</v>
      </c>
      <c r="C2741" s="3" t="s">
        <v>7621</v>
      </c>
      <c r="D2741" s="3" t="s">
        <v>660</v>
      </c>
      <c r="E2741" s="3" t="s">
        <v>867</v>
      </c>
      <c r="F2741" s="3">
        <v>22.98</v>
      </c>
      <c r="G2741" s="3" t="s">
        <v>3391</v>
      </c>
      <c r="H2741" s="3"/>
      <c r="I2741" s="3" t="s">
        <v>3392</v>
      </c>
      <c r="J2741" s="3">
        <v>0</v>
      </c>
      <c r="K2741" s="3">
        <v>0</v>
      </c>
      <c r="L2741" s="3">
        <v>0</v>
      </c>
      <c r="M2741" s="3">
        <v>0</v>
      </c>
      <c r="N2741" s="3">
        <v>0</v>
      </c>
      <c r="O2741" s="3">
        <v>0</v>
      </c>
      <c r="P2741" s="3">
        <v>0</v>
      </c>
      <c r="Q2741" s="3">
        <v>0</v>
      </c>
      <c r="R2741" s="3">
        <v>0</v>
      </c>
    </row>
    <row r="2742" spans="1:18">
      <c r="A2742" s="3" t="s">
        <v>7622</v>
      </c>
      <c r="B2742" s="3" t="s">
        <v>7623</v>
      </c>
      <c r="C2742" s="3" t="s">
        <v>7624</v>
      </c>
      <c r="D2742" s="3" t="s">
        <v>1730</v>
      </c>
      <c r="E2742" s="3" t="s">
        <v>867</v>
      </c>
      <c r="F2742" s="3">
        <v>22.98</v>
      </c>
      <c r="G2742" s="3" t="s">
        <v>3391</v>
      </c>
      <c r="H2742" s="3"/>
      <c r="I2742" s="3" t="s">
        <v>3392</v>
      </c>
      <c r="J2742" s="3">
        <v>0</v>
      </c>
      <c r="K2742" s="3">
        <v>0</v>
      </c>
      <c r="L2742" s="3">
        <v>0</v>
      </c>
      <c r="M2742" s="3">
        <v>0</v>
      </c>
      <c r="N2742" s="3">
        <v>0</v>
      </c>
      <c r="O2742" s="3">
        <v>0</v>
      </c>
      <c r="P2742" s="3">
        <v>0</v>
      </c>
      <c r="Q2742" s="3">
        <v>0</v>
      </c>
      <c r="R2742" s="3">
        <v>0</v>
      </c>
    </row>
    <row r="2743" spans="1:18">
      <c r="A2743" s="3" t="s">
        <v>7625</v>
      </c>
      <c r="B2743" s="3" t="s">
        <v>7626</v>
      </c>
      <c r="C2743" s="3" t="s">
        <v>7627</v>
      </c>
      <c r="D2743" s="3" t="s">
        <v>2839</v>
      </c>
      <c r="E2743" s="3" t="s">
        <v>867</v>
      </c>
      <c r="F2743" s="3">
        <v>22.98</v>
      </c>
      <c r="G2743" s="3" t="s">
        <v>3391</v>
      </c>
      <c r="H2743" s="3"/>
      <c r="I2743" s="3" t="s">
        <v>3392</v>
      </c>
      <c r="J2743" s="3">
        <v>0</v>
      </c>
      <c r="K2743" s="3">
        <v>0</v>
      </c>
      <c r="L2743" s="3">
        <v>0</v>
      </c>
      <c r="M2743" s="3">
        <v>0</v>
      </c>
      <c r="N2743" s="3">
        <v>0</v>
      </c>
      <c r="O2743" s="3">
        <v>0</v>
      </c>
      <c r="P2743" s="3">
        <v>0</v>
      </c>
      <c r="Q2743" s="3">
        <v>0</v>
      </c>
      <c r="R2743" s="3">
        <v>0</v>
      </c>
    </row>
    <row r="2744" spans="1:18">
      <c r="A2744" s="3" t="s">
        <v>7628</v>
      </c>
      <c r="B2744" s="3" t="s">
        <v>7629</v>
      </c>
      <c r="C2744" s="3" t="s">
        <v>7630</v>
      </c>
      <c r="D2744" s="3" t="s">
        <v>909</v>
      </c>
      <c r="E2744" s="3" t="s">
        <v>867</v>
      </c>
      <c r="F2744" s="3">
        <v>22.98</v>
      </c>
      <c r="G2744" s="3" t="s">
        <v>3391</v>
      </c>
      <c r="H2744" s="3"/>
      <c r="I2744" s="3" t="s">
        <v>3392</v>
      </c>
      <c r="J2744" s="3">
        <v>0</v>
      </c>
      <c r="K2744" s="3">
        <v>0</v>
      </c>
      <c r="L2744" s="3">
        <v>0</v>
      </c>
      <c r="M2744" s="3">
        <v>0</v>
      </c>
      <c r="N2744" s="3">
        <v>0</v>
      </c>
      <c r="O2744" s="3">
        <v>0</v>
      </c>
      <c r="P2744" s="3">
        <v>0</v>
      </c>
      <c r="Q2744" s="3">
        <v>0</v>
      </c>
      <c r="R2744" s="3">
        <v>0</v>
      </c>
    </row>
    <row r="2745" spans="1:18">
      <c r="A2745" s="3" t="s">
        <v>7631</v>
      </c>
      <c r="B2745" s="3" t="s">
        <v>7632</v>
      </c>
      <c r="C2745" s="3" t="s">
        <v>7633</v>
      </c>
      <c r="D2745" s="3" t="s">
        <v>2035</v>
      </c>
      <c r="E2745" s="3" t="s">
        <v>867</v>
      </c>
      <c r="F2745" s="3">
        <v>22.98</v>
      </c>
      <c r="G2745" s="3" t="s">
        <v>3391</v>
      </c>
      <c r="H2745" s="3"/>
      <c r="I2745" s="3" t="s">
        <v>3392</v>
      </c>
      <c r="J2745" s="3">
        <v>0</v>
      </c>
      <c r="K2745" s="3">
        <v>0</v>
      </c>
      <c r="L2745" s="3">
        <v>0</v>
      </c>
      <c r="M2745" s="3">
        <v>0</v>
      </c>
      <c r="N2745" s="3">
        <v>0</v>
      </c>
      <c r="O2745" s="3">
        <v>0</v>
      </c>
      <c r="P2745" s="3">
        <v>0</v>
      </c>
      <c r="Q2745" s="3">
        <v>0</v>
      </c>
      <c r="R2745" s="3">
        <v>0</v>
      </c>
    </row>
    <row r="2746" spans="1:18">
      <c r="A2746" s="3" t="s">
        <v>7634</v>
      </c>
      <c r="B2746" s="3" t="s">
        <v>7635</v>
      </c>
      <c r="C2746" s="3" t="s">
        <v>7636</v>
      </c>
      <c r="D2746" s="3" t="s">
        <v>2729</v>
      </c>
      <c r="E2746" s="3" t="s">
        <v>867</v>
      </c>
      <c r="F2746" s="3">
        <v>22.98</v>
      </c>
      <c r="G2746" s="3" t="s">
        <v>3391</v>
      </c>
      <c r="H2746" s="3"/>
      <c r="I2746" s="3" t="s">
        <v>3392</v>
      </c>
      <c r="J2746" s="3">
        <v>0</v>
      </c>
      <c r="K2746" s="3">
        <v>0</v>
      </c>
      <c r="L2746" s="3">
        <v>0</v>
      </c>
      <c r="M2746" s="3">
        <v>0</v>
      </c>
      <c r="N2746" s="3">
        <v>0</v>
      </c>
      <c r="O2746" s="3">
        <v>0</v>
      </c>
      <c r="P2746" s="3">
        <v>0</v>
      </c>
      <c r="Q2746" s="3">
        <v>0</v>
      </c>
      <c r="R2746" s="3">
        <v>0</v>
      </c>
    </row>
    <row r="2747" spans="1:18">
      <c r="A2747" s="3" t="s">
        <v>7637</v>
      </c>
      <c r="B2747" s="3" t="s">
        <v>7638</v>
      </c>
      <c r="C2747" s="3" t="s">
        <v>7639</v>
      </c>
      <c r="D2747" s="3" t="s">
        <v>2295</v>
      </c>
      <c r="E2747" s="3" t="s">
        <v>867</v>
      </c>
      <c r="F2747" s="3">
        <v>22.98</v>
      </c>
      <c r="G2747" s="3" t="s">
        <v>3391</v>
      </c>
      <c r="H2747" s="3"/>
      <c r="I2747" s="3" t="s">
        <v>3392</v>
      </c>
      <c r="J2747" s="3">
        <v>0</v>
      </c>
      <c r="K2747" s="3">
        <v>0</v>
      </c>
      <c r="L2747" s="3">
        <v>0</v>
      </c>
      <c r="M2747" s="3">
        <v>0</v>
      </c>
      <c r="N2747" s="3">
        <v>0</v>
      </c>
      <c r="O2747" s="3">
        <v>0</v>
      </c>
      <c r="P2747" s="3">
        <v>0</v>
      </c>
      <c r="Q2747" s="3">
        <v>0</v>
      </c>
      <c r="R2747" s="3">
        <v>0</v>
      </c>
    </row>
    <row r="2748" spans="1:18">
      <c r="A2748" s="3" t="s">
        <v>7640</v>
      </c>
      <c r="B2748" s="3" t="s">
        <v>7641</v>
      </c>
      <c r="C2748" s="3" t="s">
        <v>7642</v>
      </c>
      <c r="D2748" s="3" t="s">
        <v>2327</v>
      </c>
      <c r="E2748" s="3" t="s">
        <v>867</v>
      </c>
      <c r="F2748" s="3">
        <v>24.98</v>
      </c>
      <c r="G2748" s="3" t="s">
        <v>3391</v>
      </c>
      <c r="H2748" s="3"/>
      <c r="I2748" s="3" t="s">
        <v>3392</v>
      </c>
      <c r="J2748" s="3">
        <v>0</v>
      </c>
      <c r="K2748" s="3">
        <v>0</v>
      </c>
      <c r="L2748" s="3">
        <v>0</v>
      </c>
      <c r="M2748" s="3">
        <v>0</v>
      </c>
      <c r="N2748" s="3">
        <v>0</v>
      </c>
      <c r="O2748" s="3">
        <v>0</v>
      </c>
      <c r="P2748" s="3">
        <v>0</v>
      </c>
      <c r="Q2748" s="3">
        <v>0</v>
      </c>
      <c r="R2748" s="3">
        <v>0</v>
      </c>
    </row>
    <row r="2749" spans="1:18">
      <c r="A2749" s="3" t="s">
        <v>7643</v>
      </c>
      <c r="B2749" s="3" t="s">
        <v>7644</v>
      </c>
      <c r="C2749" s="3" t="s">
        <v>7645</v>
      </c>
      <c r="D2749" s="3" t="s">
        <v>1098</v>
      </c>
      <c r="E2749" s="3" t="s">
        <v>867</v>
      </c>
      <c r="F2749" s="3">
        <v>24.98</v>
      </c>
      <c r="G2749" s="3" t="s">
        <v>3391</v>
      </c>
      <c r="H2749" s="3"/>
      <c r="I2749" s="3" t="s">
        <v>3392</v>
      </c>
      <c r="J2749" s="3">
        <v>0</v>
      </c>
      <c r="K2749" s="3">
        <v>0</v>
      </c>
      <c r="L2749" s="3">
        <v>0</v>
      </c>
      <c r="M2749" s="3">
        <v>0</v>
      </c>
      <c r="N2749" s="3">
        <v>0</v>
      </c>
      <c r="O2749" s="3">
        <v>0</v>
      </c>
      <c r="P2749" s="3">
        <v>0</v>
      </c>
      <c r="Q2749" s="3">
        <v>0</v>
      </c>
      <c r="R2749" s="3">
        <v>0</v>
      </c>
    </row>
    <row r="2750" spans="1:18">
      <c r="A2750" s="3" t="s">
        <v>7646</v>
      </c>
      <c r="B2750" s="3" t="s">
        <v>7647</v>
      </c>
      <c r="C2750" s="3" t="s">
        <v>7648</v>
      </c>
      <c r="D2750" s="3" t="s">
        <v>1207</v>
      </c>
      <c r="E2750" s="3" t="s">
        <v>867</v>
      </c>
      <c r="F2750" s="3">
        <v>24.98</v>
      </c>
      <c r="G2750" s="3" t="s">
        <v>3391</v>
      </c>
      <c r="H2750" s="3"/>
      <c r="I2750" s="3" t="s">
        <v>3392</v>
      </c>
      <c r="J2750" s="3">
        <v>0</v>
      </c>
      <c r="K2750" s="3">
        <v>0</v>
      </c>
      <c r="L2750" s="3">
        <v>0</v>
      </c>
      <c r="M2750" s="3">
        <v>0</v>
      </c>
      <c r="N2750" s="3">
        <v>0</v>
      </c>
      <c r="O2750" s="3">
        <v>0</v>
      </c>
      <c r="P2750" s="3">
        <v>0</v>
      </c>
      <c r="Q2750" s="3">
        <v>0</v>
      </c>
      <c r="R2750" s="3">
        <v>0</v>
      </c>
    </row>
    <row r="2751" spans="1:18">
      <c r="A2751" s="3" t="s">
        <v>7649</v>
      </c>
      <c r="B2751" s="3" t="s">
        <v>7650</v>
      </c>
      <c r="C2751" s="3" t="s">
        <v>7651</v>
      </c>
      <c r="D2751" s="3" t="s">
        <v>6626</v>
      </c>
      <c r="E2751" s="3" t="s">
        <v>867</v>
      </c>
      <c r="F2751" s="3">
        <v>24.98</v>
      </c>
      <c r="G2751" s="3" t="s">
        <v>3391</v>
      </c>
      <c r="H2751" s="3"/>
      <c r="I2751" s="3" t="s">
        <v>3392</v>
      </c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>
        <v>0</v>
      </c>
      <c r="P2751" s="3">
        <v>0</v>
      </c>
      <c r="Q2751" s="3">
        <v>0</v>
      </c>
      <c r="R2751" s="3">
        <v>0</v>
      </c>
    </row>
    <row r="2752" spans="1:18">
      <c r="A2752" s="3" t="s">
        <v>7652</v>
      </c>
      <c r="B2752" s="3" t="s">
        <v>7653</v>
      </c>
      <c r="C2752" s="3" t="s">
        <v>7654</v>
      </c>
      <c r="D2752" s="3" t="s">
        <v>6560</v>
      </c>
      <c r="E2752" s="3" t="s">
        <v>867</v>
      </c>
      <c r="F2752" s="3">
        <v>24.98</v>
      </c>
      <c r="G2752" s="3" t="s">
        <v>3391</v>
      </c>
      <c r="H2752" s="3"/>
      <c r="I2752" s="3" t="s">
        <v>3392</v>
      </c>
      <c r="J2752" s="3">
        <v>0</v>
      </c>
      <c r="K2752" s="3">
        <v>0</v>
      </c>
      <c r="L2752" s="3">
        <v>0</v>
      </c>
      <c r="M2752" s="3">
        <v>0</v>
      </c>
      <c r="N2752" s="3">
        <v>0</v>
      </c>
      <c r="O2752" s="3">
        <v>0</v>
      </c>
      <c r="P2752" s="3">
        <v>0</v>
      </c>
      <c r="Q2752" s="3">
        <v>0</v>
      </c>
      <c r="R2752" s="3">
        <v>0</v>
      </c>
    </row>
    <row r="2753" spans="1:18">
      <c r="A2753" s="3" t="s">
        <v>7655</v>
      </c>
      <c r="B2753" s="3" t="s">
        <v>7656</v>
      </c>
      <c r="C2753" s="3" t="s">
        <v>7657</v>
      </c>
      <c r="D2753" s="3" t="s">
        <v>6548</v>
      </c>
      <c r="E2753" s="3" t="s">
        <v>867</v>
      </c>
      <c r="F2753" s="3">
        <v>24.98</v>
      </c>
      <c r="G2753" s="3" t="s">
        <v>3391</v>
      </c>
      <c r="H2753" s="3"/>
      <c r="I2753" s="3" t="s">
        <v>3392</v>
      </c>
      <c r="J2753" s="3">
        <v>0</v>
      </c>
      <c r="K2753" s="3">
        <v>0</v>
      </c>
      <c r="L2753" s="3">
        <v>0</v>
      </c>
      <c r="M2753" s="3">
        <v>0</v>
      </c>
      <c r="N2753" s="3">
        <v>0</v>
      </c>
      <c r="O2753" s="3">
        <v>0</v>
      </c>
      <c r="P2753" s="3">
        <v>0</v>
      </c>
      <c r="Q2753" s="3">
        <v>0</v>
      </c>
      <c r="R2753" s="3">
        <v>0</v>
      </c>
    </row>
    <row r="2754" spans="1:18">
      <c r="A2754" s="3" t="s">
        <v>7658</v>
      </c>
      <c r="B2754" s="3" t="s">
        <v>7659</v>
      </c>
      <c r="C2754" s="3" t="s">
        <v>7660</v>
      </c>
      <c r="D2754" s="3" t="s">
        <v>6552</v>
      </c>
      <c r="E2754" s="3" t="s">
        <v>867</v>
      </c>
      <c r="F2754" s="3">
        <v>24.98</v>
      </c>
      <c r="G2754" s="3" t="s">
        <v>3391</v>
      </c>
      <c r="H2754" s="3"/>
      <c r="I2754" s="3" t="s">
        <v>3392</v>
      </c>
      <c r="J2754" s="3">
        <v>0</v>
      </c>
      <c r="K2754" s="3">
        <v>0</v>
      </c>
      <c r="L2754" s="3">
        <v>0</v>
      </c>
      <c r="M2754" s="3">
        <v>0</v>
      </c>
      <c r="N2754" s="3">
        <v>0</v>
      </c>
      <c r="O2754" s="3">
        <v>0</v>
      </c>
      <c r="P2754" s="3">
        <v>0</v>
      </c>
      <c r="Q2754" s="3">
        <v>0</v>
      </c>
      <c r="R2754" s="3">
        <v>0</v>
      </c>
    </row>
    <row r="2755" spans="1:18">
      <c r="A2755" s="3" t="s">
        <v>7661</v>
      </c>
      <c r="B2755" s="3" t="s">
        <v>7662</v>
      </c>
      <c r="C2755" s="3" t="s">
        <v>7663</v>
      </c>
      <c r="D2755" s="3" t="s">
        <v>6610</v>
      </c>
      <c r="E2755" s="3" t="s">
        <v>867</v>
      </c>
      <c r="F2755" s="3">
        <v>24.98</v>
      </c>
      <c r="G2755" s="3" t="s">
        <v>3391</v>
      </c>
      <c r="H2755" s="3"/>
      <c r="I2755" s="3" t="s">
        <v>3392</v>
      </c>
      <c r="J2755" s="3">
        <v>0</v>
      </c>
      <c r="K2755" s="3">
        <v>0</v>
      </c>
      <c r="L2755" s="3">
        <v>0</v>
      </c>
      <c r="M2755" s="3">
        <v>0</v>
      </c>
      <c r="N2755" s="3">
        <v>0</v>
      </c>
      <c r="O2755" s="3">
        <v>0</v>
      </c>
      <c r="P2755" s="3">
        <v>0</v>
      </c>
      <c r="Q2755" s="3">
        <v>0</v>
      </c>
      <c r="R2755" s="3">
        <v>0</v>
      </c>
    </row>
    <row r="2756" spans="1:18">
      <c r="A2756" s="3" t="s">
        <v>7664</v>
      </c>
      <c r="B2756" s="3" t="s">
        <v>7665</v>
      </c>
      <c r="C2756" s="3" t="s">
        <v>7666</v>
      </c>
      <c r="D2756" s="3" t="s">
        <v>6574</v>
      </c>
      <c r="E2756" s="3" t="s">
        <v>867</v>
      </c>
      <c r="F2756" s="3">
        <v>24.98</v>
      </c>
      <c r="G2756" s="3" t="s">
        <v>3391</v>
      </c>
      <c r="H2756" s="3"/>
      <c r="I2756" s="3" t="s">
        <v>3392</v>
      </c>
      <c r="J2756" s="3">
        <v>0</v>
      </c>
      <c r="K2756" s="3">
        <v>0</v>
      </c>
      <c r="L2756" s="3">
        <v>0</v>
      </c>
      <c r="M2756" s="3">
        <v>0</v>
      </c>
      <c r="N2756" s="3">
        <v>0</v>
      </c>
      <c r="O2756" s="3">
        <v>0</v>
      </c>
      <c r="P2756" s="3">
        <v>0</v>
      </c>
      <c r="Q2756" s="3">
        <v>0</v>
      </c>
      <c r="R2756" s="3">
        <v>0</v>
      </c>
    </row>
    <row r="2757" spans="1:18">
      <c r="A2757" s="3" t="s">
        <v>7667</v>
      </c>
      <c r="B2757" s="3" t="s">
        <v>7668</v>
      </c>
      <c r="C2757" s="3" t="s">
        <v>7669</v>
      </c>
      <c r="D2757" s="3" t="s">
        <v>6564</v>
      </c>
      <c r="E2757" s="3" t="s">
        <v>867</v>
      </c>
      <c r="F2757" s="3">
        <v>24.98</v>
      </c>
      <c r="G2757" s="3" t="s">
        <v>3391</v>
      </c>
      <c r="H2757" s="3"/>
      <c r="I2757" s="3" t="s">
        <v>3392</v>
      </c>
      <c r="J2757" s="3">
        <v>0</v>
      </c>
      <c r="K2757" s="3">
        <v>0</v>
      </c>
      <c r="L2757" s="3">
        <v>0</v>
      </c>
      <c r="M2757" s="3">
        <v>0</v>
      </c>
      <c r="N2757" s="3">
        <v>0</v>
      </c>
      <c r="O2757" s="3">
        <v>0</v>
      </c>
      <c r="P2757" s="3">
        <v>0</v>
      </c>
      <c r="Q2757" s="3">
        <v>0</v>
      </c>
      <c r="R2757" s="3">
        <v>0</v>
      </c>
    </row>
    <row r="2758" spans="1:18">
      <c r="A2758" s="3" t="s">
        <v>7670</v>
      </c>
      <c r="B2758" s="3" t="s">
        <v>7671</v>
      </c>
      <c r="C2758" s="3" t="s">
        <v>7672</v>
      </c>
      <c r="D2758" s="3" t="s">
        <v>2923</v>
      </c>
      <c r="E2758" s="3" t="s">
        <v>867</v>
      </c>
      <c r="F2758" s="3">
        <v>24.98</v>
      </c>
      <c r="G2758" s="3" t="s">
        <v>3391</v>
      </c>
      <c r="H2758" s="3"/>
      <c r="I2758" s="3" t="s">
        <v>3392</v>
      </c>
      <c r="J2758" s="3">
        <v>0</v>
      </c>
      <c r="K2758" s="3">
        <v>0</v>
      </c>
      <c r="L2758" s="3">
        <v>0</v>
      </c>
      <c r="M2758" s="3">
        <v>0</v>
      </c>
      <c r="N2758" s="3">
        <v>0</v>
      </c>
      <c r="O2758" s="3">
        <v>0</v>
      </c>
      <c r="P2758" s="3">
        <v>0</v>
      </c>
      <c r="Q2758" s="3">
        <v>0</v>
      </c>
      <c r="R2758" s="3">
        <v>0</v>
      </c>
    </row>
    <row r="2759" spans="1:18">
      <c r="A2759" s="3" t="s">
        <v>7673</v>
      </c>
      <c r="B2759" s="3" t="s">
        <v>7674</v>
      </c>
      <c r="C2759" s="3" t="s">
        <v>7675</v>
      </c>
      <c r="D2759" s="3" t="s">
        <v>7676</v>
      </c>
      <c r="E2759" s="3" t="s">
        <v>867</v>
      </c>
      <c r="F2759" s="3">
        <v>24.98</v>
      </c>
      <c r="G2759" s="3" t="s">
        <v>3391</v>
      </c>
      <c r="H2759" s="3"/>
      <c r="I2759" s="3" t="s">
        <v>3392</v>
      </c>
      <c r="J2759" s="3">
        <v>0</v>
      </c>
      <c r="K2759" s="3">
        <v>0</v>
      </c>
      <c r="L2759" s="3">
        <v>0</v>
      </c>
      <c r="M2759" s="3">
        <v>0</v>
      </c>
      <c r="N2759" s="3">
        <v>0</v>
      </c>
      <c r="O2759" s="3">
        <v>0</v>
      </c>
      <c r="P2759" s="3">
        <v>0</v>
      </c>
      <c r="Q2759" s="3">
        <v>0</v>
      </c>
      <c r="R2759" s="3">
        <v>0</v>
      </c>
    </row>
    <row r="2760" spans="1:18">
      <c r="A2760" s="3" t="s">
        <v>7677</v>
      </c>
      <c r="B2760" s="3" t="s">
        <v>7678</v>
      </c>
      <c r="C2760" s="3" t="s">
        <v>7679</v>
      </c>
      <c r="D2760" s="3" t="s">
        <v>1501</v>
      </c>
      <c r="E2760" s="3" t="s">
        <v>867</v>
      </c>
      <c r="F2760" s="3">
        <v>24.98</v>
      </c>
      <c r="G2760" s="3" t="s">
        <v>3391</v>
      </c>
      <c r="H2760" s="3"/>
      <c r="I2760" s="3" t="s">
        <v>3392</v>
      </c>
      <c r="J2760" s="3">
        <v>0</v>
      </c>
      <c r="K2760" s="3">
        <v>0</v>
      </c>
      <c r="L2760" s="3">
        <v>0</v>
      </c>
      <c r="M2760" s="3">
        <v>0</v>
      </c>
      <c r="N2760" s="3">
        <v>0</v>
      </c>
      <c r="O2760" s="3">
        <v>0</v>
      </c>
      <c r="P2760" s="3">
        <v>0</v>
      </c>
      <c r="Q2760" s="3">
        <v>0</v>
      </c>
      <c r="R2760" s="3">
        <v>0</v>
      </c>
    </row>
    <row r="2761" spans="1:18">
      <c r="A2761" s="3" t="s">
        <v>7680</v>
      </c>
      <c r="B2761" s="3" t="s">
        <v>7681</v>
      </c>
      <c r="C2761" s="3" t="s">
        <v>7682</v>
      </c>
      <c r="D2761" s="3" t="s">
        <v>1240</v>
      </c>
      <c r="E2761" s="3" t="s">
        <v>867</v>
      </c>
      <c r="F2761" s="3">
        <v>24.98</v>
      </c>
      <c r="G2761" s="3" t="s">
        <v>3391</v>
      </c>
      <c r="H2761" s="3"/>
      <c r="I2761" s="3" t="s">
        <v>3392</v>
      </c>
      <c r="J2761" s="3">
        <v>0</v>
      </c>
      <c r="K2761" s="3">
        <v>0</v>
      </c>
      <c r="L2761" s="3">
        <v>0</v>
      </c>
      <c r="M2761" s="3">
        <v>0</v>
      </c>
      <c r="N2761" s="3">
        <v>0</v>
      </c>
      <c r="O2761" s="3">
        <v>0</v>
      </c>
      <c r="P2761" s="3">
        <v>0</v>
      </c>
      <c r="Q2761" s="3">
        <v>0</v>
      </c>
      <c r="R2761" s="3">
        <v>0</v>
      </c>
    </row>
    <row r="2762" spans="1:18">
      <c r="A2762" s="3" t="s">
        <v>7683</v>
      </c>
      <c r="B2762" s="3" t="s">
        <v>7684</v>
      </c>
      <c r="C2762" s="3" t="s">
        <v>7685</v>
      </c>
      <c r="D2762" s="3" t="s">
        <v>6578</v>
      </c>
      <c r="E2762" s="3" t="s">
        <v>867</v>
      </c>
      <c r="F2762" s="3">
        <v>24.98</v>
      </c>
      <c r="G2762" s="3" t="s">
        <v>3391</v>
      </c>
      <c r="H2762" s="3"/>
      <c r="I2762" s="3" t="s">
        <v>3392</v>
      </c>
      <c r="J2762" s="3">
        <v>0</v>
      </c>
      <c r="K2762" s="3">
        <v>0</v>
      </c>
      <c r="L2762" s="3">
        <v>0</v>
      </c>
      <c r="M2762" s="3">
        <v>0</v>
      </c>
      <c r="N2762" s="3">
        <v>0</v>
      </c>
      <c r="O2762" s="3">
        <v>0</v>
      </c>
      <c r="P2762" s="3">
        <v>0</v>
      </c>
      <c r="Q2762" s="3">
        <v>0</v>
      </c>
      <c r="R2762" s="3">
        <v>0</v>
      </c>
    </row>
    <row r="2763" spans="1:18">
      <c r="A2763" s="3" t="s">
        <v>7686</v>
      </c>
      <c r="B2763" s="3" t="s">
        <v>7687</v>
      </c>
      <c r="C2763" s="3" t="s">
        <v>7688</v>
      </c>
      <c r="D2763" s="3" t="s">
        <v>1975</v>
      </c>
      <c r="E2763" s="3" t="s">
        <v>867</v>
      </c>
      <c r="F2763" s="3">
        <v>24.98</v>
      </c>
      <c r="G2763" s="3" t="s">
        <v>3391</v>
      </c>
      <c r="H2763" s="3"/>
      <c r="I2763" s="3" t="s">
        <v>3392</v>
      </c>
      <c r="J2763" s="3">
        <v>0</v>
      </c>
      <c r="K2763" s="3">
        <v>0</v>
      </c>
      <c r="L2763" s="3">
        <v>0</v>
      </c>
      <c r="M2763" s="3">
        <v>0</v>
      </c>
      <c r="N2763" s="3">
        <v>0</v>
      </c>
      <c r="O2763" s="3">
        <v>0</v>
      </c>
      <c r="P2763" s="3">
        <v>0</v>
      </c>
      <c r="Q2763" s="3">
        <v>0</v>
      </c>
      <c r="R2763" s="3">
        <v>0</v>
      </c>
    </row>
    <row r="2764" spans="1:18">
      <c r="A2764" s="3" t="s">
        <v>7689</v>
      </c>
      <c r="B2764" s="3" t="s">
        <v>7690</v>
      </c>
      <c r="C2764" s="3" t="s">
        <v>7691</v>
      </c>
      <c r="D2764" s="3" t="s">
        <v>6588</v>
      </c>
      <c r="E2764" s="3" t="s">
        <v>867</v>
      </c>
      <c r="F2764" s="3">
        <v>24.98</v>
      </c>
      <c r="G2764" s="3" t="s">
        <v>3391</v>
      </c>
      <c r="H2764" s="3"/>
      <c r="I2764" s="3" t="s">
        <v>3392</v>
      </c>
      <c r="J2764" s="3">
        <v>0</v>
      </c>
      <c r="K2764" s="3">
        <v>0</v>
      </c>
      <c r="L2764" s="3">
        <v>0</v>
      </c>
      <c r="M2764" s="3">
        <v>0</v>
      </c>
      <c r="N2764" s="3">
        <v>0</v>
      </c>
      <c r="O2764" s="3">
        <v>0</v>
      </c>
      <c r="P2764" s="3">
        <v>0</v>
      </c>
      <c r="Q2764" s="3">
        <v>0</v>
      </c>
      <c r="R2764" s="3">
        <v>0</v>
      </c>
    </row>
    <row r="2765" spans="1:18">
      <c r="A2765" s="3" t="s">
        <v>7692</v>
      </c>
      <c r="B2765" s="3" t="s">
        <v>7693</v>
      </c>
      <c r="C2765" s="3" t="s">
        <v>7694</v>
      </c>
      <c r="D2765" s="3" t="s">
        <v>6582</v>
      </c>
      <c r="E2765" s="3" t="s">
        <v>867</v>
      </c>
      <c r="F2765" s="3">
        <v>24.98</v>
      </c>
      <c r="G2765" s="3" t="s">
        <v>3391</v>
      </c>
      <c r="H2765" s="3"/>
      <c r="I2765" s="3" t="s">
        <v>3392</v>
      </c>
      <c r="J2765" s="3">
        <v>0</v>
      </c>
      <c r="K2765" s="3">
        <v>0</v>
      </c>
      <c r="L2765" s="3">
        <v>0</v>
      </c>
      <c r="M2765" s="3">
        <v>0</v>
      </c>
      <c r="N2765" s="3">
        <v>0</v>
      </c>
      <c r="O2765" s="3">
        <v>0</v>
      </c>
      <c r="P2765" s="3">
        <v>0</v>
      </c>
      <c r="Q2765" s="3">
        <v>0</v>
      </c>
      <c r="R2765" s="3">
        <v>0</v>
      </c>
    </row>
    <row r="2766" spans="1:18">
      <c r="A2766" s="3" t="s">
        <v>7695</v>
      </c>
      <c r="B2766" s="3" t="s">
        <v>7696</v>
      </c>
      <c r="C2766" s="3" t="s">
        <v>7697</v>
      </c>
      <c r="D2766" s="3" t="s">
        <v>2633</v>
      </c>
      <c r="E2766" s="3" t="s">
        <v>867</v>
      </c>
      <c r="F2766" s="3">
        <v>24.98</v>
      </c>
      <c r="G2766" s="3" t="s">
        <v>3391</v>
      </c>
      <c r="H2766" s="3"/>
      <c r="I2766" s="3" t="s">
        <v>3392</v>
      </c>
      <c r="J2766" s="3">
        <v>0</v>
      </c>
      <c r="K2766" s="3">
        <v>0</v>
      </c>
      <c r="L2766" s="3">
        <v>0</v>
      </c>
      <c r="M2766" s="3">
        <v>0</v>
      </c>
      <c r="N2766" s="3">
        <v>0</v>
      </c>
      <c r="O2766" s="3">
        <v>0</v>
      </c>
      <c r="P2766" s="3">
        <v>0</v>
      </c>
      <c r="Q2766" s="3">
        <v>0</v>
      </c>
      <c r="R2766" s="3">
        <v>0</v>
      </c>
    </row>
    <row r="2767" spans="1:18">
      <c r="A2767" s="3" t="s">
        <v>7698</v>
      </c>
      <c r="B2767" s="3" t="s">
        <v>7699</v>
      </c>
      <c r="C2767" s="3" t="s">
        <v>7700</v>
      </c>
      <c r="D2767" s="3" t="s">
        <v>3201</v>
      </c>
      <c r="E2767" s="3" t="s">
        <v>867</v>
      </c>
      <c r="F2767" s="3">
        <v>24.98</v>
      </c>
      <c r="G2767" s="3" t="s">
        <v>3391</v>
      </c>
      <c r="H2767" s="3"/>
      <c r="I2767" s="3" t="s">
        <v>3392</v>
      </c>
      <c r="J2767" s="3">
        <v>0</v>
      </c>
      <c r="K2767" s="3">
        <v>0</v>
      </c>
      <c r="L2767" s="3">
        <v>0</v>
      </c>
      <c r="M2767" s="3">
        <v>0</v>
      </c>
      <c r="N2767" s="3">
        <v>0</v>
      </c>
      <c r="O2767" s="3">
        <v>0</v>
      </c>
      <c r="P2767" s="3">
        <v>0</v>
      </c>
      <c r="Q2767" s="3">
        <v>0</v>
      </c>
      <c r="R2767" s="3">
        <v>0</v>
      </c>
    </row>
    <row r="2768" spans="1:18">
      <c r="A2768" s="3" t="s">
        <v>7701</v>
      </c>
      <c r="B2768" s="3" t="s">
        <v>7702</v>
      </c>
      <c r="C2768" s="3" t="s">
        <v>7703</v>
      </c>
      <c r="D2768" s="3" t="s">
        <v>6596</v>
      </c>
      <c r="E2768" s="3" t="s">
        <v>867</v>
      </c>
      <c r="F2768" s="3">
        <v>24.98</v>
      </c>
      <c r="G2768" s="3" t="s">
        <v>3391</v>
      </c>
      <c r="H2768" s="3"/>
      <c r="I2768" s="3" t="s">
        <v>3392</v>
      </c>
      <c r="J2768" s="3">
        <v>0</v>
      </c>
      <c r="K2768" s="3">
        <v>0</v>
      </c>
      <c r="L2768" s="3">
        <v>0</v>
      </c>
      <c r="M2768" s="3">
        <v>0</v>
      </c>
      <c r="N2768" s="3">
        <v>0</v>
      </c>
      <c r="O2768" s="3">
        <v>0</v>
      </c>
      <c r="P2768" s="3">
        <v>0</v>
      </c>
      <c r="Q2768" s="3">
        <v>0</v>
      </c>
      <c r="R2768" s="3">
        <v>0</v>
      </c>
    </row>
    <row r="2769" spans="1:18">
      <c r="A2769" s="3" t="s">
        <v>7704</v>
      </c>
      <c r="B2769" s="3" t="s">
        <v>7705</v>
      </c>
      <c r="C2769" s="3" t="s">
        <v>7706</v>
      </c>
      <c r="D2769" s="3" t="s">
        <v>6592</v>
      </c>
      <c r="E2769" s="3" t="s">
        <v>867</v>
      </c>
      <c r="F2769" s="3">
        <v>24.98</v>
      </c>
      <c r="G2769" s="3" t="s">
        <v>3391</v>
      </c>
      <c r="H2769" s="3"/>
      <c r="I2769" s="3" t="s">
        <v>3392</v>
      </c>
      <c r="J2769" s="3">
        <v>0</v>
      </c>
      <c r="K2769" s="3">
        <v>0</v>
      </c>
      <c r="L2769" s="3">
        <v>0</v>
      </c>
      <c r="M2769" s="3">
        <v>0</v>
      </c>
      <c r="N2769" s="3">
        <v>0</v>
      </c>
      <c r="O2769" s="3">
        <v>0</v>
      </c>
      <c r="P2769" s="3">
        <v>0</v>
      </c>
      <c r="Q2769" s="3">
        <v>0</v>
      </c>
      <c r="R2769" s="3">
        <v>0</v>
      </c>
    </row>
    <row r="2770" spans="1:18">
      <c r="A2770" s="3" t="s">
        <v>7707</v>
      </c>
      <c r="B2770" s="3" t="s">
        <v>7708</v>
      </c>
      <c r="C2770" s="3" t="s">
        <v>7709</v>
      </c>
      <c r="D2770" s="3" t="s">
        <v>1962</v>
      </c>
      <c r="E2770" s="3" t="s">
        <v>867</v>
      </c>
      <c r="F2770" s="3">
        <v>24.98</v>
      </c>
      <c r="G2770" s="3" t="s">
        <v>3391</v>
      </c>
      <c r="H2770" s="3"/>
      <c r="I2770" s="3" t="s">
        <v>3392</v>
      </c>
      <c r="J2770" s="3">
        <v>0</v>
      </c>
      <c r="K2770" s="3">
        <v>0</v>
      </c>
      <c r="L2770" s="3">
        <v>0</v>
      </c>
      <c r="M2770" s="3">
        <v>0</v>
      </c>
      <c r="N2770" s="3">
        <v>0</v>
      </c>
      <c r="O2770" s="3">
        <v>0</v>
      </c>
      <c r="P2770" s="3">
        <v>0</v>
      </c>
      <c r="Q2770" s="3">
        <v>0</v>
      </c>
      <c r="R2770" s="3">
        <v>0</v>
      </c>
    </row>
    <row r="2771" spans="1:18">
      <c r="A2771" s="3" t="s">
        <v>7710</v>
      </c>
      <c r="B2771" s="3" t="s">
        <v>7711</v>
      </c>
      <c r="C2771" s="3" t="s">
        <v>7712</v>
      </c>
      <c r="D2771" s="3" t="s">
        <v>2254</v>
      </c>
      <c r="E2771" s="3" t="s">
        <v>867</v>
      </c>
      <c r="F2771" s="3">
        <v>24.98</v>
      </c>
      <c r="G2771" s="3" t="s">
        <v>3391</v>
      </c>
      <c r="H2771" s="3"/>
      <c r="I2771" s="3" t="s">
        <v>3392</v>
      </c>
      <c r="J2771" s="3">
        <v>0</v>
      </c>
      <c r="K2771" s="3">
        <v>0</v>
      </c>
      <c r="L2771" s="3">
        <v>0</v>
      </c>
      <c r="M2771" s="3">
        <v>0</v>
      </c>
      <c r="N2771" s="3">
        <v>0</v>
      </c>
      <c r="O2771" s="3">
        <v>0</v>
      </c>
      <c r="P2771" s="3">
        <v>0</v>
      </c>
      <c r="Q2771" s="3">
        <v>0</v>
      </c>
      <c r="R2771" s="3">
        <v>0</v>
      </c>
    </row>
    <row r="2772" spans="1:18">
      <c r="A2772" s="3" t="s">
        <v>7713</v>
      </c>
      <c r="B2772" s="3" t="s">
        <v>7714</v>
      </c>
      <c r="C2772" s="3" t="s">
        <v>7715</v>
      </c>
      <c r="D2772" s="3" t="s">
        <v>1332</v>
      </c>
      <c r="E2772" s="3" t="s">
        <v>867</v>
      </c>
      <c r="F2772" s="3">
        <v>24.98</v>
      </c>
      <c r="G2772" s="3" t="s">
        <v>3391</v>
      </c>
      <c r="H2772" s="3"/>
      <c r="I2772" s="3" t="s">
        <v>3392</v>
      </c>
      <c r="J2772" s="3">
        <v>0</v>
      </c>
      <c r="K2772" s="3">
        <v>0</v>
      </c>
      <c r="L2772" s="3">
        <v>0</v>
      </c>
      <c r="M2772" s="3">
        <v>0</v>
      </c>
      <c r="N2772" s="3">
        <v>0</v>
      </c>
      <c r="O2772" s="3">
        <v>0</v>
      </c>
      <c r="P2772" s="3">
        <v>0</v>
      </c>
      <c r="Q2772" s="3">
        <v>0</v>
      </c>
      <c r="R2772" s="3">
        <v>0</v>
      </c>
    </row>
    <row r="2773" spans="1:18">
      <c r="A2773" s="3" t="s">
        <v>7716</v>
      </c>
      <c r="B2773" s="3" t="s">
        <v>7717</v>
      </c>
      <c r="C2773" s="3" t="s">
        <v>7718</v>
      </c>
      <c r="D2773" s="3" t="s">
        <v>3168</v>
      </c>
      <c r="E2773" s="3" t="s">
        <v>867</v>
      </c>
      <c r="F2773" s="3">
        <v>24.98</v>
      </c>
      <c r="G2773" s="3" t="s">
        <v>3391</v>
      </c>
      <c r="H2773" s="3"/>
      <c r="I2773" s="3" t="s">
        <v>3392</v>
      </c>
      <c r="J2773" s="3">
        <v>0</v>
      </c>
      <c r="K2773" s="3">
        <v>0</v>
      </c>
      <c r="L2773" s="3">
        <v>0</v>
      </c>
      <c r="M2773" s="3">
        <v>0</v>
      </c>
      <c r="N2773" s="3">
        <v>0</v>
      </c>
      <c r="O2773" s="3">
        <v>0</v>
      </c>
      <c r="P2773" s="3">
        <v>0</v>
      </c>
      <c r="Q2773" s="3">
        <v>0</v>
      </c>
      <c r="R2773" s="3">
        <v>0</v>
      </c>
    </row>
    <row r="2774" spans="1:18">
      <c r="A2774" s="3" t="s">
        <v>7719</v>
      </c>
      <c r="B2774" s="3" t="s">
        <v>7720</v>
      </c>
      <c r="C2774" s="3" t="s">
        <v>7721</v>
      </c>
      <c r="D2774" s="3" t="s">
        <v>971</v>
      </c>
      <c r="E2774" s="3" t="s">
        <v>867</v>
      </c>
      <c r="F2774" s="3">
        <v>24.98</v>
      </c>
      <c r="G2774" s="3" t="s">
        <v>3391</v>
      </c>
      <c r="H2774" s="3"/>
      <c r="I2774" s="3" t="s">
        <v>3392</v>
      </c>
      <c r="J2774" s="3">
        <v>0</v>
      </c>
      <c r="K2774" s="3">
        <v>0</v>
      </c>
      <c r="L2774" s="3">
        <v>0</v>
      </c>
      <c r="M2774" s="3">
        <v>0</v>
      </c>
      <c r="N2774" s="3">
        <v>0</v>
      </c>
      <c r="O2774" s="3">
        <v>0</v>
      </c>
      <c r="P2774" s="3">
        <v>0</v>
      </c>
      <c r="Q2774" s="3">
        <v>0</v>
      </c>
      <c r="R2774" s="3">
        <v>0</v>
      </c>
    </row>
    <row r="2775" spans="1:18">
      <c r="A2775" s="3" t="s">
        <v>7722</v>
      </c>
      <c r="B2775" s="3" t="s">
        <v>7723</v>
      </c>
      <c r="C2775" s="3" t="s">
        <v>7724</v>
      </c>
      <c r="D2775" s="3" t="s">
        <v>6556</v>
      </c>
      <c r="E2775" s="3" t="s">
        <v>867</v>
      </c>
      <c r="F2775" s="3">
        <v>24.98</v>
      </c>
      <c r="G2775" s="3" t="s">
        <v>3391</v>
      </c>
      <c r="H2775" s="3"/>
      <c r="I2775" s="3" t="s">
        <v>3392</v>
      </c>
      <c r="J2775" s="3">
        <v>0</v>
      </c>
      <c r="K2775" s="3">
        <v>0</v>
      </c>
      <c r="L2775" s="3">
        <v>0</v>
      </c>
      <c r="M2775" s="3">
        <v>0</v>
      </c>
      <c r="N2775" s="3">
        <v>0</v>
      </c>
      <c r="O2775" s="3">
        <v>0</v>
      </c>
      <c r="P2775" s="3">
        <v>0</v>
      </c>
      <c r="Q2775" s="3">
        <v>0</v>
      </c>
      <c r="R2775" s="3">
        <v>0</v>
      </c>
    </row>
    <row r="2776" spans="1:18">
      <c r="A2776" s="3" t="s">
        <v>7725</v>
      </c>
      <c r="B2776" s="3" t="s">
        <v>7726</v>
      </c>
      <c r="C2776" s="3" t="s">
        <v>7727</v>
      </c>
      <c r="D2776" s="3" t="s">
        <v>6614</v>
      </c>
      <c r="E2776" s="3" t="s">
        <v>867</v>
      </c>
      <c r="F2776" s="3">
        <v>24.98</v>
      </c>
      <c r="G2776" s="3" t="s">
        <v>3391</v>
      </c>
      <c r="H2776" s="3"/>
      <c r="I2776" s="3" t="s">
        <v>3392</v>
      </c>
      <c r="J2776" s="3">
        <v>0</v>
      </c>
      <c r="K2776" s="3">
        <v>0</v>
      </c>
      <c r="L2776" s="3">
        <v>0</v>
      </c>
      <c r="M2776" s="3">
        <v>0</v>
      </c>
      <c r="N2776" s="3">
        <v>0</v>
      </c>
      <c r="O2776" s="3">
        <v>0</v>
      </c>
      <c r="P2776" s="3">
        <v>0</v>
      </c>
      <c r="Q2776" s="3">
        <v>0</v>
      </c>
      <c r="R2776" s="3">
        <v>0</v>
      </c>
    </row>
    <row r="2777" spans="1:18">
      <c r="A2777" s="3" t="s">
        <v>7728</v>
      </c>
      <c r="B2777" s="3" t="s">
        <v>7729</v>
      </c>
      <c r="C2777" s="3" t="s">
        <v>7730</v>
      </c>
      <c r="D2777" s="3" t="s">
        <v>6604</v>
      </c>
      <c r="E2777" s="3" t="s">
        <v>867</v>
      </c>
      <c r="F2777" s="3">
        <v>24.98</v>
      </c>
      <c r="G2777" s="3" t="s">
        <v>3391</v>
      </c>
      <c r="H2777" s="3"/>
      <c r="I2777" s="3" t="s">
        <v>3392</v>
      </c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>
        <v>0</v>
      </c>
      <c r="P2777" s="3">
        <v>0</v>
      </c>
      <c r="Q2777" s="3">
        <v>0</v>
      </c>
      <c r="R2777" s="3">
        <v>0</v>
      </c>
    </row>
    <row r="2778" spans="1:18">
      <c r="A2778" s="3" t="s">
        <v>7731</v>
      </c>
      <c r="B2778" s="3" t="s">
        <v>7732</v>
      </c>
      <c r="C2778" s="3" t="s">
        <v>7733</v>
      </c>
      <c r="D2778" s="3" t="s">
        <v>2473</v>
      </c>
      <c r="E2778" s="3" t="s">
        <v>867</v>
      </c>
      <c r="F2778" s="3">
        <v>24.98</v>
      </c>
      <c r="G2778" s="3" t="s">
        <v>3391</v>
      </c>
      <c r="H2778" s="3"/>
      <c r="I2778" s="3" t="s">
        <v>3392</v>
      </c>
      <c r="J2778" s="3">
        <v>0</v>
      </c>
      <c r="K2778" s="3">
        <v>0</v>
      </c>
      <c r="L2778" s="3">
        <v>0</v>
      </c>
      <c r="M2778" s="3">
        <v>0</v>
      </c>
      <c r="N2778" s="3">
        <v>0</v>
      </c>
      <c r="O2778" s="3">
        <v>0</v>
      </c>
      <c r="P2778" s="3">
        <v>0</v>
      </c>
      <c r="Q2778" s="3">
        <v>0</v>
      </c>
      <c r="R2778" s="3">
        <v>0</v>
      </c>
    </row>
    <row r="2779" spans="1:18">
      <c r="A2779" s="3" t="s">
        <v>7734</v>
      </c>
      <c r="B2779" s="3" t="s">
        <v>7735</v>
      </c>
      <c r="C2779" s="3" t="s">
        <v>7736</v>
      </c>
      <c r="D2779" s="3" t="s">
        <v>6570</v>
      </c>
      <c r="E2779" s="3" t="s">
        <v>867</v>
      </c>
      <c r="F2779" s="3">
        <v>24.98</v>
      </c>
      <c r="G2779" s="3" t="s">
        <v>3391</v>
      </c>
      <c r="H2779" s="3"/>
      <c r="I2779" s="3" t="s">
        <v>3392</v>
      </c>
      <c r="J2779" s="3">
        <v>0</v>
      </c>
      <c r="K2779" s="3">
        <v>0</v>
      </c>
      <c r="L2779" s="3">
        <v>0</v>
      </c>
      <c r="M2779" s="3">
        <v>0</v>
      </c>
      <c r="N2779" s="3">
        <v>0</v>
      </c>
      <c r="O2779" s="3">
        <v>0</v>
      </c>
      <c r="P2779" s="3">
        <v>0</v>
      </c>
      <c r="Q2779" s="3">
        <v>0</v>
      </c>
      <c r="R2779" s="3">
        <v>0</v>
      </c>
    </row>
    <row r="2780" spans="1:18">
      <c r="A2780" s="3" t="s">
        <v>7737</v>
      </c>
      <c r="B2780" s="3" t="s">
        <v>7738</v>
      </c>
      <c r="C2780" s="3" t="s">
        <v>7739</v>
      </c>
      <c r="D2780" s="3" t="s">
        <v>7740</v>
      </c>
      <c r="E2780" s="3" t="s">
        <v>867</v>
      </c>
      <c r="F2780" s="3">
        <v>35.98</v>
      </c>
      <c r="G2780" s="3" t="s">
        <v>3391</v>
      </c>
      <c r="H2780" s="3"/>
      <c r="I2780" s="3" t="s">
        <v>3392</v>
      </c>
      <c r="J2780" s="3">
        <v>0</v>
      </c>
      <c r="K2780" s="3">
        <v>0</v>
      </c>
      <c r="L2780" s="3">
        <v>0</v>
      </c>
      <c r="M2780" s="3">
        <v>0</v>
      </c>
      <c r="N2780" s="3">
        <v>0</v>
      </c>
      <c r="O2780" s="3">
        <v>0</v>
      </c>
      <c r="P2780" s="3">
        <v>0</v>
      </c>
      <c r="Q2780" s="3">
        <v>0</v>
      </c>
      <c r="R2780" s="3">
        <v>0</v>
      </c>
    </row>
    <row r="2781" spans="1:18">
      <c r="A2781" s="3" t="s">
        <v>7741</v>
      </c>
      <c r="B2781" s="3" t="s">
        <v>7742</v>
      </c>
      <c r="C2781" s="3" t="s">
        <v>7743</v>
      </c>
      <c r="D2781" s="3" t="s">
        <v>7744</v>
      </c>
      <c r="E2781" s="3" t="s">
        <v>867</v>
      </c>
      <c r="F2781" s="3">
        <v>35.98</v>
      </c>
      <c r="G2781" s="3" t="s">
        <v>3391</v>
      </c>
      <c r="H2781" s="3"/>
      <c r="I2781" s="3" t="s">
        <v>3392</v>
      </c>
      <c r="J2781" s="3">
        <v>0</v>
      </c>
      <c r="K2781" s="3">
        <v>0</v>
      </c>
      <c r="L2781" s="3">
        <v>0</v>
      </c>
      <c r="M2781" s="3">
        <v>0</v>
      </c>
      <c r="N2781" s="3">
        <v>0</v>
      </c>
      <c r="O2781" s="3">
        <v>0</v>
      </c>
      <c r="P2781" s="3">
        <v>0</v>
      </c>
      <c r="Q2781" s="3">
        <v>0</v>
      </c>
      <c r="R2781" s="3">
        <v>0</v>
      </c>
    </row>
    <row r="2782" spans="1:18">
      <c r="A2782" s="3" t="s">
        <v>7745</v>
      </c>
      <c r="B2782" s="3" t="s">
        <v>7746</v>
      </c>
      <c r="C2782" s="3" t="s">
        <v>7747</v>
      </c>
      <c r="D2782" s="3" t="s">
        <v>7748</v>
      </c>
      <c r="E2782" s="3" t="s">
        <v>867</v>
      </c>
      <c r="F2782" s="3">
        <v>35.98</v>
      </c>
      <c r="G2782" s="3" t="s">
        <v>3391</v>
      </c>
      <c r="H2782" s="3"/>
      <c r="I2782" s="3" t="s">
        <v>3392</v>
      </c>
      <c r="J2782" s="3">
        <v>0</v>
      </c>
      <c r="K2782" s="3">
        <v>0</v>
      </c>
      <c r="L2782" s="3">
        <v>0</v>
      </c>
      <c r="M2782" s="3">
        <v>0</v>
      </c>
      <c r="N2782" s="3">
        <v>0</v>
      </c>
      <c r="O2782" s="3">
        <v>0</v>
      </c>
      <c r="P2782" s="3">
        <v>0</v>
      </c>
      <c r="Q2782" s="3">
        <v>0</v>
      </c>
      <c r="R2782" s="3">
        <v>0</v>
      </c>
    </row>
    <row r="2783" spans="1:18">
      <c r="A2783" s="3" t="s">
        <v>7749</v>
      </c>
      <c r="B2783" s="3" t="s">
        <v>2120</v>
      </c>
      <c r="C2783" s="3" t="s">
        <v>2120</v>
      </c>
      <c r="D2783" s="3"/>
      <c r="E2783" s="3" t="s">
        <v>3293</v>
      </c>
      <c r="F2783" s="3"/>
      <c r="G2783" s="3"/>
      <c r="H2783" s="3"/>
      <c r="I2783" s="3"/>
      <c r="J2783" s="3">
        <v>29</v>
      </c>
      <c r="K2783" s="3">
        <v>29</v>
      </c>
      <c r="L2783" s="3">
        <v>0</v>
      </c>
      <c r="M2783" s="3">
        <v>0</v>
      </c>
      <c r="N2783" s="3">
        <v>29</v>
      </c>
      <c r="O2783" s="3"/>
      <c r="P2783" s="3">
        <v>0</v>
      </c>
      <c r="Q2783" s="3">
        <v>0</v>
      </c>
      <c r="R2783" s="3">
        <v>0</v>
      </c>
    </row>
    <row r="2784" spans="1:18">
      <c r="A2784" s="3" t="s">
        <v>782</v>
      </c>
      <c r="B2784" s="3" t="s">
        <v>783</v>
      </c>
      <c r="C2784" s="3" t="s">
        <v>783</v>
      </c>
      <c r="D2784" s="3"/>
      <c r="E2784" s="3" t="s">
        <v>3293</v>
      </c>
      <c r="F2784" s="3"/>
      <c r="G2784" s="3"/>
      <c r="H2784" s="3"/>
      <c r="I2784" s="3"/>
      <c r="J2784" s="3">
        <v>1</v>
      </c>
      <c r="K2784" s="3">
        <v>0</v>
      </c>
      <c r="L2784" s="3">
        <v>0</v>
      </c>
      <c r="M2784" s="3">
        <v>1</v>
      </c>
      <c r="N2784" s="3">
        <v>1</v>
      </c>
      <c r="O2784" s="3"/>
      <c r="P2784" s="3">
        <v>0</v>
      </c>
      <c r="Q2784" s="3">
        <v>0</v>
      </c>
      <c r="R2784" s="3">
        <v>0</v>
      </c>
    </row>
    <row r="2785" spans="1:18">
      <c r="A2785" s="3" t="s">
        <v>7750</v>
      </c>
      <c r="B2785" s="3" t="s">
        <v>823</v>
      </c>
      <c r="C2785" s="3" t="s">
        <v>823</v>
      </c>
      <c r="D2785" s="3"/>
      <c r="E2785" s="3" t="s">
        <v>3293</v>
      </c>
      <c r="F2785" s="3"/>
      <c r="G2785" s="3"/>
      <c r="H2785" s="3"/>
      <c r="I2785" s="3"/>
      <c r="J2785" s="3">
        <v>0</v>
      </c>
      <c r="K2785" s="3">
        <v>0</v>
      </c>
      <c r="L2785" s="3">
        <v>0</v>
      </c>
      <c r="M2785" s="3">
        <v>0</v>
      </c>
      <c r="N2785" s="3">
        <v>0</v>
      </c>
      <c r="O2785" s="3"/>
      <c r="P2785" s="3">
        <v>0</v>
      </c>
      <c r="Q2785" s="3">
        <v>0</v>
      </c>
      <c r="R2785" s="3">
        <v>0</v>
      </c>
    </row>
    <row r="2786" spans="1:18">
      <c r="A2786" s="3" t="s">
        <v>7751</v>
      </c>
      <c r="B2786" s="3" t="s">
        <v>805</v>
      </c>
      <c r="C2786" s="3" t="s">
        <v>805</v>
      </c>
      <c r="D2786" s="3"/>
      <c r="E2786" s="3" t="s">
        <v>3293</v>
      </c>
      <c r="F2786" s="3"/>
      <c r="G2786" s="3"/>
      <c r="H2786" s="3"/>
      <c r="I2786" s="3"/>
      <c r="J2786" s="3">
        <v>0</v>
      </c>
      <c r="K2786" s="3">
        <v>0</v>
      </c>
      <c r="L2786" s="3">
        <v>0</v>
      </c>
      <c r="M2786" s="3">
        <v>0</v>
      </c>
      <c r="N2786" s="3">
        <v>0</v>
      </c>
      <c r="O2786" s="3"/>
      <c r="P2786" s="3">
        <v>0</v>
      </c>
      <c r="Q2786" s="3">
        <v>0</v>
      </c>
      <c r="R2786" s="3">
        <v>0</v>
      </c>
    </row>
    <row r="2787" spans="1:18">
      <c r="A2787" s="3" t="s">
        <v>918</v>
      </c>
      <c r="B2787" s="3" t="s">
        <v>919</v>
      </c>
      <c r="C2787" s="3" t="s">
        <v>919</v>
      </c>
      <c r="D2787" s="3" t="s">
        <v>920</v>
      </c>
      <c r="E2787" s="3" t="s">
        <v>867</v>
      </c>
      <c r="F2787" s="3">
        <v>39.98</v>
      </c>
      <c r="G2787" s="3" t="s">
        <v>3391</v>
      </c>
      <c r="H2787" s="3"/>
      <c r="I2787" s="3" t="s">
        <v>3392</v>
      </c>
      <c r="J2787" s="3">
        <v>14</v>
      </c>
      <c r="K2787" s="3">
        <v>14</v>
      </c>
      <c r="L2787" s="3">
        <v>0</v>
      </c>
      <c r="M2787" s="3">
        <v>0</v>
      </c>
      <c r="N2787" s="3">
        <v>14</v>
      </c>
      <c r="O2787" s="3">
        <v>0.07</v>
      </c>
      <c r="P2787" s="3">
        <v>0</v>
      </c>
      <c r="Q2787" s="3">
        <v>0</v>
      </c>
      <c r="R2787" s="3">
        <v>0</v>
      </c>
    </row>
    <row r="2788" spans="1:18">
      <c r="A2788" s="3" t="s">
        <v>7752</v>
      </c>
      <c r="B2788" s="3" t="s">
        <v>3113</v>
      </c>
      <c r="C2788" s="3" t="s">
        <v>3113</v>
      </c>
      <c r="D2788" s="3"/>
      <c r="E2788" s="3" t="s">
        <v>3293</v>
      </c>
      <c r="F2788" s="3"/>
      <c r="G2788" s="3"/>
      <c r="H2788" s="3"/>
      <c r="I2788" s="3"/>
      <c r="J2788" s="3">
        <v>22</v>
      </c>
      <c r="K2788" s="3">
        <v>22</v>
      </c>
      <c r="L2788" s="3">
        <v>0</v>
      </c>
      <c r="M2788" s="3">
        <v>0</v>
      </c>
      <c r="N2788" s="3">
        <v>22</v>
      </c>
      <c r="O2788" s="3"/>
      <c r="P2788" s="3">
        <v>0</v>
      </c>
      <c r="Q2788" s="3">
        <v>0</v>
      </c>
      <c r="R2788" s="3">
        <v>0</v>
      </c>
    </row>
    <row r="2789" spans="1:18">
      <c r="A2789" s="3" t="s">
        <v>794</v>
      </c>
      <c r="B2789" s="3" t="s">
        <v>795</v>
      </c>
      <c r="C2789" s="3" t="s">
        <v>795</v>
      </c>
      <c r="D2789" s="3"/>
      <c r="E2789" s="3" t="s">
        <v>3293</v>
      </c>
      <c r="F2789" s="3"/>
      <c r="G2789" s="3"/>
      <c r="H2789" s="3"/>
      <c r="I2789" s="3"/>
      <c r="J2789" s="3">
        <v>15</v>
      </c>
      <c r="K2789" s="3">
        <v>14</v>
      </c>
      <c r="L2789" s="3">
        <v>0</v>
      </c>
      <c r="M2789" s="3">
        <v>1</v>
      </c>
      <c r="N2789" s="3">
        <v>15</v>
      </c>
      <c r="O2789" s="3"/>
      <c r="P2789" s="3">
        <v>0</v>
      </c>
      <c r="Q2789" s="3">
        <v>0</v>
      </c>
      <c r="R2789" s="3">
        <v>0</v>
      </c>
    </row>
    <row r="2790" spans="1:18">
      <c r="A2790" s="3" t="s">
        <v>776</v>
      </c>
      <c r="B2790" s="3" t="s">
        <v>777</v>
      </c>
      <c r="C2790" s="3" t="s">
        <v>777</v>
      </c>
      <c r="D2790" s="3"/>
      <c r="E2790" s="3" t="s">
        <v>3293</v>
      </c>
      <c r="F2790" s="3"/>
      <c r="G2790" s="3"/>
      <c r="H2790" s="3"/>
      <c r="I2790" s="3"/>
      <c r="J2790" s="3">
        <v>9</v>
      </c>
      <c r="K2790" s="3">
        <v>8</v>
      </c>
      <c r="L2790" s="3">
        <v>0</v>
      </c>
      <c r="M2790" s="3">
        <v>1</v>
      </c>
      <c r="N2790" s="3">
        <v>9</v>
      </c>
      <c r="O2790" s="3"/>
      <c r="P2790" s="3">
        <v>0</v>
      </c>
      <c r="Q2790" s="3">
        <v>0</v>
      </c>
      <c r="R2790" s="3">
        <v>0</v>
      </c>
    </row>
    <row r="2791" spans="1:18">
      <c r="A2791" s="3" t="s">
        <v>7753</v>
      </c>
      <c r="B2791" s="3" t="s">
        <v>1081</v>
      </c>
      <c r="C2791" s="3" t="s">
        <v>1081</v>
      </c>
      <c r="D2791" s="3"/>
      <c r="E2791" s="3" t="s">
        <v>3293</v>
      </c>
      <c r="F2791" s="3"/>
      <c r="G2791" s="3"/>
      <c r="H2791" s="3"/>
      <c r="I2791" s="3"/>
      <c r="J2791" s="3">
        <v>3</v>
      </c>
      <c r="K2791" s="3">
        <v>3</v>
      </c>
      <c r="L2791" s="3">
        <v>0</v>
      </c>
      <c r="M2791" s="3">
        <v>0</v>
      </c>
      <c r="N2791" s="3">
        <v>3</v>
      </c>
      <c r="O2791" s="3"/>
      <c r="P2791" s="3">
        <v>0</v>
      </c>
      <c r="Q2791" s="3">
        <v>0</v>
      </c>
      <c r="R2791" s="3">
        <v>0</v>
      </c>
    </row>
    <row r="2792" spans="1:18">
      <c r="A2792" s="3" t="s">
        <v>7754</v>
      </c>
      <c r="B2792" s="3" t="s">
        <v>1817</v>
      </c>
      <c r="C2792" s="3" t="s">
        <v>1817</v>
      </c>
      <c r="D2792" s="3"/>
      <c r="E2792" s="3" t="s">
        <v>3293</v>
      </c>
      <c r="F2792" s="3"/>
      <c r="G2792" s="3"/>
      <c r="H2792" s="3"/>
      <c r="I2792" s="3"/>
      <c r="J2792" s="3">
        <v>14</v>
      </c>
      <c r="K2792" s="3">
        <v>14</v>
      </c>
      <c r="L2792" s="3">
        <v>0</v>
      </c>
      <c r="M2792" s="3">
        <v>0</v>
      </c>
      <c r="N2792" s="3">
        <v>14</v>
      </c>
      <c r="O2792" s="3"/>
      <c r="P2792" s="3">
        <v>0</v>
      </c>
      <c r="Q2792" s="3">
        <v>0</v>
      </c>
      <c r="R2792" s="3">
        <v>0</v>
      </c>
    </row>
    <row r="2793" spans="1:18">
      <c r="A2793" s="3" t="s">
        <v>2905</v>
      </c>
      <c r="B2793" s="3" t="s">
        <v>2906</v>
      </c>
      <c r="C2793" s="3" t="s">
        <v>2906</v>
      </c>
      <c r="D2793" s="3" t="s">
        <v>2907</v>
      </c>
      <c r="E2793" s="3" t="s">
        <v>867</v>
      </c>
      <c r="F2793" s="3">
        <v>22.98</v>
      </c>
      <c r="G2793" s="3" t="s">
        <v>3391</v>
      </c>
      <c r="H2793" s="3"/>
      <c r="I2793" s="3" t="s">
        <v>3392</v>
      </c>
      <c r="J2793" s="3">
        <v>11</v>
      </c>
      <c r="K2793" s="3">
        <v>11</v>
      </c>
      <c r="L2793" s="3">
        <v>0</v>
      </c>
      <c r="M2793" s="3">
        <v>0</v>
      </c>
      <c r="N2793" s="3">
        <v>11</v>
      </c>
      <c r="O2793" s="3">
        <v>0.06</v>
      </c>
      <c r="P2793" s="3">
        <v>0</v>
      </c>
      <c r="Q2793" s="3">
        <v>0</v>
      </c>
      <c r="R2793" s="3">
        <v>0</v>
      </c>
    </row>
    <row r="2794" spans="1:18">
      <c r="A2794" s="3" t="s">
        <v>785</v>
      </c>
      <c r="B2794" s="3" t="s">
        <v>786</v>
      </c>
      <c r="C2794" s="3" t="s">
        <v>786</v>
      </c>
      <c r="D2794" s="3" t="s">
        <v>787</v>
      </c>
      <c r="E2794" s="3" t="s">
        <v>867</v>
      </c>
      <c r="F2794" s="3">
        <v>22.98</v>
      </c>
      <c r="G2794" s="3" t="s">
        <v>3391</v>
      </c>
      <c r="H2794" s="3"/>
      <c r="I2794" s="3" t="s">
        <v>3392</v>
      </c>
      <c r="J2794" s="3">
        <v>2</v>
      </c>
      <c r="K2794" s="3">
        <v>0</v>
      </c>
      <c r="L2794" s="3">
        <v>0</v>
      </c>
      <c r="M2794" s="3">
        <v>2</v>
      </c>
      <c r="N2794" s="3">
        <v>2</v>
      </c>
      <c r="O2794" s="3">
        <v>0.07</v>
      </c>
      <c r="P2794" s="3">
        <v>0</v>
      </c>
      <c r="Q2794" s="3">
        <v>0</v>
      </c>
      <c r="R2794" s="3">
        <v>0</v>
      </c>
    </row>
    <row r="2795" spans="1:18">
      <c r="A2795" s="3" t="s">
        <v>7755</v>
      </c>
      <c r="B2795" s="3" t="s">
        <v>7756</v>
      </c>
      <c r="C2795" s="3" t="s">
        <v>7756</v>
      </c>
      <c r="D2795" s="3"/>
      <c r="E2795" s="3" t="s">
        <v>3293</v>
      </c>
      <c r="F2795" s="3"/>
      <c r="G2795" s="3"/>
      <c r="H2795" s="3"/>
      <c r="I2795" s="3"/>
      <c r="J2795" s="3">
        <v>0</v>
      </c>
      <c r="K2795" s="3">
        <v>0</v>
      </c>
      <c r="L2795" s="3">
        <v>0</v>
      </c>
      <c r="M2795" s="3">
        <v>0</v>
      </c>
      <c r="N2795" s="3">
        <v>0</v>
      </c>
      <c r="O2795" s="3"/>
      <c r="P2795" s="3">
        <v>0</v>
      </c>
      <c r="Q2795" s="3">
        <v>0</v>
      </c>
      <c r="R2795" s="3">
        <v>0</v>
      </c>
    </row>
    <row r="2796" spans="1:18">
      <c r="A2796" s="3" t="s">
        <v>1530</v>
      </c>
      <c r="B2796" s="3" t="s">
        <v>1531</v>
      </c>
      <c r="C2796" s="3" t="s">
        <v>1531</v>
      </c>
      <c r="D2796" s="3" t="s">
        <v>1532</v>
      </c>
      <c r="E2796" s="3" t="s">
        <v>867</v>
      </c>
      <c r="F2796" s="3">
        <v>22.98</v>
      </c>
      <c r="G2796" s="3" t="s">
        <v>3391</v>
      </c>
      <c r="H2796" s="3"/>
      <c r="I2796" s="3" t="s">
        <v>3392</v>
      </c>
      <c r="J2796" s="3">
        <v>14</v>
      </c>
      <c r="K2796" s="3">
        <v>14</v>
      </c>
      <c r="L2796" s="3">
        <v>0</v>
      </c>
      <c r="M2796" s="3">
        <v>0</v>
      </c>
      <c r="N2796" s="3">
        <v>14</v>
      </c>
      <c r="O2796" s="3">
        <v>0.07</v>
      </c>
      <c r="P2796" s="3">
        <v>0</v>
      </c>
      <c r="Q2796" s="3">
        <v>0</v>
      </c>
      <c r="R2796" s="3">
        <v>0</v>
      </c>
    </row>
    <row r="2797" spans="1:18">
      <c r="A2797" s="3" t="s">
        <v>2483</v>
      </c>
      <c r="B2797" s="3" t="s">
        <v>2484</v>
      </c>
      <c r="C2797" s="3" t="s">
        <v>2484</v>
      </c>
      <c r="D2797" s="3" t="s">
        <v>2485</v>
      </c>
      <c r="E2797" s="3" t="s">
        <v>867</v>
      </c>
      <c r="F2797" s="3">
        <v>22.98</v>
      </c>
      <c r="G2797" s="3" t="s">
        <v>3391</v>
      </c>
      <c r="H2797" s="3"/>
      <c r="I2797" s="3" t="s">
        <v>3392</v>
      </c>
      <c r="J2797" s="3">
        <v>7</v>
      </c>
      <c r="K2797" s="3">
        <v>7</v>
      </c>
      <c r="L2797" s="3">
        <v>0</v>
      </c>
      <c r="M2797" s="3">
        <v>0</v>
      </c>
      <c r="N2797" s="3">
        <v>7</v>
      </c>
      <c r="O2797" s="3">
        <v>0.06</v>
      </c>
      <c r="P2797" s="3">
        <v>0</v>
      </c>
      <c r="Q2797" s="3">
        <v>0</v>
      </c>
      <c r="R2797" s="3">
        <v>0</v>
      </c>
    </row>
    <row r="2798" spans="1:18">
      <c r="A2798" s="3" t="s">
        <v>7757</v>
      </c>
      <c r="B2798" s="3" t="s">
        <v>2644</v>
      </c>
      <c r="C2798" s="3" t="s">
        <v>2644</v>
      </c>
      <c r="D2798" s="3"/>
      <c r="E2798" s="3" t="s">
        <v>3293</v>
      </c>
      <c r="F2798" s="3"/>
      <c r="G2798" s="3"/>
      <c r="H2798" s="3"/>
      <c r="I2798" s="3"/>
      <c r="J2798" s="3">
        <v>4</v>
      </c>
      <c r="K2798" s="3">
        <v>4</v>
      </c>
      <c r="L2798" s="3">
        <v>0</v>
      </c>
      <c r="M2798" s="3">
        <v>0</v>
      </c>
      <c r="N2798" s="3">
        <v>4</v>
      </c>
      <c r="O2798" s="3"/>
      <c r="P2798" s="3">
        <v>0</v>
      </c>
      <c r="Q2798" s="3">
        <v>0</v>
      </c>
      <c r="R2798" s="3">
        <v>0</v>
      </c>
    </row>
    <row r="2799" spans="1:18">
      <c r="A2799" s="3" t="s">
        <v>779</v>
      </c>
      <c r="B2799" s="3" t="s">
        <v>780</v>
      </c>
      <c r="C2799" s="3" t="s">
        <v>780</v>
      </c>
      <c r="D2799" s="3"/>
      <c r="E2799" s="3" t="s">
        <v>3293</v>
      </c>
      <c r="F2799" s="3"/>
      <c r="G2799" s="3"/>
      <c r="H2799" s="3"/>
      <c r="I2799" s="3"/>
      <c r="J2799" s="3">
        <v>1</v>
      </c>
      <c r="K2799" s="3">
        <v>0</v>
      </c>
      <c r="L2799" s="3">
        <v>0</v>
      </c>
      <c r="M2799" s="3">
        <v>1</v>
      </c>
      <c r="N2799" s="3">
        <v>1</v>
      </c>
      <c r="O2799" s="3"/>
      <c r="P2799" s="3">
        <v>0</v>
      </c>
      <c r="Q2799" s="3">
        <v>0</v>
      </c>
      <c r="R2799" s="3">
        <v>0</v>
      </c>
    </row>
    <row r="2800" spans="1:18">
      <c r="A2800" s="3" t="s">
        <v>788</v>
      </c>
      <c r="B2800" s="3" t="s">
        <v>789</v>
      </c>
      <c r="C2800" s="3" t="s">
        <v>789</v>
      </c>
      <c r="D2800" s="3"/>
      <c r="E2800" s="3" t="s">
        <v>3293</v>
      </c>
      <c r="F2800" s="3"/>
      <c r="G2800" s="3"/>
      <c r="H2800" s="3"/>
      <c r="I2800" s="3"/>
      <c r="J2800" s="3">
        <v>9</v>
      </c>
      <c r="K2800" s="3">
        <v>8</v>
      </c>
      <c r="L2800" s="3">
        <v>0</v>
      </c>
      <c r="M2800" s="3">
        <v>1</v>
      </c>
      <c r="N2800" s="3">
        <v>9</v>
      </c>
      <c r="O2800" s="3"/>
      <c r="P2800" s="3">
        <v>0</v>
      </c>
      <c r="Q2800" s="3">
        <v>0</v>
      </c>
      <c r="R2800" s="3">
        <v>0</v>
      </c>
    </row>
    <row r="2801" spans="1:18">
      <c r="A2801" s="3" t="s">
        <v>7758</v>
      </c>
      <c r="B2801" s="3" t="s">
        <v>998</v>
      </c>
      <c r="C2801" s="3" t="s">
        <v>998</v>
      </c>
      <c r="D2801" s="3"/>
      <c r="E2801" s="3" t="s">
        <v>3293</v>
      </c>
      <c r="F2801" s="3"/>
      <c r="G2801" s="3"/>
      <c r="H2801" s="3"/>
      <c r="I2801" s="3"/>
      <c r="J2801" s="3">
        <v>3</v>
      </c>
      <c r="K2801" s="3">
        <v>3</v>
      </c>
      <c r="L2801" s="3">
        <v>0</v>
      </c>
      <c r="M2801" s="3">
        <v>0</v>
      </c>
      <c r="N2801" s="3">
        <v>3</v>
      </c>
      <c r="O2801" s="3"/>
      <c r="P2801" s="3">
        <v>0</v>
      </c>
      <c r="Q2801" s="3">
        <v>0</v>
      </c>
      <c r="R2801" s="3">
        <v>0</v>
      </c>
    </row>
    <row r="2802" spans="1:18">
      <c r="A2802" s="3" t="s">
        <v>7759</v>
      </c>
      <c r="B2802" s="3" t="s">
        <v>2620</v>
      </c>
      <c r="C2802" s="3" t="s">
        <v>2620</v>
      </c>
      <c r="D2802" s="3"/>
      <c r="E2802" s="3" t="s">
        <v>3293</v>
      </c>
      <c r="F2802" s="3"/>
      <c r="G2802" s="3"/>
      <c r="H2802" s="3"/>
      <c r="I2802" s="3"/>
      <c r="J2802" s="3">
        <v>5</v>
      </c>
      <c r="K2802" s="3">
        <v>5</v>
      </c>
      <c r="L2802" s="3">
        <v>0</v>
      </c>
      <c r="M2802" s="3">
        <v>0</v>
      </c>
      <c r="N2802" s="3">
        <v>5</v>
      </c>
      <c r="O2802" s="3"/>
      <c r="P2802" s="3">
        <v>0</v>
      </c>
      <c r="Q2802" s="3">
        <v>0</v>
      </c>
      <c r="R2802" s="3">
        <v>0</v>
      </c>
    </row>
    <row r="2803" spans="1:18">
      <c r="A2803" s="3" t="s">
        <v>7760</v>
      </c>
      <c r="B2803" s="3" t="s">
        <v>1637</v>
      </c>
      <c r="C2803" s="3" t="s">
        <v>1637</v>
      </c>
      <c r="D2803" s="3"/>
      <c r="E2803" s="3" t="s">
        <v>3293</v>
      </c>
      <c r="F2803" s="3"/>
      <c r="G2803" s="3"/>
      <c r="H2803" s="3"/>
      <c r="I2803" s="3"/>
      <c r="J2803" s="3">
        <v>12</v>
      </c>
      <c r="K2803" s="3">
        <v>12</v>
      </c>
      <c r="L2803" s="3">
        <v>0</v>
      </c>
      <c r="M2803" s="3">
        <v>0</v>
      </c>
      <c r="N2803" s="3">
        <v>12</v>
      </c>
      <c r="O2803" s="3"/>
      <c r="P2803" s="3">
        <v>0</v>
      </c>
      <c r="Q2803" s="3">
        <v>0</v>
      </c>
      <c r="R2803" s="3">
        <v>0</v>
      </c>
    </row>
    <row r="2804" spans="1:18">
      <c r="A2804" s="3" t="s">
        <v>7761</v>
      </c>
      <c r="B2804" s="3" t="s">
        <v>1906</v>
      </c>
      <c r="C2804" s="3" t="s">
        <v>1906</v>
      </c>
      <c r="D2804" s="3"/>
      <c r="E2804" s="3" t="s">
        <v>3293</v>
      </c>
      <c r="F2804" s="3"/>
      <c r="G2804" s="3"/>
      <c r="H2804" s="3"/>
      <c r="I2804" s="3"/>
      <c r="J2804" s="3">
        <v>13</v>
      </c>
      <c r="K2804" s="3">
        <v>13</v>
      </c>
      <c r="L2804" s="3">
        <v>0</v>
      </c>
      <c r="M2804" s="3">
        <v>0</v>
      </c>
      <c r="N2804" s="3">
        <v>13</v>
      </c>
      <c r="O2804" s="3"/>
      <c r="P2804" s="3">
        <v>0</v>
      </c>
      <c r="Q2804" s="3">
        <v>0</v>
      </c>
      <c r="R2804" s="3">
        <v>0</v>
      </c>
    </row>
    <row r="2805" spans="1:18">
      <c r="A2805" s="3" t="s">
        <v>7762</v>
      </c>
      <c r="B2805" s="3" t="s">
        <v>1803</v>
      </c>
      <c r="C2805" s="3" t="s">
        <v>1803</v>
      </c>
      <c r="D2805" s="3"/>
      <c r="E2805" s="3" t="s">
        <v>3293</v>
      </c>
      <c r="F2805" s="3"/>
      <c r="G2805" s="3"/>
      <c r="H2805" s="3"/>
      <c r="I2805" s="3"/>
      <c r="J2805" s="3">
        <v>7</v>
      </c>
      <c r="K2805" s="3">
        <v>7</v>
      </c>
      <c r="L2805" s="3">
        <v>0</v>
      </c>
      <c r="M2805" s="3">
        <v>0</v>
      </c>
      <c r="N2805" s="3">
        <v>7</v>
      </c>
      <c r="O2805" s="3"/>
      <c r="P2805" s="3">
        <v>0</v>
      </c>
      <c r="Q2805" s="3">
        <v>0</v>
      </c>
      <c r="R2805" s="3">
        <v>0</v>
      </c>
    </row>
    <row r="2806" spans="1:18">
      <c r="A2806" s="3" t="s">
        <v>7763</v>
      </c>
      <c r="B2806" s="3" t="s">
        <v>1277</v>
      </c>
      <c r="C2806" s="3" t="s">
        <v>1277</v>
      </c>
      <c r="D2806" s="3"/>
      <c r="E2806" s="3" t="s">
        <v>3293</v>
      </c>
      <c r="F2806" s="3"/>
      <c r="G2806" s="3"/>
      <c r="H2806" s="3"/>
      <c r="I2806" s="3"/>
      <c r="J2806" s="3">
        <v>3</v>
      </c>
      <c r="K2806" s="3">
        <v>3</v>
      </c>
      <c r="L2806" s="3">
        <v>0</v>
      </c>
      <c r="M2806" s="3">
        <v>0</v>
      </c>
      <c r="N2806" s="3">
        <v>3</v>
      </c>
      <c r="O2806" s="3"/>
      <c r="P2806" s="3">
        <v>0</v>
      </c>
      <c r="Q2806" s="3">
        <v>0</v>
      </c>
      <c r="R2806" s="3">
        <v>0</v>
      </c>
    </row>
    <row r="2807" spans="1:18">
      <c r="A2807" s="3" t="s">
        <v>7764</v>
      </c>
      <c r="B2807" s="3" t="s">
        <v>1467</v>
      </c>
      <c r="C2807" s="3" t="s">
        <v>1467</v>
      </c>
      <c r="D2807" s="3"/>
      <c r="E2807" s="3" t="s">
        <v>3293</v>
      </c>
      <c r="F2807" s="3"/>
      <c r="G2807" s="3"/>
      <c r="H2807" s="3"/>
      <c r="I2807" s="3"/>
      <c r="J2807" s="3">
        <v>21</v>
      </c>
      <c r="K2807" s="3">
        <v>21</v>
      </c>
      <c r="L2807" s="3">
        <v>0</v>
      </c>
      <c r="M2807" s="3">
        <v>0</v>
      </c>
      <c r="N2807" s="3">
        <v>21</v>
      </c>
      <c r="O2807" s="3"/>
      <c r="P2807" s="3">
        <v>0</v>
      </c>
      <c r="Q2807" s="3">
        <v>0</v>
      </c>
      <c r="R2807" s="3">
        <v>0</v>
      </c>
    </row>
    <row r="2808" spans="1:18">
      <c r="A2808" s="3" t="s">
        <v>7765</v>
      </c>
      <c r="B2808" s="3" t="s">
        <v>7766</v>
      </c>
      <c r="C2808" s="3" t="s">
        <v>7766</v>
      </c>
      <c r="D2808" s="3" t="s">
        <v>7767</v>
      </c>
      <c r="E2808" s="3" t="s">
        <v>867</v>
      </c>
      <c r="F2808" s="3">
        <v>39.98</v>
      </c>
      <c r="G2808" s="3" t="s">
        <v>3391</v>
      </c>
      <c r="H2808" s="3"/>
      <c r="I2808" s="3" t="s">
        <v>3392</v>
      </c>
      <c r="J2808" s="3">
        <v>1</v>
      </c>
      <c r="K2808" s="3">
        <v>0</v>
      </c>
      <c r="L2808" s="3">
        <v>1</v>
      </c>
      <c r="M2808" s="3">
        <v>0</v>
      </c>
      <c r="N2808" s="3">
        <v>1</v>
      </c>
      <c r="O2808" s="3">
        <v>0.08</v>
      </c>
      <c r="P2808" s="3">
        <v>0</v>
      </c>
      <c r="Q2808" s="3">
        <v>0</v>
      </c>
      <c r="R2808" s="3">
        <v>0</v>
      </c>
    </row>
    <row r="2809" spans="1:18">
      <c r="A2809" s="3" t="s">
        <v>1832</v>
      </c>
      <c r="B2809" s="3" t="s">
        <v>1833</v>
      </c>
      <c r="C2809" s="3" t="s">
        <v>1833</v>
      </c>
      <c r="D2809" s="3" t="s">
        <v>1834</v>
      </c>
      <c r="E2809" s="3" t="s">
        <v>867</v>
      </c>
      <c r="F2809" s="3">
        <v>39.98</v>
      </c>
      <c r="G2809" s="3" t="s">
        <v>3391</v>
      </c>
      <c r="H2809" s="3"/>
      <c r="I2809" s="3" t="s">
        <v>3392</v>
      </c>
      <c r="J2809" s="3">
        <v>5</v>
      </c>
      <c r="K2809" s="3">
        <v>5</v>
      </c>
      <c r="L2809" s="3">
        <v>0</v>
      </c>
      <c r="M2809" s="3">
        <v>0</v>
      </c>
      <c r="N2809" s="3">
        <v>5</v>
      </c>
      <c r="O2809" s="3">
        <v>0.08</v>
      </c>
      <c r="P2809" s="3">
        <v>0</v>
      </c>
      <c r="Q2809" s="3">
        <v>0</v>
      </c>
      <c r="R2809" s="3">
        <v>0</v>
      </c>
    </row>
    <row r="2810" spans="1:18">
      <c r="A2810" s="3" t="s">
        <v>2522</v>
      </c>
      <c r="B2810" s="3" t="s">
        <v>2523</v>
      </c>
      <c r="C2810" s="3" t="s">
        <v>2523</v>
      </c>
      <c r="D2810" s="3" t="s">
        <v>2524</v>
      </c>
      <c r="E2810" s="3" t="s">
        <v>867</v>
      </c>
      <c r="F2810" s="3">
        <v>39.98</v>
      </c>
      <c r="G2810" s="3" t="s">
        <v>3391</v>
      </c>
      <c r="H2810" s="3"/>
      <c r="I2810" s="3" t="s">
        <v>3392</v>
      </c>
      <c r="J2810" s="3">
        <v>3</v>
      </c>
      <c r="K2810" s="3">
        <v>3</v>
      </c>
      <c r="L2810" s="3">
        <v>0</v>
      </c>
      <c r="M2810" s="3">
        <v>0</v>
      </c>
      <c r="N2810" s="3">
        <v>3</v>
      </c>
      <c r="O2810" s="3">
        <v>0.08</v>
      </c>
      <c r="P2810" s="3">
        <v>0</v>
      </c>
      <c r="Q2810" s="3">
        <v>0</v>
      </c>
      <c r="R2810" s="3">
        <v>0</v>
      </c>
    </row>
    <row r="2811" spans="1:18">
      <c r="A2811" s="3" t="s">
        <v>7768</v>
      </c>
      <c r="B2811" s="3" t="s">
        <v>7769</v>
      </c>
      <c r="C2811" s="3" t="s">
        <v>7769</v>
      </c>
      <c r="D2811" s="3" t="s">
        <v>7767</v>
      </c>
      <c r="E2811" s="3" t="s">
        <v>867</v>
      </c>
      <c r="F2811" s="3">
        <v>39.98</v>
      </c>
      <c r="G2811" s="3" t="s">
        <v>3391</v>
      </c>
      <c r="H2811" s="3"/>
      <c r="I2811" s="3" t="s">
        <v>3392</v>
      </c>
      <c r="J2811" s="3">
        <v>0</v>
      </c>
      <c r="K2811" s="3">
        <v>0</v>
      </c>
      <c r="L2811" s="3">
        <v>0</v>
      </c>
      <c r="M2811" s="3">
        <v>0</v>
      </c>
      <c r="N2811" s="3">
        <v>0</v>
      </c>
      <c r="O2811" s="3">
        <v>0.21</v>
      </c>
      <c r="P2811" s="3">
        <v>0</v>
      </c>
      <c r="Q2811" s="3">
        <v>0</v>
      </c>
      <c r="R2811" s="3">
        <v>0</v>
      </c>
    </row>
    <row r="2812" spans="1:18">
      <c r="A2812" s="3" t="s">
        <v>951</v>
      </c>
      <c r="B2812" s="3" t="s">
        <v>952</v>
      </c>
      <c r="C2812" s="3" t="s">
        <v>952</v>
      </c>
      <c r="D2812" s="3" t="s">
        <v>953</v>
      </c>
      <c r="E2812" s="3" t="s">
        <v>867</v>
      </c>
      <c r="F2812" s="3">
        <v>39.98</v>
      </c>
      <c r="G2812" s="3" t="s">
        <v>3391</v>
      </c>
      <c r="H2812" s="3"/>
      <c r="I2812" s="3" t="s">
        <v>3392</v>
      </c>
      <c r="J2812" s="3">
        <v>1</v>
      </c>
      <c r="K2812" s="3">
        <v>1</v>
      </c>
      <c r="L2812" s="3">
        <v>0</v>
      </c>
      <c r="M2812" s="3">
        <v>0</v>
      </c>
      <c r="N2812" s="3">
        <v>1</v>
      </c>
      <c r="O2812" s="3">
        <v>0.21</v>
      </c>
      <c r="P2812" s="3">
        <v>0</v>
      </c>
      <c r="Q2812" s="3">
        <v>0</v>
      </c>
      <c r="R2812" s="3">
        <v>0</v>
      </c>
    </row>
    <row r="2813" spans="1:18">
      <c r="A2813" s="3" t="s">
        <v>2519</v>
      </c>
      <c r="B2813" s="3" t="s">
        <v>2520</v>
      </c>
      <c r="C2813" s="3" t="s">
        <v>2520</v>
      </c>
      <c r="D2813" s="3" t="s">
        <v>2521</v>
      </c>
      <c r="E2813" s="3" t="s">
        <v>867</v>
      </c>
      <c r="F2813" s="3">
        <v>39.98</v>
      </c>
      <c r="G2813" s="3" t="s">
        <v>3391</v>
      </c>
      <c r="H2813" s="3"/>
      <c r="I2813" s="3" t="s">
        <v>3392</v>
      </c>
      <c r="J2813" s="3">
        <v>2</v>
      </c>
      <c r="K2813" s="3">
        <v>2</v>
      </c>
      <c r="L2813" s="3">
        <v>0</v>
      </c>
      <c r="M2813" s="3">
        <v>0</v>
      </c>
      <c r="N2813" s="3">
        <v>2</v>
      </c>
      <c r="O2813" s="3">
        <v>0.21</v>
      </c>
      <c r="P2813" s="3">
        <v>0</v>
      </c>
      <c r="Q2813" s="3">
        <v>0</v>
      </c>
      <c r="R2813" s="3">
        <v>0</v>
      </c>
    </row>
    <row r="2814" spans="1:18">
      <c r="A2814" s="3" t="s">
        <v>791</v>
      </c>
      <c r="B2814" s="3" t="s">
        <v>792</v>
      </c>
      <c r="C2814" s="3" t="s">
        <v>792</v>
      </c>
      <c r="D2814" s="3" t="s">
        <v>793</v>
      </c>
      <c r="E2814" s="3" t="s">
        <v>867</v>
      </c>
      <c r="F2814" s="3">
        <v>39.98</v>
      </c>
      <c r="G2814" s="3" t="s">
        <v>3391</v>
      </c>
      <c r="H2814" s="3"/>
      <c r="I2814" s="3" t="s">
        <v>3392</v>
      </c>
      <c r="J2814" s="3">
        <v>2</v>
      </c>
      <c r="K2814" s="3">
        <v>0</v>
      </c>
      <c r="L2814" s="3">
        <v>0</v>
      </c>
      <c r="M2814" s="3">
        <v>2</v>
      </c>
      <c r="N2814" s="3">
        <v>2</v>
      </c>
      <c r="O2814" s="3">
        <v>0.21</v>
      </c>
      <c r="P2814" s="3">
        <v>0</v>
      </c>
      <c r="Q2814" s="3">
        <v>0</v>
      </c>
      <c r="R2814" s="3">
        <v>0</v>
      </c>
    </row>
    <row r="2815" spans="1:18">
      <c r="A2815" s="3" t="s">
        <v>1770</v>
      </c>
      <c r="B2815" s="3" t="s">
        <v>1771</v>
      </c>
      <c r="C2815" s="3" t="s">
        <v>1771</v>
      </c>
      <c r="D2815" s="3" t="s">
        <v>1772</v>
      </c>
      <c r="E2815" s="3" t="s">
        <v>867</v>
      </c>
      <c r="F2815" s="3">
        <v>39.98</v>
      </c>
      <c r="G2815" s="3" t="s">
        <v>3391</v>
      </c>
      <c r="H2815" s="3"/>
      <c r="I2815" s="3" t="s">
        <v>3392</v>
      </c>
      <c r="J2815" s="3">
        <v>1</v>
      </c>
      <c r="K2815" s="3">
        <v>1</v>
      </c>
      <c r="L2815" s="3">
        <v>0</v>
      </c>
      <c r="M2815" s="3">
        <v>0</v>
      </c>
      <c r="N2815" s="3">
        <v>1</v>
      </c>
      <c r="O2815" s="3">
        <v>0.21</v>
      </c>
      <c r="P2815" s="3">
        <v>0</v>
      </c>
      <c r="Q2815" s="3">
        <v>0</v>
      </c>
      <c r="R2815" s="3">
        <v>0</v>
      </c>
    </row>
    <row r="2816" spans="1:18">
      <c r="A2816" s="3" t="s">
        <v>3004</v>
      </c>
      <c r="B2816" s="3" t="s">
        <v>3005</v>
      </c>
      <c r="C2816" s="3" t="s">
        <v>3005</v>
      </c>
      <c r="D2816" s="3" t="s">
        <v>3006</v>
      </c>
      <c r="E2816" s="3" t="s">
        <v>867</v>
      </c>
      <c r="F2816" s="3">
        <v>39.98</v>
      </c>
      <c r="G2816" s="3" t="s">
        <v>3391</v>
      </c>
      <c r="H2816" s="3"/>
      <c r="I2816" s="3" t="s">
        <v>3392</v>
      </c>
      <c r="J2816" s="3">
        <v>2</v>
      </c>
      <c r="K2816" s="3">
        <v>2</v>
      </c>
      <c r="L2816" s="3">
        <v>0</v>
      </c>
      <c r="M2816" s="3">
        <v>0</v>
      </c>
      <c r="N2816" s="3">
        <v>2</v>
      </c>
      <c r="O2816" s="3">
        <v>0.19</v>
      </c>
      <c r="P2816" s="3">
        <v>0</v>
      </c>
      <c r="Q2816" s="3">
        <v>0</v>
      </c>
      <c r="R2816" s="3">
        <v>0</v>
      </c>
    </row>
    <row r="2817" spans="1:18">
      <c r="A2817" s="3" t="s">
        <v>7770</v>
      </c>
      <c r="B2817" s="3" t="s">
        <v>7771</v>
      </c>
      <c r="C2817" s="3" t="s">
        <v>7771</v>
      </c>
      <c r="D2817" s="3" t="s">
        <v>7772</v>
      </c>
      <c r="E2817" s="3" t="s">
        <v>867</v>
      </c>
      <c r="F2817" s="3">
        <v>39.98</v>
      </c>
      <c r="G2817" s="3" t="s">
        <v>3391</v>
      </c>
      <c r="H2817" s="3"/>
      <c r="I2817" s="3" t="s">
        <v>3392</v>
      </c>
      <c r="J2817" s="3">
        <v>0</v>
      </c>
      <c r="K2817" s="3">
        <v>0</v>
      </c>
      <c r="L2817" s="3">
        <v>0</v>
      </c>
      <c r="M2817" s="3">
        <v>0</v>
      </c>
      <c r="N2817" s="3">
        <v>0</v>
      </c>
      <c r="O2817" s="3">
        <v>0.08</v>
      </c>
      <c r="P2817" s="3">
        <v>0</v>
      </c>
      <c r="Q2817" s="3">
        <v>0</v>
      </c>
      <c r="R2817" s="3">
        <v>0</v>
      </c>
    </row>
    <row r="2818" spans="1:18">
      <c r="A2818" s="3" t="s">
        <v>7773</v>
      </c>
      <c r="B2818" s="3" t="s">
        <v>7774</v>
      </c>
      <c r="C2818" s="3" t="s">
        <v>7774</v>
      </c>
      <c r="D2818" s="3" t="s">
        <v>1772</v>
      </c>
      <c r="E2818" s="3" t="s">
        <v>867</v>
      </c>
      <c r="F2818" s="3">
        <v>39.98</v>
      </c>
      <c r="G2818" s="3" t="s">
        <v>3391</v>
      </c>
      <c r="H2818" s="3"/>
      <c r="I2818" s="3" t="s">
        <v>3392</v>
      </c>
      <c r="J2818" s="3">
        <v>0</v>
      </c>
      <c r="K2818" s="3">
        <v>0</v>
      </c>
      <c r="L2818" s="3">
        <v>0</v>
      </c>
      <c r="M2818" s="3">
        <v>0</v>
      </c>
      <c r="N2818" s="3">
        <v>0</v>
      </c>
      <c r="O2818" s="3">
        <v>0.21</v>
      </c>
      <c r="P2818" s="3">
        <v>0</v>
      </c>
      <c r="Q2818" s="3">
        <v>0</v>
      </c>
      <c r="R2818" s="3">
        <v>0</v>
      </c>
    </row>
    <row r="2819" spans="1:18">
      <c r="A2819" s="3" t="s">
        <v>799</v>
      </c>
      <c r="B2819" s="3" t="s">
        <v>800</v>
      </c>
      <c r="C2819" s="3" t="s">
        <v>800</v>
      </c>
      <c r="D2819" s="3" t="s">
        <v>801</v>
      </c>
      <c r="E2819" s="3" t="s">
        <v>3293</v>
      </c>
      <c r="F2819" s="3"/>
      <c r="G2819" s="3"/>
      <c r="H2819" s="3"/>
      <c r="I2819" s="3"/>
      <c r="J2819" s="3">
        <v>1</v>
      </c>
      <c r="K2819" s="3">
        <v>0</v>
      </c>
      <c r="L2819" s="3">
        <v>0</v>
      </c>
      <c r="M2819" s="3">
        <v>1</v>
      </c>
      <c r="N2819" s="3">
        <v>1</v>
      </c>
      <c r="O2819" s="3">
        <v>0.36</v>
      </c>
      <c r="P2819" s="3">
        <v>0</v>
      </c>
      <c r="Q2819" s="3">
        <v>0</v>
      </c>
      <c r="R2819" s="3">
        <v>0</v>
      </c>
    </row>
    <row r="2820" spans="1:18">
      <c r="A2820" s="3" t="s">
        <v>7775</v>
      </c>
      <c r="B2820" s="3" t="s">
        <v>7776</v>
      </c>
      <c r="C2820" s="3" t="s">
        <v>7776</v>
      </c>
      <c r="D2820" s="3" t="s">
        <v>7777</v>
      </c>
      <c r="E2820" s="3" t="s">
        <v>867</v>
      </c>
      <c r="F2820" s="3">
        <v>39.98</v>
      </c>
      <c r="G2820" s="3" t="s">
        <v>3391</v>
      </c>
      <c r="H2820" s="3"/>
      <c r="I2820" s="3" t="s">
        <v>3392</v>
      </c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>
        <v>0.21</v>
      </c>
      <c r="P2820" s="3">
        <v>0</v>
      </c>
      <c r="Q2820" s="3">
        <v>0</v>
      </c>
      <c r="R2820" s="3">
        <v>0</v>
      </c>
    </row>
    <row r="2821" spans="1:18">
      <c r="A2821" s="3" t="s">
        <v>2665</v>
      </c>
      <c r="B2821" s="3" t="s">
        <v>2666</v>
      </c>
      <c r="C2821" s="3" t="s">
        <v>2666</v>
      </c>
      <c r="D2821" s="3" t="s">
        <v>2667</v>
      </c>
      <c r="E2821" s="3" t="s">
        <v>867</v>
      </c>
      <c r="F2821" s="3">
        <v>39.98</v>
      </c>
      <c r="G2821" s="3" t="s">
        <v>3391</v>
      </c>
      <c r="H2821" s="3"/>
      <c r="I2821" s="3" t="s">
        <v>3392</v>
      </c>
      <c r="J2821" s="3">
        <v>1</v>
      </c>
      <c r="K2821" s="3">
        <v>1</v>
      </c>
      <c r="L2821" s="3">
        <v>0</v>
      </c>
      <c r="M2821" s="3">
        <v>0</v>
      </c>
      <c r="N2821" s="3">
        <v>1</v>
      </c>
      <c r="O2821" s="3">
        <v>0.21</v>
      </c>
      <c r="P2821" s="3">
        <v>0</v>
      </c>
      <c r="Q2821" s="3">
        <v>0</v>
      </c>
      <c r="R2821" s="3">
        <v>0</v>
      </c>
    </row>
    <row r="2822" spans="1:18">
      <c r="A2822" s="3" t="s">
        <v>1868</v>
      </c>
      <c r="B2822" s="3" t="s">
        <v>1869</v>
      </c>
      <c r="C2822" s="3" t="s">
        <v>1869</v>
      </c>
      <c r="D2822" s="3"/>
      <c r="E2822" s="3" t="s">
        <v>3293</v>
      </c>
      <c r="F2822" s="3"/>
      <c r="G2822" s="3"/>
      <c r="H2822" s="3"/>
      <c r="I2822" s="3"/>
      <c r="J2822" s="3">
        <v>6</v>
      </c>
      <c r="K2822" s="3">
        <v>6</v>
      </c>
      <c r="L2822" s="3">
        <v>0</v>
      </c>
      <c r="M2822" s="3">
        <v>0</v>
      </c>
      <c r="N2822" s="3">
        <v>6</v>
      </c>
      <c r="O2822" s="3"/>
      <c r="P2822" s="3">
        <v>0</v>
      </c>
      <c r="Q2822" s="3">
        <v>0</v>
      </c>
      <c r="R2822" s="3">
        <v>0</v>
      </c>
    </row>
    <row r="2823" spans="1:18">
      <c r="A2823" s="3" t="s">
        <v>7778</v>
      </c>
      <c r="B2823" s="3" t="s">
        <v>7779</v>
      </c>
      <c r="C2823" s="3" t="s">
        <v>7779</v>
      </c>
      <c r="D2823" s="3" t="s">
        <v>1870</v>
      </c>
      <c r="E2823" s="3" t="s">
        <v>867</v>
      </c>
      <c r="F2823" s="3">
        <v>39.98</v>
      </c>
      <c r="G2823" s="3" t="s">
        <v>3391</v>
      </c>
      <c r="H2823" s="3"/>
      <c r="I2823" s="3" t="s">
        <v>3392</v>
      </c>
      <c r="J2823" s="3">
        <v>0</v>
      </c>
      <c r="K2823" s="3">
        <v>0</v>
      </c>
      <c r="L2823" s="3">
        <v>0</v>
      </c>
      <c r="M2823" s="3">
        <v>0</v>
      </c>
      <c r="N2823" s="3">
        <v>0</v>
      </c>
      <c r="O2823" s="3">
        <v>0.21</v>
      </c>
      <c r="P2823" s="3">
        <v>0</v>
      </c>
      <c r="Q2823" s="3">
        <v>0</v>
      </c>
      <c r="R2823" s="3">
        <v>0</v>
      </c>
    </row>
    <row r="2824" spans="1:18">
      <c r="A2824" s="3" t="s">
        <v>7780</v>
      </c>
      <c r="B2824" s="3" t="s">
        <v>7781</v>
      </c>
      <c r="C2824" s="3" t="s">
        <v>7781</v>
      </c>
      <c r="D2824" s="3" t="s">
        <v>7782</v>
      </c>
      <c r="E2824" s="3" t="s">
        <v>867</v>
      </c>
      <c r="F2824" s="3">
        <v>39.98</v>
      </c>
      <c r="G2824" s="3" t="s">
        <v>3391</v>
      </c>
      <c r="H2824" s="3"/>
      <c r="I2824" s="3" t="s">
        <v>3392</v>
      </c>
      <c r="J2824" s="3">
        <v>0</v>
      </c>
      <c r="K2824" s="3">
        <v>0</v>
      </c>
      <c r="L2824" s="3">
        <v>0</v>
      </c>
      <c r="M2824" s="3">
        <v>0</v>
      </c>
      <c r="N2824" s="3">
        <v>0</v>
      </c>
      <c r="O2824" s="3">
        <v>0.21</v>
      </c>
      <c r="P2824" s="3">
        <v>0</v>
      </c>
      <c r="Q2824" s="3">
        <v>0</v>
      </c>
      <c r="R2824" s="3">
        <v>0</v>
      </c>
    </row>
    <row r="2825" spans="1:18">
      <c r="A2825" s="3" t="s">
        <v>2380</v>
      </c>
      <c r="B2825" s="3" t="s">
        <v>2381</v>
      </c>
      <c r="C2825" s="3" t="s">
        <v>2381</v>
      </c>
      <c r="D2825" s="3" t="s">
        <v>2382</v>
      </c>
      <c r="E2825" s="3" t="s">
        <v>867</v>
      </c>
      <c r="F2825" s="3">
        <v>39.98</v>
      </c>
      <c r="G2825" s="3" t="s">
        <v>3391</v>
      </c>
      <c r="H2825" s="3"/>
      <c r="I2825" s="3" t="s">
        <v>3392</v>
      </c>
      <c r="J2825" s="3">
        <v>7</v>
      </c>
      <c r="K2825" s="3">
        <v>7</v>
      </c>
      <c r="L2825" s="3">
        <v>0</v>
      </c>
      <c r="M2825" s="3">
        <v>0</v>
      </c>
      <c r="N2825" s="3">
        <v>7</v>
      </c>
      <c r="O2825" s="3">
        <v>0.21</v>
      </c>
      <c r="P2825" s="3">
        <v>0</v>
      </c>
      <c r="Q2825" s="3">
        <v>0</v>
      </c>
      <c r="R2825" s="3">
        <v>0</v>
      </c>
    </row>
    <row r="2826" spans="1:18">
      <c r="A2826" s="3" t="s">
        <v>2967</v>
      </c>
      <c r="B2826" s="3" t="s">
        <v>2968</v>
      </c>
      <c r="C2826" s="3" t="s">
        <v>2968</v>
      </c>
      <c r="D2826" s="3" t="s">
        <v>2382</v>
      </c>
      <c r="E2826" s="3" t="s">
        <v>867</v>
      </c>
      <c r="F2826" s="3">
        <v>39.98</v>
      </c>
      <c r="G2826" s="3" t="s">
        <v>3391</v>
      </c>
      <c r="H2826" s="3"/>
      <c r="I2826" s="3" t="s">
        <v>3392</v>
      </c>
      <c r="J2826" s="3">
        <v>6</v>
      </c>
      <c r="K2826" s="3">
        <v>6</v>
      </c>
      <c r="L2826" s="3">
        <v>0</v>
      </c>
      <c r="M2826" s="3">
        <v>0</v>
      </c>
      <c r="N2826" s="3">
        <v>6</v>
      </c>
      <c r="O2826" s="3">
        <v>0.21</v>
      </c>
      <c r="P2826" s="3">
        <v>0</v>
      </c>
      <c r="Q2826" s="3">
        <v>0</v>
      </c>
      <c r="R2826" s="3">
        <v>0</v>
      </c>
    </row>
    <row r="2827" spans="1:18">
      <c r="A2827" s="3" t="s">
        <v>814</v>
      </c>
      <c r="B2827" s="3" t="s">
        <v>815</v>
      </c>
      <c r="C2827" s="3" t="s">
        <v>815</v>
      </c>
      <c r="D2827" s="3" t="s">
        <v>816</v>
      </c>
      <c r="E2827" s="3" t="s">
        <v>867</v>
      </c>
      <c r="F2827" s="3">
        <v>39.98</v>
      </c>
      <c r="G2827" s="3" t="s">
        <v>3391</v>
      </c>
      <c r="H2827" s="3"/>
      <c r="I2827" s="3" t="s">
        <v>3392</v>
      </c>
      <c r="J2827" s="3">
        <v>4</v>
      </c>
      <c r="K2827" s="3">
        <v>3</v>
      </c>
      <c r="L2827" s="3">
        <v>0</v>
      </c>
      <c r="M2827" s="3">
        <v>1</v>
      </c>
      <c r="N2827" s="3">
        <v>4</v>
      </c>
      <c r="O2827" s="3">
        <v>0.21</v>
      </c>
      <c r="P2827" s="3">
        <v>0</v>
      </c>
      <c r="Q2827" s="3">
        <v>0</v>
      </c>
      <c r="R2827" s="3">
        <v>0</v>
      </c>
    </row>
    <row r="2828" spans="1:18">
      <c r="A2828" s="3" t="s">
        <v>811</v>
      </c>
      <c r="B2828" s="3" t="s">
        <v>812</v>
      </c>
      <c r="C2828" s="3" t="s">
        <v>812</v>
      </c>
      <c r="D2828" s="3" t="s">
        <v>813</v>
      </c>
      <c r="E2828" s="3" t="s">
        <v>867</v>
      </c>
      <c r="F2828" s="3">
        <v>10</v>
      </c>
      <c r="G2828" s="3" t="s">
        <v>3391</v>
      </c>
      <c r="H2828" s="3"/>
      <c r="I2828" s="3" t="s">
        <v>3392</v>
      </c>
      <c r="J2828" s="3">
        <v>1</v>
      </c>
      <c r="K2828" s="3">
        <v>0</v>
      </c>
      <c r="L2828" s="3">
        <v>0</v>
      </c>
      <c r="M2828" s="3">
        <v>1</v>
      </c>
      <c r="N2828" s="3">
        <v>1</v>
      </c>
      <c r="O2828" s="3">
        <v>0.16</v>
      </c>
      <c r="P2828" s="3">
        <v>0</v>
      </c>
      <c r="Q2828" s="3">
        <v>0</v>
      </c>
      <c r="R2828" s="3">
        <v>0</v>
      </c>
    </row>
    <row r="2829" spans="1:18">
      <c r="A2829" s="3" t="s">
        <v>7783</v>
      </c>
      <c r="B2829" s="3" t="s">
        <v>7784</v>
      </c>
      <c r="C2829" s="3" t="s">
        <v>2120</v>
      </c>
      <c r="D2829" s="3" t="s">
        <v>2121</v>
      </c>
      <c r="E2829" s="3" t="s">
        <v>867</v>
      </c>
      <c r="F2829" s="3">
        <v>22.98</v>
      </c>
      <c r="G2829" s="3" t="s">
        <v>3391</v>
      </c>
      <c r="H2829" s="3"/>
      <c r="I2829" s="3" t="s">
        <v>3392</v>
      </c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>
        <v>0.07</v>
      </c>
      <c r="P2829" s="3">
        <v>0</v>
      </c>
      <c r="Q2829" s="3">
        <v>0</v>
      </c>
      <c r="R2829" s="3">
        <v>0</v>
      </c>
    </row>
    <row r="2830" spans="1:18">
      <c r="A2830" s="3" t="s">
        <v>797</v>
      </c>
      <c r="B2830" s="3" t="s">
        <v>798</v>
      </c>
      <c r="C2830" s="3" t="s">
        <v>783</v>
      </c>
      <c r="D2830" s="3" t="s">
        <v>784</v>
      </c>
      <c r="E2830" s="3" t="s">
        <v>867</v>
      </c>
      <c r="F2830" s="3">
        <v>22.98</v>
      </c>
      <c r="G2830" s="3" t="s">
        <v>3391</v>
      </c>
      <c r="H2830" s="3"/>
      <c r="I2830" s="3" t="s">
        <v>3392</v>
      </c>
      <c r="J2830" s="3">
        <v>9</v>
      </c>
      <c r="K2830" s="3">
        <v>6</v>
      </c>
      <c r="L2830" s="3">
        <v>0</v>
      </c>
      <c r="M2830" s="3">
        <v>3</v>
      </c>
      <c r="N2830" s="3">
        <v>9</v>
      </c>
      <c r="O2830" s="3">
        <v>0.07</v>
      </c>
      <c r="P2830" s="3">
        <v>0</v>
      </c>
      <c r="Q2830" s="3">
        <v>0</v>
      </c>
      <c r="R2830" s="3">
        <v>0</v>
      </c>
    </row>
    <row r="2831" spans="1:18">
      <c r="A2831" s="3" t="s">
        <v>821</v>
      </c>
      <c r="B2831" s="3" t="s">
        <v>822</v>
      </c>
      <c r="C2831" s="3" t="s">
        <v>823</v>
      </c>
      <c r="D2831" s="3" t="s">
        <v>824</v>
      </c>
      <c r="E2831" s="3" t="s">
        <v>867</v>
      </c>
      <c r="F2831" s="3">
        <v>22.98</v>
      </c>
      <c r="G2831" s="3" t="s">
        <v>3391</v>
      </c>
      <c r="H2831" s="3"/>
      <c r="I2831" s="3" t="s">
        <v>3392</v>
      </c>
      <c r="J2831" s="3">
        <v>10</v>
      </c>
      <c r="K2831" s="3">
        <v>5</v>
      </c>
      <c r="L2831" s="3">
        <v>0</v>
      </c>
      <c r="M2831" s="3">
        <v>5</v>
      </c>
      <c r="N2831" s="3">
        <v>14</v>
      </c>
      <c r="O2831" s="3">
        <v>0.07</v>
      </c>
      <c r="P2831" s="3">
        <v>0</v>
      </c>
      <c r="Q2831" s="3">
        <v>4</v>
      </c>
      <c r="R2831" s="3">
        <v>0</v>
      </c>
    </row>
    <row r="2832" spans="1:18">
      <c r="A2832" s="3" t="s">
        <v>803</v>
      </c>
      <c r="B2832" s="3" t="s">
        <v>804</v>
      </c>
      <c r="C2832" s="3" t="s">
        <v>805</v>
      </c>
      <c r="D2832" s="3" t="s">
        <v>806</v>
      </c>
      <c r="E2832" s="3" t="s">
        <v>867</v>
      </c>
      <c r="F2832" s="3">
        <v>22.98</v>
      </c>
      <c r="G2832" s="3" t="s">
        <v>3391</v>
      </c>
      <c r="H2832" s="3"/>
      <c r="I2832" s="3" t="s">
        <v>3392</v>
      </c>
      <c r="J2832" s="3">
        <v>10</v>
      </c>
      <c r="K2832" s="3">
        <v>4</v>
      </c>
      <c r="L2832" s="3">
        <v>0</v>
      </c>
      <c r="M2832" s="3">
        <v>6</v>
      </c>
      <c r="N2832" s="3">
        <v>16</v>
      </c>
      <c r="O2832" s="3">
        <v>0.07</v>
      </c>
      <c r="P2832" s="3">
        <v>0</v>
      </c>
      <c r="Q2832" s="3">
        <v>6</v>
      </c>
      <c r="R2832" s="3">
        <v>0</v>
      </c>
    </row>
    <row r="2833" spans="1:18">
      <c r="A2833" s="3" t="s">
        <v>7785</v>
      </c>
      <c r="B2833" s="3" t="s">
        <v>7786</v>
      </c>
      <c r="C2833" s="3" t="s">
        <v>919</v>
      </c>
      <c r="D2833" s="3" t="s">
        <v>920</v>
      </c>
      <c r="E2833" s="3" t="s">
        <v>867</v>
      </c>
      <c r="F2833" s="3">
        <v>22.98</v>
      </c>
      <c r="G2833" s="3" t="s">
        <v>3391</v>
      </c>
      <c r="H2833" s="3"/>
      <c r="I2833" s="3" t="s">
        <v>3392</v>
      </c>
      <c r="J2833" s="3">
        <v>0</v>
      </c>
      <c r="K2833" s="3">
        <v>0</v>
      </c>
      <c r="L2833" s="3">
        <v>0</v>
      </c>
      <c r="M2833" s="3">
        <v>0</v>
      </c>
      <c r="N2833" s="3">
        <v>0</v>
      </c>
      <c r="O2833" s="3">
        <v>0.07</v>
      </c>
      <c r="P2833" s="3">
        <v>0</v>
      </c>
      <c r="Q2833" s="3">
        <v>0</v>
      </c>
      <c r="R2833" s="3">
        <v>0</v>
      </c>
    </row>
    <row r="2834" spans="1:18">
      <c r="A2834" s="3" t="s">
        <v>7787</v>
      </c>
      <c r="B2834" s="3" t="s">
        <v>7788</v>
      </c>
      <c r="C2834" s="3" t="s">
        <v>3113</v>
      </c>
      <c r="D2834" s="3" t="s">
        <v>3114</v>
      </c>
      <c r="E2834" s="3" t="s">
        <v>867</v>
      </c>
      <c r="F2834" s="3">
        <v>22.98</v>
      </c>
      <c r="G2834" s="3" t="s">
        <v>3391</v>
      </c>
      <c r="H2834" s="3"/>
      <c r="I2834" s="3" t="s">
        <v>3392</v>
      </c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>
        <v>0.07</v>
      </c>
      <c r="P2834" s="3">
        <v>0</v>
      </c>
      <c r="Q2834" s="3">
        <v>0</v>
      </c>
      <c r="R2834" s="3">
        <v>0</v>
      </c>
    </row>
    <row r="2835" spans="1:18">
      <c r="A2835" s="3" t="s">
        <v>7789</v>
      </c>
      <c r="B2835" s="3" t="s">
        <v>7790</v>
      </c>
      <c r="C2835" s="3" t="s">
        <v>795</v>
      </c>
      <c r="D2835" s="3" t="s">
        <v>796</v>
      </c>
      <c r="E2835" s="3" t="s">
        <v>867</v>
      </c>
      <c r="F2835" s="3">
        <v>22.98</v>
      </c>
      <c r="G2835" s="3" t="s">
        <v>3391</v>
      </c>
      <c r="H2835" s="3"/>
      <c r="I2835" s="3" t="s">
        <v>3392</v>
      </c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>
        <v>0.07</v>
      </c>
      <c r="P2835" s="3">
        <v>0</v>
      </c>
      <c r="Q2835" s="3">
        <v>0</v>
      </c>
      <c r="R2835" s="3">
        <v>0</v>
      </c>
    </row>
    <row r="2836" spans="1:18">
      <c r="A2836" s="3" t="s">
        <v>7791</v>
      </c>
      <c r="B2836" s="3" t="s">
        <v>7792</v>
      </c>
      <c r="C2836" s="3" t="s">
        <v>777</v>
      </c>
      <c r="D2836" s="3" t="s">
        <v>778</v>
      </c>
      <c r="E2836" s="3" t="s">
        <v>867</v>
      </c>
      <c r="F2836" s="3">
        <v>22.98</v>
      </c>
      <c r="G2836" s="3" t="s">
        <v>3391</v>
      </c>
      <c r="H2836" s="3"/>
      <c r="I2836" s="3" t="s">
        <v>3392</v>
      </c>
      <c r="J2836" s="3">
        <v>0</v>
      </c>
      <c r="K2836" s="3">
        <v>0</v>
      </c>
      <c r="L2836" s="3">
        <v>0</v>
      </c>
      <c r="M2836" s="3">
        <v>0</v>
      </c>
      <c r="N2836" s="3">
        <v>0</v>
      </c>
      <c r="O2836" s="3">
        <v>0.07</v>
      </c>
      <c r="P2836" s="3">
        <v>0</v>
      </c>
      <c r="Q2836" s="3">
        <v>0</v>
      </c>
      <c r="R2836" s="3">
        <v>0</v>
      </c>
    </row>
    <row r="2837" spans="1:18">
      <c r="A2837" s="3" t="s">
        <v>1079</v>
      </c>
      <c r="B2837" s="3" t="s">
        <v>1080</v>
      </c>
      <c r="C2837" s="3" t="s">
        <v>1081</v>
      </c>
      <c r="D2837" s="3" t="s">
        <v>1082</v>
      </c>
      <c r="E2837" s="3" t="s">
        <v>867</v>
      </c>
      <c r="F2837" s="3">
        <v>22.98</v>
      </c>
      <c r="G2837" s="3" t="s">
        <v>3391</v>
      </c>
      <c r="H2837" s="3"/>
      <c r="I2837" s="3" t="s">
        <v>3392</v>
      </c>
      <c r="J2837" s="3">
        <v>3</v>
      </c>
      <c r="K2837" s="3">
        <v>3</v>
      </c>
      <c r="L2837" s="3">
        <v>0</v>
      </c>
      <c r="M2837" s="3">
        <v>0</v>
      </c>
      <c r="N2837" s="3">
        <v>6</v>
      </c>
      <c r="O2837" s="3">
        <v>0.07</v>
      </c>
      <c r="P2837" s="3">
        <v>0</v>
      </c>
      <c r="Q2837" s="3">
        <v>3</v>
      </c>
      <c r="R2837" s="3">
        <v>0</v>
      </c>
    </row>
    <row r="2838" spans="1:18">
      <c r="A2838" s="3" t="s">
        <v>7793</v>
      </c>
      <c r="B2838" s="3" t="s">
        <v>7794</v>
      </c>
      <c r="C2838" s="3" t="s">
        <v>1817</v>
      </c>
      <c r="D2838" s="3" t="s">
        <v>1818</v>
      </c>
      <c r="E2838" s="3" t="s">
        <v>867</v>
      </c>
      <c r="F2838" s="3">
        <v>22.98</v>
      </c>
      <c r="G2838" s="3" t="s">
        <v>3391</v>
      </c>
      <c r="H2838" s="3"/>
      <c r="I2838" s="3" t="s">
        <v>3392</v>
      </c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>
        <v>0.07</v>
      </c>
      <c r="P2838" s="3">
        <v>0</v>
      </c>
      <c r="Q2838" s="3">
        <v>0</v>
      </c>
      <c r="R2838" s="3">
        <v>0</v>
      </c>
    </row>
    <row r="2839" spans="1:18">
      <c r="A2839" s="3" t="s">
        <v>7795</v>
      </c>
      <c r="B2839" s="3" t="s">
        <v>7796</v>
      </c>
      <c r="C2839" s="3" t="s">
        <v>2906</v>
      </c>
      <c r="D2839" s="3" t="s">
        <v>2907</v>
      </c>
      <c r="E2839" s="3" t="s">
        <v>867</v>
      </c>
      <c r="F2839" s="3">
        <v>22.98</v>
      </c>
      <c r="G2839" s="3" t="s">
        <v>3391</v>
      </c>
      <c r="H2839" s="3"/>
      <c r="I2839" s="3" t="s">
        <v>3392</v>
      </c>
      <c r="J2839" s="3">
        <v>0</v>
      </c>
      <c r="K2839" s="3">
        <v>0</v>
      </c>
      <c r="L2839" s="3">
        <v>0</v>
      </c>
      <c r="M2839" s="3">
        <v>0</v>
      </c>
      <c r="N2839" s="3">
        <v>0</v>
      </c>
      <c r="O2839" s="3">
        <v>0.06</v>
      </c>
      <c r="P2839" s="3">
        <v>0</v>
      </c>
      <c r="Q2839" s="3">
        <v>0</v>
      </c>
      <c r="R2839" s="3">
        <v>0</v>
      </c>
    </row>
    <row r="2840" spans="1:18">
      <c r="A2840" s="3" t="s">
        <v>817</v>
      </c>
      <c r="B2840" s="3" t="s">
        <v>818</v>
      </c>
      <c r="C2840" s="3" t="s">
        <v>786</v>
      </c>
      <c r="D2840" s="3" t="s">
        <v>787</v>
      </c>
      <c r="E2840" s="3" t="s">
        <v>867</v>
      </c>
      <c r="F2840" s="3">
        <v>22.98</v>
      </c>
      <c r="G2840" s="3" t="s">
        <v>3391</v>
      </c>
      <c r="H2840" s="3"/>
      <c r="I2840" s="3" t="s">
        <v>3392</v>
      </c>
      <c r="J2840" s="3">
        <v>15</v>
      </c>
      <c r="K2840" s="3">
        <v>7</v>
      </c>
      <c r="L2840" s="3">
        <v>0</v>
      </c>
      <c r="M2840" s="3">
        <v>8</v>
      </c>
      <c r="N2840" s="3">
        <v>23</v>
      </c>
      <c r="O2840" s="3">
        <v>0.07</v>
      </c>
      <c r="P2840" s="3">
        <v>0</v>
      </c>
      <c r="Q2840" s="3">
        <v>8</v>
      </c>
      <c r="R2840" s="3">
        <v>0</v>
      </c>
    </row>
    <row r="2841" spans="1:18">
      <c r="A2841" s="3" t="s">
        <v>807</v>
      </c>
      <c r="B2841" s="3" t="s">
        <v>808</v>
      </c>
      <c r="C2841" s="3" t="s">
        <v>809</v>
      </c>
      <c r="D2841" s="3" t="s">
        <v>810</v>
      </c>
      <c r="E2841" s="3" t="s">
        <v>867</v>
      </c>
      <c r="F2841" s="3">
        <v>22.98</v>
      </c>
      <c r="G2841" s="3" t="s">
        <v>3391</v>
      </c>
      <c r="H2841" s="3"/>
      <c r="I2841" s="3" t="s">
        <v>3392</v>
      </c>
      <c r="J2841" s="3">
        <v>16</v>
      </c>
      <c r="K2841" s="3">
        <v>7</v>
      </c>
      <c r="L2841" s="3">
        <v>0</v>
      </c>
      <c r="M2841" s="3">
        <v>9</v>
      </c>
      <c r="N2841" s="3">
        <v>19</v>
      </c>
      <c r="O2841" s="3">
        <v>0.04</v>
      </c>
      <c r="P2841" s="3">
        <v>0</v>
      </c>
      <c r="Q2841" s="3">
        <v>3</v>
      </c>
      <c r="R2841" s="3">
        <v>0</v>
      </c>
    </row>
    <row r="2842" spans="1:18">
      <c r="A2842" s="3" t="s">
        <v>2562</v>
      </c>
      <c r="B2842" s="3" t="s">
        <v>2563</v>
      </c>
      <c r="C2842" s="3" t="s">
        <v>1531</v>
      </c>
      <c r="D2842" s="3" t="s">
        <v>1532</v>
      </c>
      <c r="E2842" s="3" t="s">
        <v>867</v>
      </c>
      <c r="F2842" s="3">
        <v>21.98</v>
      </c>
      <c r="G2842" s="3" t="s">
        <v>3391</v>
      </c>
      <c r="H2842" s="3"/>
      <c r="I2842" s="3" t="s">
        <v>3392</v>
      </c>
      <c r="J2842" s="3">
        <v>2</v>
      </c>
      <c r="K2842" s="3">
        <v>2</v>
      </c>
      <c r="L2842" s="3">
        <v>0</v>
      </c>
      <c r="M2842" s="3">
        <v>0</v>
      </c>
      <c r="N2842" s="3">
        <v>2</v>
      </c>
      <c r="O2842" s="3">
        <v>0.07</v>
      </c>
      <c r="P2842" s="3">
        <v>0</v>
      </c>
      <c r="Q2842" s="3">
        <v>0</v>
      </c>
      <c r="R2842" s="3">
        <v>0</v>
      </c>
    </row>
    <row r="2843" spans="1:18">
      <c r="A2843" s="3" t="s">
        <v>7797</v>
      </c>
      <c r="B2843" s="3" t="s">
        <v>7798</v>
      </c>
      <c r="C2843" s="3" t="s">
        <v>2484</v>
      </c>
      <c r="D2843" s="3" t="s">
        <v>2485</v>
      </c>
      <c r="E2843" s="3" t="s">
        <v>867</v>
      </c>
      <c r="F2843" s="3">
        <v>22.98</v>
      </c>
      <c r="G2843" s="3" t="s">
        <v>3391</v>
      </c>
      <c r="H2843" s="3"/>
      <c r="I2843" s="3" t="s">
        <v>3392</v>
      </c>
      <c r="J2843" s="3">
        <v>0</v>
      </c>
      <c r="K2843" s="3">
        <v>0</v>
      </c>
      <c r="L2843" s="3">
        <v>0</v>
      </c>
      <c r="M2843" s="3">
        <v>0</v>
      </c>
      <c r="N2843" s="3">
        <v>2</v>
      </c>
      <c r="O2843" s="3">
        <v>0.06</v>
      </c>
      <c r="P2843" s="3">
        <v>0</v>
      </c>
      <c r="Q2843" s="3">
        <v>2</v>
      </c>
      <c r="R2843" s="3">
        <v>0</v>
      </c>
    </row>
    <row r="2844" spans="1:18">
      <c r="A2844" s="3" t="s">
        <v>7799</v>
      </c>
      <c r="B2844" s="3" t="s">
        <v>7800</v>
      </c>
      <c r="C2844" s="3" t="s">
        <v>2644</v>
      </c>
      <c r="D2844" s="3" t="s">
        <v>2645</v>
      </c>
      <c r="E2844" s="3" t="s">
        <v>867</v>
      </c>
      <c r="F2844" s="3">
        <v>22.98</v>
      </c>
      <c r="G2844" s="3" t="s">
        <v>3391</v>
      </c>
      <c r="H2844" s="3"/>
      <c r="I2844" s="3" t="s">
        <v>3392</v>
      </c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>
        <v>0.07</v>
      </c>
      <c r="P2844" s="3">
        <v>0</v>
      </c>
      <c r="Q2844" s="3">
        <v>0</v>
      </c>
      <c r="R2844" s="3">
        <v>0</v>
      </c>
    </row>
    <row r="2845" spans="1:18">
      <c r="A2845" s="3" t="s">
        <v>819</v>
      </c>
      <c r="B2845" s="3" t="s">
        <v>820</v>
      </c>
      <c r="C2845" s="3" t="s">
        <v>780</v>
      </c>
      <c r="D2845" s="3" t="s">
        <v>781</v>
      </c>
      <c r="E2845" s="3" t="s">
        <v>867</v>
      </c>
      <c r="F2845" s="3">
        <v>22.98</v>
      </c>
      <c r="G2845" s="3" t="s">
        <v>3391</v>
      </c>
      <c r="H2845" s="3"/>
      <c r="I2845" s="3" t="s">
        <v>3392</v>
      </c>
      <c r="J2845" s="3">
        <v>5</v>
      </c>
      <c r="K2845" s="3">
        <v>1</v>
      </c>
      <c r="L2845" s="3">
        <v>0</v>
      </c>
      <c r="M2845" s="3">
        <v>4</v>
      </c>
      <c r="N2845" s="3">
        <v>8</v>
      </c>
      <c r="O2845" s="3">
        <v>0.07</v>
      </c>
      <c r="P2845" s="3">
        <v>0</v>
      </c>
      <c r="Q2845" s="3">
        <v>3</v>
      </c>
      <c r="R2845" s="3">
        <v>0</v>
      </c>
    </row>
    <row r="2846" spans="1:18">
      <c r="A2846" s="3" t="s">
        <v>7801</v>
      </c>
      <c r="B2846" s="3" t="s">
        <v>7802</v>
      </c>
      <c r="C2846" s="3" t="s">
        <v>789</v>
      </c>
      <c r="D2846" s="3" t="s">
        <v>790</v>
      </c>
      <c r="E2846" s="3" t="s">
        <v>867</v>
      </c>
      <c r="F2846" s="3">
        <v>22.98</v>
      </c>
      <c r="G2846" s="3" t="s">
        <v>3391</v>
      </c>
      <c r="H2846" s="3"/>
      <c r="I2846" s="3" t="s">
        <v>3392</v>
      </c>
      <c r="J2846" s="3">
        <v>0</v>
      </c>
      <c r="K2846" s="3">
        <v>0</v>
      </c>
      <c r="L2846" s="3">
        <v>0</v>
      </c>
      <c r="M2846" s="3">
        <v>0</v>
      </c>
      <c r="N2846" s="3">
        <v>0</v>
      </c>
      <c r="O2846" s="3">
        <v>0.07</v>
      </c>
      <c r="P2846" s="3">
        <v>0</v>
      </c>
      <c r="Q2846" s="3">
        <v>0</v>
      </c>
      <c r="R2846" s="3">
        <v>0</v>
      </c>
    </row>
    <row r="2847" spans="1:18">
      <c r="A2847" s="3" t="s">
        <v>996</v>
      </c>
      <c r="B2847" s="3" t="s">
        <v>997</v>
      </c>
      <c r="C2847" s="3" t="s">
        <v>998</v>
      </c>
      <c r="D2847" s="3" t="s">
        <v>999</v>
      </c>
      <c r="E2847" s="3" t="s">
        <v>867</v>
      </c>
      <c r="F2847" s="3">
        <v>22.98</v>
      </c>
      <c r="G2847" s="3" t="s">
        <v>3391</v>
      </c>
      <c r="H2847" s="3"/>
      <c r="I2847" s="3" t="s">
        <v>3392</v>
      </c>
      <c r="J2847" s="3">
        <v>4</v>
      </c>
      <c r="K2847" s="3">
        <v>4</v>
      </c>
      <c r="L2847" s="3">
        <v>0</v>
      </c>
      <c r="M2847" s="3">
        <v>0</v>
      </c>
      <c r="N2847" s="3">
        <v>4</v>
      </c>
      <c r="O2847" s="3">
        <v>0.07</v>
      </c>
      <c r="P2847" s="3">
        <v>0</v>
      </c>
      <c r="Q2847" s="3">
        <v>0</v>
      </c>
      <c r="R2847" s="3">
        <v>0</v>
      </c>
    </row>
    <row r="2848" spans="1:18">
      <c r="A2848" s="3" t="s">
        <v>7803</v>
      </c>
      <c r="B2848" s="3" t="s">
        <v>7804</v>
      </c>
      <c r="C2848" s="3" t="s">
        <v>2620</v>
      </c>
      <c r="D2848" s="3" t="s">
        <v>2621</v>
      </c>
      <c r="E2848" s="3" t="s">
        <v>867</v>
      </c>
      <c r="F2848" s="3">
        <v>22.98</v>
      </c>
      <c r="G2848" s="3" t="s">
        <v>3391</v>
      </c>
      <c r="H2848" s="3"/>
      <c r="I2848" s="3" t="s">
        <v>3392</v>
      </c>
      <c r="J2848" s="3">
        <v>0</v>
      </c>
      <c r="K2848" s="3">
        <v>0</v>
      </c>
      <c r="L2848" s="3">
        <v>0</v>
      </c>
      <c r="M2848" s="3">
        <v>0</v>
      </c>
      <c r="N2848" s="3">
        <v>0</v>
      </c>
      <c r="O2848" s="3">
        <v>0.07</v>
      </c>
      <c r="P2848" s="3">
        <v>0</v>
      </c>
      <c r="Q2848" s="3">
        <v>0</v>
      </c>
      <c r="R2848" s="3">
        <v>0</v>
      </c>
    </row>
    <row r="2849" spans="1:18">
      <c r="A2849" s="3" t="s">
        <v>7805</v>
      </c>
      <c r="B2849" s="3" t="s">
        <v>7806</v>
      </c>
      <c r="C2849" s="3" t="s">
        <v>1637</v>
      </c>
      <c r="D2849" s="3" t="s">
        <v>1638</v>
      </c>
      <c r="E2849" s="3" t="s">
        <v>867</v>
      </c>
      <c r="F2849" s="3">
        <v>22.98</v>
      </c>
      <c r="G2849" s="3" t="s">
        <v>3391</v>
      </c>
      <c r="H2849" s="3"/>
      <c r="I2849" s="3" t="s">
        <v>3392</v>
      </c>
      <c r="J2849" s="3">
        <v>0</v>
      </c>
      <c r="K2849" s="3">
        <v>0</v>
      </c>
      <c r="L2849" s="3">
        <v>0</v>
      </c>
      <c r="M2849" s="3">
        <v>0</v>
      </c>
      <c r="N2849" s="3">
        <v>0</v>
      </c>
      <c r="O2849" s="3">
        <v>0.07</v>
      </c>
      <c r="P2849" s="3">
        <v>0</v>
      </c>
      <c r="Q2849" s="3">
        <v>0</v>
      </c>
      <c r="R2849" s="3">
        <v>0</v>
      </c>
    </row>
    <row r="2850" spans="1:18">
      <c r="A2850" s="3" t="s">
        <v>7807</v>
      </c>
      <c r="B2850" s="3" t="s">
        <v>7808</v>
      </c>
      <c r="C2850" s="3" t="s">
        <v>1906</v>
      </c>
      <c r="D2850" s="3" t="s">
        <v>1907</v>
      </c>
      <c r="E2850" s="3" t="s">
        <v>867</v>
      </c>
      <c r="F2850" s="3">
        <v>22.98</v>
      </c>
      <c r="G2850" s="3" t="s">
        <v>3391</v>
      </c>
      <c r="H2850" s="3"/>
      <c r="I2850" s="3" t="s">
        <v>3392</v>
      </c>
      <c r="J2850" s="3">
        <v>0</v>
      </c>
      <c r="K2850" s="3">
        <v>0</v>
      </c>
      <c r="L2850" s="3">
        <v>0</v>
      </c>
      <c r="M2850" s="3">
        <v>0</v>
      </c>
      <c r="N2850" s="3">
        <v>0</v>
      </c>
      <c r="O2850" s="3">
        <v>0.07</v>
      </c>
      <c r="P2850" s="3">
        <v>0</v>
      </c>
      <c r="Q2850" s="3">
        <v>0</v>
      </c>
      <c r="R2850" s="3">
        <v>0</v>
      </c>
    </row>
    <row r="2851" spans="1:18">
      <c r="A2851" s="3" t="s">
        <v>2247</v>
      </c>
      <c r="B2851" s="3" t="s">
        <v>2248</v>
      </c>
      <c r="C2851" s="3" t="s">
        <v>1803</v>
      </c>
      <c r="D2851" s="3" t="s">
        <v>1804</v>
      </c>
      <c r="E2851" s="3" t="s">
        <v>867</v>
      </c>
      <c r="F2851" s="3">
        <v>22.98</v>
      </c>
      <c r="G2851" s="3" t="s">
        <v>3391</v>
      </c>
      <c r="H2851" s="3"/>
      <c r="I2851" s="3" t="s">
        <v>3392</v>
      </c>
      <c r="J2851" s="3">
        <v>6</v>
      </c>
      <c r="K2851" s="3">
        <v>6</v>
      </c>
      <c r="L2851" s="3">
        <v>0</v>
      </c>
      <c r="M2851" s="3">
        <v>0</v>
      </c>
      <c r="N2851" s="3">
        <v>6</v>
      </c>
      <c r="O2851" s="3">
        <v>0.07</v>
      </c>
      <c r="P2851" s="3">
        <v>0</v>
      </c>
      <c r="Q2851" s="3">
        <v>0</v>
      </c>
      <c r="R2851" s="3">
        <v>0</v>
      </c>
    </row>
    <row r="2852" spans="1:18">
      <c r="A2852" s="3" t="s">
        <v>7809</v>
      </c>
      <c r="B2852" s="3" t="s">
        <v>7810</v>
      </c>
      <c r="C2852" s="3" t="s">
        <v>1277</v>
      </c>
      <c r="D2852" s="3" t="s">
        <v>1278</v>
      </c>
      <c r="E2852" s="3" t="s">
        <v>867</v>
      </c>
      <c r="F2852" s="3">
        <v>22.98</v>
      </c>
      <c r="G2852" s="3" t="s">
        <v>3391</v>
      </c>
      <c r="H2852" s="3"/>
      <c r="I2852" s="3" t="s">
        <v>3392</v>
      </c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>
        <v>0.07</v>
      </c>
      <c r="P2852" s="3">
        <v>0</v>
      </c>
      <c r="Q2852" s="3">
        <v>0</v>
      </c>
      <c r="R2852" s="3">
        <v>0</v>
      </c>
    </row>
    <row r="2853" spans="1:18">
      <c r="A2853" s="3" t="s">
        <v>7811</v>
      </c>
      <c r="B2853" s="3" t="s">
        <v>7812</v>
      </c>
      <c r="C2853" s="3" t="s">
        <v>1467</v>
      </c>
      <c r="D2853" s="3" t="s">
        <v>1468</v>
      </c>
      <c r="E2853" s="3" t="s">
        <v>867</v>
      </c>
      <c r="F2853" s="3">
        <v>22.98</v>
      </c>
      <c r="G2853" s="3" t="s">
        <v>3391</v>
      </c>
      <c r="H2853" s="3"/>
      <c r="I2853" s="3" t="s">
        <v>3392</v>
      </c>
      <c r="J2853" s="3">
        <v>0</v>
      </c>
      <c r="K2853" s="3">
        <v>0</v>
      </c>
      <c r="L2853" s="3">
        <v>0</v>
      </c>
      <c r="M2853" s="3">
        <v>0</v>
      </c>
      <c r="N2853" s="3">
        <v>0</v>
      </c>
      <c r="O2853" s="3">
        <v>0.07</v>
      </c>
      <c r="P2853" s="3">
        <v>0</v>
      </c>
      <c r="Q2853" s="3">
        <v>0</v>
      </c>
      <c r="R2853" s="3">
        <v>0</v>
      </c>
    </row>
    <row r="2854" spans="1:18">
      <c r="A2854" s="3" t="s">
        <v>7813</v>
      </c>
      <c r="B2854" s="3" t="s">
        <v>7814</v>
      </c>
      <c r="C2854" s="3" t="s">
        <v>7814</v>
      </c>
      <c r="D2854" s="3" t="s">
        <v>7815</v>
      </c>
      <c r="E2854" s="3" t="s">
        <v>867</v>
      </c>
      <c r="F2854" s="3">
        <v>20</v>
      </c>
      <c r="G2854" s="3" t="s">
        <v>3391</v>
      </c>
      <c r="H2854" s="3"/>
      <c r="I2854" s="3" t="s">
        <v>3392</v>
      </c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>
        <v>0.06</v>
      </c>
      <c r="P2854" s="3">
        <v>0</v>
      </c>
      <c r="Q2854" s="3">
        <v>0</v>
      </c>
      <c r="R2854" s="3">
        <v>0</v>
      </c>
    </row>
    <row r="2855" spans="1:18">
      <c r="A2855" s="3" t="s">
        <v>7816</v>
      </c>
      <c r="B2855" s="3" t="s">
        <v>7817</v>
      </c>
      <c r="C2855" s="3" t="s">
        <v>7817</v>
      </c>
      <c r="D2855" s="3" t="s">
        <v>7818</v>
      </c>
      <c r="E2855" s="3" t="s">
        <v>867</v>
      </c>
      <c r="F2855" s="3">
        <v>21</v>
      </c>
      <c r="G2855" s="3" t="s">
        <v>3391</v>
      </c>
      <c r="H2855" s="3"/>
      <c r="I2855" s="3" t="s">
        <v>3392</v>
      </c>
      <c r="J2855" s="3">
        <v>0</v>
      </c>
      <c r="K2855" s="3">
        <v>0</v>
      </c>
      <c r="L2855" s="3">
        <v>0</v>
      </c>
      <c r="M2855" s="3">
        <v>0</v>
      </c>
      <c r="N2855" s="3">
        <v>0</v>
      </c>
      <c r="O2855" s="3">
        <v>0.06</v>
      </c>
      <c r="P2855" s="3">
        <v>0</v>
      </c>
      <c r="Q2855" s="3">
        <v>0</v>
      </c>
      <c r="R2855" s="3">
        <v>0</v>
      </c>
    </row>
    <row r="2856" spans="1:18">
      <c r="A2856" s="3" t="s">
        <v>7819</v>
      </c>
      <c r="B2856" s="3" t="s">
        <v>7820</v>
      </c>
      <c r="C2856" s="3" t="s">
        <v>7820</v>
      </c>
      <c r="D2856" s="3" t="s">
        <v>7821</v>
      </c>
      <c r="E2856" s="3" t="s">
        <v>867</v>
      </c>
      <c r="F2856" s="3">
        <v>35</v>
      </c>
      <c r="G2856" s="3" t="s">
        <v>3391</v>
      </c>
      <c r="H2856" s="3"/>
      <c r="I2856" s="3" t="s">
        <v>3392</v>
      </c>
      <c r="J2856" s="3">
        <v>0</v>
      </c>
      <c r="K2856" s="3">
        <v>0</v>
      </c>
      <c r="L2856" s="3">
        <v>0</v>
      </c>
      <c r="M2856" s="3">
        <v>0</v>
      </c>
      <c r="N2856" s="3">
        <v>0</v>
      </c>
      <c r="O2856" s="3">
        <v>0.06</v>
      </c>
      <c r="P2856" s="3">
        <v>0</v>
      </c>
      <c r="Q2856" s="3">
        <v>0</v>
      </c>
      <c r="R2856" s="3">
        <v>0</v>
      </c>
    </row>
    <row r="2857" spans="1:18">
      <c r="A2857" s="3" t="s">
        <v>7822</v>
      </c>
      <c r="B2857" s="3" t="s">
        <v>7823</v>
      </c>
      <c r="C2857" s="3" t="s">
        <v>7823</v>
      </c>
      <c r="D2857" s="3" t="s">
        <v>7824</v>
      </c>
      <c r="E2857" s="3" t="s">
        <v>867</v>
      </c>
      <c r="F2857" s="3">
        <v>35</v>
      </c>
      <c r="G2857" s="3" t="s">
        <v>3391</v>
      </c>
      <c r="H2857" s="3"/>
      <c r="I2857" s="3" t="s">
        <v>3392</v>
      </c>
      <c r="J2857" s="3">
        <v>0</v>
      </c>
      <c r="K2857" s="3">
        <v>0</v>
      </c>
      <c r="L2857" s="3">
        <v>0</v>
      </c>
      <c r="M2857" s="3">
        <v>0</v>
      </c>
      <c r="N2857" s="3">
        <v>0</v>
      </c>
      <c r="O2857" s="3">
        <v>0.06</v>
      </c>
      <c r="P2857" s="3">
        <v>0</v>
      </c>
      <c r="Q2857" s="3">
        <v>0</v>
      </c>
      <c r="R2857" s="3">
        <v>0</v>
      </c>
    </row>
    <row r="2858" spans="1:18">
      <c r="A2858" s="3" t="s">
        <v>7825</v>
      </c>
      <c r="B2858" s="3" t="s">
        <v>7826</v>
      </c>
      <c r="C2858" s="3" t="s">
        <v>7826</v>
      </c>
      <c r="D2858" s="3" t="s">
        <v>7827</v>
      </c>
      <c r="E2858" s="3" t="s">
        <v>867</v>
      </c>
      <c r="F2858" s="3">
        <v>35</v>
      </c>
      <c r="G2858" s="3" t="s">
        <v>3391</v>
      </c>
      <c r="H2858" s="3"/>
      <c r="I2858" s="3" t="s">
        <v>3392</v>
      </c>
      <c r="J2858" s="3">
        <v>0</v>
      </c>
      <c r="K2858" s="3">
        <v>0</v>
      </c>
      <c r="L2858" s="3">
        <v>0</v>
      </c>
      <c r="M2858" s="3">
        <v>0</v>
      </c>
      <c r="N2858" s="3">
        <v>0</v>
      </c>
      <c r="O2858" s="3">
        <v>0.06</v>
      </c>
      <c r="P2858" s="3">
        <v>0</v>
      </c>
      <c r="Q2858" s="3">
        <v>0</v>
      </c>
      <c r="R2858" s="3">
        <v>0</v>
      </c>
    </row>
    <row r="2859" spans="1:18">
      <c r="A2859" s="3" t="s">
        <v>2128</v>
      </c>
      <c r="B2859" s="3" t="s">
        <v>2129</v>
      </c>
      <c r="C2859" s="3" t="s">
        <v>2129</v>
      </c>
      <c r="D2859" s="3" t="s">
        <v>2130</v>
      </c>
      <c r="E2859" s="3" t="s">
        <v>867</v>
      </c>
      <c r="F2859" s="3">
        <v>35</v>
      </c>
      <c r="G2859" s="3" t="s">
        <v>3391</v>
      </c>
      <c r="H2859" s="3"/>
      <c r="I2859" s="3" t="s">
        <v>3392</v>
      </c>
      <c r="J2859" s="3">
        <v>2</v>
      </c>
      <c r="K2859" s="3">
        <v>2</v>
      </c>
      <c r="L2859" s="3">
        <v>0</v>
      </c>
      <c r="M2859" s="3">
        <v>0</v>
      </c>
      <c r="N2859" s="3">
        <v>2</v>
      </c>
      <c r="O2859" s="3">
        <v>0.06</v>
      </c>
      <c r="P2859" s="3">
        <v>0</v>
      </c>
      <c r="Q2859" s="3">
        <v>0</v>
      </c>
      <c r="R2859" s="3">
        <v>0</v>
      </c>
    </row>
    <row r="2860" spans="1:18">
      <c r="A2860" s="3" t="s">
        <v>2319</v>
      </c>
      <c r="B2860" s="3" t="s">
        <v>2320</v>
      </c>
      <c r="C2860" s="3" t="s">
        <v>2320</v>
      </c>
      <c r="D2860" s="3" t="s">
        <v>2321</v>
      </c>
      <c r="E2860" s="3" t="s">
        <v>867</v>
      </c>
      <c r="F2860" s="3">
        <v>35</v>
      </c>
      <c r="G2860" s="3" t="s">
        <v>3391</v>
      </c>
      <c r="H2860" s="3"/>
      <c r="I2860" s="3" t="s">
        <v>3392</v>
      </c>
      <c r="J2860" s="3">
        <v>1</v>
      </c>
      <c r="K2860" s="3">
        <v>1</v>
      </c>
      <c r="L2860" s="3">
        <v>0</v>
      </c>
      <c r="M2860" s="3">
        <v>0</v>
      </c>
      <c r="N2860" s="3">
        <v>1</v>
      </c>
      <c r="O2860" s="3">
        <v>0.06</v>
      </c>
      <c r="P2860" s="3">
        <v>0</v>
      </c>
      <c r="Q2860" s="3">
        <v>0</v>
      </c>
      <c r="R2860" s="3">
        <v>0</v>
      </c>
    </row>
    <row r="2861" spans="1:18">
      <c r="A2861" s="3" t="s">
        <v>1491</v>
      </c>
      <c r="B2861" s="3" t="s">
        <v>1492</v>
      </c>
      <c r="C2861" s="3" t="s">
        <v>1492</v>
      </c>
      <c r="D2861" s="3" t="s">
        <v>1493</v>
      </c>
      <c r="E2861" s="3" t="s">
        <v>867</v>
      </c>
      <c r="F2861" s="3">
        <v>35</v>
      </c>
      <c r="G2861" s="3" t="s">
        <v>3391</v>
      </c>
      <c r="H2861" s="3"/>
      <c r="I2861" s="3" t="s">
        <v>3392</v>
      </c>
      <c r="J2861" s="3">
        <v>1</v>
      </c>
      <c r="K2861" s="3">
        <v>1</v>
      </c>
      <c r="L2861" s="3">
        <v>0</v>
      </c>
      <c r="M2861" s="3">
        <v>0</v>
      </c>
      <c r="N2861" s="3">
        <v>1</v>
      </c>
      <c r="O2861" s="3">
        <v>0.06</v>
      </c>
      <c r="P2861" s="3">
        <v>0</v>
      </c>
      <c r="Q2861" s="3">
        <v>0</v>
      </c>
      <c r="R2861" s="3">
        <v>0</v>
      </c>
    </row>
    <row r="2862" spans="1:18">
      <c r="A2862" s="3" t="s">
        <v>7828</v>
      </c>
      <c r="B2862" s="3" t="s">
        <v>7829</v>
      </c>
      <c r="C2862" s="3" t="s">
        <v>7829</v>
      </c>
      <c r="D2862" s="3" t="s">
        <v>7830</v>
      </c>
      <c r="E2862" s="3" t="s">
        <v>867</v>
      </c>
      <c r="F2862" s="3">
        <v>35</v>
      </c>
      <c r="G2862" s="3" t="s">
        <v>3391</v>
      </c>
      <c r="H2862" s="3"/>
      <c r="I2862" s="3" t="s">
        <v>3392</v>
      </c>
      <c r="J2862" s="3">
        <v>0</v>
      </c>
      <c r="K2862" s="3">
        <v>0</v>
      </c>
      <c r="L2862" s="3">
        <v>0</v>
      </c>
      <c r="M2862" s="3">
        <v>0</v>
      </c>
      <c r="N2862" s="3">
        <v>0</v>
      </c>
      <c r="O2862" s="3">
        <v>0.06</v>
      </c>
      <c r="P2862" s="3">
        <v>0</v>
      </c>
      <c r="Q2862" s="3">
        <v>0</v>
      </c>
      <c r="R2862" s="3">
        <v>0</v>
      </c>
    </row>
    <row r="2863" spans="1:18">
      <c r="A2863" s="3" t="s">
        <v>1435</v>
      </c>
      <c r="B2863" s="3" t="s">
        <v>1436</v>
      </c>
      <c r="C2863" s="3" t="s">
        <v>1436</v>
      </c>
      <c r="D2863" s="3" t="s">
        <v>1437</v>
      </c>
      <c r="E2863" s="3" t="s">
        <v>867</v>
      </c>
      <c r="F2863" s="3">
        <v>50</v>
      </c>
      <c r="G2863" s="3" t="s">
        <v>3391</v>
      </c>
      <c r="H2863" s="3"/>
      <c r="I2863" s="3" t="s">
        <v>3392</v>
      </c>
      <c r="J2863" s="3">
        <v>2</v>
      </c>
      <c r="K2863" s="3">
        <v>2</v>
      </c>
      <c r="L2863" s="3">
        <v>0</v>
      </c>
      <c r="M2863" s="3">
        <v>0</v>
      </c>
      <c r="N2863" s="3">
        <v>2</v>
      </c>
      <c r="O2863" s="3">
        <v>0.06</v>
      </c>
      <c r="P2863" s="3">
        <v>0</v>
      </c>
      <c r="Q2863" s="3">
        <v>0</v>
      </c>
      <c r="R2863" s="3">
        <v>0</v>
      </c>
    </row>
    <row r="2864" spans="1:18">
      <c r="A2864" s="3" t="s">
        <v>2480</v>
      </c>
      <c r="B2864" s="3" t="s">
        <v>2481</v>
      </c>
      <c r="C2864" s="3" t="s">
        <v>2481</v>
      </c>
      <c r="D2864" s="3" t="s">
        <v>2482</v>
      </c>
      <c r="E2864" s="3" t="s">
        <v>867</v>
      </c>
      <c r="F2864" s="3">
        <v>48</v>
      </c>
      <c r="G2864" s="3" t="s">
        <v>3391</v>
      </c>
      <c r="H2864" s="3"/>
      <c r="I2864" s="3" t="s">
        <v>3392</v>
      </c>
      <c r="J2864" s="3">
        <v>1</v>
      </c>
      <c r="K2864" s="3">
        <v>1</v>
      </c>
      <c r="L2864" s="3">
        <v>0</v>
      </c>
      <c r="M2864" s="3">
        <v>0</v>
      </c>
      <c r="N2864" s="3">
        <v>1</v>
      </c>
      <c r="O2864" s="3">
        <v>0.06</v>
      </c>
      <c r="P2864" s="3">
        <v>0</v>
      </c>
      <c r="Q2864" s="3">
        <v>0</v>
      </c>
      <c r="R2864" s="3">
        <v>0</v>
      </c>
    </row>
    <row r="2865" spans="1:18">
      <c r="A2865" s="3" t="s">
        <v>1860</v>
      </c>
      <c r="B2865" s="3" t="s">
        <v>1861</v>
      </c>
      <c r="C2865" s="3" t="s">
        <v>1861</v>
      </c>
      <c r="D2865" s="3" t="s">
        <v>1862</v>
      </c>
      <c r="E2865" s="3" t="s">
        <v>867</v>
      </c>
      <c r="F2865" s="3">
        <v>46</v>
      </c>
      <c r="G2865" s="3" t="s">
        <v>3391</v>
      </c>
      <c r="H2865" s="3"/>
      <c r="I2865" s="3" t="s">
        <v>3392</v>
      </c>
      <c r="J2865" s="3">
        <v>1</v>
      </c>
      <c r="K2865" s="3">
        <v>1</v>
      </c>
      <c r="L2865" s="3">
        <v>0</v>
      </c>
      <c r="M2865" s="3">
        <v>0</v>
      </c>
      <c r="N2865" s="3">
        <v>1</v>
      </c>
      <c r="O2865" s="3">
        <v>0.06</v>
      </c>
      <c r="P2865" s="3">
        <v>0</v>
      </c>
      <c r="Q2865" s="3">
        <v>0</v>
      </c>
      <c r="R2865" s="3">
        <v>0</v>
      </c>
    </row>
    <row r="2866" spans="1:18">
      <c r="A2866" s="3" t="s">
        <v>3134</v>
      </c>
      <c r="B2866" s="3" t="s">
        <v>3135</v>
      </c>
      <c r="C2866" s="3" t="s">
        <v>3135</v>
      </c>
      <c r="D2866" s="3" t="s">
        <v>3136</v>
      </c>
      <c r="E2866" s="3" t="s">
        <v>867</v>
      </c>
      <c r="F2866" s="3">
        <v>44</v>
      </c>
      <c r="G2866" s="3" t="s">
        <v>3391</v>
      </c>
      <c r="H2866" s="3"/>
      <c r="I2866" s="3" t="s">
        <v>3392</v>
      </c>
      <c r="J2866" s="3">
        <v>1</v>
      </c>
      <c r="K2866" s="3">
        <v>1</v>
      </c>
      <c r="L2866" s="3">
        <v>0</v>
      </c>
      <c r="M2866" s="3">
        <v>0</v>
      </c>
      <c r="N2866" s="3">
        <v>1</v>
      </c>
      <c r="O2866" s="3">
        <v>0.06</v>
      </c>
      <c r="P2866" s="3">
        <v>0</v>
      </c>
      <c r="Q2866" s="3">
        <v>0</v>
      </c>
      <c r="R2866" s="3">
        <v>0</v>
      </c>
    </row>
    <row r="2867" spans="1:18">
      <c r="A2867" s="3" t="s">
        <v>3118</v>
      </c>
      <c r="B2867" s="3" t="s">
        <v>3119</v>
      </c>
      <c r="C2867" s="3" t="s">
        <v>3119</v>
      </c>
      <c r="D2867" s="3" t="s">
        <v>3120</v>
      </c>
      <c r="E2867" s="3" t="s">
        <v>867</v>
      </c>
      <c r="F2867" s="3">
        <v>42</v>
      </c>
      <c r="G2867" s="3" t="s">
        <v>3391</v>
      </c>
      <c r="H2867" s="3"/>
      <c r="I2867" s="3" t="s">
        <v>3392</v>
      </c>
      <c r="J2867" s="3">
        <v>2</v>
      </c>
      <c r="K2867" s="3">
        <v>2</v>
      </c>
      <c r="L2867" s="3">
        <v>0</v>
      </c>
      <c r="M2867" s="3">
        <v>0</v>
      </c>
      <c r="N2867" s="3">
        <v>2</v>
      </c>
      <c r="O2867" s="3">
        <v>0.06</v>
      </c>
      <c r="P2867" s="3">
        <v>0</v>
      </c>
      <c r="Q2867" s="3">
        <v>0</v>
      </c>
      <c r="R2867" s="3">
        <v>0</v>
      </c>
    </row>
    <row r="2868" spans="1:18">
      <c r="A2868" s="3" t="s">
        <v>7831</v>
      </c>
      <c r="B2868" s="3" t="s">
        <v>7832</v>
      </c>
      <c r="C2868" s="3" t="s">
        <v>7832</v>
      </c>
      <c r="D2868" s="3" t="s">
        <v>7833</v>
      </c>
      <c r="E2868" s="3" t="s">
        <v>867</v>
      </c>
      <c r="F2868" s="3">
        <v>45</v>
      </c>
      <c r="G2868" s="3" t="s">
        <v>3391</v>
      </c>
      <c r="H2868" s="3"/>
      <c r="I2868" s="3" t="s">
        <v>3392</v>
      </c>
      <c r="J2868" s="3">
        <v>0</v>
      </c>
      <c r="K2868" s="3">
        <v>0</v>
      </c>
      <c r="L2868" s="3">
        <v>0</v>
      </c>
      <c r="M2868" s="3">
        <v>0</v>
      </c>
      <c r="N2868" s="3">
        <v>0</v>
      </c>
      <c r="O2868" s="3">
        <v>0.06</v>
      </c>
      <c r="P2868" s="3">
        <v>0</v>
      </c>
      <c r="Q2868" s="3">
        <v>0</v>
      </c>
      <c r="R2868" s="3">
        <v>0</v>
      </c>
    </row>
    <row r="2869" spans="1:18">
      <c r="A2869" s="3" t="s">
        <v>802</v>
      </c>
      <c r="B2869" s="3" t="s">
        <v>445</v>
      </c>
      <c r="C2869" s="3" t="s">
        <v>445</v>
      </c>
      <c r="D2869" s="3"/>
      <c r="E2869" s="3" t="s">
        <v>3293</v>
      </c>
      <c r="F2869" s="3"/>
      <c r="G2869" s="3"/>
      <c r="H2869" s="3"/>
      <c r="I2869" s="3"/>
      <c r="J2869" s="3">
        <v>10</v>
      </c>
      <c r="K2869" s="3">
        <v>9</v>
      </c>
      <c r="L2869" s="3">
        <v>0</v>
      </c>
      <c r="M2869" s="3">
        <v>1</v>
      </c>
      <c r="N2869" s="3">
        <v>10</v>
      </c>
      <c r="O2869" s="3"/>
      <c r="P2869" s="3">
        <v>0</v>
      </c>
      <c r="Q2869" s="3">
        <v>0</v>
      </c>
      <c r="R2869" s="3">
        <v>0</v>
      </c>
    </row>
    <row r="2870" spans="1:18">
      <c r="A2870" s="3" t="s">
        <v>7834</v>
      </c>
      <c r="B2870" s="3" t="s">
        <v>1153</v>
      </c>
      <c r="C2870" s="3" t="s">
        <v>1153</v>
      </c>
      <c r="D2870" s="3"/>
      <c r="E2870" s="3" t="s">
        <v>3293</v>
      </c>
      <c r="F2870" s="3"/>
      <c r="G2870" s="3"/>
      <c r="H2870" s="3"/>
      <c r="I2870" s="3"/>
      <c r="J2870" s="3">
        <v>26</v>
      </c>
      <c r="K2870" s="3">
        <v>26</v>
      </c>
      <c r="L2870" s="3">
        <v>0</v>
      </c>
      <c r="M2870" s="3">
        <v>0</v>
      </c>
      <c r="N2870" s="3">
        <v>26</v>
      </c>
      <c r="O2870" s="3"/>
      <c r="P2870" s="3">
        <v>0</v>
      </c>
      <c r="Q2870" s="3">
        <v>0</v>
      </c>
      <c r="R2870" s="3">
        <v>0</v>
      </c>
    </row>
    <row r="2871" spans="1:18">
      <c r="A2871" s="3" t="s">
        <v>7835</v>
      </c>
      <c r="B2871" s="3" t="s">
        <v>3925</v>
      </c>
      <c r="C2871" s="3" t="s">
        <v>3925</v>
      </c>
      <c r="D2871" s="3"/>
      <c r="E2871" s="3" t="s">
        <v>3293</v>
      </c>
      <c r="F2871" s="3"/>
      <c r="G2871" s="3"/>
      <c r="H2871" s="3"/>
      <c r="I2871" s="3"/>
      <c r="J2871" s="3">
        <v>0</v>
      </c>
      <c r="K2871" s="3">
        <v>0</v>
      </c>
      <c r="L2871" s="3">
        <v>0</v>
      </c>
      <c r="M2871" s="3">
        <v>0</v>
      </c>
      <c r="N2871" s="3">
        <v>0</v>
      </c>
      <c r="O2871" s="3"/>
      <c r="P2871" s="3">
        <v>0</v>
      </c>
      <c r="Q2871" s="3">
        <v>0</v>
      </c>
      <c r="R2871" s="3">
        <v>0</v>
      </c>
    </row>
    <row r="2872" spans="1:18">
      <c r="A2872" s="3" t="s">
        <v>7836</v>
      </c>
      <c r="B2872" s="3" t="s">
        <v>90</v>
      </c>
      <c r="C2872" s="3" t="s">
        <v>90</v>
      </c>
      <c r="D2872" s="3"/>
      <c r="E2872" s="3" t="s">
        <v>3293</v>
      </c>
      <c r="F2872" s="3"/>
      <c r="G2872" s="3"/>
      <c r="H2872" s="3"/>
      <c r="I2872" s="3"/>
      <c r="J2872" s="3">
        <v>0</v>
      </c>
      <c r="K2872" s="3">
        <v>0</v>
      </c>
      <c r="L2872" s="3">
        <v>0</v>
      </c>
      <c r="M2872" s="3">
        <v>0</v>
      </c>
      <c r="N2872" s="3">
        <v>0</v>
      </c>
      <c r="O2872" s="3"/>
      <c r="P2872" s="3">
        <v>0</v>
      </c>
      <c r="Q2872" s="3">
        <v>0</v>
      </c>
      <c r="R2872" s="3">
        <v>0</v>
      </c>
    </row>
    <row r="2873" spans="1:18">
      <c r="A2873" s="3" t="s">
        <v>7837</v>
      </c>
      <c r="B2873" s="3" t="s">
        <v>1417</v>
      </c>
      <c r="C2873" s="3" t="s">
        <v>1417</v>
      </c>
      <c r="D2873" s="3"/>
      <c r="E2873" s="3" t="s">
        <v>3293</v>
      </c>
      <c r="F2873" s="3"/>
      <c r="G2873" s="3"/>
      <c r="H2873" s="3"/>
      <c r="I2873" s="3"/>
      <c r="J2873" s="3">
        <v>1</v>
      </c>
      <c r="K2873" s="3">
        <v>1</v>
      </c>
      <c r="L2873" s="3">
        <v>0</v>
      </c>
      <c r="M2873" s="3">
        <v>0</v>
      </c>
      <c r="N2873" s="3">
        <v>1</v>
      </c>
      <c r="O2873" s="3"/>
      <c r="P2873" s="3">
        <v>0</v>
      </c>
      <c r="Q2873" s="3">
        <v>0</v>
      </c>
      <c r="R2873" s="3">
        <v>0</v>
      </c>
    </row>
    <row r="2874" spans="1:18">
      <c r="A2874" s="3" t="s">
        <v>7838</v>
      </c>
      <c r="B2874" s="3" t="s">
        <v>1739</v>
      </c>
      <c r="C2874" s="3" t="s">
        <v>1739</v>
      </c>
      <c r="D2874" s="3"/>
      <c r="E2874" s="3" t="s">
        <v>3293</v>
      </c>
      <c r="F2874" s="3"/>
      <c r="G2874" s="3"/>
      <c r="H2874" s="3"/>
      <c r="I2874" s="3"/>
      <c r="J2874" s="3">
        <v>16</v>
      </c>
      <c r="K2874" s="3">
        <v>16</v>
      </c>
      <c r="L2874" s="3">
        <v>0</v>
      </c>
      <c r="M2874" s="3">
        <v>0</v>
      </c>
      <c r="N2874" s="3">
        <v>16</v>
      </c>
      <c r="O2874" s="3"/>
      <c r="P2874" s="3">
        <v>0</v>
      </c>
      <c r="Q2874" s="3">
        <v>0</v>
      </c>
      <c r="R2874" s="3">
        <v>0</v>
      </c>
    </row>
    <row r="2875" spans="1:18">
      <c r="A2875" s="3" t="s">
        <v>7839</v>
      </c>
      <c r="B2875" s="3" t="s">
        <v>2916</v>
      </c>
      <c r="C2875" s="3" t="s">
        <v>2916</v>
      </c>
      <c r="D2875" s="3"/>
      <c r="E2875" s="3" t="s">
        <v>3293</v>
      </c>
      <c r="F2875" s="3"/>
      <c r="G2875" s="3"/>
      <c r="H2875" s="3"/>
      <c r="I2875" s="3"/>
      <c r="J2875" s="3">
        <v>2</v>
      </c>
      <c r="K2875" s="3">
        <v>2</v>
      </c>
      <c r="L2875" s="3">
        <v>0</v>
      </c>
      <c r="M2875" s="3">
        <v>0</v>
      </c>
      <c r="N2875" s="3">
        <v>2</v>
      </c>
      <c r="O2875" s="3"/>
      <c r="P2875" s="3">
        <v>0</v>
      </c>
      <c r="Q2875" s="3">
        <v>0</v>
      </c>
      <c r="R2875" s="3">
        <v>0</v>
      </c>
    </row>
    <row r="2876" spans="1:18">
      <c r="A2876" s="3" t="s">
        <v>7840</v>
      </c>
      <c r="B2876" s="3" t="s">
        <v>3943</v>
      </c>
      <c r="C2876" s="3" t="s">
        <v>3943</v>
      </c>
      <c r="D2876" s="3"/>
      <c r="E2876" s="3" t="s">
        <v>3293</v>
      </c>
      <c r="F2876" s="3"/>
      <c r="G2876" s="3"/>
      <c r="H2876" s="3"/>
      <c r="I2876" s="3"/>
      <c r="J2876" s="3">
        <v>0</v>
      </c>
      <c r="K2876" s="3">
        <v>0</v>
      </c>
      <c r="L2876" s="3">
        <v>0</v>
      </c>
      <c r="M2876" s="3">
        <v>0</v>
      </c>
      <c r="N2876" s="3">
        <v>0</v>
      </c>
      <c r="O2876" s="3"/>
      <c r="P2876" s="3">
        <v>0</v>
      </c>
      <c r="Q2876" s="3">
        <v>0</v>
      </c>
      <c r="R2876" s="3">
        <v>0</v>
      </c>
    </row>
    <row r="2877" spans="1:18">
      <c r="A2877" s="3" t="s">
        <v>7841</v>
      </c>
      <c r="B2877" s="3" t="s">
        <v>1108</v>
      </c>
      <c r="C2877" s="3" t="s">
        <v>1108</v>
      </c>
      <c r="D2877" s="3"/>
      <c r="E2877" s="3" t="s">
        <v>3293</v>
      </c>
      <c r="F2877" s="3"/>
      <c r="G2877" s="3"/>
      <c r="H2877" s="3"/>
      <c r="I2877" s="3"/>
      <c r="J2877" s="3">
        <v>3</v>
      </c>
      <c r="K2877" s="3">
        <v>3</v>
      </c>
      <c r="L2877" s="3">
        <v>0</v>
      </c>
      <c r="M2877" s="3">
        <v>0</v>
      </c>
      <c r="N2877" s="3">
        <v>3</v>
      </c>
      <c r="O2877" s="3"/>
      <c r="P2877" s="3">
        <v>0</v>
      </c>
      <c r="Q2877" s="3">
        <v>0</v>
      </c>
      <c r="R2877" s="3">
        <v>0</v>
      </c>
    </row>
    <row r="2878" spans="1:18">
      <c r="A2878" s="3" t="s">
        <v>7842</v>
      </c>
      <c r="B2878" s="3" t="s">
        <v>3182</v>
      </c>
      <c r="C2878" s="3" t="s">
        <v>3182</v>
      </c>
      <c r="D2878" s="3"/>
      <c r="E2878" s="3" t="s">
        <v>3293</v>
      </c>
      <c r="F2878" s="3"/>
      <c r="G2878" s="3"/>
      <c r="H2878" s="3"/>
      <c r="I2878" s="3"/>
      <c r="J2878" s="3">
        <v>20</v>
      </c>
      <c r="K2878" s="3">
        <v>20</v>
      </c>
      <c r="L2878" s="3">
        <v>0</v>
      </c>
      <c r="M2878" s="3">
        <v>0</v>
      </c>
      <c r="N2878" s="3">
        <v>20</v>
      </c>
      <c r="O2878" s="3"/>
      <c r="P2878" s="3">
        <v>0</v>
      </c>
      <c r="Q2878" s="3">
        <v>0</v>
      </c>
      <c r="R2878" s="3">
        <v>0</v>
      </c>
    </row>
    <row r="2879" spans="1:18">
      <c r="A2879" s="3" t="s">
        <v>7843</v>
      </c>
      <c r="B2879" s="3" t="s">
        <v>2786</v>
      </c>
      <c r="C2879" s="3" t="s">
        <v>2786</v>
      </c>
      <c r="D2879" s="3"/>
      <c r="E2879" s="3" t="s">
        <v>3293</v>
      </c>
      <c r="F2879" s="3"/>
      <c r="G2879" s="3"/>
      <c r="H2879" s="3"/>
      <c r="I2879" s="3"/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/>
      <c r="P2879" s="3">
        <v>0</v>
      </c>
      <c r="Q2879" s="3">
        <v>0</v>
      </c>
      <c r="R2879" s="3">
        <v>0</v>
      </c>
    </row>
    <row r="2880" spans="1:18">
      <c r="A2880" s="3" t="s">
        <v>7844</v>
      </c>
      <c r="B2880" s="3" t="s">
        <v>94</v>
      </c>
      <c r="C2880" s="3" t="s">
        <v>94</v>
      </c>
      <c r="D2880" s="3"/>
      <c r="E2880" s="3" t="s">
        <v>3293</v>
      </c>
      <c r="F2880" s="3"/>
      <c r="G2880" s="3"/>
      <c r="H2880" s="3"/>
      <c r="I2880" s="3"/>
      <c r="J2880" s="3">
        <v>0</v>
      </c>
      <c r="K2880" s="3">
        <v>0</v>
      </c>
      <c r="L2880" s="3">
        <v>0</v>
      </c>
      <c r="M2880" s="3">
        <v>0</v>
      </c>
      <c r="N2880" s="3">
        <v>0</v>
      </c>
      <c r="O2880" s="3"/>
      <c r="P2880" s="3">
        <v>0</v>
      </c>
      <c r="Q2880" s="3">
        <v>0</v>
      </c>
      <c r="R2880" s="3">
        <v>0</v>
      </c>
    </row>
    <row r="2881" spans="1:18">
      <c r="A2881" s="3" t="s">
        <v>7845</v>
      </c>
      <c r="B2881" s="3" t="s">
        <v>946</v>
      </c>
      <c r="C2881" s="3" t="s">
        <v>946</v>
      </c>
      <c r="D2881" s="3" t="s">
        <v>947</v>
      </c>
      <c r="E2881" s="3" t="s">
        <v>3293</v>
      </c>
      <c r="F2881" s="3">
        <v>0</v>
      </c>
      <c r="G2881" s="3" t="s">
        <v>3391</v>
      </c>
      <c r="H2881" s="3"/>
      <c r="I2881" s="3" t="s">
        <v>3392</v>
      </c>
      <c r="J2881" s="3">
        <v>17</v>
      </c>
      <c r="K2881" s="3">
        <v>17</v>
      </c>
      <c r="L2881" s="3">
        <v>0</v>
      </c>
      <c r="M2881" s="3">
        <v>0</v>
      </c>
      <c r="N2881" s="3">
        <v>17</v>
      </c>
      <c r="O2881" s="3">
        <v>0.14</v>
      </c>
      <c r="P2881" s="3">
        <v>0</v>
      </c>
      <c r="Q2881" s="3">
        <v>0</v>
      </c>
      <c r="R2881" s="3">
        <v>0</v>
      </c>
    </row>
    <row r="2882" spans="1:18">
      <c r="A2882" s="3" t="s">
        <v>7846</v>
      </c>
      <c r="B2882" s="3" t="s">
        <v>1449</v>
      </c>
      <c r="C2882" s="3" t="s">
        <v>1449</v>
      </c>
      <c r="D2882" s="3"/>
      <c r="E2882" s="3" t="s">
        <v>3293</v>
      </c>
      <c r="F2882" s="3"/>
      <c r="G2882" s="3"/>
      <c r="H2882" s="3"/>
      <c r="I2882" s="3"/>
      <c r="J2882" s="3">
        <v>7</v>
      </c>
      <c r="K2882" s="3">
        <v>7</v>
      </c>
      <c r="L2882" s="3">
        <v>0</v>
      </c>
      <c r="M2882" s="3">
        <v>0</v>
      </c>
      <c r="N2882" s="3">
        <v>7</v>
      </c>
      <c r="O2882" s="3"/>
      <c r="P2882" s="3">
        <v>0</v>
      </c>
      <c r="Q2882" s="3">
        <v>0</v>
      </c>
      <c r="R2882" s="3">
        <v>0</v>
      </c>
    </row>
    <row r="2883" spans="1:18">
      <c r="A2883" s="3" t="s">
        <v>7847</v>
      </c>
      <c r="B2883" s="3" t="s">
        <v>949</v>
      </c>
      <c r="C2883" s="3" t="s">
        <v>949</v>
      </c>
      <c r="D2883" s="3"/>
      <c r="E2883" s="3" t="s">
        <v>3293</v>
      </c>
      <c r="F2883" s="3"/>
      <c r="G2883" s="3"/>
      <c r="H2883" s="3"/>
      <c r="I2883" s="3"/>
      <c r="J2883" s="3">
        <v>16</v>
      </c>
      <c r="K2883" s="3">
        <v>16</v>
      </c>
      <c r="L2883" s="3">
        <v>0</v>
      </c>
      <c r="M2883" s="3">
        <v>0</v>
      </c>
      <c r="N2883" s="3">
        <v>16</v>
      </c>
      <c r="O2883" s="3"/>
      <c r="P2883" s="3">
        <v>0</v>
      </c>
      <c r="Q2883" s="3">
        <v>0</v>
      </c>
      <c r="R2883" s="3">
        <v>0</v>
      </c>
    </row>
    <row r="2884" spans="1:18">
      <c r="A2884" s="3" t="s">
        <v>7848</v>
      </c>
      <c r="B2884" s="3" t="s">
        <v>3231</v>
      </c>
      <c r="C2884" s="3" t="s">
        <v>3231</v>
      </c>
      <c r="D2884" s="3"/>
      <c r="E2884" s="3" t="s">
        <v>3293</v>
      </c>
      <c r="F2884" s="3"/>
      <c r="G2884" s="3"/>
      <c r="H2884" s="3"/>
      <c r="I2884" s="3"/>
      <c r="J2884" s="3">
        <v>2</v>
      </c>
      <c r="K2884" s="3">
        <v>2</v>
      </c>
      <c r="L2884" s="3">
        <v>0</v>
      </c>
      <c r="M2884" s="3">
        <v>0</v>
      </c>
      <c r="N2884" s="3">
        <v>2</v>
      </c>
      <c r="O2884" s="3"/>
      <c r="P2884" s="3">
        <v>0</v>
      </c>
      <c r="Q2884" s="3">
        <v>0</v>
      </c>
      <c r="R2884" s="3">
        <v>0</v>
      </c>
    </row>
    <row r="2885" spans="1:18">
      <c r="A2885" s="3" t="s">
        <v>830</v>
      </c>
      <c r="B2885" s="3" t="s">
        <v>483</v>
      </c>
      <c r="C2885" s="3" t="s">
        <v>483</v>
      </c>
      <c r="D2885" s="3"/>
      <c r="E2885" s="3" t="s">
        <v>3293</v>
      </c>
      <c r="F2885" s="3"/>
      <c r="G2885" s="3"/>
      <c r="H2885" s="3"/>
      <c r="I2885" s="3"/>
      <c r="J2885" s="3">
        <v>4</v>
      </c>
      <c r="K2885" s="3">
        <v>3</v>
      </c>
      <c r="L2885" s="3">
        <v>0</v>
      </c>
      <c r="M2885" s="3">
        <v>1</v>
      </c>
      <c r="N2885" s="3">
        <v>4</v>
      </c>
      <c r="O2885" s="3"/>
      <c r="P2885" s="3">
        <v>0</v>
      </c>
      <c r="Q2885" s="3">
        <v>0</v>
      </c>
      <c r="R2885" s="3">
        <v>0</v>
      </c>
    </row>
    <row r="2886" spans="1:18">
      <c r="A2886" s="3" t="s">
        <v>7849</v>
      </c>
      <c r="B2886" s="3" t="s">
        <v>1055</v>
      </c>
      <c r="C2886" s="3" t="s">
        <v>1055</v>
      </c>
      <c r="D2886" s="3"/>
      <c r="E2886" s="3" t="s">
        <v>3293</v>
      </c>
      <c r="F2886" s="3"/>
      <c r="G2886" s="3"/>
      <c r="H2886" s="3"/>
      <c r="I2886" s="3"/>
      <c r="J2886" s="3">
        <v>7</v>
      </c>
      <c r="K2886" s="3">
        <v>7</v>
      </c>
      <c r="L2886" s="3">
        <v>0</v>
      </c>
      <c r="M2886" s="3">
        <v>0</v>
      </c>
      <c r="N2886" s="3">
        <v>7</v>
      </c>
      <c r="O2886" s="3"/>
      <c r="P2886" s="3">
        <v>0</v>
      </c>
      <c r="Q2886" s="3">
        <v>0</v>
      </c>
      <c r="R2886" s="3">
        <v>0</v>
      </c>
    </row>
    <row r="2887" spans="1:18">
      <c r="A2887" s="3" t="s">
        <v>7850</v>
      </c>
      <c r="B2887" s="3" t="s">
        <v>3092</v>
      </c>
      <c r="C2887" s="3" t="s">
        <v>3092</v>
      </c>
      <c r="D2887" s="3"/>
      <c r="E2887" s="3" t="s">
        <v>3293</v>
      </c>
      <c r="F2887" s="3"/>
      <c r="G2887" s="3"/>
      <c r="H2887" s="3"/>
      <c r="I2887" s="3"/>
      <c r="J2887" s="3">
        <v>4</v>
      </c>
      <c r="K2887" s="3">
        <v>4</v>
      </c>
      <c r="L2887" s="3">
        <v>0</v>
      </c>
      <c r="M2887" s="3">
        <v>0</v>
      </c>
      <c r="N2887" s="3">
        <v>4</v>
      </c>
      <c r="O2887" s="3"/>
      <c r="P2887" s="3">
        <v>0</v>
      </c>
      <c r="Q2887" s="3">
        <v>0</v>
      </c>
      <c r="R2887" s="3">
        <v>0</v>
      </c>
    </row>
    <row r="2888" spans="1:18">
      <c r="A2888" s="3" t="s">
        <v>7851</v>
      </c>
      <c r="B2888" s="3" t="s">
        <v>3247</v>
      </c>
      <c r="C2888" s="3" t="s">
        <v>3247</v>
      </c>
      <c r="D2888" s="3"/>
      <c r="E2888" s="3" t="s">
        <v>3293</v>
      </c>
      <c r="F2888" s="3"/>
      <c r="G2888" s="3"/>
      <c r="H2888" s="3"/>
      <c r="I2888" s="3"/>
      <c r="J2888" s="3">
        <v>13</v>
      </c>
      <c r="K2888" s="3">
        <v>13</v>
      </c>
      <c r="L2888" s="3">
        <v>0</v>
      </c>
      <c r="M2888" s="3">
        <v>0</v>
      </c>
      <c r="N2888" s="3">
        <v>13</v>
      </c>
      <c r="O2888" s="3"/>
      <c r="P2888" s="3">
        <v>0</v>
      </c>
      <c r="Q2888" s="3">
        <v>0</v>
      </c>
      <c r="R2888" s="3">
        <v>0</v>
      </c>
    </row>
    <row r="2889" spans="1:18">
      <c r="A2889" s="3" t="s">
        <v>7852</v>
      </c>
      <c r="B2889" s="3" t="s">
        <v>2457</v>
      </c>
      <c r="C2889" s="3" t="s">
        <v>2457</v>
      </c>
      <c r="D2889" s="3"/>
      <c r="E2889" s="3" t="s">
        <v>3293</v>
      </c>
      <c r="F2889" s="3"/>
      <c r="G2889" s="3"/>
      <c r="H2889" s="3"/>
      <c r="I2889" s="3"/>
      <c r="J2889" s="3">
        <v>1</v>
      </c>
      <c r="K2889" s="3">
        <v>1</v>
      </c>
      <c r="L2889" s="3">
        <v>0</v>
      </c>
      <c r="M2889" s="3">
        <v>0</v>
      </c>
      <c r="N2889" s="3">
        <v>1</v>
      </c>
      <c r="O2889" s="3"/>
      <c r="P2889" s="3">
        <v>0</v>
      </c>
      <c r="Q2889" s="3">
        <v>0</v>
      </c>
      <c r="R2889" s="3">
        <v>0</v>
      </c>
    </row>
    <row r="2890" spans="1:18">
      <c r="A2890" s="3" t="s">
        <v>7853</v>
      </c>
      <c r="B2890" s="3" t="s">
        <v>2359</v>
      </c>
      <c r="C2890" s="3" t="s">
        <v>2359</v>
      </c>
      <c r="D2890" s="3"/>
      <c r="E2890" s="3" t="s">
        <v>3293</v>
      </c>
      <c r="F2890" s="3"/>
      <c r="G2890" s="3"/>
      <c r="H2890" s="3"/>
      <c r="I2890" s="3"/>
      <c r="J2890" s="3">
        <v>13</v>
      </c>
      <c r="K2890" s="3">
        <v>13</v>
      </c>
      <c r="L2890" s="3">
        <v>0</v>
      </c>
      <c r="M2890" s="3">
        <v>0</v>
      </c>
      <c r="N2890" s="3">
        <v>13</v>
      </c>
      <c r="O2890" s="3"/>
      <c r="P2890" s="3">
        <v>0</v>
      </c>
      <c r="Q2890" s="3">
        <v>0</v>
      </c>
      <c r="R2890" s="3">
        <v>0</v>
      </c>
    </row>
    <row r="2891" spans="1:18">
      <c r="A2891" s="3" t="s">
        <v>828</v>
      </c>
      <c r="B2891" s="3" t="s">
        <v>434</v>
      </c>
      <c r="C2891" s="3" t="s">
        <v>434</v>
      </c>
      <c r="D2891" s="3"/>
      <c r="E2891" s="3" t="s">
        <v>3293</v>
      </c>
      <c r="F2891" s="3"/>
      <c r="G2891" s="3"/>
      <c r="H2891" s="3"/>
      <c r="I2891" s="3"/>
      <c r="J2891" s="3">
        <v>10</v>
      </c>
      <c r="K2891" s="3">
        <v>7</v>
      </c>
      <c r="L2891" s="3">
        <v>0</v>
      </c>
      <c r="M2891" s="3">
        <v>3</v>
      </c>
      <c r="N2891" s="3">
        <v>10</v>
      </c>
      <c r="O2891" s="3"/>
      <c r="P2891" s="3">
        <v>0</v>
      </c>
      <c r="Q2891" s="3">
        <v>0</v>
      </c>
      <c r="R2891" s="3">
        <v>0</v>
      </c>
    </row>
    <row r="2892" spans="1:18">
      <c r="A2892" s="3" t="s">
        <v>7854</v>
      </c>
      <c r="B2892" s="3" t="s">
        <v>1830</v>
      </c>
      <c r="C2892" s="3" t="s">
        <v>1830</v>
      </c>
      <c r="D2892" s="3"/>
      <c r="E2892" s="3" t="s">
        <v>3293</v>
      </c>
      <c r="F2892" s="3"/>
      <c r="G2892" s="3"/>
      <c r="H2892" s="3"/>
      <c r="I2892" s="3"/>
      <c r="J2892" s="3">
        <v>21</v>
      </c>
      <c r="K2892" s="3">
        <v>21</v>
      </c>
      <c r="L2892" s="3">
        <v>0</v>
      </c>
      <c r="M2892" s="3">
        <v>0</v>
      </c>
      <c r="N2892" s="3">
        <v>21</v>
      </c>
      <c r="O2892" s="3"/>
      <c r="P2892" s="3">
        <v>0</v>
      </c>
      <c r="Q2892" s="3">
        <v>0</v>
      </c>
      <c r="R2892" s="3">
        <v>0</v>
      </c>
    </row>
    <row r="2893" spans="1:18">
      <c r="A2893" s="3" t="s">
        <v>7855</v>
      </c>
      <c r="B2893" s="3" t="s">
        <v>1768</v>
      </c>
      <c r="C2893" s="3" t="s">
        <v>1768</v>
      </c>
      <c r="D2893" s="3"/>
      <c r="E2893" s="3" t="s">
        <v>3293</v>
      </c>
      <c r="F2893" s="3"/>
      <c r="G2893" s="3"/>
      <c r="H2893" s="3"/>
      <c r="I2893" s="3"/>
      <c r="J2893" s="3">
        <v>11</v>
      </c>
      <c r="K2893" s="3">
        <v>11</v>
      </c>
      <c r="L2893" s="3">
        <v>0</v>
      </c>
      <c r="M2893" s="3">
        <v>0</v>
      </c>
      <c r="N2893" s="3">
        <v>11</v>
      </c>
      <c r="O2893" s="3"/>
      <c r="P2893" s="3">
        <v>0</v>
      </c>
      <c r="Q2893" s="3">
        <v>0</v>
      </c>
      <c r="R2893" s="3">
        <v>0</v>
      </c>
    </row>
    <row r="2894" spans="1:18">
      <c r="A2894" s="3" t="s">
        <v>7856</v>
      </c>
      <c r="B2894" s="3" t="s">
        <v>3979</v>
      </c>
      <c r="C2894" s="3" t="s">
        <v>3979</v>
      </c>
      <c r="D2894" s="3"/>
      <c r="E2894" s="3" t="s">
        <v>3293</v>
      </c>
      <c r="F2894" s="3"/>
      <c r="G2894" s="3"/>
      <c r="H2894" s="3"/>
      <c r="I2894" s="3"/>
      <c r="J2894" s="3">
        <v>0</v>
      </c>
      <c r="K2894" s="3">
        <v>0</v>
      </c>
      <c r="L2894" s="3">
        <v>0</v>
      </c>
      <c r="M2894" s="3">
        <v>0</v>
      </c>
      <c r="N2894" s="3">
        <v>0</v>
      </c>
      <c r="O2894" s="3"/>
      <c r="P2894" s="3">
        <v>0</v>
      </c>
      <c r="Q2894" s="3">
        <v>0</v>
      </c>
      <c r="R2894" s="3">
        <v>0</v>
      </c>
    </row>
    <row r="2895" spans="1:18">
      <c r="A2895" s="3" t="s">
        <v>7857</v>
      </c>
      <c r="B2895" s="3" t="s">
        <v>1358</v>
      </c>
      <c r="C2895" s="3" t="s">
        <v>1358</v>
      </c>
      <c r="D2895" s="3"/>
      <c r="E2895" s="3" t="s">
        <v>3293</v>
      </c>
      <c r="F2895" s="3"/>
      <c r="G2895" s="3"/>
      <c r="H2895" s="3"/>
      <c r="I2895" s="3"/>
      <c r="J2895" s="3">
        <v>11</v>
      </c>
      <c r="K2895" s="3">
        <v>11</v>
      </c>
      <c r="L2895" s="3">
        <v>0</v>
      </c>
      <c r="M2895" s="3">
        <v>0</v>
      </c>
      <c r="N2895" s="3">
        <v>11</v>
      </c>
      <c r="O2895" s="3"/>
      <c r="P2895" s="3">
        <v>0</v>
      </c>
      <c r="Q2895" s="3">
        <v>0</v>
      </c>
      <c r="R2895" s="3">
        <v>0</v>
      </c>
    </row>
    <row r="2896" spans="1:18">
      <c r="A2896" s="3" t="s">
        <v>7858</v>
      </c>
      <c r="B2896" s="3" t="s">
        <v>3066</v>
      </c>
      <c r="C2896" s="3" t="s">
        <v>3066</v>
      </c>
      <c r="D2896" s="3"/>
      <c r="E2896" s="3" t="s">
        <v>3293</v>
      </c>
      <c r="F2896" s="3"/>
      <c r="G2896" s="3"/>
      <c r="H2896" s="3"/>
      <c r="I2896" s="3"/>
      <c r="J2896" s="3">
        <v>9</v>
      </c>
      <c r="K2896" s="3">
        <v>9</v>
      </c>
      <c r="L2896" s="3">
        <v>0</v>
      </c>
      <c r="M2896" s="3">
        <v>0</v>
      </c>
      <c r="N2896" s="3">
        <v>9</v>
      </c>
      <c r="O2896" s="3"/>
      <c r="P2896" s="3">
        <v>0</v>
      </c>
      <c r="Q2896" s="3">
        <v>0</v>
      </c>
      <c r="R2896" s="3">
        <v>0</v>
      </c>
    </row>
    <row r="2897" spans="1:18">
      <c r="A2897" s="3" t="s">
        <v>7859</v>
      </c>
      <c r="B2897" s="3" t="s">
        <v>2323</v>
      </c>
      <c r="C2897" s="3" t="s">
        <v>2323</v>
      </c>
      <c r="D2897" s="3"/>
      <c r="E2897" s="3" t="s">
        <v>3293</v>
      </c>
      <c r="F2897" s="3"/>
      <c r="G2897" s="3"/>
      <c r="H2897" s="3"/>
      <c r="I2897" s="3"/>
      <c r="J2897" s="3">
        <v>1</v>
      </c>
      <c r="K2897" s="3">
        <v>1</v>
      </c>
      <c r="L2897" s="3">
        <v>0</v>
      </c>
      <c r="M2897" s="3">
        <v>0</v>
      </c>
      <c r="N2897" s="3">
        <v>1</v>
      </c>
      <c r="O2897" s="3"/>
      <c r="P2897" s="3">
        <v>0</v>
      </c>
      <c r="Q2897" s="3">
        <v>0</v>
      </c>
      <c r="R2897" s="3">
        <v>0</v>
      </c>
    </row>
    <row r="2898" spans="1:18">
      <c r="A2898" s="3" t="s">
        <v>7860</v>
      </c>
      <c r="B2898" s="3" t="s">
        <v>2997</v>
      </c>
      <c r="C2898" s="3" t="s">
        <v>2997</v>
      </c>
      <c r="D2898" s="3"/>
      <c r="E2898" s="3" t="s">
        <v>3293</v>
      </c>
      <c r="F2898" s="3"/>
      <c r="G2898" s="3"/>
      <c r="H2898" s="3"/>
      <c r="I2898" s="3"/>
      <c r="J2898" s="3">
        <v>6</v>
      </c>
      <c r="K2898" s="3">
        <v>6</v>
      </c>
      <c r="L2898" s="3">
        <v>0</v>
      </c>
      <c r="M2898" s="3">
        <v>0</v>
      </c>
      <c r="N2898" s="3">
        <v>6</v>
      </c>
      <c r="O2898" s="3"/>
      <c r="P2898" s="3">
        <v>0</v>
      </c>
      <c r="Q2898" s="3">
        <v>0</v>
      </c>
      <c r="R2898" s="3">
        <v>0</v>
      </c>
    </row>
    <row r="2899" spans="1:18">
      <c r="A2899" s="3" t="s">
        <v>7861</v>
      </c>
      <c r="B2899" s="3" t="s">
        <v>7862</v>
      </c>
      <c r="C2899" s="3" t="s">
        <v>7862</v>
      </c>
      <c r="D2899" s="3"/>
      <c r="E2899" s="3" t="s">
        <v>3293</v>
      </c>
      <c r="F2899" s="3"/>
      <c r="G2899" s="3"/>
      <c r="H2899" s="3"/>
      <c r="I2899" s="3"/>
      <c r="J2899" s="3">
        <v>0</v>
      </c>
      <c r="K2899" s="3">
        <v>0</v>
      </c>
      <c r="L2899" s="3">
        <v>0</v>
      </c>
      <c r="M2899" s="3">
        <v>0</v>
      </c>
      <c r="N2899" s="3">
        <v>0</v>
      </c>
      <c r="O2899" s="3"/>
      <c r="P2899" s="3">
        <v>0</v>
      </c>
      <c r="Q2899" s="3">
        <v>0</v>
      </c>
      <c r="R2899" s="3">
        <v>0</v>
      </c>
    </row>
    <row r="2900" spans="1:18">
      <c r="A2900" s="3" t="s">
        <v>7863</v>
      </c>
      <c r="B2900" s="3" t="s">
        <v>67</v>
      </c>
      <c r="C2900" s="3" t="s">
        <v>67</v>
      </c>
      <c r="D2900" s="3"/>
      <c r="E2900" s="3" t="s">
        <v>3293</v>
      </c>
      <c r="F2900" s="3"/>
      <c r="G2900" s="3"/>
      <c r="H2900" s="3"/>
      <c r="I2900" s="3"/>
      <c r="J2900" s="3">
        <v>0</v>
      </c>
      <c r="K2900" s="3">
        <v>0</v>
      </c>
      <c r="L2900" s="3">
        <v>0</v>
      </c>
      <c r="M2900" s="3">
        <v>0</v>
      </c>
      <c r="N2900" s="3">
        <v>0</v>
      </c>
      <c r="O2900" s="3"/>
      <c r="P2900" s="3">
        <v>0</v>
      </c>
      <c r="Q2900" s="3">
        <v>0</v>
      </c>
      <c r="R2900" s="3">
        <v>0</v>
      </c>
    </row>
    <row r="2901" spans="1:18">
      <c r="A2901" s="3" t="s">
        <v>7864</v>
      </c>
      <c r="B2901" s="3" t="s">
        <v>7865</v>
      </c>
      <c r="C2901" s="3" t="s">
        <v>7865</v>
      </c>
      <c r="D2901" s="3"/>
      <c r="E2901" s="3" t="s">
        <v>3293</v>
      </c>
      <c r="F2901" s="3"/>
      <c r="G2901" s="3"/>
      <c r="H2901" s="3"/>
      <c r="I2901" s="3"/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/>
      <c r="P2901" s="3">
        <v>0</v>
      </c>
      <c r="Q2901" s="3">
        <v>0</v>
      </c>
      <c r="R2901" s="3">
        <v>0</v>
      </c>
    </row>
    <row r="2902" spans="1:18">
      <c r="A2902" s="3" t="s">
        <v>7866</v>
      </c>
      <c r="B2902" s="3" t="s">
        <v>7867</v>
      </c>
      <c r="C2902" s="3" t="s">
        <v>7867</v>
      </c>
      <c r="D2902" s="3" t="s">
        <v>7868</v>
      </c>
      <c r="E2902" s="3" t="s">
        <v>867</v>
      </c>
      <c r="F2902" s="3">
        <v>26.98</v>
      </c>
      <c r="G2902" s="3" t="s">
        <v>3391</v>
      </c>
      <c r="H2902" s="3"/>
      <c r="I2902" s="3" t="s">
        <v>3392</v>
      </c>
      <c r="J2902" s="3">
        <v>0</v>
      </c>
      <c r="K2902" s="3">
        <v>0</v>
      </c>
      <c r="L2902" s="3">
        <v>0</v>
      </c>
      <c r="M2902" s="3">
        <v>0</v>
      </c>
      <c r="N2902" s="3">
        <v>0</v>
      </c>
      <c r="O2902" s="3">
        <v>0.04</v>
      </c>
      <c r="P2902" s="3">
        <v>0</v>
      </c>
      <c r="Q2902" s="3">
        <v>0</v>
      </c>
      <c r="R2902" s="3">
        <v>0</v>
      </c>
    </row>
    <row r="2903" spans="1:18">
      <c r="A2903" s="3" t="s">
        <v>3112</v>
      </c>
      <c r="B2903" s="3" t="s">
        <v>3113</v>
      </c>
      <c r="C2903" s="3" t="s">
        <v>3113</v>
      </c>
      <c r="D2903" s="3" t="s">
        <v>3114</v>
      </c>
      <c r="E2903" s="3" t="s">
        <v>867</v>
      </c>
      <c r="F2903" s="3">
        <v>22.98</v>
      </c>
      <c r="G2903" s="3" t="s">
        <v>3391</v>
      </c>
      <c r="H2903" s="3"/>
      <c r="I2903" s="3" t="s">
        <v>3392</v>
      </c>
      <c r="J2903" s="3">
        <v>22</v>
      </c>
      <c r="K2903" s="3">
        <v>22</v>
      </c>
      <c r="L2903" s="3">
        <v>0</v>
      </c>
      <c r="M2903" s="3">
        <v>0</v>
      </c>
      <c r="N2903" s="3">
        <v>22</v>
      </c>
      <c r="O2903" s="3">
        <v>0.07</v>
      </c>
      <c r="P2903" s="3">
        <v>0</v>
      </c>
      <c r="Q2903" s="3">
        <v>0</v>
      </c>
      <c r="R2903" s="3">
        <v>0</v>
      </c>
    </row>
    <row r="2904" spans="1:18">
      <c r="A2904" s="3" t="s">
        <v>831</v>
      </c>
      <c r="B2904" s="3" t="s">
        <v>795</v>
      </c>
      <c r="C2904" s="3" t="s">
        <v>795</v>
      </c>
      <c r="D2904" s="3" t="s">
        <v>796</v>
      </c>
      <c r="E2904" s="3" t="s">
        <v>867</v>
      </c>
      <c r="F2904" s="3">
        <v>22.98</v>
      </c>
      <c r="G2904" s="3" t="s">
        <v>3391</v>
      </c>
      <c r="H2904" s="3"/>
      <c r="I2904" s="3" t="s">
        <v>3392</v>
      </c>
      <c r="J2904" s="3">
        <v>15</v>
      </c>
      <c r="K2904" s="3">
        <v>14</v>
      </c>
      <c r="L2904" s="3">
        <v>0</v>
      </c>
      <c r="M2904" s="3">
        <v>1</v>
      </c>
      <c r="N2904" s="3">
        <v>15</v>
      </c>
      <c r="O2904" s="3">
        <v>0.07</v>
      </c>
      <c r="P2904" s="3">
        <v>0</v>
      </c>
      <c r="Q2904" s="3">
        <v>0</v>
      </c>
      <c r="R2904" s="3">
        <v>0</v>
      </c>
    </row>
    <row r="2905" spans="1:18">
      <c r="A2905" s="3" t="s">
        <v>825</v>
      </c>
      <c r="B2905" s="3" t="s">
        <v>777</v>
      </c>
      <c r="C2905" s="3" t="s">
        <v>777</v>
      </c>
      <c r="D2905" s="3" t="s">
        <v>778</v>
      </c>
      <c r="E2905" s="3" t="s">
        <v>867</v>
      </c>
      <c r="F2905" s="3">
        <v>22.98</v>
      </c>
      <c r="G2905" s="3" t="s">
        <v>3391</v>
      </c>
      <c r="H2905" s="3"/>
      <c r="I2905" s="3" t="s">
        <v>3392</v>
      </c>
      <c r="J2905" s="3">
        <v>9</v>
      </c>
      <c r="K2905" s="3">
        <v>8</v>
      </c>
      <c r="L2905" s="3">
        <v>0</v>
      </c>
      <c r="M2905" s="3">
        <v>1</v>
      </c>
      <c r="N2905" s="3">
        <v>9</v>
      </c>
      <c r="O2905" s="3">
        <v>0.07</v>
      </c>
      <c r="P2905" s="3">
        <v>0</v>
      </c>
      <c r="Q2905" s="3">
        <v>0</v>
      </c>
      <c r="R2905" s="3">
        <v>0</v>
      </c>
    </row>
    <row r="2906" spans="1:18">
      <c r="A2906" s="3" t="s">
        <v>3121</v>
      </c>
      <c r="B2906" s="3" t="s">
        <v>1081</v>
      </c>
      <c r="C2906" s="3" t="s">
        <v>1081</v>
      </c>
      <c r="D2906" s="3" t="s">
        <v>1082</v>
      </c>
      <c r="E2906" s="3" t="s">
        <v>867</v>
      </c>
      <c r="F2906" s="3">
        <v>22.98</v>
      </c>
      <c r="G2906" s="3" t="s">
        <v>3391</v>
      </c>
      <c r="H2906" s="3"/>
      <c r="I2906" s="3" t="s">
        <v>3392</v>
      </c>
      <c r="J2906" s="3">
        <v>3</v>
      </c>
      <c r="K2906" s="3">
        <v>3</v>
      </c>
      <c r="L2906" s="3">
        <v>0</v>
      </c>
      <c r="M2906" s="3">
        <v>0</v>
      </c>
      <c r="N2906" s="3">
        <v>3</v>
      </c>
      <c r="O2906" s="3">
        <v>0.07</v>
      </c>
      <c r="P2906" s="3">
        <v>0</v>
      </c>
      <c r="Q2906" s="3">
        <v>0</v>
      </c>
      <c r="R2906" s="3">
        <v>0</v>
      </c>
    </row>
    <row r="2907" spans="1:18">
      <c r="A2907" s="3" t="s">
        <v>1816</v>
      </c>
      <c r="B2907" s="3" t="s">
        <v>1817</v>
      </c>
      <c r="C2907" s="3" t="s">
        <v>1817</v>
      </c>
      <c r="D2907" s="3" t="s">
        <v>1818</v>
      </c>
      <c r="E2907" s="3" t="s">
        <v>867</v>
      </c>
      <c r="F2907" s="3">
        <v>22.98</v>
      </c>
      <c r="G2907" s="3" t="s">
        <v>3391</v>
      </c>
      <c r="H2907" s="3"/>
      <c r="I2907" s="3" t="s">
        <v>3392</v>
      </c>
      <c r="J2907" s="3">
        <v>14</v>
      </c>
      <c r="K2907" s="3">
        <v>14</v>
      </c>
      <c r="L2907" s="3">
        <v>0</v>
      </c>
      <c r="M2907" s="3">
        <v>0</v>
      </c>
      <c r="N2907" s="3">
        <v>14</v>
      </c>
      <c r="O2907" s="3">
        <v>0.07</v>
      </c>
      <c r="P2907" s="3">
        <v>0</v>
      </c>
      <c r="Q2907" s="3">
        <v>0</v>
      </c>
      <c r="R2907" s="3">
        <v>0</v>
      </c>
    </row>
    <row r="2908" spans="1:18">
      <c r="A2908" s="3" t="s">
        <v>2119</v>
      </c>
      <c r="B2908" s="3" t="s">
        <v>2120</v>
      </c>
      <c r="C2908" s="3" t="s">
        <v>2120</v>
      </c>
      <c r="D2908" s="3" t="s">
        <v>2121</v>
      </c>
      <c r="E2908" s="3" t="s">
        <v>867</v>
      </c>
      <c r="F2908" s="3">
        <v>22.98</v>
      </c>
      <c r="G2908" s="3" t="s">
        <v>3391</v>
      </c>
      <c r="H2908" s="3"/>
      <c r="I2908" s="3" t="s">
        <v>3392</v>
      </c>
      <c r="J2908" s="3">
        <v>29</v>
      </c>
      <c r="K2908" s="3">
        <v>29</v>
      </c>
      <c r="L2908" s="3">
        <v>0</v>
      </c>
      <c r="M2908" s="3">
        <v>0</v>
      </c>
      <c r="N2908" s="3">
        <v>29</v>
      </c>
      <c r="O2908" s="3">
        <v>0.07</v>
      </c>
      <c r="P2908" s="3">
        <v>0</v>
      </c>
      <c r="Q2908" s="3">
        <v>0</v>
      </c>
      <c r="R2908" s="3">
        <v>0</v>
      </c>
    </row>
    <row r="2909" spans="1:18">
      <c r="A2909" s="3" t="s">
        <v>827</v>
      </c>
      <c r="B2909" s="3" t="s">
        <v>783</v>
      </c>
      <c r="C2909" s="3" t="s">
        <v>783</v>
      </c>
      <c r="D2909" s="3" t="s">
        <v>784</v>
      </c>
      <c r="E2909" s="3" t="s">
        <v>867</v>
      </c>
      <c r="F2909" s="3">
        <v>22.98</v>
      </c>
      <c r="G2909" s="3" t="s">
        <v>3391</v>
      </c>
      <c r="H2909" s="3"/>
      <c r="I2909" s="3" t="s">
        <v>3392</v>
      </c>
      <c r="J2909" s="3">
        <v>1</v>
      </c>
      <c r="K2909" s="3">
        <v>0</v>
      </c>
      <c r="L2909" s="3">
        <v>0</v>
      </c>
      <c r="M2909" s="3">
        <v>1</v>
      </c>
      <c r="N2909" s="3">
        <v>1</v>
      </c>
      <c r="O2909" s="3">
        <v>0.07</v>
      </c>
      <c r="P2909" s="3">
        <v>0</v>
      </c>
      <c r="Q2909" s="3">
        <v>0</v>
      </c>
      <c r="R2909" s="3">
        <v>0</v>
      </c>
    </row>
    <row r="2910" spans="1:18">
      <c r="A2910" s="3" t="s">
        <v>7869</v>
      </c>
      <c r="B2910" s="3" t="s">
        <v>823</v>
      </c>
      <c r="C2910" s="3" t="s">
        <v>823</v>
      </c>
      <c r="D2910" s="3" t="s">
        <v>824</v>
      </c>
      <c r="E2910" s="3" t="s">
        <v>867</v>
      </c>
      <c r="F2910" s="3">
        <v>22.98</v>
      </c>
      <c r="G2910" s="3" t="s">
        <v>3391</v>
      </c>
      <c r="H2910" s="3"/>
      <c r="I2910" s="3" t="s">
        <v>3392</v>
      </c>
      <c r="J2910" s="3">
        <v>0</v>
      </c>
      <c r="K2910" s="3">
        <v>0</v>
      </c>
      <c r="L2910" s="3">
        <v>0</v>
      </c>
      <c r="M2910" s="3">
        <v>0</v>
      </c>
      <c r="N2910" s="3">
        <v>0</v>
      </c>
      <c r="O2910" s="3">
        <v>0.07</v>
      </c>
      <c r="P2910" s="3">
        <v>0</v>
      </c>
      <c r="Q2910" s="3">
        <v>0</v>
      </c>
      <c r="R2910" s="3">
        <v>0</v>
      </c>
    </row>
    <row r="2911" spans="1:18">
      <c r="A2911" s="3" t="s">
        <v>7870</v>
      </c>
      <c r="B2911" s="3" t="s">
        <v>805</v>
      </c>
      <c r="C2911" s="3" t="s">
        <v>805</v>
      </c>
      <c r="D2911" s="3" t="s">
        <v>806</v>
      </c>
      <c r="E2911" s="3" t="s">
        <v>867</v>
      </c>
      <c r="F2911" s="3">
        <v>22.98</v>
      </c>
      <c r="G2911" s="3" t="s">
        <v>3391</v>
      </c>
      <c r="H2911" s="3"/>
      <c r="I2911" s="3" t="s">
        <v>3392</v>
      </c>
      <c r="J2911" s="3">
        <v>0</v>
      </c>
      <c r="K2911" s="3">
        <v>0</v>
      </c>
      <c r="L2911" s="3">
        <v>0</v>
      </c>
      <c r="M2911" s="3">
        <v>0</v>
      </c>
      <c r="N2911" s="3">
        <v>0</v>
      </c>
      <c r="O2911" s="3">
        <v>0.07</v>
      </c>
      <c r="P2911" s="3">
        <v>0</v>
      </c>
      <c r="Q2911" s="3">
        <v>0</v>
      </c>
      <c r="R2911" s="3">
        <v>0</v>
      </c>
    </row>
    <row r="2912" spans="1:18">
      <c r="A2912" s="3" t="s">
        <v>3193</v>
      </c>
      <c r="B2912" s="3" t="s">
        <v>919</v>
      </c>
      <c r="C2912" s="3" t="s">
        <v>919</v>
      </c>
      <c r="D2912" s="3" t="s">
        <v>920</v>
      </c>
      <c r="E2912" s="3" t="s">
        <v>867</v>
      </c>
      <c r="F2912" s="3">
        <v>22.98</v>
      </c>
      <c r="G2912" s="3" t="s">
        <v>3391</v>
      </c>
      <c r="H2912" s="3"/>
      <c r="I2912" s="3" t="s">
        <v>3392</v>
      </c>
      <c r="J2912" s="3">
        <v>14</v>
      </c>
      <c r="K2912" s="3">
        <v>14</v>
      </c>
      <c r="L2912" s="3">
        <v>0</v>
      </c>
      <c r="M2912" s="3">
        <v>0</v>
      </c>
      <c r="N2912" s="3">
        <v>14</v>
      </c>
      <c r="O2912" s="3">
        <v>0.07</v>
      </c>
      <c r="P2912" s="3">
        <v>0</v>
      </c>
      <c r="Q2912" s="3">
        <v>0</v>
      </c>
      <c r="R2912" s="3">
        <v>0</v>
      </c>
    </row>
    <row r="2913" spans="1:18">
      <c r="A2913" s="3" t="s">
        <v>2643</v>
      </c>
      <c r="B2913" s="3" t="s">
        <v>2644</v>
      </c>
      <c r="C2913" s="3" t="s">
        <v>2644</v>
      </c>
      <c r="D2913" s="3" t="s">
        <v>2645</v>
      </c>
      <c r="E2913" s="3" t="s">
        <v>867</v>
      </c>
      <c r="F2913" s="3">
        <v>22.98</v>
      </c>
      <c r="G2913" s="3" t="s">
        <v>3391</v>
      </c>
      <c r="H2913" s="3"/>
      <c r="I2913" s="3" t="s">
        <v>3392</v>
      </c>
      <c r="J2913" s="3">
        <v>4</v>
      </c>
      <c r="K2913" s="3">
        <v>4</v>
      </c>
      <c r="L2913" s="3">
        <v>0</v>
      </c>
      <c r="M2913" s="3">
        <v>0</v>
      </c>
      <c r="N2913" s="3">
        <v>4</v>
      </c>
      <c r="O2913" s="3">
        <v>0.07</v>
      </c>
      <c r="P2913" s="3">
        <v>0</v>
      </c>
      <c r="Q2913" s="3">
        <v>0</v>
      </c>
      <c r="R2913" s="3">
        <v>0</v>
      </c>
    </row>
    <row r="2914" spans="1:18">
      <c r="A2914" s="3" t="s">
        <v>826</v>
      </c>
      <c r="B2914" s="3" t="s">
        <v>780</v>
      </c>
      <c r="C2914" s="3" t="s">
        <v>780</v>
      </c>
      <c r="D2914" s="3" t="s">
        <v>781</v>
      </c>
      <c r="E2914" s="3" t="s">
        <v>867</v>
      </c>
      <c r="F2914" s="3">
        <v>22.98</v>
      </c>
      <c r="G2914" s="3" t="s">
        <v>3391</v>
      </c>
      <c r="H2914" s="3"/>
      <c r="I2914" s="3" t="s">
        <v>3392</v>
      </c>
      <c r="J2914" s="3">
        <v>1</v>
      </c>
      <c r="K2914" s="3">
        <v>0</v>
      </c>
      <c r="L2914" s="3">
        <v>0</v>
      </c>
      <c r="M2914" s="3">
        <v>1</v>
      </c>
      <c r="N2914" s="3">
        <v>1</v>
      </c>
      <c r="O2914" s="3">
        <v>0.07</v>
      </c>
      <c r="P2914" s="3">
        <v>0</v>
      </c>
      <c r="Q2914" s="3">
        <v>0</v>
      </c>
      <c r="R2914" s="3">
        <v>0</v>
      </c>
    </row>
    <row r="2915" spans="1:18">
      <c r="A2915" s="3" t="s">
        <v>829</v>
      </c>
      <c r="B2915" s="3" t="s">
        <v>789</v>
      </c>
      <c r="C2915" s="3" t="s">
        <v>789</v>
      </c>
      <c r="D2915" s="3" t="s">
        <v>790</v>
      </c>
      <c r="E2915" s="3" t="s">
        <v>867</v>
      </c>
      <c r="F2915" s="3">
        <v>22.98</v>
      </c>
      <c r="G2915" s="3" t="s">
        <v>3391</v>
      </c>
      <c r="H2915" s="3"/>
      <c r="I2915" s="3" t="s">
        <v>3392</v>
      </c>
      <c r="J2915" s="3">
        <v>9</v>
      </c>
      <c r="K2915" s="3">
        <v>8</v>
      </c>
      <c r="L2915" s="3">
        <v>0</v>
      </c>
      <c r="M2915" s="3">
        <v>1</v>
      </c>
      <c r="N2915" s="3">
        <v>9</v>
      </c>
      <c r="O2915" s="3">
        <v>0.07</v>
      </c>
      <c r="P2915" s="3">
        <v>0</v>
      </c>
      <c r="Q2915" s="3">
        <v>0</v>
      </c>
      <c r="R2915" s="3">
        <v>0</v>
      </c>
    </row>
    <row r="2916" spans="1:18">
      <c r="A2916" s="3" t="s">
        <v>2850</v>
      </c>
      <c r="B2916" s="3" t="s">
        <v>998</v>
      </c>
      <c r="C2916" s="3" t="s">
        <v>998</v>
      </c>
      <c r="D2916" s="3" t="s">
        <v>999</v>
      </c>
      <c r="E2916" s="3" t="s">
        <v>867</v>
      </c>
      <c r="F2916" s="3">
        <v>22.98</v>
      </c>
      <c r="G2916" s="3" t="s">
        <v>3391</v>
      </c>
      <c r="H2916" s="3"/>
      <c r="I2916" s="3" t="s">
        <v>3392</v>
      </c>
      <c r="J2916" s="3">
        <v>3</v>
      </c>
      <c r="K2916" s="3">
        <v>3</v>
      </c>
      <c r="L2916" s="3">
        <v>0</v>
      </c>
      <c r="M2916" s="3">
        <v>0</v>
      </c>
      <c r="N2916" s="3">
        <v>3</v>
      </c>
      <c r="O2916" s="3">
        <v>0.07</v>
      </c>
      <c r="P2916" s="3">
        <v>0</v>
      </c>
      <c r="Q2916" s="3">
        <v>0</v>
      </c>
      <c r="R2916" s="3">
        <v>0</v>
      </c>
    </row>
    <row r="2917" spans="1:18">
      <c r="A2917" s="3" t="s">
        <v>2619</v>
      </c>
      <c r="B2917" s="3" t="s">
        <v>2620</v>
      </c>
      <c r="C2917" s="3" t="s">
        <v>2620</v>
      </c>
      <c r="D2917" s="3" t="s">
        <v>2621</v>
      </c>
      <c r="E2917" s="3" t="s">
        <v>867</v>
      </c>
      <c r="F2917" s="3">
        <v>22.98</v>
      </c>
      <c r="G2917" s="3" t="s">
        <v>3391</v>
      </c>
      <c r="H2917" s="3"/>
      <c r="I2917" s="3" t="s">
        <v>3392</v>
      </c>
      <c r="J2917" s="3">
        <v>5</v>
      </c>
      <c r="K2917" s="3">
        <v>5</v>
      </c>
      <c r="L2917" s="3">
        <v>0</v>
      </c>
      <c r="M2917" s="3">
        <v>0</v>
      </c>
      <c r="N2917" s="3">
        <v>5</v>
      </c>
      <c r="O2917" s="3">
        <v>0.07</v>
      </c>
      <c r="P2917" s="3">
        <v>0</v>
      </c>
      <c r="Q2917" s="3">
        <v>0</v>
      </c>
      <c r="R2917" s="3">
        <v>0</v>
      </c>
    </row>
    <row r="2918" spans="1:18">
      <c r="A2918" s="3" t="s">
        <v>1636</v>
      </c>
      <c r="B2918" s="3" t="s">
        <v>1637</v>
      </c>
      <c r="C2918" s="3" t="s">
        <v>1637</v>
      </c>
      <c r="D2918" s="3" t="s">
        <v>1638</v>
      </c>
      <c r="E2918" s="3" t="s">
        <v>867</v>
      </c>
      <c r="F2918" s="3">
        <v>22.98</v>
      </c>
      <c r="G2918" s="3" t="s">
        <v>3391</v>
      </c>
      <c r="H2918" s="3"/>
      <c r="I2918" s="3" t="s">
        <v>3392</v>
      </c>
      <c r="J2918" s="3">
        <v>12</v>
      </c>
      <c r="K2918" s="3">
        <v>12</v>
      </c>
      <c r="L2918" s="3">
        <v>0</v>
      </c>
      <c r="M2918" s="3">
        <v>0</v>
      </c>
      <c r="N2918" s="3">
        <v>12</v>
      </c>
      <c r="O2918" s="3">
        <v>0.07</v>
      </c>
      <c r="P2918" s="3">
        <v>0</v>
      </c>
      <c r="Q2918" s="3">
        <v>0</v>
      </c>
      <c r="R2918" s="3">
        <v>0</v>
      </c>
    </row>
    <row r="2919" spans="1:18">
      <c r="A2919" s="3" t="s">
        <v>1905</v>
      </c>
      <c r="B2919" s="3" t="s">
        <v>1906</v>
      </c>
      <c r="C2919" s="3" t="s">
        <v>1906</v>
      </c>
      <c r="D2919" s="3" t="s">
        <v>1907</v>
      </c>
      <c r="E2919" s="3" t="s">
        <v>867</v>
      </c>
      <c r="F2919" s="3">
        <v>22.98</v>
      </c>
      <c r="G2919" s="3" t="s">
        <v>3391</v>
      </c>
      <c r="H2919" s="3"/>
      <c r="I2919" s="3" t="s">
        <v>3392</v>
      </c>
      <c r="J2919" s="3">
        <v>13</v>
      </c>
      <c r="K2919" s="3">
        <v>13</v>
      </c>
      <c r="L2919" s="3">
        <v>0</v>
      </c>
      <c r="M2919" s="3">
        <v>0</v>
      </c>
      <c r="N2919" s="3">
        <v>13</v>
      </c>
      <c r="O2919" s="3">
        <v>0.07</v>
      </c>
      <c r="P2919" s="3">
        <v>0</v>
      </c>
      <c r="Q2919" s="3">
        <v>0</v>
      </c>
      <c r="R2919" s="3">
        <v>0</v>
      </c>
    </row>
    <row r="2920" spans="1:18">
      <c r="A2920" s="3" t="s">
        <v>1802</v>
      </c>
      <c r="B2920" s="3" t="s">
        <v>1803</v>
      </c>
      <c r="C2920" s="3" t="s">
        <v>1803</v>
      </c>
      <c r="D2920" s="3" t="s">
        <v>1804</v>
      </c>
      <c r="E2920" s="3" t="s">
        <v>867</v>
      </c>
      <c r="F2920" s="3">
        <v>22.98</v>
      </c>
      <c r="G2920" s="3" t="s">
        <v>3391</v>
      </c>
      <c r="H2920" s="3"/>
      <c r="I2920" s="3" t="s">
        <v>3392</v>
      </c>
      <c r="J2920" s="3">
        <v>7</v>
      </c>
      <c r="K2920" s="3">
        <v>7</v>
      </c>
      <c r="L2920" s="3">
        <v>0</v>
      </c>
      <c r="M2920" s="3">
        <v>0</v>
      </c>
      <c r="N2920" s="3">
        <v>7</v>
      </c>
      <c r="O2920" s="3">
        <v>0.07</v>
      </c>
      <c r="P2920" s="3">
        <v>0</v>
      </c>
      <c r="Q2920" s="3">
        <v>0</v>
      </c>
      <c r="R2920" s="3">
        <v>0</v>
      </c>
    </row>
    <row r="2921" spans="1:18">
      <c r="A2921" s="3" t="s">
        <v>1276</v>
      </c>
      <c r="B2921" s="3" t="s">
        <v>1277</v>
      </c>
      <c r="C2921" s="3" t="s">
        <v>1277</v>
      </c>
      <c r="D2921" s="3" t="s">
        <v>1278</v>
      </c>
      <c r="E2921" s="3" t="s">
        <v>867</v>
      </c>
      <c r="F2921" s="3">
        <v>22.98</v>
      </c>
      <c r="G2921" s="3" t="s">
        <v>3391</v>
      </c>
      <c r="H2921" s="3"/>
      <c r="I2921" s="3" t="s">
        <v>3392</v>
      </c>
      <c r="J2921" s="3">
        <v>3</v>
      </c>
      <c r="K2921" s="3">
        <v>3</v>
      </c>
      <c r="L2921" s="3">
        <v>0</v>
      </c>
      <c r="M2921" s="3">
        <v>0</v>
      </c>
      <c r="N2921" s="3">
        <v>3</v>
      </c>
      <c r="O2921" s="3">
        <v>0.07</v>
      </c>
      <c r="P2921" s="3">
        <v>0</v>
      </c>
      <c r="Q2921" s="3">
        <v>0</v>
      </c>
      <c r="R2921" s="3">
        <v>0</v>
      </c>
    </row>
    <row r="2922" spans="1:18">
      <c r="A2922" s="3" t="s">
        <v>1466</v>
      </c>
      <c r="B2922" s="3" t="s">
        <v>1467</v>
      </c>
      <c r="C2922" s="3" t="s">
        <v>1467</v>
      </c>
      <c r="D2922" s="3" t="s">
        <v>1468</v>
      </c>
      <c r="E2922" s="3" t="s">
        <v>867</v>
      </c>
      <c r="F2922" s="3">
        <v>22.98</v>
      </c>
      <c r="G2922" s="3" t="s">
        <v>3391</v>
      </c>
      <c r="H2922" s="3"/>
      <c r="I2922" s="3" t="s">
        <v>3392</v>
      </c>
      <c r="J2922" s="3">
        <v>21</v>
      </c>
      <c r="K2922" s="3">
        <v>21</v>
      </c>
      <c r="L2922" s="3">
        <v>0</v>
      </c>
      <c r="M2922" s="3">
        <v>0</v>
      </c>
      <c r="N2922" s="3">
        <v>21</v>
      </c>
      <c r="O2922" s="3">
        <v>0.07</v>
      </c>
      <c r="P2922" s="3">
        <v>0</v>
      </c>
      <c r="Q2922" s="3">
        <v>0</v>
      </c>
      <c r="R2922" s="3">
        <v>0</v>
      </c>
    </row>
    <row r="2923" spans="1:18">
      <c r="A2923" s="3" t="s">
        <v>7871</v>
      </c>
      <c r="B2923" s="3" t="s">
        <v>7872</v>
      </c>
      <c r="C2923" s="3" t="s">
        <v>7873</v>
      </c>
      <c r="D2923" s="3" t="s">
        <v>7874</v>
      </c>
      <c r="E2923" s="3" t="s">
        <v>867</v>
      </c>
      <c r="F2923" s="3">
        <v>25.98</v>
      </c>
      <c r="G2923" s="3" t="s">
        <v>3391</v>
      </c>
      <c r="H2923" s="3"/>
      <c r="I2923" s="3" t="s">
        <v>3392</v>
      </c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>
        <v>0.13</v>
      </c>
      <c r="P2923" s="3">
        <v>0</v>
      </c>
      <c r="Q2923" s="3">
        <v>0</v>
      </c>
      <c r="R2923" s="3">
        <v>0</v>
      </c>
    </row>
    <row r="2924" spans="1:18">
      <c r="A2924" s="3" t="s">
        <v>7875</v>
      </c>
      <c r="B2924" s="3" t="s">
        <v>7876</v>
      </c>
      <c r="C2924" s="3" t="s">
        <v>7877</v>
      </c>
      <c r="D2924" s="3" t="s">
        <v>7878</v>
      </c>
      <c r="E2924" s="3" t="s">
        <v>867</v>
      </c>
      <c r="F2924" s="3">
        <v>25.98</v>
      </c>
      <c r="G2924" s="3" t="s">
        <v>3391</v>
      </c>
      <c r="H2924" s="3"/>
      <c r="I2924" s="3" t="s">
        <v>3392</v>
      </c>
      <c r="J2924" s="3">
        <v>0</v>
      </c>
      <c r="K2924" s="3">
        <v>0</v>
      </c>
      <c r="L2924" s="3">
        <v>0</v>
      </c>
      <c r="M2924" s="3">
        <v>0</v>
      </c>
      <c r="N2924" s="3">
        <v>0</v>
      </c>
      <c r="O2924" s="3">
        <v>0.13</v>
      </c>
      <c r="P2924" s="3">
        <v>0</v>
      </c>
      <c r="Q2924" s="3">
        <v>0</v>
      </c>
      <c r="R2924" s="3">
        <v>0</v>
      </c>
    </row>
    <row r="2925" spans="1:18">
      <c r="A2925" s="3" t="s">
        <v>7879</v>
      </c>
      <c r="B2925" s="3" t="s">
        <v>7880</v>
      </c>
      <c r="C2925" s="3" t="s">
        <v>7881</v>
      </c>
      <c r="D2925" s="3" t="s">
        <v>7882</v>
      </c>
      <c r="E2925" s="3" t="s">
        <v>867</v>
      </c>
      <c r="F2925" s="3">
        <v>25.98</v>
      </c>
      <c r="G2925" s="3" t="s">
        <v>3391</v>
      </c>
      <c r="H2925" s="3"/>
      <c r="I2925" s="3" t="s">
        <v>3392</v>
      </c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>
        <v>0.13</v>
      </c>
      <c r="P2925" s="3">
        <v>0</v>
      </c>
      <c r="Q2925" s="3">
        <v>0</v>
      </c>
      <c r="R2925" s="3">
        <v>0</v>
      </c>
    </row>
    <row r="2926" spans="1:18">
      <c r="A2926" s="3" t="s">
        <v>7883</v>
      </c>
      <c r="B2926" s="3" t="s">
        <v>7884</v>
      </c>
      <c r="C2926" s="3" t="s">
        <v>7885</v>
      </c>
      <c r="D2926" s="3" t="s">
        <v>7886</v>
      </c>
      <c r="E2926" s="3" t="s">
        <v>867</v>
      </c>
      <c r="F2926" s="3">
        <v>25.98</v>
      </c>
      <c r="G2926" s="3" t="s">
        <v>3391</v>
      </c>
      <c r="H2926" s="3"/>
      <c r="I2926" s="3" t="s">
        <v>3392</v>
      </c>
      <c r="J2926" s="3">
        <v>0</v>
      </c>
      <c r="K2926" s="3">
        <v>0</v>
      </c>
      <c r="L2926" s="3">
        <v>0</v>
      </c>
      <c r="M2926" s="3">
        <v>0</v>
      </c>
      <c r="N2926" s="3">
        <v>0</v>
      </c>
      <c r="O2926" s="3">
        <v>0.13</v>
      </c>
      <c r="P2926" s="3">
        <v>0</v>
      </c>
      <c r="Q2926" s="3">
        <v>0</v>
      </c>
      <c r="R2926" s="3">
        <v>0</v>
      </c>
    </row>
    <row r="2927" spans="1:18">
      <c r="A2927" s="3" t="s">
        <v>7887</v>
      </c>
      <c r="B2927" s="3" t="s">
        <v>7888</v>
      </c>
      <c r="C2927" s="3" t="s">
        <v>7889</v>
      </c>
      <c r="D2927" s="3" t="s">
        <v>7890</v>
      </c>
      <c r="E2927" s="3" t="s">
        <v>867</v>
      </c>
      <c r="F2927" s="3">
        <v>25.98</v>
      </c>
      <c r="G2927" s="3" t="s">
        <v>3391</v>
      </c>
      <c r="H2927" s="3"/>
      <c r="I2927" s="3" t="s">
        <v>3392</v>
      </c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>
        <v>0.13</v>
      </c>
      <c r="P2927" s="3">
        <v>0</v>
      </c>
      <c r="Q2927" s="3">
        <v>0</v>
      </c>
      <c r="R2927" s="3">
        <v>0</v>
      </c>
    </row>
    <row r="2928" spans="1:18">
      <c r="A2928" s="3" t="s">
        <v>7891</v>
      </c>
      <c r="B2928" s="3" t="s">
        <v>7892</v>
      </c>
      <c r="C2928" s="3" t="s">
        <v>7893</v>
      </c>
      <c r="D2928" s="3" t="s">
        <v>7894</v>
      </c>
      <c r="E2928" s="3" t="s">
        <v>867</v>
      </c>
      <c r="F2928" s="3">
        <v>25.98</v>
      </c>
      <c r="G2928" s="3" t="s">
        <v>3391</v>
      </c>
      <c r="H2928" s="3"/>
      <c r="I2928" s="3" t="s">
        <v>3392</v>
      </c>
      <c r="J2928" s="3">
        <v>0</v>
      </c>
      <c r="K2928" s="3">
        <v>0</v>
      </c>
      <c r="L2928" s="3">
        <v>0</v>
      </c>
      <c r="M2928" s="3">
        <v>0</v>
      </c>
      <c r="N2928" s="3">
        <v>0</v>
      </c>
      <c r="O2928" s="3">
        <v>0.13</v>
      </c>
      <c r="P2928" s="3">
        <v>0</v>
      </c>
      <c r="Q2928" s="3">
        <v>0</v>
      </c>
      <c r="R2928" s="3">
        <v>0</v>
      </c>
    </row>
    <row r="2929" spans="1:18">
      <c r="A2929" s="3" t="s">
        <v>7895</v>
      </c>
      <c r="B2929" s="3" t="s">
        <v>7896</v>
      </c>
      <c r="C2929" s="3" t="s">
        <v>7897</v>
      </c>
      <c r="D2929" s="3" t="s">
        <v>7898</v>
      </c>
      <c r="E2929" s="3" t="s">
        <v>867</v>
      </c>
      <c r="F2929" s="3">
        <v>25.98</v>
      </c>
      <c r="G2929" s="3" t="s">
        <v>3391</v>
      </c>
      <c r="H2929" s="3"/>
      <c r="I2929" s="3" t="s">
        <v>3392</v>
      </c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>
        <v>0.13</v>
      </c>
      <c r="P2929" s="3">
        <v>0</v>
      </c>
      <c r="Q2929" s="3">
        <v>0</v>
      </c>
      <c r="R2929" s="3">
        <v>0</v>
      </c>
    </row>
    <row r="2930" spans="1:18">
      <c r="A2930" s="3" t="s">
        <v>7899</v>
      </c>
      <c r="B2930" s="3" t="s">
        <v>7900</v>
      </c>
      <c r="C2930" s="3" t="s">
        <v>7901</v>
      </c>
      <c r="D2930" s="3" t="s">
        <v>7902</v>
      </c>
      <c r="E2930" s="3" t="s">
        <v>867</v>
      </c>
      <c r="F2930" s="3">
        <v>25.98</v>
      </c>
      <c r="G2930" s="3" t="s">
        <v>3391</v>
      </c>
      <c r="H2930" s="3"/>
      <c r="I2930" s="3" t="s">
        <v>3392</v>
      </c>
      <c r="J2930" s="3">
        <v>0</v>
      </c>
      <c r="K2930" s="3">
        <v>0</v>
      </c>
      <c r="L2930" s="3">
        <v>0</v>
      </c>
      <c r="M2930" s="3">
        <v>0</v>
      </c>
      <c r="N2930" s="3">
        <v>0</v>
      </c>
      <c r="O2930" s="3">
        <v>0.13</v>
      </c>
      <c r="P2930" s="3">
        <v>0</v>
      </c>
      <c r="Q2930" s="3">
        <v>0</v>
      </c>
      <c r="R2930" s="3">
        <v>0</v>
      </c>
    </row>
    <row r="2931" spans="1:18">
      <c r="A2931" s="3" t="s">
        <v>2499</v>
      </c>
      <c r="B2931" s="3" t="s">
        <v>2500</v>
      </c>
      <c r="C2931" s="3" t="s">
        <v>2500</v>
      </c>
      <c r="D2931" s="3" t="s">
        <v>2501</v>
      </c>
      <c r="E2931" s="3" t="s">
        <v>867</v>
      </c>
      <c r="F2931" s="3">
        <v>49.98</v>
      </c>
      <c r="G2931" s="3" t="s">
        <v>3391</v>
      </c>
      <c r="H2931" s="3"/>
      <c r="I2931" s="3" t="s">
        <v>3392</v>
      </c>
      <c r="J2931" s="3">
        <v>1</v>
      </c>
      <c r="K2931" s="3">
        <v>1</v>
      </c>
      <c r="L2931" s="3">
        <v>0</v>
      </c>
      <c r="M2931" s="3">
        <v>0</v>
      </c>
      <c r="N2931" s="3">
        <v>1</v>
      </c>
      <c r="O2931" s="3">
        <v>0.27</v>
      </c>
      <c r="P2931" s="3">
        <v>0</v>
      </c>
      <c r="Q2931" s="3">
        <v>0</v>
      </c>
      <c r="R2931" s="3">
        <v>0</v>
      </c>
    </row>
    <row r="2932" spans="1:18">
      <c r="A2932" s="3" t="s">
        <v>7903</v>
      </c>
      <c r="B2932" s="3" t="s">
        <v>7904</v>
      </c>
      <c r="C2932" s="3" t="s">
        <v>7904</v>
      </c>
      <c r="D2932" s="3" t="s">
        <v>7905</v>
      </c>
      <c r="E2932" s="3" t="s">
        <v>867</v>
      </c>
      <c r="F2932" s="3">
        <v>49.98</v>
      </c>
      <c r="G2932" s="3" t="s">
        <v>3391</v>
      </c>
      <c r="H2932" s="3"/>
      <c r="I2932" s="3" t="s">
        <v>3392</v>
      </c>
      <c r="J2932" s="3">
        <v>0</v>
      </c>
      <c r="K2932" s="3">
        <v>0</v>
      </c>
      <c r="L2932" s="3">
        <v>0</v>
      </c>
      <c r="M2932" s="3">
        <v>0</v>
      </c>
      <c r="N2932" s="3">
        <v>0</v>
      </c>
      <c r="O2932" s="3">
        <v>0.27</v>
      </c>
      <c r="P2932" s="3">
        <v>0</v>
      </c>
      <c r="Q2932" s="3">
        <v>0</v>
      </c>
      <c r="R2932" s="3">
        <v>0</v>
      </c>
    </row>
    <row r="2933" spans="1:18">
      <c r="A2933" s="3" t="s">
        <v>7906</v>
      </c>
      <c r="B2933" s="3" t="s">
        <v>7907</v>
      </c>
      <c r="C2933" s="3" t="s">
        <v>7907</v>
      </c>
      <c r="D2933" s="3" t="s">
        <v>7908</v>
      </c>
      <c r="E2933" s="3" t="s">
        <v>867</v>
      </c>
      <c r="F2933" s="3">
        <v>49.98</v>
      </c>
      <c r="G2933" s="3" t="s">
        <v>3391</v>
      </c>
      <c r="H2933" s="3"/>
      <c r="I2933" s="3" t="s">
        <v>3392</v>
      </c>
      <c r="J2933" s="3">
        <v>0</v>
      </c>
      <c r="K2933" s="3">
        <v>0</v>
      </c>
      <c r="L2933" s="3">
        <v>0</v>
      </c>
      <c r="M2933" s="3">
        <v>0</v>
      </c>
      <c r="N2933" s="3">
        <v>0</v>
      </c>
      <c r="O2933" s="3">
        <v>0.27</v>
      </c>
      <c r="P2933" s="3">
        <v>0</v>
      </c>
      <c r="Q2933" s="3">
        <v>0</v>
      </c>
      <c r="R2933" s="3">
        <v>0</v>
      </c>
    </row>
    <row r="2934" spans="1:18">
      <c r="A2934" s="3" t="s">
        <v>7909</v>
      </c>
      <c r="B2934" s="3" t="s">
        <v>7910</v>
      </c>
      <c r="C2934" s="3" t="s">
        <v>7910</v>
      </c>
      <c r="D2934" s="3" t="s">
        <v>7911</v>
      </c>
      <c r="E2934" s="3" t="s">
        <v>867</v>
      </c>
      <c r="F2934" s="3">
        <v>49.98</v>
      </c>
      <c r="G2934" s="3" t="s">
        <v>3391</v>
      </c>
      <c r="H2934" s="3"/>
      <c r="I2934" s="3" t="s">
        <v>3392</v>
      </c>
      <c r="J2934" s="3">
        <v>0</v>
      </c>
      <c r="K2934" s="3">
        <v>0</v>
      </c>
      <c r="L2934" s="3">
        <v>0</v>
      </c>
      <c r="M2934" s="3">
        <v>0</v>
      </c>
      <c r="N2934" s="3">
        <v>0</v>
      </c>
      <c r="O2934" s="3">
        <v>0.27</v>
      </c>
      <c r="P2934" s="3">
        <v>0</v>
      </c>
      <c r="Q2934" s="3">
        <v>0</v>
      </c>
      <c r="R2934" s="3">
        <v>0</v>
      </c>
    </row>
    <row r="2935" spans="1:18">
      <c r="A2935" s="3" t="s">
        <v>7912</v>
      </c>
      <c r="B2935" s="3" t="s">
        <v>7913</v>
      </c>
      <c r="C2935" s="3" t="s">
        <v>7913</v>
      </c>
      <c r="D2935" s="3" t="s">
        <v>7914</v>
      </c>
      <c r="E2935" s="3" t="s">
        <v>867</v>
      </c>
      <c r="F2935" s="3">
        <v>49.98</v>
      </c>
      <c r="G2935" s="3" t="s">
        <v>3391</v>
      </c>
      <c r="H2935" s="3"/>
      <c r="I2935" s="3" t="s">
        <v>3392</v>
      </c>
      <c r="J2935" s="3">
        <v>0</v>
      </c>
      <c r="K2935" s="3">
        <v>0</v>
      </c>
      <c r="L2935" s="3">
        <v>0</v>
      </c>
      <c r="M2935" s="3">
        <v>0</v>
      </c>
      <c r="N2935" s="3">
        <v>0</v>
      </c>
      <c r="O2935" s="3">
        <v>0.27</v>
      </c>
      <c r="P2935" s="3">
        <v>0</v>
      </c>
      <c r="Q2935" s="3">
        <v>0</v>
      </c>
      <c r="R2935" s="3">
        <v>0</v>
      </c>
    </row>
    <row r="2936" spans="1:18">
      <c r="A2936" s="3" t="s">
        <v>2311</v>
      </c>
      <c r="B2936" s="3" t="s">
        <v>2312</v>
      </c>
      <c r="C2936" s="3" t="s">
        <v>2312</v>
      </c>
      <c r="D2936" s="3" t="s">
        <v>2313</v>
      </c>
      <c r="E2936" s="3" t="s">
        <v>867</v>
      </c>
      <c r="F2936" s="3">
        <v>49.98</v>
      </c>
      <c r="G2936" s="3" t="s">
        <v>3391</v>
      </c>
      <c r="H2936" s="3"/>
      <c r="I2936" s="3" t="s">
        <v>3392</v>
      </c>
      <c r="J2936" s="3">
        <v>2</v>
      </c>
      <c r="K2936" s="3">
        <v>2</v>
      </c>
      <c r="L2936" s="3">
        <v>0</v>
      </c>
      <c r="M2936" s="3">
        <v>0</v>
      </c>
      <c r="N2936" s="3">
        <v>2</v>
      </c>
      <c r="O2936" s="3">
        <v>0.29</v>
      </c>
      <c r="P2936" s="3">
        <v>0</v>
      </c>
      <c r="Q2936" s="3">
        <v>0</v>
      </c>
      <c r="R2936" s="3">
        <v>0</v>
      </c>
    </row>
    <row r="2937" spans="1:18">
      <c r="A2937" s="3" t="s">
        <v>7915</v>
      </c>
      <c r="B2937" s="3" t="s">
        <v>7916</v>
      </c>
      <c r="C2937" s="3" t="s">
        <v>7916</v>
      </c>
      <c r="D2937" s="3" t="s">
        <v>7917</v>
      </c>
      <c r="E2937" s="3" t="s">
        <v>867</v>
      </c>
      <c r="F2937" s="3">
        <v>49.98</v>
      </c>
      <c r="G2937" s="3" t="s">
        <v>3391</v>
      </c>
      <c r="H2937" s="3"/>
      <c r="I2937" s="3" t="s">
        <v>3392</v>
      </c>
      <c r="J2937" s="3">
        <v>0</v>
      </c>
      <c r="K2937" s="3">
        <v>0</v>
      </c>
      <c r="L2937" s="3">
        <v>0</v>
      </c>
      <c r="M2937" s="3">
        <v>0</v>
      </c>
      <c r="N2937" s="3">
        <v>0</v>
      </c>
      <c r="O2937" s="3">
        <v>0.25</v>
      </c>
      <c r="P2937" s="3">
        <v>0</v>
      </c>
      <c r="Q2937" s="3">
        <v>0</v>
      </c>
      <c r="R2937" s="3">
        <v>0</v>
      </c>
    </row>
    <row r="2938" spans="1:18">
      <c r="A2938" s="3" t="s">
        <v>7918</v>
      </c>
      <c r="B2938" s="3" t="s">
        <v>7919</v>
      </c>
      <c r="C2938" s="3" t="s">
        <v>7919</v>
      </c>
      <c r="D2938" s="3" t="s">
        <v>7920</v>
      </c>
      <c r="E2938" s="3" t="s">
        <v>867</v>
      </c>
      <c r="F2938" s="3">
        <v>49.98</v>
      </c>
      <c r="G2938" s="3" t="s">
        <v>3391</v>
      </c>
      <c r="H2938" s="3"/>
      <c r="I2938" s="3" t="s">
        <v>3392</v>
      </c>
      <c r="J2938" s="3">
        <v>0</v>
      </c>
      <c r="K2938" s="3">
        <v>0</v>
      </c>
      <c r="L2938" s="3">
        <v>0</v>
      </c>
      <c r="M2938" s="3">
        <v>0</v>
      </c>
      <c r="N2938" s="3">
        <v>0</v>
      </c>
      <c r="O2938" s="3">
        <v>0.27</v>
      </c>
      <c r="P2938" s="3">
        <v>0</v>
      </c>
      <c r="Q2938" s="3">
        <v>0</v>
      </c>
      <c r="R2938" s="3">
        <v>0</v>
      </c>
    </row>
    <row r="2939" spans="1:18">
      <c r="A2939" s="3" t="s">
        <v>7921</v>
      </c>
      <c r="B2939" s="3" t="s">
        <v>7922</v>
      </c>
      <c r="C2939" s="3" t="s">
        <v>7922</v>
      </c>
      <c r="D2939" s="3" t="s">
        <v>7923</v>
      </c>
      <c r="E2939" s="3" t="s">
        <v>867</v>
      </c>
      <c r="F2939" s="3">
        <v>49.98</v>
      </c>
      <c r="G2939" s="3" t="s">
        <v>3391</v>
      </c>
      <c r="H2939" s="3"/>
      <c r="I2939" s="3" t="s">
        <v>3392</v>
      </c>
      <c r="J2939" s="3">
        <v>0</v>
      </c>
      <c r="K2939" s="3">
        <v>0</v>
      </c>
      <c r="L2939" s="3">
        <v>0</v>
      </c>
      <c r="M2939" s="3">
        <v>0</v>
      </c>
      <c r="N2939" s="3">
        <v>0</v>
      </c>
      <c r="O2939" s="3">
        <v>0.32</v>
      </c>
      <c r="P2939" s="3">
        <v>0</v>
      </c>
      <c r="Q2939" s="3">
        <v>0</v>
      </c>
      <c r="R2939" s="3">
        <v>0</v>
      </c>
    </row>
    <row r="2940" spans="1:18">
      <c r="A2940" s="3" t="s">
        <v>7924</v>
      </c>
      <c r="B2940" s="3" t="s">
        <v>7925</v>
      </c>
      <c r="C2940" s="3" t="s">
        <v>7925</v>
      </c>
      <c r="D2940" s="3" t="s">
        <v>7926</v>
      </c>
      <c r="E2940" s="3" t="s">
        <v>867</v>
      </c>
      <c r="F2940" s="3">
        <v>49.98</v>
      </c>
      <c r="G2940" s="3" t="s">
        <v>3391</v>
      </c>
      <c r="H2940" s="3"/>
      <c r="I2940" s="3" t="s">
        <v>3392</v>
      </c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>
        <v>0.32</v>
      </c>
      <c r="P2940" s="3">
        <v>0</v>
      </c>
      <c r="Q2940" s="3">
        <v>0</v>
      </c>
      <c r="R2940" s="3">
        <v>0</v>
      </c>
    </row>
    <row r="2941" spans="1:18">
      <c r="A2941" s="3" t="s">
        <v>7927</v>
      </c>
      <c r="B2941" s="3" t="s">
        <v>7928</v>
      </c>
      <c r="C2941" s="3" t="s">
        <v>7928</v>
      </c>
      <c r="D2941" s="3" t="s">
        <v>7929</v>
      </c>
      <c r="E2941" s="3" t="s">
        <v>867</v>
      </c>
      <c r="F2941" s="3">
        <v>49.98</v>
      </c>
      <c r="G2941" s="3" t="s">
        <v>3391</v>
      </c>
      <c r="H2941" s="3"/>
      <c r="I2941" s="3" t="s">
        <v>3392</v>
      </c>
      <c r="J2941" s="3">
        <v>0</v>
      </c>
      <c r="K2941" s="3">
        <v>0</v>
      </c>
      <c r="L2941" s="3">
        <v>0</v>
      </c>
      <c r="M2941" s="3">
        <v>0</v>
      </c>
      <c r="N2941" s="3">
        <v>0</v>
      </c>
      <c r="O2941" s="3">
        <v>0.3</v>
      </c>
      <c r="P2941" s="3">
        <v>0</v>
      </c>
      <c r="Q2941" s="3">
        <v>0</v>
      </c>
      <c r="R2941" s="3">
        <v>0</v>
      </c>
    </row>
    <row r="2942" spans="1:18">
      <c r="A2942" s="3" t="s">
        <v>7930</v>
      </c>
      <c r="B2942" s="3" t="s">
        <v>7931</v>
      </c>
      <c r="C2942" s="3" t="s">
        <v>7931</v>
      </c>
      <c r="D2942" s="3" t="s">
        <v>7932</v>
      </c>
      <c r="E2942" s="3" t="s">
        <v>867</v>
      </c>
      <c r="F2942" s="3">
        <v>49.98</v>
      </c>
      <c r="G2942" s="3" t="s">
        <v>3391</v>
      </c>
      <c r="H2942" s="3"/>
      <c r="I2942" s="3" t="s">
        <v>3392</v>
      </c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>
        <v>0.27</v>
      </c>
      <c r="P2942" s="3">
        <v>0</v>
      </c>
      <c r="Q2942" s="3">
        <v>0</v>
      </c>
      <c r="R2942" s="3">
        <v>0</v>
      </c>
    </row>
    <row r="2943" spans="1:18">
      <c r="A2943" s="3" t="s">
        <v>7933</v>
      </c>
      <c r="B2943" s="3" t="s">
        <v>7934</v>
      </c>
      <c r="C2943" s="3" t="s">
        <v>7934</v>
      </c>
      <c r="D2943" s="3" t="s">
        <v>7935</v>
      </c>
      <c r="E2943" s="3" t="s">
        <v>867</v>
      </c>
      <c r="F2943" s="3">
        <v>49.98</v>
      </c>
      <c r="G2943" s="3" t="s">
        <v>3391</v>
      </c>
      <c r="H2943" s="3"/>
      <c r="I2943" s="3" t="s">
        <v>3392</v>
      </c>
      <c r="J2943" s="3">
        <v>0</v>
      </c>
      <c r="K2943" s="3">
        <v>0</v>
      </c>
      <c r="L2943" s="3">
        <v>0</v>
      </c>
      <c r="M2943" s="3">
        <v>0</v>
      </c>
      <c r="N2943" s="3">
        <v>0</v>
      </c>
      <c r="O2943" s="3">
        <v>0.24</v>
      </c>
      <c r="P2943" s="3">
        <v>0</v>
      </c>
      <c r="Q2943" s="3">
        <v>0</v>
      </c>
      <c r="R2943" s="3">
        <v>0</v>
      </c>
    </row>
    <row r="2944" spans="1:18">
      <c r="A2944" s="3" t="s">
        <v>7936</v>
      </c>
      <c r="B2944" s="3" t="s">
        <v>7937</v>
      </c>
      <c r="C2944" s="3" t="s">
        <v>7937</v>
      </c>
      <c r="D2944" s="3" t="s">
        <v>7938</v>
      </c>
      <c r="E2944" s="3" t="s">
        <v>867</v>
      </c>
      <c r="F2944" s="3">
        <v>49.98</v>
      </c>
      <c r="G2944" s="3" t="s">
        <v>3391</v>
      </c>
      <c r="H2944" s="3"/>
      <c r="I2944" s="3" t="s">
        <v>3392</v>
      </c>
      <c r="J2944" s="3">
        <v>0</v>
      </c>
      <c r="K2944" s="3">
        <v>0</v>
      </c>
      <c r="L2944" s="3">
        <v>0</v>
      </c>
      <c r="M2944" s="3">
        <v>0</v>
      </c>
      <c r="N2944" s="3">
        <v>0</v>
      </c>
      <c r="O2944" s="3">
        <v>0.24</v>
      </c>
      <c r="P2944" s="3">
        <v>0</v>
      </c>
      <c r="Q2944" s="3">
        <v>0</v>
      </c>
      <c r="R2944" s="3">
        <v>0</v>
      </c>
    </row>
    <row r="2945" spans="1:18">
      <c r="A2945" s="3" t="s">
        <v>2737</v>
      </c>
      <c r="B2945" s="3" t="s">
        <v>2738</v>
      </c>
      <c r="C2945" s="3" t="s">
        <v>2738</v>
      </c>
      <c r="D2945" s="3" t="s">
        <v>2739</v>
      </c>
      <c r="E2945" s="3" t="s">
        <v>867</v>
      </c>
      <c r="F2945" s="3">
        <v>49.98</v>
      </c>
      <c r="G2945" s="3" t="s">
        <v>3391</v>
      </c>
      <c r="H2945" s="3"/>
      <c r="I2945" s="3" t="s">
        <v>3392</v>
      </c>
      <c r="J2945" s="3">
        <v>1</v>
      </c>
      <c r="K2945" s="3">
        <v>1</v>
      </c>
      <c r="L2945" s="3">
        <v>0</v>
      </c>
      <c r="M2945" s="3">
        <v>0</v>
      </c>
      <c r="N2945" s="3">
        <v>1</v>
      </c>
      <c r="O2945" s="3">
        <v>0.28</v>
      </c>
      <c r="P2945" s="3">
        <v>0</v>
      </c>
      <c r="Q2945" s="3">
        <v>0</v>
      </c>
      <c r="R2945" s="3">
        <v>0</v>
      </c>
    </row>
    <row r="2946" spans="1:18">
      <c r="A2946" s="3" t="s">
        <v>1668</v>
      </c>
      <c r="B2946" s="3" t="s">
        <v>1669</v>
      </c>
      <c r="C2946" s="3" t="s">
        <v>1669</v>
      </c>
      <c r="D2946" s="3" t="s">
        <v>1670</v>
      </c>
      <c r="E2946" s="3" t="s">
        <v>867</v>
      </c>
      <c r="F2946" s="3">
        <v>49.98</v>
      </c>
      <c r="G2946" s="3" t="s">
        <v>3391</v>
      </c>
      <c r="H2946" s="3"/>
      <c r="I2946" s="3" t="s">
        <v>3392</v>
      </c>
      <c r="J2946" s="3">
        <v>9</v>
      </c>
      <c r="K2946" s="3">
        <v>9</v>
      </c>
      <c r="L2946" s="3">
        <v>0</v>
      </c>
      <c r="M2946" s="3">
        <v>0</v>
      </c>
      <c r="N2946" s="3">
        <v>9</v>
      </c>
      <c r="O2946" s="3">
        <v>0.27</v>
      </c>
      <c r="P2946" s="3">
        <v>0</v>
      </c>
      <c r="Q2946" s="3">
        <v>0</v>
      </c>
      <c r="R2946" s="3">
        <v>0</v>
      </c>
    </row>
    <row r="2947" spans="1:18">
      <c r="A2947" s="3" t="s">
        <v>2556</v>
      </c>
      <c r="B2947" s="3" t="s">
        <v>2557</v>
      </c>
      <c r="C2947" s="3" t="s">
        <v>2557</v>
      </c>
      <c r="D2947" s="3" t="s">
        <v>2558</v>
      </c>
      <c r="E2947" s="3" t="s">
        <v>867</v>
      </c>
      <c r="F2947" s="3">
        <v>49.98</v>
      </c>
      <c r="G2947" s="3" t="s">
        <v>3391</v>
      </c>
      <c r="H2947" s="3"/>
      <c r="I2947" s="3" t="s">
        <v>3392</v>
      </c>
      <c r="J2947" s="3">
        <v>1</v>
      </c>
      <c r="K2947" s="3">
        <v>1</v>
      </c>
      <c r="L2947" s="3">
        <v>0</v>
      </c>
      <c r="M2947" s="3">
        <v>0</v>
      </c>
      <c r="N2947" s="3">
        <v>1</v>
      </c>
      <c r="O2947" s="3">
        <v>0.26</v>
      </c>
      <c r="P2947" s="3">
        <v>0</v>
      </c>
      <c r="Q2947" s="3">
        <v>0</v>
      </c>
      <c r="R2947" s="3">
        <v>0</v>
      </c>
    </row>
    <row r="2948" spans="1:18">
      <c r="A2948" s="3" t="s">
        <v>7939</v>
      </c>
      <c r="B2948" s="3" t="s">
        <v>7940</v>
      </c>
      <c r="C2948" s="3" t="s">
        <v>7940</v>
      </c>
      <c r="D2948" s="3" t="s">
        <v>7941</v>
      </c>
      <c r="E2948" s="3" t="s">
        <v>867</v>
      </c>
      <c r="F2948" s="3">
        <v>49.98</v>
      </c>
      <c r="G2948" s="3" t="s">
        <v>3391</v>
      </c>
      <c r="H2948" s="3"/>
      <c r="I2948" s="3" t="s">
        <v>3392</v>
      </c>
      <c r="J2948" s="3">
        <v>0</v>
      </c>
      <c r="K2948" s="3">
        <v>0</v>
      </c>
      <c r="L2948" s="3">
        <v>0</v>
      </c>
      <c r="M2948" s="3">
        <v>0</v>
      </c>
      <c r="N2948" s="3">
        <v>0</v>
      </c>
      <c r="O2948" s="3">
        <v>0.24</v>
      </c>
      <c r="P2948" s="3">
        <v>0</v>
      </c>
      <c r="Q2948" s="3">
        <v>0</v>
      </c>
      <c r="R2948" s="3">
        <v>0</v>
      </c>
    </row>
    <row r="2949" spans="1:18">
      <c r="A2949" s="3" t="s">
        <v>2659</v>
      </c>
      <c r="B2949" s="3" t="s">
        <v>2660</v>
      </c>
      <c r="C2949" s="3" t="s">
        <v>2660</v>
      </c>
      <c r="D2949" s="3" t="s">
        <v>2661</v>
      </c>
      <c r="E2949" s="3" t="s">
        <v>867</v>
      </c>
      <c r="F2949" s="3">
        <v>49.98</v>
      </c>
      <c r="G2949" s="3" t="s">
        <v>3391</v>
      </c>
      <c r="H2949" s="3"/>
      <c r="I2949" s="3" t="s">
        <v>3392</v>
      </c>
      <c r="J2949" s="3">
        <v>1</v>
      </c>
      <c r="K2949" s="3">
        <v>1</v>
      </c>
      <c r="L2949" s="3">
        <v>0</v>
      </c>
      <c r="M2949" s="3">
        <v>0</v>
      </c>
      <c r="N2949" s="3">
        <v>1</v>
      </c>
      <c r="O2949" s="3">
        <v>0.27</v>
      </c>
      <c r="P2949" s="3">
        <v>0</v>
      </c>
      <c r="Q2949" s="3">
        <v>0</v>
      </c>
      <c r="R2949" s="3">
        <v>0</v>
      </c>
    </row>
    <row r="2950" spans="1:18">
      <c r="A2950" s="3" t="s">
        <v>7942</v>
      </c>
      <c r="B2950" s="3" t="s">
        <v>7943</v>
      </c>
      <c r="C2950" s="3" t="s">
        <v>7943</v>
      </c>
      <c r="D2950" s="3" t="s">
        <v>7944</v>
      </c>
      <c r="E2950" s="3" t="s">
        <v>867</v>
      </c>
      <c r="F2950" s="3">
        <v>49.98</v>
      </c>
      <c r="G2950" s="3" t="s">
        <v>3391</v>
      </c>
      <c r="H2950" s="3"/>
      <c r="I2950" s="3" t="s">
        <v>3392</v>
      </c>
      <c r="J2950" s="3">
        <v>0</v>
      </c>
      <c r="K2950" s="3">
        <v>0</v>
      </c>
      <c r="L2950" s="3">
        <v>0</v>
      </c>
      <c r="M2950" s="3">
        <v>0</v>
      </c>
      <c r="N2950" s="3">
        <v>0</v>
      </c>
      <c r="O2950" s="3">
        <v>0.3</v>
      </c>
      <c r="P2950" s="3">
        <v>0</v>
      </c>
      <c r="Q2950" s="3">
        <v>0</v>
      </c>
      <c r="R2950" s="3">
        <v>0</v>
      </c>
    </row>
    <row r="2951" spans="1:18">
      <c r="A2951" s="3" t="s">
        <v>7945</v>
      </c>
      <c r="B2951" s="3" t="s">
        <v>7946</v>
      </c>
      <c r="C2951" s="3" t="s">
        <v>7946</v>
      </c>
      <c r="D2951" s="3" t="s">
        <v>7947</v>
      </c>
      <c r="E2951" s="3" t="s">
        <v>867</v>
      </c>
      <c r="F2951" s="3">
        <v>49.98</v>
      </c>
      <c r="G2951" s="3" t="s">
        <v>3391</v>
      </c>
      <c r="H2951" s="3"/>
      <c r="I2951" s="3" t="s">
        <v>3392</v>
      </c>
      <c r="J2951" s="3">
        <v>0</v>
      </c>
      <c r="K2951" s="3">
        <v>0</v>
      </c>
      <c r="L2951" s="3">
        <v>0</v>
      </c>
      <c r="M2951" s="3">
        <v>0</v>
      </c>
      <c r="N2951" s="3">
        <v>0</v>
      </c>
      <c r="O2951" s="3">
        <v>0.24</v>
      </c>
      <c r="P2951" s="3">
        <v>0</v>
      </c>
      <c r="Q2951" s="3">
        <v>0</v>
      </c>
      <c r="R2951" s="3">
        <v>0</v>
      </c>
    </row>
    <row r="2952" spans="1:18">
      <c r="A2952" s="3" t="s">
        <v>7948</v>
      </c>
      <c r="B2952" s="3" t="s">
        <v>7949</v>
      </c>
      <c r="C2952" s="3" t="s">
        <v>7949</v>
      </c>
      <c r="D2952" s="3" t="s">
        <v>7950</v>
      </c>
      <c r="E2952" s="3" t="s">
        <v>867</v>
      </c>
      <c r="F2952" s="3">
        <v>49.98</v>
      </c>
      <c r="G2952" s="3" t="s">
        <v>3391</v>
      </c>
      <c r="H2952" s="3"/>
      <c r="I2952" s="3" t="s">
        <v>3392</v>
      </c>
      <c r="J2952" s="3">
        <v>0</v>
      </c>
      <c r="K2952" s="3">
        <v>0</v>
      </c>
      <c r="L2952" s="3">
        <v>0</v>
      </c>
      <c r="M2952" s="3">
        <v>0</v>
      </c>
      <c r="N2952" s="3">
        <v>0</v>
      </c>
      <c r="O2952" s="3">
        <v>0.28</v>
      </c>
      <c r="P2952" s="3">
        <v>0</v>
      </c>
      <c r="Q2952" s="3">
        <v>0</v>
      </c>
      <c r="R2952" s="3">
        <v>0</v>
      </c>
    </row>
    <row r="2953" spans="1:18">
      <c r="A2953" s="3" t="s">
        <v>7951</v>
      </c>
      <c r="B2953" s="3" t="s">
        <v>7952</v>
      </c>
      <c r="C2953" s="3" t="s">
        <v>7952</v>
      </c>
      <c r="D2953" s="3" t="s">
        <v>7953</v>
      </c>
      <c r="E2953" s="3" t="s">
        <v>867</v>
      </c>
      <c r="F2953" s="3">
        <v>49.98</v>
      </c>
      <c r="G2953" s="3" t="s">
        <v>3391</v>
      </c>
      <c r="H2953" s="3"/>
      <c r="I2953" s="3" t="s">
        <v>3392</v>
      </c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>
        <v>0.26</v>
      </c>
      <c r="P2953" s="3">
        <v>0</v>
      </c>
      <c r="Q2953" s="3">
        <v>0</v>
      </c>
      <c r="R2953" s="3">
        <v>0</v>
      </c>
    </row>
    <row r="2954" spans="1:18">
      <c r="A2954" s="3" t="s">
        <v>1067</v>
      </c>
      <c r="B2954" s="3" t="s">
        <v>1068</v>
      </c>
      <c r="C2954" s="3" t="s">
        <v>1068</v>
      </c>
      <c r="D2954" s="3" t="s">
        <v>1069</v>
      </c>
      <c r="E2954" s="3" t="s">
        <v>867</v>
      </c>
      <c r="F2954" s="3">
        <v>49.98</v>
      </c>
      <c r="G2954" s="3" t="s">
        <v>3391</v>
      </c>
      <c r="H2954" s="3"/>
      <c r="I2954" s="3" t="s">
        <v>3392</v>
      </c>
      <c r="J2954" s="3">
        <v>1</v>
      </c>
      <c r="K2954" s="3">
        <v>1</v>
      </c>
      <c r="L2954" s="3">
        <v>0</v>
      </c>
      <c r="M2954" s="3">
        <v>0</v>
      </c>
      <c r="N2954" s="3">
        <v>1</v>
      </c>
      <c r="O2954" s="3">
        <v>0.3</v>
      </c>
      <c r="P2954" s="3">
        <v>0</v>
      </c>
      <c r="Q2954" s="3">
        <v>0</v>
      </c>
      <c r="R2954" s="3">
        <v>0</v>
      </c>
    </row>
    <row r="2955" spans="1:18">
      <c r="A2955" s="3" t="s">
        <v>7954</v>
      </c>
      <c r="B2955" s="3" t="s">
        <v>7955</v>
      </c>
      <c r="C2955" s="3" t="s">
        <v>7955</v>
      </c>
      <c r="D2955" s="3" t="s">
        <v>7956</v>
      </c>
      <c r="E2955" s="3" t="s">
        <v>867</v>
      </c>
      <c r="F2955" s="3">
        <v>49.98</v>
      </c>
      <c r="G2955" s="3" t="s">
        <v>3391</v>
      </c>
      <c r="H2955" s="3"/>
      <c r="I2955" s="3" t="s">
        <v>3392</v>
      </c>
      <c r="J2955" s="3">
        <v>0</v>
      </c>
      <c r="K2955" s="3">
        <v>0</v>
      </c>
      <c r="L2955" s="3">
        <v>0</v>
      </c>
      <c r="M2955" s="3">
        <v>0</v>
      </c>
      <c r="N2955" s="3">
        <v>0</v>
      </c>
      <c r="O2955" s="3">
        <v>0.27</v>
      </c>
      <c r="P2955" s="3">
        <v>0</v>
      </c>
      <c r="Q2955" s="3">
        <v>0</v>
      </c>
      <c r="R2955" s="3">
        <v>0</v>
      </c>
    </row>
    <row r="2956" spans="1:18">
      <c r="A2956" s="3" t="s">
        <v>7957</v>
      </c>
      <c r="B2956" s="3" t="s">
        <v>7958</v>
      </c>
      <c r="C2956" s="3" t="s">
        <v>7958</v>
      </c>
      <c r="D2956" s="3" t="s">
        <v>7959</v>
      </c>
      <c r="E2956" s="3" t="s">
        <v>867</v>
      </c>
      <c r="F2956" s="3">
        <v>49.98</v>
      </c>
      <c r="G2956" s="3" t="s">
        <v>3391</v>
      </c>
      <c r="H2956" s="3"/>
      <c r="I2956" s="3" t="s">
        <v>3392</v>
      </c>
      <c r="J2956" s="3">
        <v>0</v>
      </c>
      <c r="K2956" s="3">
        <v>0</v>
      </c>
      <c r="L2956" s="3">
        <v>0</v>
      </c>
      <c r="M2956" s="3">
        <v>0</v>
      </c>
      <c r="N2956" s="3">
        <v>0</v>
      </c>
      <c r="O2956" s="3">
        <v>0.28</v>
      </c>
      <c r="P2956" s="3">
        <v>0</v>
      </c>
      <c r="Q2956" s="3">
        <v>0</v>
      </c>
      <c r="R2956" s="3">
        <v>0</v>
      </c>
    </row>
    <row r="2957" spans="1:18">
      <c r="A2957" s="3" t="s">
        <v>7960</v>
      </c>
      <c r="B2957" s="3" t="s">
        <v>7961</v>
      </c>
      <c r="C2957" s="3" t="s">
        <v>7203</v>
      </c>
      <c r="D2957" s="3"/>
      <c r="E2957" s="3" t="s">
        <v>3293</v>
      </c>
      <c r="F2957" s="3"/>
      <c r="G2957" s="3"/>
      <c r="H2957" s="3"/>
      <c r="I2957" s="3"/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/>
      <c r="P2957" s="3">
        <v>0</v>
      </c>
      <c r="Q2957" s="3">
        <v>0</v>
      </c>
      <c r="R2957" s="3">
        <v>0</v>
      </c>
    </row>
    <row r="2958" spans="1:18">
      <c r="A2958" s="3" t="s">
        <v>7962</v>
      </c>
      <c r="B2958" s="3" t="s">
        <v>7963</v>
      </c>
      <c r="C2958" s="3" t="s">
        <v>7207</v>
      </c>
      <c r="D2958" s="3"/>
      <c r="E2958" s="3" t="s">
        <v>3293</v>
      </c>
      <c r="F2958" s="3"/>
      <c r="G2958" s="3"/>
      <c r="H2958" s="3"/>
      <c r="I2958" s="3"/>
      <c r="J2958" s="3">
        <v>0</v>
      </c>
      <c r="K2958" s="3">
        <v>0</v>
      </c>
      <c r="L2958" s="3">
        <v>0</v>
      </c>
      <c r="M2958" s="3">
        <v>0</v>
      </c>
      <c r="N2958" s="3">
        <v>0</v>
      </c>
      <c r="O2958" s="3"/>
      <c r="P2958" s="3">
        <v>0</v>
      </c>
      <c r="Q2958" s="3">
        <v>0</v>
      </c>
      <c r="R2958" s="3">
        <v>0</v>
      </c>
    </row>
    <row r="2959" spans="1:18">
      <c r="A2959" s="3" t="s">
        <v>7964</v>
      </c>
      <c r="B2959" s="3" t="s">
        <v>7965</v>
      </c>
      <c r="C2959" s="3" t="s">
        <v>7211</v>
      </c>
      <c r="D2959" s="3"/>
      <c r="E2959" s="3" t="s">
        <v>3293</v>
      </c>
      <c r="F2959" s="3"/>
      <c r="G2959" s="3"/>
      <c r="H2959" s="3"/>
      <c r="I2959" s="3"/>
      <c r="J2959" s="3">
        <v>0</v>
      </c>
      <c r="K2959" s="3">
        <v>0</v>
      </c>
      <c r="L2959" s="3">
        <v>0</v>
      </c>
      <c r="M2959" s="3">
        <v>0</v>
      </c>
      <c r="N2959" s="3">
        <v>0</v>
      </c>
      <c r="O2959" s="3"/>
      <c r="P2959" s="3">
        <v>0</v>
      </c>
      <c r="Q2959" s="3">
        <v>0</v>
      </c>
      <c r="R2959" s="3">
        <v>0</v>
      </c>
    </row>
    <row r="2960" spans="1:18">
      <c r="A2960" s="3" t="s">
        <v>7966</v>
      </c>
      <c r="B2960" s="3" t="s">
        <v>7967</v>
      </c>
      <c r="C2960" s="3" t="s">
        <v>7215</v>
      </c>
      <c r="D2960" s="3"/>
      <c r="E2960" s="3" t="s">
        <v>3293</v>
      </c>
      <c r="F2960" s="3"/>
      <c r="G2960" s="3"/>
      <c r="H2960" s="3"/>
      <c r="I2960" s="3"/>
      <c r="J2960" s="3">
        <v>0</v>
      </c>
      <c r="K2960" s="3">
        <v>0</v>
      </c>
      <c r="L2960" s="3">
        <v>0</v>
      </c>
      <c r="M2960" s="3">
        <v>0</v>
      </c>
      <c r="N2960" s="3">
        <v>0</v>
      </c>
      <c r="O2960" s="3"/>
      <c r="P2960" s="3">
        <v>0</v>
      </c>
      <c r="Q2960" s="3">
        <v>0</v>
      </c>
      <c r="R2960" s="3">
        <v>0</v>
      </c>
    </row>
    <row r="2961" spans="1:18">
      <c r="A2961" s="3" t="s">
        <v>7968</v>
      </c>
      <c r="B2961" s="3" t="s">
        <v>7969</v>
      </c>
      <c r="C2961" s="3" t="s">
        <v>7219</v>
      </c>
      <c r="D2961" s="3"/>
      <c r="E2961" s="3" t="s">
        <v>3293</v>
      </c>
      <c r="F2961" s="3"/>
      <c r="G2961" s="3"/>
      <c r="H2961" s="3"/>
      <c r="I2961" s="3"/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/>
      <c r="P2961" s="3">
        <v>0</v>
      </c>
      <c r="Q2961" s="3">
        <v>0</v>
      </c>
      <c r="R2961" s="3">
        <v>0</v>
      </c>
    </row>
    <row r="2962" spans="1:18">
      <c r="A2962" s="3" t="s">
        <v>7970</v>
      </c>
      <c r="B2962" s="3" t="s">
        <v>7971</v>
      </c>
      <c r="C2962" s="3" t="s">
        <v>7223</v>
      </c>
      <c r="D2962" s="3"/>
      <c r="E2962" s="3" t="s">
        <v>3293</v>
      </c>
      <c r="F2962" s="3"/>
      <c r="G2962" s="3"/>
      <c r="H2962" s="3"/>
      <c r="I2962" s="3"/>
      <c r="J2962" s="3">
        <v>0</v>
      </c>
      <c r="K2962" s="3">
        <v>0</v>
      </c>
      <c r="L2962" s="3">
        <v>0</v>
      </c>
      <c r="M2962" s="3">
        <v>0</v>
      </c>
      <c r="N2962" s="3">
        <v>0</v>
      </c>
      <c r="O2962" s="3"/>
      <c r="P2962" s="3">
        <v>0</v>
      </c>
      <c r="Q2962" s="3">
        <v>0</v>
      </c>
      <c r="R2962" s="3">
        <v>0</v>
      </c>
    </row>
    <row r="2963" spans="1:18">
      <c r="A2963" s="3" t="s">
        <v>7972</v>
      </c>
      <c r="B2963" s="3" t="s">
        <v>7973</v>
      </c>
      <c r="C2963" s="3" t="s">
        <v>7227</v>
      </c>
      <c r="D2963" s="3"/>
      <c r="E2963" s="3" t="s">
        <v>3293</v>
      </c>
      <c r="F2963" s="3"/>
      <c r="G2963" s="3"/>
      <c r="H2963" s="3"/>
      <c r="I2963" s="3"/>
      <c r="J2963" s="3">
        <v>0</v>
      </c>
      <c r="K2963" s="3">
        <v>0</v>
      </c>
      <c r="L2963" s="3">
        <v>0</v>
      </c>
      <c r="M2963" s="3">
        <v>0</v>
      </c>
      <c r="N2963" s="3">
        <v>0</v>
      </c>
      <c r="O2963" s="3"/>
      <c r="P2963" s="3">
        <v>0</v>
      </c>
      <c r="Q2963" s="3">
        <v>0</v>
      </c>
      <c r="R2963" s="3">
        <v>0</v>
      </c>
    </row>
    <row r="2964" spans="1:18">
      <c r="A2964" s="3" t="s">
        <v>7974</v>
      </c>
      <c r="B2964" s="3" t="s">
        <v>7975</v>
      </c>
      <c r="C2964" s="3" t="s">
        <v>7231</v>
      </c>
      <c r="D2964" s="3"/>
      <c r="E2964" s="3" t="s">
        <v>3293</v>
      </c>
      <c r="F2964" s="3"/>
      <c r="G2964" s="3"/>
      <c r="H2964" s="3"/>
      <c r="I2964" s="3"/>
      <c r="J2964" s="3">
        <v>0</v>
      </c>
      <c r="K2964" s="3">
        <v>0</v>
      </c>
      <c r="L2964" s="3">
        <v>0</v>
      </c>
      <c r="M2964" s="3">
        <v>0</v>
      </c>
      <c r="N2964" s="3">
        <v>0</v>
      </c>
      <c r="O2964" s="3"/>
      <c r="P2964" s="3">
        <v>0</v>
      </c>
      <c r="Q2964" s="3">
        <v>0</v>
      </c>
      <c r="R2964" s="3">
        <v>0</v>
      </c>
    </row>
    <row r="2965" spans="1:18">
      <c r="A2965" s="3" t="s">
        <v>7976</v>
      </c>
      <c r="B2965" s="3" t="s">
        <v>7977</v>
      </c>
      <c r="C2965" s="3" t="s">
        <v>7235</v>
      </c>
      <c r="D2965" s="3"/>
      <c r="E2965" s="3" t="s">
        <v>3293</v>
      </c>
      <c r="F2965" s="3"/>
      <c r="G2965" s="3"/>
      <c r="H2965" s="3"/>
      <c r="I2965" s="3"/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/>
      <c r="P2965" s="3">
        <v>0</v>
      </c>
      <c r="Q2965" s="3">
        <v>0</v>
      </c>
      <c r="R2965" s="3">
        <v>0</v>
      </c>
    </row>
    <row r="2966" spans="1:18">
      <c r="A2966" s="3" t="s">
        <v>7978</v>
      </c>
      <c r="B2966" s="3" t="s">
        <v>7979</v>
      </c>
      <c r="C2966" s="3" t="s">
        <v>7239</v>
      </c>
      <c r="D2966" s="3"/>
      <c r="E2966" s="3" t="s">
        <v>3293</v>
      </c>
      <c r="F2966" s="3"/>
      <c r="G2966" s="3"/>
      <c r="H2966" s="3"/>
      <c r="I2966" s="3"/>
      <c r="J2966" s="3">
        <v>0</v>
      </c>
      <c r="K2966" s="3">
        <v>0</v>
      </c>
      <c r="L2966" s="3">
        <v>0</v>
      </c>
      <c r="M2966" s="3">
        <v>0</v>
      </c>
      <c r="N2966" s="3">
        <v>0</v>
      </c>
      <c r="O2966" s="3"/>
      <c r="P2966" s="3">
        <v>0</v>
      </c>
      <c r="Q2966" s="3">
        <v>0</v>
      </c>
      <c r="R2966" s="3">
        <v>0</v>
      </c>
    </row>
    <row r="2967" spans="1:18">
      <c r="A2967" s="3" t="s">
        <v>7980</v>
      </c>
      <c r="B2967" s="3" t="s">
        <v>7981</v>
      </c>
      <c r="C2967" s="3" t="s">
        <v>7243</v>
      </c>
      <c r="D2967" s="3"/>
      <c r="E2967" s="3" t="s">
        <v>3293</v>
      </c>
      <c r="F2967" s="3"/>
      <c r="G2967" s="3"/>
      <c r="H2967" s="3"/>
      <c r="I2967" s="3"/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/>
      <c r="P2967" s="3">
        <v>0</v>
      </c>
      <c r="Q2967" s="3">
        <v>0</v>
      </c>
      <c r="R2967" s="3">
        <v>0</v>
      </c>
    </row>
    <row r="2968" spans="1:18">
      <c r="A2968" s="3" t="s">
        <v>7982</v>
      </c>
      <c r="B2968" s="3" t="s">
        <v>7983</v>
      </c>
      <c r="C2968" s="3" t="s">
        <v>7247</v>
      </c>
      <c r="D2968" s="3"/>
      <c r="E2968" s="3" t="s">
        <v>3293</v>
      </c>
      <c r="F2968" s="3"/>
      <c r="G2968" s="3"/>
      <c r="H2968" s="3"/>
      <c r="I2968" s="3"/>
      <c r="J2968" s="3">
        <v>0</v>
      </c>
      <c r="K2968" s="3">
        <v>0</v>
      </c>
      <c r="L2968" s="3">
        <v>0</v>
      </c>
      <c r="M2968" s="3">
        <v>0</v>
      </c>
      <c r="N2968" s="3">
        <v>0</v>
      </c>
      <c r="O2968" s="3"/>
      <c r="P2968" s="3">
        <v>0</v>
      </c>
      <c r="Q2968" s="3">
        <v>0</v>
      </c>
      <c r="R2968" s="3">
        <v>0</v>
      </c>
    </row>
    <row r="2969" spans="1:18">
      <c r="A2969" s="3" t="s">
        <v>7984</v>
      </c>
      <c r="B2969" s="3" t="s">
        <v>7985</v>
      </c>
      <c r="C2969" s="3" t="s">
        <v>7251</v>
      </c>
      <c r="D2969" s="3"/>
      <c r="E2969" s="3" t="s">
        <v>3293</v>
      </c>
      <c r="F2969" s="3"/>
      <c r="G2969" s="3"/>
      <c r="H2969" s="3"/>
      <c r="I2969" s="3"/>
      <c r="J2969" s="3">
        <v>0</v>
      </c>
      <c r="K2969" s="3">
        <v>0</v>
      </c>
      <c r="L2969" s="3">
        <v>0</v>
      </c>
      <c r="M2969" s="3">
        <v>0</v>
      </c>
      <c r="N2969" s="3">
        <v>0</v>
      </c>
      <c r="O2969" s="3"/>
      <c r="P2969" s="3">
        <v>0</v>
      </c>
      <c r="Q2969" s="3">
        <v>0</v>
      </c>
      <c r="R2969" s="3">
        <v>0</v>
      </c>
    </row>
    <row r="2970" spans="1:18">
      <c r="A2970" s="3" t="s">
        <v>7986</v>
      </c>
      <c r="B2970" s="3" t="s">
        <v>7987</v>
      </c>
      <c r="C2970" s="3" t="s">
        <v>7255</v>
      </c>
      <c r="D2970" s="3"/>
      <c r="E2970" s="3" t="s">
        <v>3293</v>
      </c>
      <c r="F2970" s="3"/>
      <c r="G2970" s="3"/>
      <c r="H2970" s="3"/>
      <c r="I2970" s="3"/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/>
      <c r="P2970" s="3">
        <v>0</v>
      </c>
      <c r="Q2970" s="3">
        <v>0</v>
      </c>
      <c r="R2970" s="3">
        <v>0</v>
      </c>
    </row>
    <row r="2971" spans="1:18">
      <c r="A2971" s="3" t="s">
        <v>7988</v>
      </c>
      <c r="B2971" s="3" t="s">
        <v>7989</v>
      </c>
      <c r="C2971" s="3" t="s">
        <v>7259</v>
      </c>
      <c r="D2971" s="3"/>
      <c r="E2971" s="3" t="s">
        <v>3293</v>
      </c>
      <c r="F2971" s="3"/>
      <c r="G2971" s="3"/>
      <c r="H2971" s="3"/>
      <c r="I2971" s="3"/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/>
      <c r="P2971" s="3">
        <v>0</v>
      </c>
      <c r="Q2971" s="3">
        <v>0</v>
      </c>
      <c r="R2971" s="3">
        <v>0</v>
      </c>
    </row>
    <row r="2972" spans="1:18">
      <c r="A2972" s="3" t="s">
        <v>7990</v>
      </c>
      <c r="B2972" s="3" t="s">
        <v>7991</v>
      </c>
      <c r="C2972" s="3" t="s">
        <v>7263</v>
      </c>
      <c r="D2972" s="3"/>
      <c r="E2972" s="3" t="s">
        <v>3293</v>
      </c>
      <c r="F2972" s="3"/>
      <c r="G2972" s="3"/>
      <c r="H2972" s="3"/>
      <c r="I2972" s="3"/>
      <c r="J2972" s="3">
        <v>0</v>
      </c>
      <c r="K2972" s="3">
        <v>0</v>
      </c>
      <c r="L2972" s="3">
        <v>0</v>
      </c>
      <c r="M2972" s="3">
        <v>0</v>
      </c>
      <c r="N2972" s="3">
        <v>0</v>
      </c>
      <c r="O2972" s="3"/>
      <c r="P2972" s="3">
        <v>0</v>
      </c>
      <c r="Q2972" s="3">
        <v>0</v>
      </c>
      <c r="R2972" s="3">
        <v>0</v>
      </c>
    </row>
    <row r="2973" spans="1:18">
      <c r="A2973" s="3" t="s">
        <v>7992</v>
      </c>
      <c r="B2973" s="3" t="s">
        <v>7993</v>
      </c>
      <c r="C2973" s="3" t="s">
        <v>7994</v>
      </c>
      <c r="D2973" s="3" t="s">
        <v>2501</v>
      </c>
      <c r="E2973" s="3" t="s">
        <v>867</v>
      </c>
      <c r="F2973" s="3">
        <v>49.98</v>
      </c>
      <c r="G2973" s="3" t="s">
        <v>3391</v>
      </c>
      <c r="H2973" s="3"/>
      <c r="I2973" s="3" t="s">
        <v>3392</v>
      </c>
      <c r="J2973" s="3">
        <v>0</v>
      </c>
      <c r="K2973" s="3">
        <v>0</v>
      </c>
      <c r="L2973" s="3">
        <v>0</v>
      </c>
      <c r="M2973" s="3">
        <v>0</v>
      </c>
      <c r="N2973" s="3">
        <v>0</v>
      </c>
      <c r="O2973" s="3">
        <v>0</v>
      </c>
      <c r="P2973" s="3">
        <v>0</v>
      </c>
      <c r="Q2973" s="3">
        <v>0</v>
      </c>
      <c r="R2973" s="3">
        <v>0</v>
      </c>
    </row>
    <row r="2974" spans="1:18">
      <c r="A2974" s="3" t="s">
        <v>7995</v>
      </c>
      <c r="B2974" s="3" t="s">
        <v>7996</v>
      </c>
      <c r="C2974" s="3" t="s">
        <v>7997</v>
      </c>
      <c r="D2974" s="3" t="s">
        <v>7905</v>
      </c>
      <c r="E2974" s="3" t="s">
        <v>867</v>
      </c>
      <c r="F2974" s="3">
        <v>49.98</v>
      </c>
      <c r="G2974" s="3" t="s">
        <v>3391</v>
      </c>
      <c r="H2974" s="3"/>
      <c r="I2974" s="3" t="s">
        <v>3392</v>
      </c>
      <c r="J2974" s="3">
        <v>0</v>
      </c>
      <c r="K2974" s="3">
        <v>0</v>
      </c>
      <c r="L2974" s="3">
        <v>0</v>
      </c>
      <c r="M2974" s="3">
        <v>0</v>
      </c>
      <c r="N2974" s="3">
        <v>0</v>
      </c>
      <c r="O2974" s="3">
        <v>0</v>
      </c>
      <c r="P2974" s="3">
        <v>0</v>
      </c>
      <c r="Q2974" s="3">
        <v>0</v>
      </c>
      <c r="R2974" s="3">
        <v>0</v>
      </c>
    </row>
    <row r="2975" spans="1:18">
      <c r="A2975" s="3" t="s">
        <v>7998</v>
      </c>
      <c r="B2975" s="3" t="s">
        <v>7999</v>
      </c>
      <c r="C2975" s="3" t="s">
        <v>8000</v>
      </c>
      <c r="D2975" s="3" t="s">
        <v>7908</v>
      </c>
      <c r="E2975" s="3" t="s">
        <v>867</v>
      </c>
      <c r="F2975" s="3">
        <v>49.98</v>
      </c>
      <c r="G2975" s="3" t="s">
        <v>3391</v>
      </c>
      <c r="H2975" s="3"/>
      <c r="I2975" s="3" t="s">
        <v>3392</v>
      </c>
      <c r="J2975" s="3">
        <v>0</v>
      </c>
      <c r="K2975" s="3">
        <v>0</v>
      </c>
      <c r="L2975" s="3">
        <v>0</v>
      </c>
      <c r="M2975" s="3">
        <v>0</v>
      </c>
      <c r="N2975" s="3">
        <v>0</v>
      </c>
      <c r="O2975" s="3">
        <v>0</v>
      </c>
      <c r="P2975" s="3">
        <v>0</v>
      </c>
      <c r="Q2975" s="3">
        <v>0</v>
      </c>
      <c r="R2975" s="3">
        <v>0</v>
      </c>
    </row>
    <row r="2976" spans="1:18">
      <c r="A2976" s="3" t="s">
        <v>8001</v>
      </c>
      <c r="B2976" s="3" t="s">
        <v>8002</v>
      </c>
      <c r="C2976" s="3" t="s">
        <v>8003</v>
      </c>
      <c r="D2976" s="3" t="s">
        <v>7911</v>
      </c>
      <c r="E2976" s="3" t="s">
        <v>867</v>
      </c>
      <c r="F2976" s="3">
        <v>49.98</v>
      </c>
      <c r="G2976" s="3" t="s">
        <v>3391</v>
      </c>
      <c r="H2976" s="3"/>
      <c r="I2976" s="3" t="s">
        <v>3392</v>
      </c>
      <c r="J2976" s="3">
        <v>0</v>
      </c>
      <c r="K2976" s="3">
        <v>0</v>
      </c>
      <c r="L2976" s="3">
        <v>0</v>
      </c>
      <c r="M2976" s="3">
        <v>0</v>
      </c>
      <c r="N2976" s="3">
        <v>0</v>
      </c>
      <c r="O2976" s="3">
        <v>0</v>
      </c>
      <c r="P2976" s="3">
        <v>0</v>
      </c>
      <c r="Q2976" s="3">
        <v>0</v>
      </c>
      <c r="R2976" s="3">
        <v>0</v>
      </c>
    </row>
    <row r="2977" spans="1:18">
      <c r="A2977" s="3" t="s">
        <v>8004</v>
      </c>
      <c r="B2977" s="3" t="s">
        <v>8005</v>
      </c>
      <c r="C2977" s="3" t="s">
        <v>8006</v>
      </c>
      <c r="D2977" s="3" t="s">
        <v>7914</v>
      </c>
      <c r="E2977" s="3" t="s">
        <v>867</v>
      </c>
      <c r="F2977" s="3">
        <v>49.98</v>
      </c>
      <c r="G2977" s="3" t="s">
        <v>3391</v>
      </c>
      <c r="H2977" s="3"/>
      <c r="I2977" s="3" t="s">
        <v>3392</v>
      </c>
      <c r="J2977" s="3">
        <v>0</v>
      </c>
      <c r="K2977" s="3">
        <v>0</v>
      </c>
      <c r="L2977" s="3">
        <v>0</v>
      </c>
      <c r="M2977" s="3">
        <v>0</v>
      </c>
      <c r="N2977" s="3">
        <v>0</v>
      </c>
      <c r="O2977" s="3">
        <v>0</v>
      </c>
      <c r="P2977" s="3">
        <v>0</v>
      </c>
      <c r="Q2977" s="3">
        <v>0</v>
      </c>
      <c r="R2977" s="3">
        <v>0</v>
      </c>
    </row>
    <row r="2978" spans="1:18">
      <c r="A2978" s="3" t="s">
        <v>8007</v>
      </c>
      <c r="B2978" s="3" t="s">
        <v>8008</v>
      </c>
      <c r="C2978" s="3" t="s">
        <v>8009</v>
      </c>
      <c r="D2978" s="3" t="s">
        <v>2313</v>
      </c>
      <c r="E2978" s="3" t="s">
        <v>867</v>
      </c>
      <c r="F2978" s="3">
        <v>49.98</v>
      </c>
      <c r="G2978" s="3" t="s">
        <v>3391</v>
      </c>
      <c r="H2978" s="3"/>
      <c r="I2978" s="3" t="s">
        <v>3392</v>
      </c>
      <c r="J2978" s="3">
        <v>0</v>
      </c>
      <c r="K2978" s="3">
        <v>0</v>
      </c>
      <c r="L2978" s="3">
        <v>0</v>
      </c>
      <c r="M2978" s="3">
        <v>0</v>
      </c>
      <c r="N2978" s="3">
        <v>0</v>
      </c>
      <c r="O2978" s="3">
        <v>0</v>
      </c>
      <c r="P2978" s="3">
        <v>0</v>
      </c>
      <c r="Q2978" s="3">
        <v>0</v>
      </c>
      <c r="R2978" s="3">
        <v>0</v>
      </c>
    </row>
    <row r="2979" spans="1:18">
      <c r="A2979" s="3" t="s">
        <v>8010</v>
      </c>
      <c r="B2979" s="3" t="s">
        <v>8011</v>
      </c>
      <c r="C2979" s="3" t="s">
        <v>8012</v>
      </c>
      <c r="D2979" s="3" t="s">
        <v>7917</v>
      </c>
      <c r="E2979" s="3" t="s">
        <v>867</v>
      </c>
      <c r="F2979" s="3">
        <v>49.98</v>
      </c>
      <c r="G2979" s="3" t="s">
        <v>3391</v>
      </c>
      <c r="H2979" s="3"/>
      <c r="I2979" s="3" t="s">
        <v>3392</v>
      </c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>
        <v>0</v>
      </c>
      <c r="P2979" s="3">
        <v>0</v>
      </c>
      <c r="Q2979" s="3">
        <v>0</v>
      </c>
      <c r="R2979" s="3">
        <v>0</v>
      </c>
    </row>
    <row r="2980" spans="1:18">
      <c r="A2980" s="3" t="s">
        <v>8013</v>
      </c>
      <c r="B2980" s="3" t="s">
        <v>8014</v>
      </c>
      <c r="C2980" s="3" t="s">
        <v>8015</v>
      </c>
      <c r="D2980" s="3" t="s">
        <v>7920</v>
      </c>
      <c r="E2980" s="3" t="s">
        <v>867</v>
      </c>
      <c r="F2980" s="3">
        <v>49.98</v>
      </c>
      <c r="G2980" s="3" t="s">
        <v>3391</v>
      </c>
      <c r="H2980" s="3"/>
      <c r="I2980" s="3" t="s">
        <v>3392</v>
      </c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>
        <v>0</v>
      </c>
      <c r="P2980" s="3">
        <v>0</v>
      </c>
      <c r="Q2980" s="3">
        <v>0</v>
      </c>
      <c r="R2980" s="3">
        <v>0</v>
      </c>
    </row>
    <row r="2981" spans="1:18">
      <c r="A2981" s="3" t="s">
        <v>8016</v>
      </c>
      <c r="B2981" s="3" t="s">
        <v>8017</v>
      </c>
      <c r="C2981" s="3" t="s">
        <v>8018</v>
      </c>
      <c r="D2981" s="3" t="s">
        <v>7923</v>
      </c>
      <c r="E2981" s="3" t="s">
        <v>867</v>
      </c>
      <c r="F2981" s="3">
        <v>49.98</v>
      </c>
      <c r="G2981" s="3" t="s">
        <v>3391</v>
      </c>
      <c r="H2981" s="3"/>
      <c r="I2981" s="3" t="s">
        <v>3392</v>
      </c>
      <c r="J2981" s="3">
        <v>0</v>
      </c>
      <c r="K2981" s="3">
        <v>0</v>
      </c>
      <c r="L2981" s="3">
        <v>0</v>
      </c>
      <c r="M2981" s="3">
        <v>0</v>
      </c>
      <c r="N2981" s="3">
        <v>0</v>
      </c>
      <c r="O2981" s="3">
        <v>0</v>
      </c>
      <c r="P2981" s="3">
        <v>0</v>
      </c>
      <c r="Q2981" s="3">
        <v>0</v>
      </c>
      <c r="R2981" s="3">
        <v>0</v>
      </c>
    </row>
    <row r="2982" spans="1:18">
      <c r="A2982" s="3" t="s">
        <v>8019</v>
      </c>
      <c r="B2982" s="3" t="s">
        <v>8020</v>
      </c>
      <c r="C2982" s="3" t="s">
        <v>8021</v>
      </c>
      <c r="D2982" s="3" t="s">
        <v>7926</v>
      </c>
      <c r="E2982" s="3" t="s">
        <v>867</v>
      </c>
      <c r="F2982" s="3">
        <v>49.98</v>
      </c>
      <c r="G2982" s="3" t="s">
        <v>3391</v>
      </c>
      <c r="H2982" s="3"/>
      <c r="I2982" s="3" t="s">
        <v>3392</v>
      </c>
      <c r="J2982" s="3">
        <v>0</v>
      </c>
      <c r="K2982" s="3">
        <v>0</v>
      </c>
      <c r="L2982" s="3">
        <v>0</v>
      </c>
      <c r="M2982" s="3">
        <v>0</v>
      </c>
      <c r="N2982" s="3">
        <v>0</v>
      </c>
      <c r="O2982" s="3">
        <v>0</v>
      </c>
      <c r="P2982" s="3">
        <v>0</v>
      </c>
      <c r="Q2982" s="3">
        <v>0</v>
      </c>
      <c r="R2982" s="3">
        <v>0</v>
      </c>
    </row>
    <row r="2983" spans="1:18">
      <c r="A2983" s="3" t="s">
        <v>8022</v>
      </c>
      <c r="B2983" s="3" t="s">
        <v>8023</v>
      </c>
      <c r="C2983" s="3" t="s">
        <v>8024</v>
      </c>
      <c r="D2983" s="3" t="s">
        <v>7929</v>
      </c>
      <c r="E2983" s="3" t="s">
        <v>867</v>
      </c>
      <c r="F2983" s="3">
        <v>49.98</v>
      </c>
      <c r="G2983" s="3" t="s">
        <v>3391</v>
      </c>
      <c r="H2983" s="3"/>
      <c r="I2983" s="3" t="s">
        <v>3392</v>
      </c>
      <c r="J2983" s="3">
        <v>0</v>
      </c>
      <c r="K2983" s="3">
        <v>0</v>
      </c>
      <c r="L2983" s="3">
        <v>0</v>
      </c>
      <c r="M2983" s="3">
        <v>0</v>
      </c>
      <c r="N2983" s="3">
        <v>0</v>
      </c>
      <c r="O2983" s="3">
        <v>0</v>
      </c>
      <c r="P2983" s="3">
        <v>0</v>
      </c>
      <c r="Q2983" s="3">
        <v>0</v>
      </c>
      <c r="R2983" s="3">
        <v>0</v>
      </c>
    </row>
    <row r="2984" spans="1:18">
      <c r="A2984" s="3" t="s">
        <v>8025</v>
      </c>
      <c r="B2984" s="3" t="s">
        <v>8026</v>
      </c>
      <c r="C2984" s="3" t="s">
        <v>8027</v>
      </c>
      <c r="D2984" s="3" t="s">
        <v>7932</v>
      </c>
      <c r="E2984" s="3" t="s">
        <v>867</v>
      </c>
      <c r="F2984" s="3">
        <v>49.98</v>
      </c>
      <c r="G2984" s="3" t="s">
        <v>3391</v>
      </c>
      <c r="H2984" s="3"/>
      <c r="I2984" s="3" t="s">
        <v>3392</v>
      </c>
      <c r="J2984" s="3">
        <v>0</v>
      </c>
      <c r="K2984" s="3">
        <v>0</v>
      </c>
      <c r="L2984" s="3">
        <v>0</v>
      </c>
      <c r="M2984" s="3">
        <v>0</v>
      </c>
      <c r="N2984" s="3">
        <v>0</v>
      </c>
      <c r="O2984" s="3">
        <v>0</v>
      </c>
      <c r="P2984" s="3">
        <v>0</v>
      </c>
      <c r="Q2984" s="3">
        <v>0</v>
      </c>
      <c r="R2984" s="3">
        <v>0</v>
      </c>
    </row>
    <row r="2985" spans="1:18">
      <c r="A2985" s="3" t="s">
        <v>8028</v>
      </c>
      <c r="B2985" s="3" t="s">
        <v>8029</v>
      </c>
      <c r="C2985" s="3" t="s">
        <v>8030</v>
      </c>
      <c r="D2985" s="3" t="s">
        <v>7935</v>
      </c>
      <c r="E2985" s="3" t="s">
        <v>867</v>
      </c>
      <c r="F2985" s="3">
        <v>49.98</v>
      </c>
      <c r="G2985" s="3" t="s">
        <v>3391</v>
      </c>
      <c r="H2985" s="3"/>
      <c r="I2985" s="3" t="s">
        <v>3392</v>
      </c>
      <c r="J2985" s="3">
        <v>0</v>
      </c>
      <c r="K2985" s="3">
        <v>0</v>
      </c>
      <c r="L2985" s="3">
        <v>0</v>
      </c>
      <c r="M2985" s="3">
        <v>0</v>
      </c>
      <c r="N2985" s="3">
        <v>0</v>
      </c>
      <c r="O2985" s="3">
        <v>0</v>
      </c>
      <c r="P2985" s="3">
        <v>0</v>
      </c>
      <c r="Q2985" s="3">
        <v>0</v>
      </c>
      <c r="R2985" s="3">
        <v>0</v>
      </c>
    </row>
    <row r="2986" spans="1:18">
      <c r="A2986" s="3" t="s">
        <v>8031</v>
      </c>
      <c r="B2986" s="3" t="s">
        <v>8032</v>
      </c>
      <c r="C2986" s="3" t="s">
        <v>8033</v>
      </c>
      <c r="D2986" s="3" t="s">
        <v>7938</v>
      </c>
      <c r="E2986" s="3" t="s">
        <v>867</v>
      </c>
      <c r="F2986" s="3">
        <v>49.98</v>
      </c>
      <c r="G2986" s="3" t="s">
        <v>3391</v>
      </c>
      <c r="H2986" s="3"/>
      <c r="I2986" s="3" t="s">
        <v>3392</v>
      </c>
      <c r="J2986" s="3">
        <v>0</v>
      </c>
      <c r="K2986" s="3">
        <v>0</v>
      </c>
      <c r="L2986" s="3">
        <v>0</v>
      </c>
      <c r="M2986" s="3">
        <v>0</v>
      </c>
      <c r="N2986" s="3">
        <v>0</v>
      </c>
      <c r="O2986" s="3">
        <v>0</v>
      </c>
      <c r="P2986" s="3">
        <v>0</v>
      </c>
      <c r="Q2986" s="3">
        <v>0</v>
      </c>
      <c r="R2986" s="3">
        <v>0</v>
      </c>
    </row>
    <row r="2987" spans="1:18">
      <c r="A2987" s="3" t="s">
        <v>8034</v>
      </c>
      <c r="B2987" s="3" t="s">
        <v>8035</v>
      </c>
      <c r="C2987" s="3" t="s">
        <v>8036</v>
      </c>
      <c r="D2987" s="3" t="s">
        <v>2739</v>
      </c>
      <c r="E2987" s="3" t="s">
        <v>867</v>
      </c>
      <c r="F2987" s="3">
        <v>49.98</v>
      </c>
      <c r="G2987" s="3" t="s">
        <v>3391</v>
      </c>
      <c r="H2987" s="3"/>
      <c r="I2987" s="3" t="s">
        <v>3392</v>
      </c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>
        <v>0</v>
      </c>
      <c r="P2987" s="3">
        <v>0</v>
      </c>
      <c r="Q2987" s="3">
        <v>0</v>
      </c>
      <c r="R2987" s="3">
        <v>0</v>
      </c>
    </row>
    <row r="2988" spans="1:18">
      <c r="A2988" s="3" t="s">
        <v>8037</v>
      </c>
      <c r="B2988" s="3" t="s">
        <v>8038</v>
      </c>
      <c r="C2988" s="3" t="s">
        <v>8039</v>
      </c>
      <c r="D2988" s="3" t="s">
        <v>1670</v>
      </c>
      <c r="E2988" s="3" t="s">
        <v>867</v>
      </c>
      <c r="F2988" s="3">
        <v>49.98</v>
      </c>
      <c r="G2988" s="3" t="s">
        <v>3391</v>
      </c>
      <c r="H2988" s="3"/>
      <c r="I2988" s="3" t="s">
        <v>3392</v>
      </c>
      <c r="J2988" s="3">
        <v>0</v>
      </c>
      <c r="K2988" s="3">
        <v>0</v>
      </c>
      <c r="L2988" s="3">
        <v>0</v>
      </c>
      <c r="M2988" s="3">
        <v>0</v>
      </c>
      <c r="N2988" s="3">
        <v>0</v>
      </c>
      <c r="O2988" s="3">
        <v>0</v>
      </c>
      <c r="P2988" s="3">
        <v>0</v>
      </c>
      <c r="Q2988" s="3">
        <v>0</v>
      </c>
      <c r="R2988" s="3">
        <v>0</v>
      </c>
    </row>
    <row r="2989" spans="1:18">
      <c r="A2989" s="3" t="s">
        <v>8040</v>
      </c>
      <c r="B2989" s="3" t="s">
        <v>8041</v>
      </c>
      <c r="C2989" s="3" t="s">
        <v>8042</v>
      </c>
      <c r="D2989" s="3" t="s">
        <v>2558</v>
      </c>
      <c r="E2989" s="3" t="s">
        <v>867</v>
      </c>
      <c r="F2989" s="3">
        <v>49.98</v>
      </c>
      <c r="G2989" s="3" t="s">
        <v>3391</v>
      </c>
      <c r="H2989" s="3"/>
      <c r="I2989" s="3" t="s">
        <v>3392</v>
      </c>
      <c r="J2989" s="3">
        <v>0</v>
      </c>
      <c r="K2989" s="3">
        <v>0</v>
      </c>
      <c r="L2989" s="3">
        <v>0</v>
      </c>
      <c r="M2989" s="3">
        <v>0</v>
      </c>
      <c r="N2989" s="3">
        <v>0</v>
      </c>
      <c r="O2989" s="3">
        <v>0</v>
      </c>
      <c r="P2989" s="3">
        <v>0</v>
      </c>
      <c r="Q2989" s="3">
        <v>0</v>
      </c>
      <c r="R2989" s="3">
        <v>0</v>
      </c>
    </row>
    <row r="2990" spans="1:18">
      <c r="A2990" s="3" t="s">
        <v>8043</v>
      </c>
      <c r="B2990" s="3" t="s">
        <v>8044</v>
      </c>
      <c r="C2990" s="3" t="s">
        <v>8045</v>
      </c>
      <c r="D2990" s="3" t="s">
        <v>7941</v>
      </c>
      <c r="E2990" s="3" t="s">
        <v>867</v>
      </c>
      <c r="F2990" s="3">
        <v>49.98</v>
      </c>
      <c r="G2990" s="3" t="s">
        <v>3391</v>
      </c>
      <c r="H2990" s="3"/>
      <c r="I2990" s="3" t="s">
        <v>3392</v>
      </c>
      <c r="J2990" s="3">
        <v>0</v>
      </c>
      <c r="K2990" s="3">
        <v>0</v>
      </c>
      <c r="L2990" s="3">
        <v>0</v>
      </c>
      <c r="M2990" s="3">
        <v>0</v>
      </c>
      <c r="N2990" s="3">
        <v>0</v>
      </c>
      <c r="O2990" s="3">
        <v>0</v>
      </c>
      <c r="P2990" s="3">
        <v>0</v>
      </c>
      <c r="Q2990" s="3">
        <v>0</v>
      </c>
      <c r="R2990" s="3">
        <v>0</v>
      </c>
    </row>
    <row r="2991" spans="1:18">
      <c r="A2991" s="3" t="s">
        <v>8046</v>
      </c>
      <c r="B2991" s="3" t="s">
        <v>8047</v>
      </c>
      <c r="C2991" s="3" t="s">
        <v>8048</v>
      </c>
      <c r="D2991" s="3" t="s">
        <v>2661</v>
      </c>
      <c r="E2991" s="3" t="s">
        <v>867</v>
      </c>
      <c r="F2991" s="3">
        <v>49.98</v>
      </c>
      <c r="G2991" s="3" t="s">
        <v>3391</v>
      </c>
      <c r="H2991" s="3"/>
      <c r="I2991" s="3" t="s">
        <v>3392</v>
      </c>
      <c r="J2991" s="3">
        <v>0</v>
      </c>
      <c r="K2991" s="3">
        <v>0</v>
      </c>
      <c r="L2991" s="3">
        <v>0</v>
      </c>
      <c r="M2991" s="3">
        <v>0</v>
      </c>
      <c r="N2991" s="3">
        <v>0</v>
      </c>
      <c r="O2991" s="3">
        <v>0</v>
      </c>
      <c r="P2991" s="3">
        <v>0</v>
      </c>
      <c r="Q2991" s="3">
        <v>0</v>
      </c>
      <c r="R2991" s="3">
        <v>0</v>
      </c>
    </row>
    <row r="2992" spans="1:18">
      <c r="A2992" s="3" t="s">
        <v>8049</v>
      </c>
      <c r="B2992" s="3" t="s">
        <v>8050</v>
      </c>
      <c r="C2992" s="3" t="s">
        <v>8051</v>
      </c>
      <c r="D2992" s="3" t="s">
        <v>7944</v>
      </c>
      <c r="E2992" s="3" t="s">
        <v>867</v>
      </c>
      <c r="F2992" s="3">
        <v>49.98</v>
      </c>
      <c r="G2992" s="3" t="s">
        <v>3391</v>
      </c>
      <c r="H2992" s="3"/>
      <c r="I2992" s="3" t="s">
        <v>3392</v>
      </c>
      <c r="J2992" s="3">
        <v>0</v>
      </c>
      <c r="K2992" s="3">
        <v>0</v>
      </c>
      <c r="L2992" s="3">
        <v>0</v>
      </c>
      <c r="M2992" s="3">
        <v>0</v>
      </c>
      <c r="N2992" s="3">
        <v>0</v>
      </c>
      <c r="O2992" s="3">
        <v>0</v>
      </c>
      <c r="P2992" s="3">
        <v>0</v>
      </c>
      <c r="Q2992" s="3">
        <v>0</v>
      </c>
      <c r="R2992" s="3">
        <v>0</v>
      </c>
    </row>
    <row r="2993" spans="1:18">
      <c r="A2993" s="3" t="s">
        <v>8052</v>
      </c>
      <c r="B2993" s="3" t="s">
        <v>8053</v>
      </c>
      <c r="C2993" s="3" t="s">
        <v>8054</v>
      </c>
      <c r="D2993" s="3" t="s">
        <v>8055</v>
      </c>
      <c r="E2993" s="3" t="s">
        <v>867</v>
      </c>
      <c r="F2993" s="3">
        <v>49.98</v>
      </c>
      <c r="G2993" s="3" t="s">
        <v>3391</v>
      </c>
      <c r="H2993" s="3"/>
      <c r="I2993" s="3" t="s">
        <v>3392</v>
      </c>
      <c r="J2993" s="3">
        <v>0</v>
      </c>
      <c r="K2993" s="3">
        <v>0</v>
      </c>
      <c r="L2993" s="3">
        <v>0</v>
      </c>
      <c r="M2993" s="3">
        <v>0</v>
      </c>
      <c r="N2993" s="3">
        <v>0</v>
      </c>
      <c r="O2993" s="3">
        <v>0</v>
      </c>
      <c r="P2993" s="3">
        <v>0</v>
      </c>
      <c r="Q2993" s="3">
        <v>0</v>
      </c>
      <c r="R2993" s="3">
        <v>0</v>
      </c>
    </row>
    <row r="2994" spans="1:18">
      <c r="A2994" s="3" t="s">
        <v>8056</v>
      </c>
      <c r="B2994" s="3" t="s">
        <v>8057</v>
      </c>
      <c r="C2994" s="3" t="s">
        <v>8058</v>
      </c>
      <c r="D2994" s="3" t="s">
        <v>8059</v>
      </c>
      <c r="E2994" s="3" t="s">
        <v>867</v>
      </c>
      <c r="F2994" s="3">
        <v>49.98</v>
      </c>
      <c r="G2994" s="3" t="s">
        <v>3391</v>
      </c>
      <c r="H2994" s="3"/>
      <c r="I2994" s="3" t="s">
        <v>3392</v>
      </c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>
        <v>0</v>
      </c>
      <c r="P2994" s="3">
        <v>0</v>
      </c>
      <c r="Q2994" s="3">
        <v>0</v>
      </c>
      <c r="R2994" s="3">
        <v>0</v>
      </c>
    </row>
    <row r="2995" spans="1:18">
      <c r="A2995" s="3" t="s">
        <v>8060</v>
      </c>
      <c r="B2995" s="3" t="s">
        <v>8061</v>
      </c>
      <c r="C2995" s="3" t="s">
        <v>8062</v>
      </c>
      <c r="D2995" s="3" t="s">
        <v>8063</v>
      </c>
      <c r="E2995" s="3" t="s">
        <v>867</v>
      </c>
      <c r="F2995" s="3">
        <v>49.98</v>
      </c>
      <c r="G2995" s="3" t="s">
        <v>3391</v>
      </c>
      <c r="H2995" s="3"/>
      <c r="I2995" s="3" t="s">
        <v>3392</v>
      </c>
      <c r="J2995" s="3">
        <v>0</v>
      </c>
      <c r="K2995" s="3">
        <v>0</v>
      </c>
      <c r="L2995" s="3">
        <v>0</v>
      </c>
      <c r="M2995" s="3">
        <v>0</v>
      </c>
      <c r="N2995" s="3">
        <v>0</v>
      </c>
      <c r="O2995" s="3">
        <v>0</v>
      </c>
      <c r="P2995" s="3">
        <v>0</v>
      </c>
      <c r="Q2995" s="3">
        <v>0</v>
      </c>
      <c r="R2995" s="3">
        <v>0</v>
      </c>
    </row>
    <row r="2996" spans="1:18">
      <c r="A2996" s="3" t="s">
        <v>8064</v>
      </c>
      <c r="B2996" s="3" t="s">
        <v>8065</v>
      </c>
      <c r="C2996" s="3" t="s">
        <v>8066</v>
      </c>
      <c r="D2996" s="3" t="s">
        <v>7947</v>
      </c>
      <c r="E2996" s="3" t="s">
        <v>867</v>
      </c>
      <c r="F2996" s="3">
        <v>49.98</v>
      </c>
      <c r="G2996" s="3" t="s">
        <v>3391</v>
      </c>
      <c r="H2996" s="3"/>
      <c r="I2996" s="3" t="s">
        <v>3392</v>
      </c>
      <c r="J2996" s="3">
        <v>0</v>
      </c>
      <c r="K2996" s="3">
        <v>0</v>
      </c>
      <c r="L2996" s="3">
        <v>0</v>
      </c>
      <c r="M2996" s="3">
        <v>0</v>
      </c>
      <c r="N2996" s="3">
        <v>0</v>
      </c>
      <c r="O2996" s="3">
        <v>0</v>
      </c>
      <c r="P2996" s="3">
        <v>0</v>
      </c>
      <c r="Q2996" s="3">
        <v>0</v>
      </c>
      <c r="R2996" s="3">
        <v>0</v>
      </c>
    </row>
    <row r="2997" spans="1:18">
      <c r="A2997" s="3" t="s">
        <v>8067</v>
      </c>
      <c r="B2997" s="3" t="s">
        <v>8068</v>
      </c>
      <c r="C2997" s="3" t="s">
        <v>8069</v>
      </c>
      <c r="D2997" s="3" t="s">
        <v>8070</v>
      </c>
      <c r="E2997" s="3" t="s">
        <v>867</v>
      </c>
      <c r="F2997" s="3">
        <v>49.98</v>
      </c>
      <c r="G2997" s="3" t="s">
        <v>3391</v>
      </c>
      <c r="H2997" s="3"/>
      <c r="I2997" s="3" t="s">
        <v>3392</v>
      </c>
      <c r="J2997" s="3">
        <v>0</v>
      </c>
      <c r="K2997" s="3">
        <v>0</v>
      </c>
      <c r="L2997" s="3">
        <v>0</v>
      </c>
      <c r="M2997" s="3">
        <v>0</v>
      </c>
      <c r="N2997" s="3">
        <v>0</v>
      </c>
      <c r="O2997" s="3">
        <v>0</v>
      </c>
      <c r="P2997" s="3">
        <v>0</v>
      </c>
      <c r="Q2997" s="3">
        <v>0</v>
      </c>
      <c r="R2997" s="3">
        <v>0</v>
      </c>
    </row>
    <row r="2998" spans="1:18">
      <c r="A2998" s="3" t="s">
        <v>8071</v>
      </c>
      <c r="B2998" s="3" t="s">
        <v>8072</v>
      </c>
      <c r="C2998" s="3" t="s">
        <v>8073</v>
      </c>
      <c r="D2998" s="3" t="s">
        <v>7950</v>
      </c>
      <c r="E2998" s="3" t="s">
        <v>867</v>
      </c>
      <c r="F2998" s="3">
        <v>49.98</v>
      </c>
      <c r="G2998" s="3" t="s">
        <v>3391</v>
      </c>
      <c r="H2998" s="3"/>
      <c r="I2998" s="3" t="s">
        <v>3392</v>
      </c>
      <c r="J2998" s="3">
        <v>0</v>
      </c>
      <c r="K2998" s="3">
        <v>0</v>
      </c>
      <c r="L2998" s="3">
        <v>0</v>
      </c>
      <c r="M2998" s="3">
        <v>0</v>
      </c>
      <c r="N2998" s="3">
        <v>0</v>
      </c>
      <c r="O2998" s="3">
        <v>0</v>
      </c>
      <c r="P2998" s="3">
        <v>0</v>
      </c>
      <c r="Q2998" s="3">
        <v>0</v>
      </c>
      <c r="R2998" s="3">
        <v>0</v>
      </c>
    </row>
    <row r="2999" spans="1:18">
      <c r="A2999" s="3" t="s">
        <v>8074</v>
      </c>
      <c r="B2999" s="3" t="s">
        <v>8075</v>
      </c>
      <c r="C2999" s="3" t="s">
        <v>8076</v>
      </c>
      <c r="D2999" s="3" t="s">
        <v>7953</v>
      </c>
      <c r="E2999" s="3" t="s">
        <v>867</v>
      </c>
      <c r="F2999" s="3">
        <v>49.98</v>
      </c>
      <c r="G2999" s="3" t="s">
        <v>3391</v>
      </c>
      <c r="H2999" s="3"/>
      <c r="I2999" s="3" t="s">
        <v>3392</v>
      </c>
      <c r="J2999" s="3">
        <v>0</v>
      </c>
      <c r="K2999" s="3">
        <v>0</v>
      </c>
      <c r="L2999" s="3">
        <v>0</v>
      </c>
      <c r="M2999" s="3">
        <v>0</v>
      </c>
      <c r="N2999" s="3">
        <v>0</v>
      </c>
      <c r="O2999" s="3">
        <v>0</v>
      </c>
      <c r="P2999" s="3">
        <v>0</v>
      </c>
      <c r="Q2999" s="3">
        <v>0</v>
      </c>
      <c r="R2999" s="3">
        <v>0</v>
      </c>
    </row>
    <row r="3000" spans="1:18">
      <c r="A3000" s="3" t="s">
        <v>8077</v>
      </c>
      <c r="B3000" s="3" t="s">
        <v>8078</v>
      </c>
      <c r="C3000" s="3" t="s">
        <v>8079</v>
      </c>
      <c r="D3000" s="3" t="s">
        <v>1069</v>
      </c>
      <c r="E3000" s="3" t="s">
        <v>867</v>
      </c>
      <c r="F3000" s="3">
        <v>49.98</v>
      </c>
      <c r="G3000" s="3" t="s">
        <v>3391</v>
      </c>
      <c r="H3000" s="3"/>
      <c r="I3000" s="3" t="s">
        <v>3392</v>
      </c>
      <c r="J3000" s="3">
        <v>0</v>
      </c>
      <c r="K3000" s="3">
        <v>0</v>
      </c>
      <c r="L3000" s="3">
        <v>0</v>
      </c>
      <c r="M3000" s="3">
        <v>0</v>
      </c>
      <c r="N3000" s="3">
        <v>0</v>
      </c>
      <c r="O3000" s="3">
        <v>0</v>
      </c>
      <c r="P3000" s="3">
        <v>0</v>
      </c>
      <c r="Q3000" s="3">
        <v>0</v>
      </c>
      <c r="R3000" s="3">
        <v>0</v>
      </c>
    </row>
    <row r="3001" spans="1:18">
      <c r="A3001" s="3" t="s">
        <v>8080</v>
      </c>
      <c r="B3001" s="3" t="s">
        <v>8081</v>
      </c>
      <c r="C3001" s="3" t="s">
        <v>8082</v>
      </c>
      <c r="D3001" s="3" t="s">
        <v>7956</v>
      </c>
      <c r="E3001" s="3" t="s">
        <v>867</v>
      </c>
      <c r="F3001" s="3">
        <v>49.98</v>
      </c>
      <c r="G3001" s="3" t="s">
        <v>3391</v>
      </c>
      <c r="H3001" s="3"/>
      <c r="I3001" s="3" t="s">
        <v>3392</v>
      </c>
      <c r="J3001" s="3">
        <v>0</v>
      </c>
      <c r="K3001" s="3">
        <v>0</v>
      </c>
      <c r="L3001" s="3">
        <v>0</v>
      </c>
      <c r="M3001" s="3">
        <v>0</v>
      </c>
      <c r="N3001" s="3">
        <v>0</v>
      </c>
      <c r="O3001" s="3">
        <v>0</v>
      </c>
      <c r="P3001" s="3">
        <v>0</v>
      </c>
      <c r="Q3001" s="3">
        <v>0</v>
      </c>
      <c r="R3001" s="3">
        <v>0</v>
      </c>
    </row>
    <row r="3002" spans="1:18">
      <c r="A3002" s="3" t="s">
        <v>8083</v>
      </c>
      <c r="B3002" s="3" t="s">
        <v>8084</v>
      </c>
      <c r="C3002" s="3" t="s">
        <v>8085</v>
      </c>
      <c r="D3002" s="3" t="s">
        <v>7959</v>
      </c>
      <c r="E3002" s="3" t="s">
        <v>867</v>
      </c>
      <c r="F3002" s="3">
        <v>49.98</v>
      </c>
      <c r="G3002" s="3" t="s">
        <v>3391</v>
      </c>
      <c r="H3002" s="3"/>
      <c r="I3002" s="3" t="s">
        <v>3392</v>
      </c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>
        <v>0</v>
      </c>
      <c r="P3002" s="3">
        <v>0</v>
      </c>
      <c r="Q3002" s="3">
        <v>0</v>
      </c>
      <c r="R3002" s="3">
        <v>0</v>
      </c>
    </row>
    <row r="3003" spans="1:18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</row>
    <row r="3004" spans="1:18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</row>
    <row r="3005" spans="1:18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</row>
    <row r="3006" spans="1:18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</row>
    <row r="3007" spans="1:18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</row>
    <row r="3008" spans="1:18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</row>
    <row r="3009" spans="1:18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010"/>
  <sheetViews>
    <sheetView tabSelected="1" workbookViewId="0">
      <selection activeCell="G23" sqref="G23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833</v>
      </c>
      <c r="B1" t="s">
        <v>8086</v>
      </c>
      <c r="C1" t="s">
        <v>8087</v>
      </c>
      <c r="D1" t="s">
        <v>8088</v>
      </c>
      <c r="E1" t="s">
        <v>8089</v>
      </c>
      <c r="F1" t="s">
        <v>8090</v>
      </c>
      <c r="G1" t="s">
        <v>8091</v>
      </c>
      <c r="H1" s="2" t="s">
        <v>8092</v>
      </c>
      <c r="I1" t="s">
        <v>8093</v>
      </c>
      <c r="J1" t="s">
        <v>840</v>
      </c>
      <c r="K1" t="s">
        <v>841</v>
      </c>
      <c r="L1" t="s">
        <v>842</v>
      </c>
      <c r="M1" t="s">
        <v>843</v>
      </c>
      <c r="N1" t="s">
        <v>8094</v>
      </c>
    </row>
    <row r="2" s="1" customFormat="1" spans="1:14">
      <c r="A2" s="1" t="s">
        <v>8095</v>
      </c>
      <c r="B2" s="1">
        <f>SUM(B3:B65536)</f>
        <v>10385</v>
      </c>
      <c r="C2" s="1">
        <f t="shared" ref="C2:N2" si="0">SUM(C3:C65536)</f>
        <v>82</v>
      </c>
      <c r="D2" s="1">
        <f t="shared" si="0"/>
        <v>5642</v>
      </c>
      <c r="E2" s="1">
        <f t="shared" si="0"/>
        <v>68</v>
      </c>
      <c r="F2" s="1">
        <f t="shared" si="0"/>
        <v>5710</v>
      </c>
      <c r="G2" s="1">
        <f t="shared" si="0"/>
        <v>433</v>
      </c>
      <c r="H2" s="1">
        <f t="shared" si="0"/>
        <v>219</v>
      </c>
      <c r="I2" s="1">
        <f t="shared" si="0"/>
        <v>131</v>
      </c>
      <c r="J2" s="1">
        <f t="shared" si="0"/>
        <v>2947</v>
      </c>
      <c r="K2" s="1">
        <f t="shared" si="0"/>
        <v>538</v>
      </c>
      <c r="L2" s="1">
        <f t="shared" si="0"/>
        <v>148</v>
      </c>
      <c r="M2" s="1">
        <f t="shared" si="0"/>
        <v>0</v>
      </c>
      <c r="N2" s="1">
        <f t="shared" si="0"/>
        <v>3633</v>
      </c>
    </row>
    <row r="3" spans="1:14">
      <c r="A3" s="3" t="s">
        <v>8</v>
      </c>
      <c r="B3">
        <f>IFERROR(VLOOKUP(A3,管理亚马逊库存!A:K,11,0),"")</f>
        <v>7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11</v>
      </c>
      <c r="B4">
        <f>IFERROR(VLOOKUP(A4,管理亚马逊库存!A:K,11,0),"")</f>
        <v>1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1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14</v>
      </c>
      <c r="B5">
        <f>IFERROR(VLOOKUP(A5,管理亚马逊库存!A:K,11,0),"")</f>
        <v>16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17</v>
      </c>
      <c r="B6">
        <f>IFERROR(VLOOKUP(A6,管理亚马逊库存!A:K,11,0),"")</f>
        <v>4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20</v>
      </c>
      <c r="B7">
        <f>IFERROR(VLOOKUP(A7,管理亚马逊库存!A:K,11,0),"")</f>
        <v>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23</v>
      </c>
      <c r="B8">
        <f>IFERROR(VLOOKUP(A8,管理亚马逊库存!A:K,11,0),"")</f>
        <v>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26</v>
      </c>
      <c r="B9">
        <f>IFERROR(VLOOKUP(A9,管理亚马逊库存!A:K,11,0),"")</f>
        <v>20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29</v>
      </c>
      <c r="B10">
        <f>IFERROR(VLOOKUP(A10,管理亚马逊库存!A:K,11,0),"")</f>
        <v>12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32</v>
      </c>
      <c r="B11">
        <f>IFERROR(VLOOKUP(A11,管理亚马逊库存!A:K,11,0),"")</f>
        <v>20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IFERROR(VLOOKUP(A11,库龄!B:K,9,0),0)</f>
        <v>16</v>
      </c>
      <c r="K11">
        <f>IFERROR(VLOOKUP(A11,库龄!B:L,10,0),0)</f>
        <v>6</v>
      </c>
      <c r="L11">
        <f>IFERROR(VLOOKUP(A11,库龄!B:M,11,0),0)</f>
        <v>0</v>
      </c>
      <c r="M11">
        <f>IFERROR(VLOOKUP(A11,库龄!B:N,12,0),0)</f>
        <v>0</v>
      </c>
      <c r="N11">
        <f t="shared" si="2"/>
        <v>22</v>
      </c>
    </row>
    <row r="12" spans="1:14">
      <c r="A12" s="3" t="s">
        <v>35</v>
      </c>
      <c r="B12">
        <f>IFERROR(VLOOKUP(A12,管理亚马逊库存!A:K,11,0),"")</f>
        <v>14</v>
      </c>
      <c r="C12">
        <f>IFERROR(VLOOKUP(A12,管理亚马逊库存!A:L,12,0),"")</f>
        <v>2</v>
      </c>
      <c r="D12">
        <f>IFERROR(VLOOKUP(A12,管理亚马逊库存!A:Q,17,0),"")</f>
        <v>3</v>
      </c>
      <c r="E12">
        <f>IFERROR(VLOOKUP(A12,管理亚马逊库存!A:R,18,0),"")</f>
        <v>0</v>
      </c>
      <c r="F12">
        <f t="shared" si="1"/>
        <v>3</v>
      </c>
      <c r="G12">
        <f>IFERROR(VLOOKUP(A12,预留库存!A:G,7,0),0)</f>
        <v>0</v>
      </c>
      <c r="H12">
        <f>IFERROR(VLOOKUP(A12,预留库存!A:H,8,0),0)</f>
        <v>0</v>
      </c>
      <c r="I12">
        <f>IFERROR(VLOOKUP(A12,预留库存!A:F,6,0),0)</f>
        <v>1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39</v>
      </c>
      <c r="B13">
        <f>IFERROR(VLOOKUP(A13,管理亚马逊库存!A:K,11,0),"")</f>
        <v>14</v>
      </c>
      <c r="C13">
        <f>IFERROR(VLOOKUP(A13,管理亚马逊库存!A:L,12,0),"")</f>
        <v>0</v>
      </c>
      <c r="D13">
        <f>IFERROR(VLOOKUP(A13,管理亚马逊库存!A:Q,17,0),"")</f>
        <v>5</v>
      </c>
      <c r="E13">
        <f>IFERROR(VLOOKUP(A13,管理亚马逊库存!A:R,18,0),"")</f>
        <v>0</v>
      </c>
      <c r="F13">
        <f t="shared" si="1"/>
        <v>5</v>
      </c>
      <c r="G13">
        <f>IFERROR(VLOOKUP(A13,预留库存!A:G,7,0),0)</f>
        <v>1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43</v>
      </c>
      <c r="B14">
        <f>IFERROR(VLOOKUP(A14,管理亚马逊库存!A:K,11,0),"")</f>
        <v>16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2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47</v>
      </c>
      <c r="B15">
        <f>IFERROR(VLOOKUP(A15,管理亚马逊库存!A:K,11,0),"")</f>
        <v>12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IFERROR(VLOOKUP(A15,库龄!B:K,9,0),0)</f>
        <v>12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12</v>
      </c>
    </row>
    <row r="16" spans="1:14">
      <c r="A16" s="3" t="s">
        <v>48</v>
      </c>
      <c r="B16">
        <f>IFERROR(VLOOKUP(A16,管理亚马逊库存!A:K,11,0),"")</f>
        <v>14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1</v>
      </c>
      <c r="H16">
        <f>IFERROR(VLOOKUP(A16,预留库存!A:H,8,0),0)</f>
        <v>3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52</v>
      </c>
      <c r="B17">
        <f>IFERROR(VLOOKUP(A17,管理亚马逊库存!A:K,11,0),"")</f>
        <v>32</v>
      </c>
      <c r="C17">
        <f>IFERROR(VLOOKUP(A17,管理亚马逊库存!A:L,12,0),"")</f>
        <v>1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1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56</v>
      </c>
      <c r="B18">
        <f>IFERROR(VLOOKUP(A18,管理亚马逊库存!A:K,11,0),"")</f>
        <v>0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1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60</v>
      </c>
      <c r="B19">
        <f>IFERROR(VLOOKUP(A19,管理亚马逊库存!A:K,11,0),"")</f>
        <v>23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1</v>
      </c>
      <c r="I19">
        <f>IFERROR(VLOOKUP(A19,预留库存!A:F,6,0),0)</f>
        <v>1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64</v>
      </c>
      <c r="B20">
        <f>IFERROR(VLOOKUP(A20,管理亚马逊库存!A:K,11,0),"")</f>
        <v>20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20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20</v>
      </c>
    </row>
    <row r="21" spans="1:14">
      <c r="A21" s="3" t="s">
        <v>65</v>
      </c>
      <c r="B21">
        <f>IFERROR(VLOOKUP(A21,管理亚马逊库存!A:K,11,0),"")</f>
        <v>4</v>
      </c>
      <c r="C21">
        <f>IFERROR(VLOOKUP(A21,管理亚马逊库存!A:L,12,0),"")</f>
        <v>2</v>
      </c>
      <c r="D21">
        <f>IFERROR(VLOOKUP(A21,管理亚马逊库存!A:Q,17,0),"")</f>
        <v>5</v>
      </c>
      <c r="E21">
        <f>IFERROR(VLOOKUP(A21,管理亚马逊库存!A:R,18,0),"")</f>
        <v>0</v>
      </c>
      <c r="F21">
        <f t="shared" si="1"/>
        <v>5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1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69</v>
      </c>
      <c r="B22">
        <f>IFERROR(VLOOKUP(A22,管理亚马逊库存!A:K,11,0),"")</f>
        <v>3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1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72</v>
      </c>
      <c r="B23">
        <f>IFERROR(VLOOKUP(A23,管理亚马逊库存!A:K,11,0),"")</f>
        <v>24</v>
      </c>
      <c r="C23">
        <f>IFERROR(VLOOKUP(A23,管理亚马逊库存!A:L,12,0),"")</f>
        <v>0</v>
      </c>
      <c r="D23">
        <f>IFERROR(VLOOKUP(A23,管理亚马逊库存!A:Q,17,0),"")</f>
        <v>20</v>
      </c>
      <c r="E23">
        <f>IFERROR(VLOOKUP(A23,管理亚马逊库存!A:R,18,0),"")</f>
        <v>0</v>
      </c>
      <c r="F23">
        <f t="shared" si="1"/>
        <v>20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1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76</v>
      </c>
      <c r="B24">
        <f>IFERROR(VLOOKUP(A24,管理亚马逊库存!A:K,11,0),"")</f>
        <v>0</v>
      </c>
      <c r="C24">
        <f>IFERROR(VLOOKUP(A24,管理亚马逊库存!A:L,12,0),"")</f>
        <v>0</v>
      </c>
      <c r="D24">
        <f>IFERROR(VLOOKUP(A24,管理亚马逊库存!A:Q,17,0),"")</f>
        <v>6</v>
      </c>
      <c r="E24">
        <f>IFERROR(VLOOKUP(A24,管理亚马逊库存!A:R,18,0),"")</f>
        <v>0</v>
      </c>
      <c r="F24">
        <f t="shared" si="1"/>
        <v>6</v>
      </c>
      <c r="G24">
        <f>IFERROR(VLOOKUP(A24,预留库存!A:G,7,0),0)</f>
        <v>3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80</v>
      </c>
      <c r="B25">
        <f>IFERROR(VLOOKUP(A25,管理亚马逊库存!A:K,11,0),"")</f>
        <v>3</v>
      </c>
      <c r="C25">
        <f>IFERROR(VLOOKUP(A25,管理亚马逊库存!A:L,12,0),"")</f>
        <v>0</v>
      </c>
      <c r="D25">
        <f>IFERROR(VLOOKUP(A25,管理亚马逊库存!A:Q,17,0),"")</f>
        <v>3</v>
      </c>
      <c r="E25">
        <f>IFERROR(VLOOKUP(A25,管理亚马逊库存!A:R,18,0),"")</f>
        <v>0</v>
      </c>
      <c r="F25">
        <f t="shared" si="1"/>
        <v>3</v>
      </c>
      <c r="G25">
        <f>IFERROR(VLOOKUP(A25,预留库存!A:G,7,0),0)</f>
        <v>5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84</v>
      </c>
      <c r="B26">
        <f>IFERROR(VLOOKUP(A26,管理亚马逊库存!A:K,11,0),"")</f>
        <v>12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8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88</v>
      </c>
      <c r="B27">
        <f>IFERROR(VLOOKUP(A27,管理亚马逊库存!A:K,11,0),"")</f>
        <v>3</v>
      </c>
      <c r="C27">
        <f>IFERROR(VLOOKUP(A27,管理亚马逊库存!A:L,12,0),"")</f>
        <v>0</v>
      </c>
      <c r="D27">
        <f>IFERROR(VLOOKUP(A27,管理亚马逊库存!A:Q,17,0),"")</f>
        <v>10</v>
      </c>
      <c r="E27">
        <f>IFERROR(VLOOKUP(A27,管理亚马逊库存!A:R,18,0),"")</f>
        <v>0</v>
      </c>
      <c r="F27">
        <f t="shared" si="1"/>
        <v>10</v>
      </c>
      <c r="G27">
        <f>IFERROR(VLOOKUP(A27,预留库存!A:G,7,0),0)</f>
        <v>5</v>
      </c>
      <c r="H27">
        <f>IFERROR(VLOOKUP(A27,预留库存!A:H,8,0),0)</f>
        <v>1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92</v>
      </c>
      <c r="B28">
        <f>IFERROR(VLOOKUP(A28,管理亚马逊库存!A:K,11,0),"")</f>
        <v>3</v>
      </c>
      <c r="C28">
        <f>IFERROR(VLOOKUP(A28,管理亚马逊库存!A:L,12,0),"")</f>
        <v>0</v>
      </c>
      <c r="D28">
        <f>IFERROR(VLOOKUP(A28,管理亚马逊库存!A:Q,17,0),"")</f>
        <v>10</v>
      </c>
      <c r="E28">
        <f>IFERROR(VLOOKUP(A28,管理亚马逊库存!A:R,18,0),"")</f>
        <v>0</v>
      </c>
      <c r="F28">
        <f t="shared" si="1"/>
        <v>10</v>
      </c>
      <c r="G28">
        <f>IFERROR(VLOOKUP(A28,预留库存!A:G,7,0),0)</f>
        <v>5</v>
      </c>
      <c r="H28">
        <f>IFERROR(VLOOKUP(A28,预留库存!A:H,8,0),0)</f>
        <v>1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96</v>
      </c>
      <c r="B29">
        <f>IFERROR(VLOOKUP(A29,管理亚马逊库存!A:K,11,0),"")</f>
        <v>3</v>
      </c>
      <c r="C29">
        <f>IFERROR(VLOOKUP(A29,管理亚马逊库存!A:L,12,0),"")</f>
        <v>0</v>
      </c>
      <c r="D29">
        <f>IFERROR(VLOOKUP(A29,管理亚马逊库存!A:Q,17,0),"")</f>
        <v>3</v>
      </c>
      <c r="E29">
        <f>IFERROR(VLOOKUP(A29,管理亚马逊库存!A:R,18,0),"")</f>
        <v>0</v>
      </c>
      <c r="F29">
        <f t="shared" si="1"/>
        <v>3</v>
      </c>
      <c r="G29">
        <f>IFERROR(VLOOKUP(A29,预留库存!A:G,7,0),0)</f>
        <v>8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100</v>
      </c>
      <c r="B30">
        <f>IFERROR(VLOOKUP(A30,管理亚马逊库存!A:K,11,0),"")</f>
        <v>5</v>
      </c>
      <c r="C30">
        <f>IFERROR(VLOOKUP(A30,管理亚马逊库存!A:L,12,0),"")</f>
        <v>0</v>
      </c>
      <c r="D30">
        <f>IFERROR(VLOOKUP(A30,管理亚马逊库存!A:Q,17,0),"")</f>
        <v>10</v>
      </c>
      <c r="E30">
        <f>IFERROR(VLOOKUP(A30,管理亚马逊库存!A:R,18,0),"")</f>
        <v>0</v>
      </c>
      <c r="F30">
        <f t="shared" si="1"/>
        <v>10</v>
      </c>
      <c r="G30">
        <f>IFERROR(VLOOKUP(A30,预留库存!A:G,7,0),0)</f>
        <v>5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104</v>
      </c>
      <c r="B31">
        <f>IFERROR(VLOOKUP(A31,管理亚马逊库存!A:K,11,0),"")</f>
        <v>1</v>
      </c>
      <c r="C31">
        <f>IFERROR(VLOOKUP(A31,管理亚马逊库存!A:L,12,0),"")</f>
        <v>0</v>
      </c>
      <c r="D31">
        <f>IFERROR(VLOOKUP(A31,管理亚马逊库存!A:Q,17,0),"")</f>
        <v>8</v>
      </c>
      <c r="E31">
        <f>IFERROR(VLOOKUP(A31,管理亚马逊库存!A:R,18,0),"")</f>
        <v>0</v>
      </c>
      <c r="F31">
        <f t="shared" si="1"/>
        <v>8</v>
      </c>
      <c r="G31">
        <f>IFERROR(VLOOKUP(A31,预留库存!A:G,7,0),0)</f>
        <v>7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108</v>
      </c>
      <c r="B32">
        <f>IFERROR(VLOOKUP(A32,管理亚马逊库存!A:K,11,0),"")</f>
        <v>20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112</v>
      </c>
      <c r="B33">
        <f>IFERROR(VLOOKUP(A33,管理亚马逊库存!A:K,11,0),"")</f>
        <v>2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5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116</v>
      </c>
      <c r="B34">
        <f>IFERROR(VLOOKUP(A34,管理亚马逊库存!A:K,11,0),"")</f>
        <v>4</v>
      </c>
      <c r="C34">
        <f>IFERROR(VLOOKUP(A34,管理亚马逊库存!A:L,12,0),"")</f>
        <v>0</v>
      </c>
      <c r="D34">
        <f>IFERROR(VLOOKUP(A34,管理亚马逊库存!A:Q,17,0),"")</f>
        <v>10</v>
      </c>
      <c r="E34">
        <f>IFERROR(VLOOKUP(A34,管理亚马逊库存!A:R,18,0),"")</f>
        <v>0</v>
      </c>
      <c r="F34">
        <f t="shared" si="1"/>
        <v>10</v>
      </c>
      <c r="G34">
        <f>IFERROR(VLOOKUP(A34,预留库存!A:G,7,0),0)</f>
        <v>5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120</v>
      </c>
      <c r="B35">
        <f>IFERROR(VLOOKUP(A35,管理亚马逊库存!A:K,11,0),"")</f>
        <v>18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1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124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4</v>
      </c>
      <c r="E36">
        <f>IFERROR(VLOOKUP(A36,管理亚马逊库存!A:R,18,0),"")</f>
        <v>0</v>
      </c>
      <c r="F36">
        <f t="shared" si="1"/>
        <v>4</v>
      </c>
      <c r="G36">
        <f>IFERROR(VLOOKUP(A36,预留库存!A:G,7,0),0)</f>
        <v>3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128</v>
      </c>
      <c r="B37">
        <f>IFERROR(VLOOKUP(A37,管理亚马逊库存!A:K,11,0),"")</f>
        <v>0</v>
      </c>
      <c r="C37">
        <f>IFERROR(VLOOKUP(A37,管理亚马逊库存!A:L,12,0),"")</f>
        <v>0</v>
      </c>
      <c r="D37">
        <f>IFERROR(VLOOKUP(A37,管理亚马逊库存!A:Q,17,0),"")</f>
        <v>19</v>
      </c>
      <c r="E37">
        <f>IFERROR(VLOOKUP(A37,管理亚马逊库存!A:R,18,0),"")</f>
        <v>0</v>
      </c>
      <c r="F37">
        <f t="shared" si="1"/>
        <v>19</v>
      </c>
      <c r="G37">
        <f>IFERROR(VLOOKUP(A37,预留库存!A:G,7,0),0)</f>
        <v>4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132</v>
      </c>
      <c r="B38">
        <f>IFERROR(VLOOKUP(A38,管理亚马逊库存!A:K,11,0),"")</f>
        <v>2</v>
      </c>
      <c r="C38">
        <f>IFERROR(VLOOKUP(A38,管理亚马逊库存!A:L,12,0),"")</f>
        <v>0</v>
      </c>
      <c r="D38">
        <f>IFERROR(VLOOKUP(A38,管理亚马逊库存!A:Q,17,0),"")</f>
        <v>18</v>
      </c>
      <c r="E38">
        <f>IFERROR(VLOOKUP(A38,管理亚马逊库存!A:R,18,0),"")</f>
        <v>0</v>
      </c>
      <c r="F38">
        <f t="shared" si="1"/>
        <v>18</v>
      </c>
      <c r="G38">
        <f>IFERROR(VLOOKUP(A38,预留库存!A:G,7,0),0)</f>
        <v>3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136</v>
      </c>
      <c r="B39">
        <f>IFERROR(VLOOKUP(A39,管理亚马逊库存!A:K,11,0),"")</f>
        <v>0</v>
      </c>
      <c r="C39">
        <f>IFERROR(VLOOKUP(A39,管理亚马逊库存!A:L,12,0),"")</f>
        <v>0</v>
      </c>
      <c r="D39">
        <f>IFERROR(VLOOKUP(A39,管理亚马逊库存!A:Q,17,0),"")</f>
        <v>30</v>
      </c>
      <c r="E39">
        <f>IFERROR(VLOOKUP(A39,管理亚马逊库存!A:R,18,0),"")</f>
        <v>0</v>
      </c>
      <c r="F39">
        <f t="shared" si="1"/>
        <v>30</v>
      </c>
      <c r="G39">
        <f>IFERROR(VLOOKUP(A39,预留库存!A:G,7,0),0)</f>
        <v>5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139</v>
      </c>
      <c r="B40">
        <f>IFERROR(VLOOKUP(A40,管理亚马逊库存!A:K,11,0),"")</f>
        <v>3</v>
      </c>
      <c r="C40">
        <f>IFERROR(VLOOKUP(A40,管理亚马逊库存!A:L,12,0),"")</f>
        <v>0</v>
      </c>
      <c r="D40">
        <f>IFERROR(VLOOKUP(A40,管理亚马逊库存!A:Q,17,0),"")</f>
        <v>16</v>
      </c>
      <c r="E40">
        <f>IFERROR(VLOOKUP(A40,管理亚马逊库存!A:R,18,0),"")</f>
        <v>0</v>
      </c>
      <c r="F40">
        <f t="shared" si="1"/>
        <v>16</v>
      </c>
      <c r="G40">
        <f>IFERROR(VLOOKUP(A40,预留库存!A:G,7,0),0)</f>
        <v>8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142</v>
      </c>
      <c r="B41">
        <f>IFERROR(VLOOKUP(A41,管理亚马逊库存!A:K,11,0),"")</f>
        <v>0</v>
      </c>
      <c r="C41">
        <f>IFERROR(VLOOKUP(A41,管理亚马逊库存!A:L,12,0),"")</f>
        <v>0</v>
      </c>
      <c r="D41">
        <f>IFERROR(VLOOKUP(A41,管理亚马逊库存!A:Q,17,0),"")</f>
        <v>1</v>
      </c>
      <c r="E41">
        <f>IFERROR(VLOOKUP(A41,管理亚马逊库存!A:R,18,0),"")</f>
        <v>0</v>
      </c>
      <c r="F41">
        <f t="shared" si="1"/>
        <v>1</v>
      </c>
      <c r="G41">
        <f>IFERROR(VLOOKUP(A41,预留库存!A:G,7,0),0)</f>
        <v>1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145</v>
      </c>
      <c r="B42">
        <f>IFERROR(VLOOKUP(A42,管理亚马逊库存!A:K,11,0),"")</f>
        <v>0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1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148</v>
      </c>
      <c r="B43">
        <f>IFERROR(VLOOKUP(A43,管理亚马逊库存!A:K,11,0),"")</f>
        <v>16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1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152</v>
      </c>
      <c r="B44">
        <f>IFERROR(VLOOKUP(A44,管理亚马逊库存!A:K,11,0),"")</f>
        <v>6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1</v>
      </c>
      <c r="H44">
        <f>IFERROR(VLOOKUP(A44,预留库存!A:H,8,0),0)</f>
        <v>0</v>
      </c>
      <c r="I44">
        <f>IFERROR(VLOOKUP(A44,预留库存!A:F,6,0),0)</f>
        <v>1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156</v>
      </c>
      <c r="B45">
        <f>IFERROR(VLOOKUP(A45,管理亚马逊库存!A:K,11,0),"")</f>
        <v>12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160</v>
      </c>
      <c r="B46">
        <f>IFERROR(VLOOKUP(A46,管理亚马逊库存!A:K,11,0),"")</f>
        <v>10</v>
      </c>
      <c r="C46">
        <f>IFERROR(VLOOKUP(A46,管理亚马逊库存!A:L,12,0),"")</f>
        <v>0</v>
      </c>
      <c r="D46">
        <f>IFERROR(VLOOKUP(A46,管理亚马逊库存!A:Q,17,0),"")</f>
        <v>10</v>
      </c>
      <c r="E46">
        <f>IFERROR(VLOOKUP(A46,管理亚马逊库存!A:R,18,0),"")</f>
        <v>0</v>
      </c>
      <c r="F46">
        <f t="shared" si="1"/>
        <v>10</v>
      </c>
      <c r="G46">
        <f>IFERROR(VLOOKUP(A46,预留库存!A:G,7,0),0)</f>
        <v>10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164</v>
      </c>
      <c r="B47">
        <f>IFERROR(VLOOKUP(A47,管理亚马逊库存!A:K,11,0),"")</f>
        <v>6</v>
      </c>
      <c r="C47">
        <f>IFERROR(VLOOKUP(A47,管理亚马逊库存!A:L,12,0),"")</f>
        <v>0</v>
      </c>
      <c r="D47">
        <f>IFERROR(VLOOKUP(A47,管理亚马逊库存!A:Q,17,0),"")</f>
        <v>13</v>
      </c>
      <c r="E47">
        <f>IFERROR(VLOOKUP(A47,管理亚马逊库存!A:R,18,0),"")</f>
        <v>0</v>
      </c>
      <c r="F47">
        <f t="shared" si="1"/>
        <v>13</v>
      </c>
      <c r="G47">
        <f>IFERROR(VLOOKUP(A47,预留库存!A:G,7,0),0)</f>
        <v>10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167</v>
      </c>
      <c r="B48">
        <f>IFERROR(VLOOKUP(A48,管理亚马逊库存!A:K,11,0),"")</f>
        <v>28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171</v>
      </c>
      <c r="B49">
        <f>IFERROR(VLOOKUP(A49,管理亚马逊库存!A:K,11,0),"")</f>
        <v>3</v>
      </c>
      <c r="C49">
        <f>IFERROR(VLOOKUP(A49,管理亚马逊库存!A:L,12,0),"")</f>
        <v>0</v>
      </c>
      <c r="D49">
        <f>IFERROR(VLOOKUP(A49,管理亚马逊库存!A:Q,17,0),"")</f>
        <v>10</v>
      </c>
      <c r="E49">
        <f>IFERROR(VLOOKUP(A49,管理亚马逊库存!A:R,18,0),"")</f>
        <v>0</v>
      </c>
      <c r="F49">
        <f t="shared" si="1"/>
        <v>10</v>
      </c>
      <c r="G49">
        <f>IFERROR(VLOOKUP(A49,预留库存!A:G,7,0),0)</f>
        <v>5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175</v>
      </c>
      <c r="B50">
        <f>IFERROR(VLOOKUP(A50,管理亚马逊库存!A:K,11,0),"")</f>
        <v>18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179</v>
      </c>
      <c r="B51">
        <f>IFERROR(VLOOKUP(A51,管理亚马逊库存!A:K,11,0),"")</f>
        <v>3</v>
      </c>
      <c r="C51">
        <f>IFERROR(VLOOKUP(A51,管理亚马逊库存!A:L,12,0),"")</f>
        <v>0</v>
      </c>
      <c r="D51">
        <f>IFERROR(VLOOKUP(A51,管理亚马逊库存!A:Q,17,0),"")</f>
        <v>3</v>
      </c>
      <c r="E51">
        <f>IFERROR(VLOOKUP(A51,管理亚马逊库存!A:R,18,0),"")</f>
        <v>0</v>
      </c>
      <c r="F51">
        <f t="shared" si="1"/>
        <v>3</v>
      </c>
      <c r="G51">
        <f>IFERROR(VLOOKUP(A51,预留库存!A:G,7,0),0)</f>
        <v>3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183</v>
      </c>
      <c r="B52">
        <f>IFERROR(VLOOKUP(A52,管理亚马逊库存!A:K,11,0),"")</f>
        <v>0</v>
      </c>
      <c r="C52">
        <f>IFERROR(VLOOKUP(A52,管理亚马逊库存!A:L,12,0),"")</f>
        <v>0</v>
      </c>
      <c r="D52">
        <f>IFERROR(VLOOKUP(A52,管理亚马逊库存!A:Q,17,0),"")</f>
        <v>21</v>
      </c>
      <c r="E52">
        <f>IFERROR(VLOOKUP(A52,管理亚马逊库存!A:R,18,0),"")</f>
        <v>0</v>
      </c>
      <c r="F52">
        <f t="shared" si="1"/>
        <v>21</v>
      </c>
      <c r="G52">
        <f>IFERROR(VLOOKUP(A52,预留库存!A:G,7,0),0)</f>
        <v>5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187</v>
      </c>
      <c r="B53">
        <f>IFERROR(VLOOKUP(A53,管理亚马逊库存!A:K,11,0),"")</f>
        <v>3</v>
      </c>
      <c r="C53">
        <f>IFERROR(VLOOKUP(A53,管理亚马逊库存!A:L,12,0),"")</f>
        <v>0</v>
      </c>
      <c r="D53">
        <f>IFERROR(VLOOKUP(A53,管理亚马逊库存!A:Q,17,0),"")</f>
        <v>6</v>
      </c>
      <c r="E53">
        <f>IFERROR(VLOOKUP(A53,管理亚马逊库存!A:R,18,0),"")</f>
        <v>0</v>
      </c>
      <c r="F53">
        <f t="shared" si="1"/>
        <v>6</v>
      </c>
      <c r="G53">
        <f>IFERROR(VLOOKUP(A53,预留库存!A:G,7,0),0)</f>
        <v>2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191</v>
      </c>
      <c r="B54">
        <f>IFERROR(VLOOKUP(A54,管理亚马逊库存!A:K,11,0),"")</f>
        <v>5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2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195</v>
      </c>
      <c r="B55">
        <f>IFERROR(VLOOKUP(A55,管理亚马逊库存!A:K,11,0),"")</f>
        <v>32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2</v>
      </c>
      <c r="H55">
        <f>IFERROR(VLOOKUP(A55,预留库存!A:H,8,0),0)</f>
        <v>2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199</v>
      </c>
      <c r="B56">
        <f>IFERROR(VLOOKUP(A56,管理亚马逊库存!A:K,11,0),"")</f>
        <v>4</v>
      </c>
      <c r="C56">
        <f>IFERROR(VLOOKUP(A56,管理亚马逊库存!A:L,12,0),"")</f>
        <v>0</v>
      </c>
      <c r="D56">
        <f>IFERROR(VLOOKUP(A56,管理亚马逊库存!A:Q,17,0),"")</f>
        <v>9</v>
      </c>
      <c r="E56">
        <f>IFERROR(VLOOKUP(A56,管理亚马逊库存!A:R,18,0),"")</f>
        <v>0</v>
      </c>
      <c r="F56">
        <f t="shared" si="1"/>
        <v>9</v>
      </c>
      <c r="G56">
        <f>IFERROR(VLOOKUP(A56,预留库存!A:G,7,0),0)</f>
        <v>5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203</v>
      </c>
      <c r="B57">
        <f>IFERROR(VLOOKUP(A57,管理亚马逊库存!A:K,11,0),"")</f>
        <v>5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5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207</v>
      </c>
      <c r="B58">
        <f>IFERROR(VLOOKUP(A58,管理亚马逊库存!A:K,11,0),"")</f>
        <v>16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1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211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15</v>
      </c>
      <c r="E59">
        <f>IFERROR(VLOOKUP(A59,管理亚马逊库存!A:R,18,0),"")</f>
        <v>0</v>
      </c>
      <c r="F59">
        <f t="shared" si="1"/>
        <v>15</v>
      </c>
      <c r="G59">
        <f>IFERROR(VLOOKUP(A59,预留库存!A:G,7,0),0)</f>
        <v>5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214</v>
      </c>
      <c r="B60">
        <f>IFERROR(VLOOKUP(A60,管理亚马逊库存!A:K,11,0),"")</f>
        <v>5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5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218</v>
      </c>
      <c r="B61">
        <f>IFERROR(VLOOKUP(A61,管理亚马逊库存!A:K,11,0),"")</f>
        <v>12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1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222</v>
      </c>
      <c r="B62">
        <f>IFERROR(VLOOKUP(A62,管理亚马逊库存!A:K,11,0),"")</f>
        <v>36</v>
      </c>
      <c r="C62">
        <f>IFERROR(VLOOKUP(A62,管理亚马逊库存!A:L,12,0),"")</f>
        <v>1</v>
      </c>
      <c r="D62">
        <f>IFERROR(VLOOKUP(A62,管理亚马逊库存!A:Q,17,0),"")</f>
        <v>15</v>
      </c>
      <c r="E62">
        <f>IFERROR(VLOOKUP(A62,管理亚马逊库存!A:R,18,0),"")</f>
        <v>0</v>
      </c>
      <c r="F62">
        <f t="shared" si="1"/>
        <v>15</v>
      </c>
      <c r="G62">
        <f>IFERROR(VLOOKUP(A62,预留库存!A:G,7,0),0)</f>
        <v>1</v>
      </c>
      <c r="H62">
        <f>IFERROR(VLOOKUP(A62,预留库存!A:H,8,0),0)</f>
        <v>1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226</v>
      </c>
      <c r="B63">
        <f>IFERROR(VLOOKUP(A63,管理亚马逊库存!A:K,11,0),"")</f>
        <v>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5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230</v>
      </c>
      <c r="B64">
        <f>IFERROR(VLOOKUP(A64,管理亚马逊库存!A:K,11,0),"")</f>
        <v>5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1</v>
      </c>
      <c r="H64">
        <f>IFERROR(VLOOKUP(A64,预留库存!A:H,8,0),0)</f>
        <v>1</v>
      </c>
      <c r="I64">
        <f>IFERROR(VLOOKUP(A64,预留库存!A:F,6,0),0)</f>
        <v>2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234</v>
      </c>
      <c r="B65">
        <f>IFERROR(VLOOKUP(A65,管理亚马逊库存!A:K,11,0),"")</f>
        <v>33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238</v>
      </c>
      <c r="B66">
        <f>IFERROR(VLOOKUP(A66,管理亚马逊库存!A:K,11,0),"")</f>
        <v>1</v>
      </c>
      <c r="C66">
        <f>IFERROR(VLOOKUP(A66,管理亚马逊库存!A:L,12,0),"")</f>
        <v>0</v>
      </c>
      <c r="D66">
        <f>IFERROR(VLOOKUP(A66,管理亚马逊库存!A:Q,17,0),"")</f>
        <v>20</v>
      </c>
      <c r="E66">
        <f>IFERROR(VLOOKUP(A66,管理亚马逊库存!A:R,18,0),"")</f>
        <v>0</v>
      </c>
      <c r="F66">
        <f t="shared" si="1"/>
        <v>20</v>
      </c>
      <c r="G66">
        <f>IFERROR(VLOOKUP(A66,预留库存!A:G,7,0),0)</f>
        <v>0</v>
      </c>
      <c r="H66">
        <f>IFERROR(VLOOKUP(A66,预留库存!A:H,8,0),0)</f>
        <v>3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242</v>
      </c>
      <c r="B67">
        <f>IFERROR(VLOOKUP(A67,管理亚马逊库存!A:K,11,0),"")</f>
        <v>3</v>
      </c>
      <c r="C67">
        <f>IFERROR(VLOOKUP(A67,管理亚马逊库存!A:L,12,0),"")</f>
        <v>0</v>
      </c>
      <c r="D67">
        <f>IFERROR(VLOOKUP(A67,管理亚马逊库存!A:Q,17,0),"")</f>
        <v>25</v>
      </c>
      <c r="E67">
        <f>IFERROR(VLOOKUP(A67,管理亚马逊库存!A:R,18,0),"")</f>
        <v>0</v>
      </c>
      <c r="F67">
        <f t="shared" ref="F67:F130" si="3">SUM(D67:E67)</f>
        <v>25</v>
      </c>
      <c r="G67">
        <f>IFERROR(VLOOKUP(A67,预留库存!A:G,7,0),0)</f>
        <v>5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246</v>
      </c>
      <c r="B68">
        <f>IFERROR(VLOOKUP(A68,管理亚马逊库存!A:K,11,0),"")</f>
        <v>11</v>
      </c>
      <c r="C68">
        <f>IFERROR(VLOOKUP(A68,管理亚马逊库存!A:L,12,0),"")</f>
        <v>2</v>
      </c>
      <c r="D68">
        <f>IFERROR(VLOOKUP(A68,管理亚马逊库存!A:Q,17,0),"")</f>
        <v>30</v>
      </c>
      <c r="E68">
        <f>IFERROR(VLOOKUP(A68,管理亚马逊库存!A:R,18,0),"")</f>
        <v>0</v>
      </c>
      <c r="F68">
        <f t="shared" si="3"/>
        <v>30</v>
      </c>
      <c r="G68">
        <f>IFERROR(VLOOKUP(A68,预留库存!A:G,7,0),0)</f>
        <v>0</v>
      </c>
      <c r="H68">
        <f>IFERROR(VLOOKUP(A68,预留库存!A:H,8,0),0)</f>
        <v>4</v>
      </c>
      <c r="I68">
        <f>IFERROR(VLOOKUP(A68,预留库存!A:F,6,0),0)</f>
        <v>2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250</v>
      </c>
      <c r="B69">
        <f>IFERROR(VLOOKUP(A69,管理亚马逊库存!A:K,11,0),"")</f>
        <v>5</v>
      </c>
      <c r="C69">
        <f>IFERROR(VLOOKUP(A69,管理亚马逊库存!A:L,12,0),"")</f>
        <v>0</v>
      </c>
      <c r="D69">
        <f>IFERROR(VLOOKUP(A69,管理亚马逊库存!A:Q,17,0),"")</f>
        <v>5</v>
      </c>
      <c r="E69">
        <f>IFERROR(VLOOKUP(A69,管理亚马逊库存!A:R,18,0),"")</f>
        <v>0</v>
      </c>
      <c r="F69">
        <f t="shared" si="3"/>
        <v>5</v>
      </c>
      <c r="G69">
        <f>IFERROR(VLOOKUP(A69,预留库存!A:G,7,0),0)</f>
        <v>5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254</v>
      </c>
      <c r="B70">
        <f>IFERROR(VLOOKUP(A70,管理亚马逊库存!A:K,11,0),"")</f>
        <v>39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1</v>
      </c>
      <c r="H70">
        <f>IFERROR(VLOOKUP(A70,预留库存!A:H,8,0),0)</f>
        <v>1</v>
      </c>
      <c r="I70">
        <f>IFERROR(VLOOKUP(A70,预留库存!A:F,6,0),0)</f>
        <v>1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258</v>
      </c>
      <c r="B71">
        <f>IFERROR(VLOOKUP(A71,管理亚马逊库存!A:K,11,0),"")</f>
        <v>3</v>
      </c>
      <c r="C71">
        <f>IFERROR(VLOOKUP(A71,管理亚马逊库存!A:L,12,0),"")</f>
        <v>0</v>
      </c>
      <c r="D71">
        <f>IFERROR(VLOOKUP(A71,管理亚马逊库存!A:Q,17,0),"")</f>
        <v>3</v>
      </c>
      <c r="E71">
        <f>IFERROR(VLOOKUP(A71,管理亚马逊库存!A:R,18,0),"")</f>
        <v>0</v>
      </c>
      <c r="F71">
        <f t="shared" si="3"/>
        <v>3</v>
      </c>
      <c r="G71">
        <f>IFERROR(VLOOKUP(A71,预留库存!A:G,7,0),0)</f>
        <v>3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262</v>
      </c>
      <c r="B72">
        <f>IFERROR(VLOOKUP(A72,管理亚马逊库存!A:K,11,0),"")</f>
        <v>6</v>
      </c>
      <c r="C72">
        <f>IFERROR(VLOOKUP(A72,管理亚马逊库存!A:L,12,0),"")</f>
        <v>0</v>
      </c>
      <c r="D72">
        <f>IFERROR(VLOOKUP(A72,管理亚马逊库存!A:Q,17,0),"")</f>
        <v>2</v>
      </c>
      <c r="E72">
        <f>IFERROR(VLOOKUP(A72,管理亚马逊库存!A:R,18,0),"")</f>
        <v>0</v>
      </c>
      <c r="F72">
        <f t="shared" si="3"/>
        <v>2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1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266</v>
      </c>
      <c r="B73">
        <f>IFERROR(VLOOKUP(A73,管理亚马逊库存!A:K,11,0),"")</f>
        <v>17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1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270</v>
      </c>
      <c r="B74">
        <f>IFERROR(VLOOKUP(A74,管理亚马逊库存!A:K,11,0),"")</f>
        <v>0</v>
      </c>
      <c r="C74">
        <f>IFERROR(VLOOKUP(A74,管理亚马逊库存!A:L,12,0),"")</f>
        <v>0</v>
      </c>
      <c r="D74">
        <f>IFERROR(VLOOKUP(A74,管理亚马逊库存!A:Q,17,0),"")</f>
        <v>13</v>
      </c>
      <c r="E74">
        <f>IFERROR(VLOOKUP(A74,管理亚马逊库存!A:R,18,0),"")</f>
        <v>0</v>
      </c>
      <c r="F74">
        <f t="shared" si="3"/>
        <v>13</v>
      </c>
      <c r="G74">
        <f>IFERROR(VLOOKUP(A74,预留库存!A:G,7,0),0)</f>
        <v>3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274</v>
      </c>
      <c r="B75">
        <f>IFERROR(VLOOKUP(A75,管理亚马逊库存!A:K,11,0),"")</f>
        <v>0</v>
      </c>
      <c r="C75">
        <f>IFERROR(VLOOKUP(A75,管理亚马逊库存!A:L,12,0),"")</f>
        <v>3</v>
      </c>
      <c r="D75">
        <f>IFERROR(VLOOKUP(A75,管理亚马逊库存!A:Q,17,0),"")</f>
        <v>17</v>
      </c>
      <c r="E75">
        <f>IFERROR(VLOOKUP(A75,管理亚马逊库存!A:R,18,0),"")</f>
        <v>0</v>
      </c>
      <c r="F75">
        <f t="shared" si="3"/>
        <v>17</v>
      </c>
      <c r="G75">
        <f>IFERROR(VLOOKUP(A75,预留库存!A:G,7,0),0)</f>
        <v>0</v>
      </c>
      <c r="H75">
        <f>IFERROR(VLOOKUP(A75,预留库存!A:H,8,0),0)</f>
        <v>1</v>
      </c>
      <c r="I75">
        <f>IFERROR(VLOOKUP(A75,预留库存!A:F,6,0),0)</f>
        <v>2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278</v>
      </c>
      <c r="B76">
        <f>IFERROR(VLOOKUP(A76,管理亚马逊库存!A:K,11,0),"")</f>
        <v>19</v>
      </c>
      <c r="C76">
        <f>IFERROR(VLOOKUP(A76,管理亚马逊库存!A:L,12,0),"")</f>
        <v>1</v>
      </c>
      <c r="D76">
        <f>IFERROR(VLOOKUP(A76,管理亚马逊库存!A:Q,17,0),"")</f>
        <v>25</v>
      </c>
      <c r="E76">
        <f>IFERROR(VLOOKUP(A76,管理亚马逊库存!A:R,18,0),"")</f>
        <v>0</v>
      </c>
      <c r="F76">
        <f t="shared" si="3"/>
        <v>25</v>
      </c>
      <c r="G76">
        <f>IFERROR(VLOOKUP(A76,预留库存!A:G,7,0),0)</f>
        <v>0</v>
      </c>
      <c r="H76">
        <f>IFERROR(VLOOKUP(A76,预留库存!A:H,8,0),0)</f>
        <v>3</v>
      </c>
      <c r="I76">
        <f>IFERROR(VLOOKUP(A76,预留库存!A:F,6,0),0)</f>
        <v>1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281</v>
      </c>
      <c r="B77">
        <f>IFERROR(VLOOKUP(A77,管理亚马逊库存!A:K,11,0),"")</f>
        <v>8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285</v>
      </c>
      <c r="B78">
        <f>IFERROR(VLOOKUP(A78,管理亚马逊库存!A:K,11,0),"")</f>
        <v>84</v>
      </c>
      <c r="C78">
        <f>IFERROR(VLOOKUP(A78,管理亚马逊库存!A:L,12,0),"")</f>
        <v>1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1</v>
      </c>
      <c r="H78">
        <f>IFERROR(VLOOKUP(A78,预留库存!A:H,8,0),0)</f>
        <v>1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289</v>
      </c>
      <c r="B79">
        <f>IFERROR(VLOOKUP(A79,管理亚马逊库存!A:K,11,0),"")</f>
        <v>0</v>
      </c>
      <c r="C79">
        <f>IFERROR(VLOOKUP(A79,管理亚马逊库存!A:L,12,0),"")</f>
        <v>0</v>
      </c>
      <c r="D79">
        <f>IFERROR(VLOOKUP(A79,管理亚马逊库存!A:Q,17,0),"")</f>
        <v>5</v>
      </c>
      <c r="E79">
        <f>IFERROR(VLOOKUP(A79,管理亚马逊库存!A:R,18,0),"")</f>
        <v>0</v>
      </c>
      <c r="F79">
        <f t="shared" si="3"/>
        <v>5</v>
      </c>
      <c r="G79">
        <f>IFERROR(VLOOKUP(A79,预留库存!A:G,7,0),0)</f>
        <v>5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293</v>
      </c>
      <c r="B80">
        <f>IFERROR(VLOOKUP(A80,管理亚马逊库存!A:K,11,0),"")</f>
        <v>77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1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297</v>
      </c>
      <c r="B81">
        <f>IFERROR(VLOOKUP(A81,管理亚马逊库存!A:K,11,0),"")</f>
        <v>5</v>
      </c>
      <c r="C81">
        <f>IFERROR(VLOOKUP(A81,管理亚马逊库存!A:L,12,0),"")</f>
        <v>0</v>
      </c>
      <c r="D81">
        <f>IFERROR(VLOOKUP(A81,管理亚马逊库存!A:Q,17,0),"")</f>
        <v>10</v>
      </c>
      <c r="E81">
        <f>IFERROR(VLOOKUP(A81,管理亚马逊库存!A:R,18,0),"")</f>
        <v>0</v>
      </c>
      <c r="F81">
        <f t="shared" si="3"/>
        <v>10</v>
      </c>
      <c r="G81">
        <f>IFERROR(VLOOKUP(A81,预留库存!A:G,7,0),0)</f>
        <v>5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301</v>
      </c>
      <c r="B82">
        <f>IFERROR(VLOOKUP(A82,管理亚马逊库存!A:K,11,0),"")</f>
        <v>5</v>
      </c>
      <c r="C82">
        <f>IFERROR(VLOOKUP(A82,管理亚马逊库存!A:L,12,0),"")</f>
        <v>0</v>
      </c>
      <c r="D82">
        <f>IFERROR(VLOOKUP(A82,管理亚马逊库存!A:Q,17,0),"")</f>
        <v>10</v>
      </c>
      <c r="E82">
        <f>IFERROR(VLOOKUP(A82,管理亚马逊库存!A:R,18,0),"")</f>
        <v>0</v>
      </c>
      <c r="F82">
        <f t="shared" si="3"/>
        <v>10</v>
      </c>
      <c r="G82">
        <f>IFERROR(VLOOKUP(A82,预留库存!A:G,7,0),0)</f>
        <v>0</v>
      </c>
      <c r="H82">
        <f>IFERROR(VLOOKUP(A82,预留库存!A:H,8,0),0)</f>
        <v>4</v>
      </c>
      <c r="I82">
        <f>IFERROR(VLOOKUP(A82,预留库存!A:F,6,0),0)</f>
        <v>1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305</v>
      </c>
      <c r="B83">
        <f>IFERROR(VLOOKUP(A83,管理亚马逊库存!A:K,11,0),"")</f>
        <v>12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1</v>
      </c>
      <c r="H83">
        <f>IFERROR(VLOOKUP(A83,预留库存!A:H,8,0),0)</f>
        <v>1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309</v>
      </c>
      <c r="B84">
        <f>IFERROR(VLOOKUP(A84,管理亚马逊库存!A:K,11,0),"")</f>
        <v>56</v>
      </c>
      <c r="C84">
        <f>IFERROR(VLOOKUP(A84,管理亚马逊库存!A:L,12,0),"")</f>
        <v>1</v>
      </c>
      <c r="D84">
        <f>IFERROR(VLOOKUP(A84,管理亚马逊库存!A:Q,17,0),"")</f>
        <v>0</v>
      </c>
      <c r="E84">
        <f>IFERROR(VLOOKUP(A84,管理亚马逊库存!A:R,18,0),"")</f>
        <v>30</v>
      </c>
      <c r="F84">
        <f t="shared" si="3"/>
        <v>30</v>
      </c>
      <c r="G84">
        <f>IFERROR(VLOOKUP(A84,预留库存!A:G,7,0),0)</f>
        <v>1</v>
      </c>
      <c r="H84">
        <f>IFERROR(VLOOKUP(A84,预留库存!A:H,8,0),0)</f>
        <v>6</v>
      </c>
      <c r="I84">
        <f>IFERROR(VLOOKUP(A84,预留库存!A:F,6,0),0)</f>
        <v>5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313</v>
      </c>
      <c r="B85">
        <f>IFERROR(VLOOKUP(A85,管理亚马逊库存!A:K,11,0),"")</f>
        <v>10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1</v>
      </c>
      <c r="H85">
        <f>IFERROR(VLOOKUP(A85,预留库存!A:H,8,0),0)</f>
        <v>0</v>
      </c>
      <c r="I85">
        <f>IFERROR(VLOOKUP(A85,预留库存!A:F,6,0),0)</f>
        <v>1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317</v>
      </c>
      <c r="B86">
        <f>IFERROR(VLOOKUP(A86,管理亚马逊库存!A:K,11,0),"")</f>
        <v>52</v>
      </c>
      <c r="C86">
        <f>IFERROR(VLOOKUP(A86,管理亚马逊库存!A:L,12,0),"")</f>
        <v>1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1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321</v>
      </c>
      <c r="B87">
        <f>IFERROR(VLOOKUP(A87,管理亚马逊库存!A:K,11,0),"")</f>
        <v>4</v>
      </c>
      <c r="C87">
        <f>IFERROR(VLOOKUP(A87,管理亚马逊库存!A:L,12,0),"")</f>
        <v>0</v>
      </c>
      <c r="D87">
        <f>IFERROR(VLOOKUP(A87,管理亚马逊库存!A:Q,17,0),"")</f>
        <v>9</v>
      </c>
      <c r="E87">
        <f>IFERROR(VLOOKUP(A87,管理亚马逊库存!A:R,18,0),"")</f>
        <v>0</v>
      </c>
      <c r="F87">
        <f t="shared" si="3"/>
        <v>9</v>
      </c>
      <c r="G87">
        <f>IFERROR(VLOOKUP(A87,预留库存!A:G,7,0),0)</f>
        <v>5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325</v>
      </c>
      <c r="B88">
        <f>IFERROR(VLOOKUP(A88,管理亚马逊库存!A:K,11,0),"")</f>
        <v>0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1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329</v>
      </c>
      <c r="B89">
        <f>IFERROR(VLOOKUP(A89,管理亚马逊库存!A:K,11,0),"")</f>
        <v>0</v>
      </c>
      <c r="C89">
        <f>IFERROR(VLOOKUP(A89,管理亚马逊库存!A:L,12,0),"")</f>
        <v>0</v>
      </c>
      <c r="D89">
        <f>IFERROR(VLOOKUP(A89,管理亚马逊库存!A:Q,17,0),"")</f>
        <v>20</v>
      </c>
      <c r="E89">
        <f>IFERROR(VLOOKUP(A89,管理亚马逊库存!A:R,18,0),"")</f>
        <v>0</v>
      </c>
      <c r="F89">
        <f t="shared" si="3"/>
        <v>20</v>
      </c>
      <c r="G89">
        <f>IFERROR(VLOOKUP(A89,预留库存!A:G,7,0),0)</f>
        <v>10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333</v>
      </c>
      <c r="B90">
        <f>IFERROR(VLOOKUP(A90,管理亚马逊库存!A:K,11,0),"")</f>
        <v>48</v>
      </c>
      <c r="C90">
        <f>IFERROR(VLOOKUP(A90,管理亚马逊库存!A:L,12,0),"")</f>
        <v>1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2</v>
      </c>
      <c r="I90">
        <f>IFERROR(VLOOKUP(A90,预留库存!A:F,6,0),0)</f>
        <v>1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337</v>
      </c>
      <c r="B91">
        <f>IFERROR(VLOOKUP(A91,管理亚马逊库存!A:K,11,0),"")</f>
        <v>0</v>
      </c>
      <c r="C91">
        <f>IFERROR(VLOOKUP(A91,管理亚马逊库存!A:L,12,0),"")</f>
        <v>0</v>
      </c>
      <c r="D91">
        <f>IFERROR(VLOOKUP(A91,管理亚马逊库存!A:Q,17,0),"")</f>
        <v>5</v>
      </c>
      <c r="E91">
        <f>IFERROR(VLOOKUP(A91,管理亚马逊库存!A:R,18,0),"")</f>
        <v>0</v>
      </c>
      <c r="F91">
        <f t="shared" si="3"/>
        <v>5</v>
      </c>
      <c r="G91">
        <f>IFERROR(VLOOKUP(A91,预留库存!A:G,7,0),0)</f>
        <v>5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341</v>
      </c>
      <c r="B92">
        <f>IFERROR(VLOOKUP(A92,管理亚马逊库存!A:K,11,0),"")</f>
        <v>12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2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345</v>
      </c>
      <c r="B93">
        <f>IFERROR(VLOOKUP(A93,管理亚马逊库存!A:K,11,0),"")</f>
        <v>0</v>
      </c>
      <c r="C93">
        <f>IFERROR(VLOOKUP(A93,管理亚马逊库存!A:L,12,0),"")</f>
        <v>1</v>
      </c>
      <c r="D93">
        <f>IFERROR(VLOOKUP(A93,管理亚马逊库存!A:Q,17,0),"")</f>
        <v>15</v>
      </c>
      <c r="E93">
        <f>IFERROR(VLOOKUP(A93,管理亚马逊库存!A:R,18,0),"")</f>
        <v>0</v>
      </c>
      <c r="F93">
        <f t="shared" si="3"/>
        <v>15</v>
      </c>
      <c r="G93">
        <f>IFERROR(VLOOKUP(A93,预留库存!A:G,7,0),0)</f>
        <v>0</v>
      </c>
      <c r="H93">
        <f>IFERROR(VLOOKUP(A93,预留库存!A:H,8,0),0)</f>
        <v>2</v>
      </c>
      <c r="I93">
        <f>IFERROR(VLOOKUP(A93,预留库存!A:F,6,0),0)</f>
        <v>2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349</v>
      </c>
      <c r="B94">
        <f>IFERROR(VLOOKUP(A94,管理亚马逊库存!A:K,11,0),"")</f>
        <v>55</v>
      </c>
      <c r="C94">
        <f>IFERROR(VLOOKUP(A94,管理亚马逊库存!A:L,12,0),"")</f>
        <v>3</v>
      </c>
      <c r="D94">
        <f>IFERROR(VLOOKUP(A94,管理亚马逊库存!A:Q,17,0),"")</f>
        <v>21</v>
      </c>
      <c r="E94">
        <f>IFERROR(VLOOKUP(A94,管理亚马逊库存!A:R,18,0),"")</f>
        <v>0</v>
      </c>
      <c r="F94">
        <f t="shared" si="3"/>
        <v>21</v>
      </c>
      <c r="G94">
        <f>IFERROR(VLOOKUP(A94,预留库存!A:G,7,0),0)</f>
        <v>1</v>
      </c>
      <c r="H94">
        <f>IFERROR(VLOOKUP(A94,预留库存!A:H,8,0),0)</f>
        <v>3</v>
      </c>
      <c r="I94">
        <f>IFERROR(VLOOKUP(A94,预留库存!A:F,6,0),0)</f>
        <v>2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353</v>
      </c>
      <c r="B95">
        <f>IFERROR(VLOOKUP(A95,管理亚马逊库存!A:K,11,0),"")</f>
        <v>6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1</v>
      </c>
      <c r="H95">
        <f>IFERROR(VLOOKUP(A95,预留库存!A:H,8,0),0)</f>
        <v>0</v>
      </c>
      <c r="I95">
        <f>IFERROR(VLOOKUP(A95,预留库存!A:F,6,0),0)</f>
        <v>1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357</v>
      </c>
      <c r="B96">
        <f>IFERROR(VLOOKUP(A96,管理亚马逊库存!A:K,11,0),"")</f>
        <v>103</v>
      </c>
      <c r="C96">
        <f>IFERROR(VLOOKUP(A96,管理亚马逊库存!A:L,12,0),"")</f>
        <v>1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1</v>
      </c>
      <c r="H96">
        <f>IFERROR(VLOOKUP(A96,预留库存!A:H,8,0),0)</f>
        <v>4</v>
      </c>
      <c r="I96">
        <f>IFERROR(VLOOKUP(A96,预留库存!A:F,6,0),0)</f>
        <v>1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361</v>
      </c>
      <c r="B97">
        <f>IFERROR(VLOOKUP(A97,管理亚马逊库存!A:K,11,0),"")</f>
        <v>0</v>
      </c>
      <c r="C97">
        <f>IFERROR(VLOOKUP(A97,管理亚马逊库存!A:L,12,0),"")</f>
        <v>1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1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365</v>
      </c>
      <c r="B98">
        <f>IFERROR(VLOOKUP(A98,管理亚马逊库存!A:K,11,0),"")</f>
        <v>20</v>
      </c>
      <c r="C98">
        <f>IFERROR(VLOOKUP(A98,管理亚马逊库存!A:L,12,0),"")</f>
        <v>1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2</v>
      </c>
      <c r="H98">
        <f>IFERROR(VLOOKUP(A98,预留库存!A:H,8,0),0)</f>
        <v>5</v>
      </c>
      <c r="I98">
        <f>IFERROR(VLOOKUP(A98,预留库存!A:F,6,0),0)</f>
        <v>2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369</v>
      </c>
      <c r="B99">
        <f>IFERROR(VLOOKUP(A99,管理亚马逊库存!A:K,11,0),"")</f>
        <v>58</v>
      </c>
      <c r="C99">
        <f>IFERROR(VLOOKUP(A99,管理亚马逊库存!A:L,12,0),"")</f>
        <v>5</v>
      </c>
      <c r="D99">
        <f>IFERROR(VLOOKUP(A99,管理亚马逊库存!A:Q,17,0),"")</f>
        <v>22</v>
      </c>
      <c r="E99">
        <f>IFERROR(VLOOKUP(A99,管理亚马逊库存!A:R,18,0),"")</f>
        <v>20</v>
      </c>
      <c r="F99">
        <f t="shared" si="3"/>
        <v>42</v>
      </c>
      <c r="G99">
        <f>IFERROR(VLOOKUP(A99,预留库存!A:G,7,0),0)</f>
        <v>1</v>
      </c>
      <c r="H99">
        <f>IFERROR(VLOOKUP(A99,预留库存!A:H,8,0),0)</f>
        <v>5</v>
      </c>
      <c r="I99">
        <f>IFERROR(VLOOKUP(A99,预留库存!A:F,6,0),0)</f>
        <v>4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373</v>
      </c>
      <c r="B100">
        <f>IFERROR(VLOOKUP(A100,管理亚马逊库存!A:K,11,0),"")</f>
        <v>40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2</v>
      </c>
      <c r="I100">
        <f>IFERROR(VLOOKUP(A100,预留库存!A:F,6,0),0)</f>
        <v>1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377</v>
      </c>
      <c r="B101">
        <f>IFERROR(VLOOKUP(A101,管理亚马逊库存!A:K,11,0),"")</f>
        <v>8</v>
      </c>
      <c r="C101">
        <f>IFERROR(VLOOKUP(A101,管理亚马逊库存!A:L,12,0),"")</f>
        <v>5</v>
      </c>
      <c r="D101">
        <f>IFERROR(VLOOKUP(A101,管理亚马逊库存!A:Q,17,0),"")</f>
        <v>0</v>
      </c>
      <c r="E101">
        <f>IFERROR(VLOOKUP(A101,管理亚马逊库存!A:R,18,0),"")</f>
        <v>13</v>
      </c>
      <c r="F101">
        <f t="shared" si="3"/>
        <v>13</v>
      </c>
      <c r="G101">
        <f>IFERROR(VLOOKUP(A101,预留库存!A:G,7,0),0)</f>
        <v>6</v>
      </c>
      <c r="H101">
        <f>IFERROR(VLOOKUP(A101,预留库存!A:H,8,0),0)</f>
        <v>9</v>
      </c>
      <c r="I101">
        <f>IFERROR(VLOOKUP(A101,预留库存!A:F,6,0),0)</f>
        <v>6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381</v>
      </c>
      <c r="B102">
        <f>IFERROR(VLOOKUP(A102,管理亚马逊库存!A:K,11,0),"")</f>
        <v>21</v>
      </c>
      <c r="C102">
        <f>IFERROR(VLOOKUP(A102,管理亚马逊库存!A:L,12,0),"")</f>
        <v>0</v>
      </c>
      <c r="D102">
        <f>IFERROR(VLOOKUP(A102,管理亚马逊库存!A:Q,17,0),"")</f>
        <v>8</v>
      </c>
      <c r="E102">
        <f>IFERROR(VLOOKUP(A102,管理亚马逊库存!A:R,18,0),"")</f>
        <v>0</v>
      </c>
      <c r="F102">
        <f t="shared" si="3"/>
        <v>8</v>
      </c>
      <c r="G102">
        <f>IFERROR(VLOOKUP(A102,预留库存!A:G,7,0),0)</f>
        <v>2</v>
      </c>
      <c r="H102">
        <f>IFERROR(VLOOKUP(A102,预留库存!A:H,8,0),0)</f>
        <v>3</v>
      </c>
      <c r="I102">
        <f>IFERROR(VLOOKUP(A102,预留库存!A:F,6,0),0)</f>
        <v>1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385</v>
      </c>
      <c r="B103">
        <f>IFERROR(VLOOKUP(A103,管理亚马逊库存!A:K,11,0),"")</f>
        <v>31</v>
      </c>
      <c r="C103">
        <f>IFERROR(VLOOKUP(A103,管理亚马逊库存!A:L,12,0),"")</f>
        <v>1</v>
      </c>
      <c r="D103">
        <f>IFERROR(VLOOKUP(A103,管理亚马逊库存!A:Q,17,0),"")</f>
        <v>40</v>
      </c>
      <c r="E103">
        <f>IFERROR(VLOOKUP(A103,管理亚马逊库存!A:R,18,0),"")</f>
        <v>0</v>
      </c>
      <c r="F103">
        <f t="shared" si="3"/>
        <v>40</v>
      </c>
      <c r="G103">
        <f>IFERROR(VLOOKUP(A103,预留库存!A:G,7,0),0)</f>
        <v>1</v>
      </c>
      <c r="H103">
        <f>IFERROR(VLOOKUP(A103,预留库存!A:H,8,0),0)</f>
        <v>6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389</v>
      </c>
      <c r="B104">
        <f>IFERROR(VLOOKUP(A104,管理亚马逊库存!A:K,11,0),"")</f>
        <v>45</v>
      </c>
      <c r="C104">
        <f>IFERROR(VLOOKUP(A104,管理亚马逊库存!A:L,12,0),"")</f>
        <v>1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1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393</v>
      </c>
      <c r="B105">
        <f>IFERROR(VLOOKUP(A105,管理亚马逊库存!A:K,11,0),"")</f>
        <v>50</v>
      </c>
      <c r="C105">
        <f>IFERROR(VLOOKUP(A105,管理亚马逊库存!A:L,12,0),"")</f>
        <v>0</v>
      </c>
      <c r="D105">
        <f>IFERROR(VLOOKUP(A105,管理亚马逊库存!A:Q,17,0),"")</f>
        <v>15</v>
      </c>
      <c r="E105">
        <f>IFERROR(VLOOKUP(A105,管理亚马逊库存!A:R,18,0),"")</f>
        <v>1</v>
      </c>
      <c r="F105">
        <f t="shared" si="3"/>
        <v>16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2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397</v>
      </c>
      <c r="B106">
        <f>IFERROR(VLOOKUP(A106,管理亚马逊库存!A:K,11,0),"")</f>
        <v>1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1</v>
      </c>
      <c r="H106">
        <f>IFERROR(VLOOKUP(A106,预留库存!A:H,8,0),0)</f>
        <v>0</v>
      </c>
      <c r="I106">
        <f>IFERROR(VLOOKUP(A106,预留库存!A:F,6,0),0)</f>
        <v>1</v>
      </c>
      <c r="J106">
        <f>IFERROR(VLOOKUP(A106,库龄!B:K,9,0),0)</f>
        <v>3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3</v>
      </c>
    </row>
    <row r="107" spans="1:14">
      <c r="A107" s="3" t="s">
        <v>398</v>
      </c>
      <c r="B107">
        <f>IFERROR(VLOOKUP(A107,管理亚马逊库存!A:K,11,0),"")</f>
        <v>16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1</v>
      </c>
      <c r="I107">
        <f>IFERROR(VLOOKUP(A107,预留库存!A:F,6,0),0)</f>
        <v>0</v>
      </c>
      <c r="J107">
        <f>IFERROR(VLOOKUP(A107,库龄!B:K,9,0),0)</f>
        <v>17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17</v>
      </c>
    </row>
    <row r="108" spans="1:14">
      <c r="A108" s="3" t="s">
        <v>399</v>
      </c>
      <c r="B108">
        <f>IFERROR(VLOOKUP(A108,管理亚马逊库存!A:K,11,0),"")</f>
        <v>4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1</v>
      </c>
      <c r="I108">
        <f>IFERROR(VLOOKUP(A108,预留库存!A:F,6,0),0)</f>
        <v>0</v>
      </c>
      <c r="J108">
        <f>IFERROR(VLOOKUP(A108,库龄!B:K,9,0),0)</f>
        <v>2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2</v>
      </c>
    </row>
    <row r="109" spans="1:14">
      <c r="A109" s="3" t="s">
        <v>400</v>
      </c>
      <c r="B109">
        <f>IFERROR(VLOOKUP(A109,管理亚马逊库存!A:K,11,0),"")</f>
        <v>7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1</v>
      </c>
      <c r="I109">
        <f>IFERROR(VLOOKUP(A109,预留库存!A:F,6,0),0)</f>
        <v>0</v>
      </c>
      <c r="J109">
        <f>IFERROR(VLOOKUP(A109,库龄!B:K,9,0),0)</f>
        <v>5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5</v>
      </c>
    </row>
    <row r="110" spans="1:14">
      <c r="A110" s="3" t="s">
        <v>401</v>
      </c>
      <c r="B110">
        <f>IFERROR(VLOOKUP(A110,管理亚马逊库存!A:K,11,0),"")</f>
        <v>1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1</v>
      </c>
      <c r="J110">
        <f>IFERROR(VLOOKUP(A110,库龄!B:K,9,0),0)</f>
        <v>1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1</v>
      </c>
    </row>
    <row r="111" spans="1:14">
      <c r="A111" s="3" t="s">
        <v>402</v>
      </c>
      <c r="B111">
        <f>IFERROR(VLOOKUP(A111,管理亚马逊库存!A:K,11,0),"")</f>
        <v>27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1</v>
      </c>
      <c r="H111">
        <f>IFERROR(VLOOKUP(A111,预留库存!A:H,8,0),0)</f>
        <v>0</v>
      </c>
      <c r="I111">
        <f>IFERROR(VLOOKUP(A111,预留库存!A:F,6,0),0)</f>
        <v>1</v>
      </c>
      <c r="J111">
        <f>IFERROR(VLOOKUP(A111,库龄!B:K,9,0),0)</f>
        <v>28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28</v>
      </c>
    </row>
    <row r="112" spans="1:14">
      <c r="A112" s="3" t="s">
        <v>405</v>
      </c>
      <c r="B112">
        <f>IFERROR(VLOOKUP(A112,管理亚马逊库存!A:K,11,0),"")</f>
        <v>5</v>
      </c>
      <c r="C112">
        <f>IFERROR(VLOOKUP(A112,管理亚马逊库存!A:L,12,0),"")</f>
        <v>0</v>
      </c>
      <c r="D112">
        <f>IFERROR(VLOOKUP(A112,管理亚马逊库存!A:Q,17,0),"")</f>
        <v>15</v>
      </c>
      <c r="E112">
        <f>IFERROR(VLOOKUP(A112,管理亚马逊库存!A:R,18,0),"")</f>
        <v>0</v>
      </c>
      <c r="F112">
        <f t="shared" si="3"/>
        <v>15</v>
      </c>
      <c r="G112">
        <f>IFERROR(VLOOKUP(A112,预留库存!A:G,7,0),0)</f>
        <v>5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409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1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412</v>
      </c>
      <c r="B114">
        <f>IFERROR(VLOOKUP(A114,管理亚马逊库存!A:K,11,0),"")</f>
        <v>13</v>
      </c>
      <c r="C114">
        <f>IFERROR(VLOOKUP(A114,管理亚马逊库存!A:L,12,0),"")</f>
        <v>1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1</v>
      </c>
      <c r="H114">
        <f>IFERROR(VLOOKUP(A114,预留库存!A:H,8,0),0)</f>
        <v>0</v>
      </c>
      <c r="I114">
        <f>IFERROR(VLOOKUP(A114,预留库存!A:F,6,0),0)</f>
        <v>1</v>
      </c>
      <c r="J114">
        <f>IFERROR(VLOOKUP(A114,库龄!B:K,9,0),0)</f>
        <v>14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14</v>
      </c>
    </row>
    <row r="115" spans="1:14">
      <c r="A115" s="3" t="s">
        <v>415</v>
      </c>
      <c r="B115">
        <f>IFERROR(VLOOKUP(A115,管理亚马逊库存!A:K,11,0),"")</f>
        <v>12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1</v>
      </c>
      <c r="I115">
        <f>IFERROR(VLOOKUP(A115,预留库存!A:F,6,0),0)</f>
        <v>0</v>
      </c>
      <c r="J115">
        <f>IFERROR(VLOOKUP(A115,库龄!B:K,9,0),0)</f>
        <v>8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8</v>
      </c>
    </row>
    <row r="116" spans="1:14">
      <c r="A116" s="3" t="s">
        <v>418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4</v>
      </c>
      <c r="E116">
        <f>IFERROR(VLOOKUP(A116,管理亚马逊库存!A:R,18,0),"")</f>
        <v>0</v>
      </c>
      <c r="F116">
        <f t="shared" si="3"/>
        <v>4</v>
      </c>
      <c r="G116">
        <f>IFERROR(VLOOKUP(A116,预留库存!A:G,7,0),0)</f>
        <v>4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422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1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423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1</v>
      </c>
      <c r="J118">
        <f>IFERROR(VLOOKUP(A118,库龄!B:K,9,0),0)</f>
        <v>3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3</v>
      </c>
    </row>
    <row r="119" spans="1:14">
      <c r="A119" s="3" t="s">
        <v>426</v>
      </c>
      <c r="B119">
        <f>IFERROR(VLOOKUP(A119,管理亚马逊库存!A:K,11,0),"")</f>
        <v>4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3</v>
      </c>
      <c r="H119">
        <f>IFERROR(VLOOKUP(A119,预留库存!A:H,8,0),0)</f>
        <v>0</v>
      </c>
      <c r="I119">
        <f>IFERROR(VLOOKUP(A119,预留库存!A:F,6,0),0)</f>
        <v>1</v>
      </c>
      <c r="J119">
        <f>IFERROR(VLOOKUP(A119,库龄!B:K,9,0),0)</f>
        <v>3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3</v>
      </c>
    </row>
    <row r="120" spans="1:14">
      <c r="A120" s="3" t="s">
        <v>429</v>
      </c>
      <c r="B120">
        <f>IFERROR(VLOOKUP(A120,管理亚马逊库存!A:K,11,0),"")</f>
        <v>5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5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433</v>
      </c>
      <c r="B121">
        <f>IFERROR(VLOOKUP(A121,管理亚马逊库存!A:K,11,0),"")</f>
        <v>7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2</v>
      </c>
      <c r="H121">
        <f>IFERROR(VLOOKUP(A121,预留库存!A:H,8,0),0)</f>
        <v>0</v>
      </c>
      <c r="I121">
        <f>IFERROR(VLOOKUP(A121,预留库存!A:F,6,0),0)</f>
        <v>1</v>
      </c>
      <c r="J121">
        <f>IFERROR(VLOOKUP(A121,库龄!B:K,9,0),0)</f>
        <v>4</v>
      </c>
      <c r="K121">
        <f>IFERROR(VLOOKUP(A121,库龄!B:L,10,0),0)</f>
        <v>4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8</v>
      </c>
    </row>
    <row r="122" spans="1:14">
      <c r="A122" s="3" t="s">
        <v>436</v>
      </c>
      <c r="B122">
        <f>IFERROR(VLOOKUP(A122,管理亚马逊库存!A:K,11,0),"")</f>
        <v>14</v>
      </c>
      <c r="C122">
        <f>IFERROR(VLOOKUP(A122,管理亚马逊库存!A:L,12,0),"")</f>
        <v>0</v>
      </c>
      <c r="D122">
        <f>IFERROR(VLOOKUP(A122,管理亚马逊库存!A:Q,17,0),"")</f>
        <v>24</v>
      </c>
      <c r="E122">
        <f>IFERROR(VLOOKUP(A122,管理亚马逊库存!A:R,18,0),"")</f>
        <v>0</v>
      </c>
      <c r="F122">
        <f t="shared" si="3"/>
        <v>24</v>
      </c>
      <c r="G122">
        <f>IFERROR(VLOOKUP(A122,预留库存!A:G,7,0),0)</f>
        <v>0</v>
      </c>
      <c r="H122">
        <f>IFERROR(VLOOKUP(A122,预留库存!A:H,8,0),0)</f>
        <v>1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440</v>
      </c>
      <c r="B123">
        <f>IFERROR(VLOOKUP(A123,管理亚马逊库存!A:K,11,0),"")</f>
        <v>20</v>
      </c>
      <c r="C123">
        <f>IFERROR(VLOOKUP(A123,管理亚马逊库存!A:L,12,0),"")</f>
        <v>0</v>
      </c>
      <c r="D123">
        <f>IFERROR(VLOOKUP(A123,管理亚马逊库存!A:Q,17,0),"")</f>
        <v>10</v>
      </c>
      <c r="E123">
        <f>IFERROR(VLOOKUP(A123,管理亚马逊库存!A:R,18,0),"")</f>
        <v>0</v>
      </c>
      <c r="F123">
        <f t="shared" si="3"/>
        <v>10</v>
      </c>
      <c r="G123">
        <f>IFERROR(VLOOKUP(A123,预留库存!A:G,7,0),0)</f>
        <v>1</v>
      </c>
      <c r="H123">
        <f>IFERROR(VLOOKUP(A123,预留库存!A:H,8,0),0)</f>
        <v>2</v>
      </c>
      <c r="I123">
        <f>IFERROR(VLOOKUP(A123,预留库存!A:F,6,0),0)</f>
        <v>1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444</v>
      </c>
      <c r="B124">
        <f>IFERROR(VLOOKUP(A124,管理亚马逊库存!A:K,11,0),"")</f>
        <v>9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1</v>
      </c>
      <c r="I124">
        <f>IFERROR(VLOOKUP(A124,预留库存!A:F,6,0),0)</f>
        <v>0</v>
      </c>
      <c r="J124">
        <f>IFERROR(VLOOKUP(A124,库龄!B:K,9,0),0)</f>
        <v>9</v>
      </c>
      <c r="K124">
        <f>IFERROR(VLOOKUP(A124,库龄!B:L,10,0),0)</f>
        <v>1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10</v>
      </c>
    </row>
    <row r="125" spans="1:14">
      <c r="A125" s="3" t="s">
        <v>447</v>
      </c>
      <c r="B125">
        <f>IFERROR(VLOOKUP(A125,管理亚马逊库存!A:K,11,0),"")</f>
        <v>1</v>
      </c>
      <c r="C125">
        <f>IFERROR(VLOOKUP(A125,管理亚马逊库存!A:L,12,0),"")</f>
        <v>0</v>
      </c>
      <c r="D125">
        <f>IFERROR(VLOOKUP(A125,管理亚马逊库存!A:Q,17,0),"")</f>
        <v>19</v>
      </c>
      <c r="E125">
        <f>IFERROR(VLOOKUP(A125,管理亚马逊库存!A:R,18,0),"")</f>
        <v>0</v>
      </c>
      <c r="F125">
        <f t="shared" si="3"/>
        <v>19</v>
      </c>
      <c r="G125">
        <f>IFERROR(VLOOKUP(A125,预留库存!A:G,7,0),0)</f>
        <v>11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451</v>
      </c>
      <c r="B126">
        <f>IFERROR(VLOOKUP(A126,管理亚马逊库存!A:K,11,0),"")</f>
        <v>5</v>
      </c>
      <c r="C126">
        <f>IFERROR(VLOOKUP(A126,管理亚马逊库存!A:L,12,0),"")</f>
        <v>0</v>
      </c>
      <c r="D126">
        <f>IFERROR(VLOOKUP(A126,管理亚马逊库存!A:Q,17,0),"")</f>
        <v>15</v>
      </c>
      <c r="E126">
        <f>IFERROR(VLOOKUP(A126,管理亚马逊库存!A:R,18,0),"")</f>
        <v>0</v>
      </c>
      <c r="F126">
        <f t="shared" si="3"/>
        <v>15</v>
      </c>
      <c r="G126">
        <f>IFERROR(VLOOKUP(A126,预留库存!A:G,7,0),0)</f>
        <v>4</v>
      </c>
      <c r="H126">
        <f>IFERROR(VLOOKUP(A126,预留库存!A:H,8,0),0)</f>
        <v>1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455</v>
      </c>
      <c r="B127">
        <f>IFERROR(VLOOKUP(A127,管理亚马逊库存!A:K,11,0),"")</f>
        <v>5</v>
      </c>
      <c r="C127">
        <f>IFERROR(VLOOKUP(A127,管理亚马逊库存!A:L,12,0),"")</f>
        <v>0</v>
      </c>
      <c r="D127">
        <f>IFERROR(VLOOKUP(A127,管理亚马逊库存!A:Q,17,0),"")</f>
        <v>2</v>
      </c>
      <c r="E127">
        <f>IFERROR(VLOOKUP(A127,管理亚马逊库存!A:R,18,0),"")</f>
        <v>0</v>
      </c>
      <c r="F127">
        <f t="shared" si="3"/>
        <v>2</v>
      </c>
      <c r="G127">
        <f>IFERROR(VLOOKUP(A127,预留库存!A:G,7,0),0)</f>
        <v>5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459</v>
      </c>
      <c r="B128">
        <f>IFERROR(VLOOKUP(A128,管理亚马逊库存!A:K,11,0),"")</f>
        <v>3</v>
      </c>
      <c r="C128">
        <f>IFERROR(VLOOKUP(A128,管理亚马逊库存!A:L,12,0),"")</f>
        <v>0</v>
      </c>
      <c r="D128">
        <f>IFERROR(VLOOKUP(A128,管理亚马逊库存!A:Q,17,0),"")</f>
        <v>19</v>
      </c>
      <c r="E128">
        <f>IFERROR(VLOOKUP(A128,管理亚马逊库存!A:R,18,0),"")</f>
        <v>0</v>
      </c>
      <c r="F128">
        <f t="shared" si="3"/>
        <v>19</v>
      </c>
      <c r="G128">
        <f>IFERROR(VLOOKUP(A128,预留库存!A:G,7,0),0)</f>
        <v>14</v>
      </c>
      <c r="H128">
        <f>IFERROR(VLOOKUP(A128,预留库存!A:H,8,0),0)</f>
        <v>1</v>
      </c>
      <c r="I128">
        <f>IFERROR(VLOOKUP(A128,预留库存!A:F,6,0),0)</f>
        <v>1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463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36</v>
      </c>
      <c r="E129">
        <f>IFERROR(VLOOKUP(A129,管理亚马逊库存!A:R,18,0),"")</f>
        <v>0</v>
      </c>
      <c r="F129">
        <f t="shared" si="3"/>
        <v>36</v>
      </c>
      <c r="G129">
        <f>IFERROR(VLOOKUP(A129,预留库存!A:G,7,0),0)</f>
        <v>10</v>
      </c>
      <c r="H129">
        <f>IFERROR(VLOOKUP(A129,预留库存!A:H,8,0),0)</f>
        <v>1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467</v>
      </c>
      <c r="B130">
        <f>IFERROR(VLOOKUP(A130,管理亚马逊库存!A:K,11,0),"")</f>
        <v>10</v>
      </c>
      <c r="C130">
        <f>IFERROR(VLOOKUP(A130,管理亚马逊库存!A:L,12,0),"")</f>
        <v>0</v>
      </c>
      <c r="D130">
        <f>IFERROR(VLOOKUP(A130,管理亚马逊库存!A:Q,17,0),"")</f>
        <v>11</v>
      </c>
      <c r="E130">
        <f>IFERROR(VLOOKUP(A130,管理亚马逊库存!A:R,18,0),"")</f>
        <v>0</v>
      </c>
      <c r="F130">
        <f t="shared" si="3"/>
        <v>11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1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471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37</v>
      </c>
      <c r="E131">
        <f>IFERROR(VLOOKUP(A131,管理亚马逊库存!A:R,18,0),"")</f>
        <v>0</v>
      </c>
      <c r="F131">
        <f t="shared" ref="F131:F194" si="5">SUM(D131:E131)</f>
        <v>37</v>
      </c>
      <c r="G131">
        <f>IFERROR(VLOOKUP(A131,预留库存!A:G,7,0),0)</f>
        <v>8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475</v>
      </c>
      <c r="B132">
        <f>IFERROR(VLOOKUP(A132,管理亚马逊库存!A:K,11,0),"")</f>
        <v>1</v>
      </c>
      <c r="C132">
        <f>IFERROR(VLOOKUP(A132,管理亚马逊库存!A:L,12,0),"")</f>
        <v>1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1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478</v>
      </c>
      <c r="B133">
        <f>IFERROR(VLOOKUP(A133,管理亚马逊库存!A:K,11,0),"")</f>
        <v>0</v>
      </c>
      <c r="C133">
        <f>IFERROR(VLOOKUP(A133,管理亚马逊库存!A:L,12,0),"")</f>
        <v>0</v>
      </c>
      <c r="D133">
        <f>IFERROR(VLOOKUP(A133,管理亚马逊库存!A:Q,17,0),"")</f>
        <v>10</v>
      </c>
      <c r="E133">
        <f>IFERROR(VLOOKUP(A133,管理亚马逊库存!A:R,18,0),"")</f>
        <v>0</v>
      </c>
      <c r="F133">
        <f t="shared" si="5"/>
        <v>10</v>
      </c>
      <c r="G133">
        <f>IFERROR(VLOOKUP(A133,预留库存!A:G,7,0),0)</f>
        <v>20</v>
      </c>
      <c r="H133">
        <f>IFERROR(VLOOKUP(A133,预留库存!A:H,8,0),0)</f>
        <v>2</v>
      </c>
      <c r="I133">
        <f>IFERROR(VLOOKUP(A133,预留库存!A:F,6,0),0)</f>
        <v>2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482</v>
      </c>
      <c r="B134">
        <f>IFERROR(VLOOKUP(A134,管理亚马逊库存!A:K,11,0),"")</f>
        <v>3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1</v>
      </c>
      <c r="I134">
        <f>IFERROR(VLOOKUP(A134,预留库存!A:F,6,0),0)</f>
        <v>0</v>
      </c>
      <c r="J134">
        <f>IFERROR(VLOOKUP(A134,库龄!B:K,9,0),0)</f>
        <v>4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4</v>
      </c>
    </row>
    <row r="135" spans="1:14">
      <c r="A135" s="3" t="s">
        <v>485</v>
      </c>
      <c r="B135">
        <f>IFERROR(VLOOKUP(A135,管理亚马逊库存!A:K,11,0),"")</f>
        <v>27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1</v>
      </c>
      <c r="H135">
        <f>IFERROR(VLOOKUP(A135,预留库存!A:H,8,0),0)</f>
        <v>1</v>
      </c>
      <c r="I135">
        <f>IFERROR(VLOOKUP(A135,预留库存!A:F,6,0),0)</f>
        <v>1</v>
      </c>
      <c r="J135">
        <f>IFERROR(VLOOKUP(A135,库龄!B:K,9,0),0)</f>
        <v>27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27</v>
      </c>
    </row>
    <row r="136" spans="1:14">
      <c r="A136" s="3" t="s">
        <v>488</v>
      </c>
      <c r="B136">
        <f>IFERROR(VLOOKUP(A136,管理亚马逊库存!A:K,11,0),"")</f>
        <v>18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1</v>
      </c>
      <c r="J136">
        <f>IFERROR(VLOOKUP(A136,库龄!B:K,9,0),0)</f>
        <v>19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19</v>
      </c>
    </row>
    <row r="137" spans="1:14">
      <c r="A137" s="3" t="s">
        <v>491</v>
      </c>
      <c r="B137">
        <f>IFERROR(VLOOKUP(A137,管理亚马逊库存!A:K,11,0),"")</f>
        <v>2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1</v>
      </c>
      <c r="I137">
        <f>IFERROR(VLOOKUP(A137,预留库存!A:F,6,0),0)</f>
        <v>0</v>
      </c>
      <c r="J137">
        <f>IFERROR(VLOOKUP(A137,库龄!B:K,9,0),0)</f>
        <v>2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2</v>
      </c>
    </row>
    <row r="138" spans="1:14">
      <c r="A138" s="3" t="s">
        <v>494</v>
      </c>
      <c r="B138">
        <f>IFERROR(VLOOKUP(A138,管理亚马逊库存!A:K,11,0),"")</f>
        <v>11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1</v>
      </c>
      <c r="I138">
        <f>IFERROR(VLOOKUP(A138,预留库存!A:F,6,0),0)</f>
        <v>0</v>
      </c>
      <c r="J138">
        <f>IFERROR(VLOOKUP(A138,库龄!B:K,9,0),0)</f>
        <v>7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7</v>
      </c>
    </row>
    <row r="139" spans="1:14">
      <c r="A139" s="3" t="s">
        <v>497</v>
      </c>
      <c r="B139">
        <f>IFERROR(VLOOKUP(A139,管理亚马逊库存!A:K,11,0),"")</f>
        <v>5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1</v>
      </c>
      <c r="H139">
        <f>IFERROR(VLOOKUP(A139,预留库存!A:H,8,0),0)</f>
        <v>0</v>
      </c>
      <c r="I139">
        <f>IFERROR(VLOOKUP(A139,预留库存!A:F,6,0),0)</f>
        <v>1</v>
      </c>
      <c r="J139">
        <f>IFERROR(VLOOKUP(A139,库龄!B:K,9,0),0)</f>
        <v>7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7</v>
      </c>
    </row>
    <row r="140" spans="1:14">
      <c r="A140" s="3" t="s">
        <v>500</v>
      </c>
      <c r="B140">
        <f>IFERROR(VLOOKUP(A140,管理亚马逊库存!A:K,11,0),"")</f>
        <v>2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1</v>
      </c>
      <c r="J140">
        <f>IFERROR(VLOOKUP(A140,库龄!B:K,9,0),0)</f>
        <v>2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2</v>
      </c>
    </row>
    <row r="141" spans="1:14">
      <c r="A141" s="3" t="s">
        <v>503</v>
      </c>
      <c r="B141">
        <f>IFERROR(VLOOKUP(A141,管理亚马逊库存!A:K,11,0),"")</f>
        <v>6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1</v>
      </c>
      <c r="I141">
        <f>IFERROR(VLOOKUP(A141,预留库存!A:F,6,0),0)</f>
        <v>1</v>
      </c>
      <c r="J141">
        <f>IFERROR(VLOOKUP(A141,库龄!B:K,9,0),0)</f>
        <v>8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8</v>
      </c>
    </row>
    <row r="142" spans="1:14">
      <c r="A142" s="3" t="s">
        <v>506</v>
      </c>
      <c r="B142">
        <f>IFERROR(VLOOKUP(A142,管理亚马逊库存!A:K,11,0),"")</f>
        <v>2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1</v>
      </c>
      <c r="H142">
        <f>IFERROR(VLOOKUP(A142,预留库存!A:H,8,0),0)</f>
        <v>0</v>
      </c>
      <c r="I142">
        <f>IFERROR(VLOOKUP(A142,预留库存!A:F,6,0),0)</f>
        <v>1</v>
      </c>
      <c r="J142">
        <f>IFERROR(VLOOKUP(A142,库龄!B:K,9,0),0)</f>
        <v>3</v>
      </c>
      <c r="K142">
        <f>IFERROR(VLOOKUP(A142,库龄!B:L,10,0),0)</f>
        <v>1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4</v>
      </c>
    </row>
    <row r="143" spans="1:14">
      <c r="A143" s="3" t="s">
        <v>509</v>
      </c>
      <c r="B143">
        <f>IFERROR(VLOOKUP(A143,管理亚马逊库存!A:K,11,0),"")</f>
        <v>0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1</v>
      </c>
      <c r="I143">
        <f>IFERROR(VLOOKUP(A143,预留库存!A:F,6,0),0)</f>
        <v>0</v>
      </c>
      <c r="J143">
        <f>IFERROR(VLOOKUP(A143,库龄!B:K,9,0),0)</f>
        <v>1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1</v>
      </c>
    </row>
    <row r="144" spans="1:14">
      <c r="A144" s="3" t="s">
        <v>512</v>
      </c>
      <c r="B144">
        <f>IFERROR(VLOOKUP(A144,管理亚马逊库存!A:K,11,0),"")</f>
        <v>18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1</v>
      </c>
      <c r="J144">
        <f>IFERROR(VLOOKUP(A144,库龄!B:K,9,0),0)</f>
        <v>20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20</v>
      </c>
    </row>
    <row r="145" spans="1:14">
      <c r="A145" s="3" t="s">
        <v>515</v>
      </c>
      <c r="B145">
        <f>IFERROR(VLOOKUP(A145,管理亚马逊库存!A:K,11,0),"")</f>
        <v>18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1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16</v>
      </c>
      <c r="K145">
        <f>IFERROR(VLOOKUP(A145,库龄!B:L,10,0),0)</f>
        <v>2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18</v>
      </c>
    </row>
    <row r="146" spans="1:14">
      <c r="A146" s="3" t="s">
        <v>517</v>
      </c>
      <c r="B146">
        <f>IFERROR(VLOOKUP(A146,管理亚马逊库存!A:K,11,0),"")</f>
        <v>36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1</v>
      </c>
      <c r="I146">
        <f>IFERROR(VLOOKUP(A146,预留库存!A:F,6,0),0)</f>
        <v>0</v>
      </c>
      <c r="J146">
        <f>IFERROR(VLOOKUP(A146,库龄!B:K,9,0),0)</f>
        <v>28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28</v>
      </c>
    </row>
    <row r="147" spans="1:14">
      <c r="A147" s="3" t="s">
        <v>520</v>
      </c>
      <c r="B147">
        <f>IFERROR(VLOOKUP(A147,管理亚马逊库存!A:K,11,0),"")</f>
        <v>18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1</v>
      </c>
      <c r="I147">
        <f>IFERROR(VLOOKUP(A147,预留库存!A:F,6,0),0)</f>
        <v>1</v>
      </c>
      <c r="J147">
        <f>IFERROR(VLOOKUP(A147,库龄!B:K,9,0),0)</f>
        <v>12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12</v>
      </c>
    </row>
    <row r="148" spans="1:14">
      <c r="A148" s="3" t="s">
        <v>523</v>
      </c>
      <c r="B148">
        <f>IFERROR(VLOOKUP(A148,管理亚马逊库存!A:K,11,0),"")</f>
        <v>36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1</v>
      </c>
      <c r="J148">
        <f>IFERROR(VLOOKUP(A148,库龄!B:K,9,0),0)</f>
        <v>13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13</v>
      </c>
    </row>
    <row r="149" spans="1:14">
      <c r="A149" s="3" t="s">
        <v>526</v>
      </c>
      <c r="B149">
        <f>IFERROR(VLOOKUP(A149,管理亚马逊库存!A:K,11,0),"")</f>
        <v>5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1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529</v>
      </c>
      <c r="B150">
        <f>IFERROR(VLOOKUP(A150,管理亚马逊库存!A:K,11,0),"")</f>
        <v>3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1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532</v>
      </c>
      <c r="B151">
        <f>IFERROR(VLOOKUP(A151,管理亚马逊库存!A:K,11,0),"")</f>
        <v>17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1</v>
      </c>
      <c r="I151">
        <f>IFERROR(VLOOKUP(A151,预留库存!A:F,6,0),0)</f>
        <v>0</v>
      </c>
      <c r="J151">
        <f>IFERROR(VLOOKUP(A151,库龄!B:K,9,0),0)</f>
        <v>18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18</v>
      </c>
    </row>
    <row r="152" spans="1:14">
      <c r="A152" s="3" t="s">
        <v>534</v>
      </c>
      <c r="B152">
        <f>IFERROR(VLOOKUP(A152,管理亚马逊库存!A:K,11,0),"")</f>
        <v>29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1</v>
      </c>
      <c r="J152">
        <f>IFERROR(VLOOKUP(A152,库龄!B:K,9,0),0)</f>
        <v>9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9</v>
      </c>
    </row>
    <row r="153" spans="1:14">
      <c r="A153" s="3" t="s">
        <v>537</v>
      </c>
      <c r="B153">
        <f>IFERROR(VLOOKUP(A153,管理亚马逊库存!A:K,11,0),"")</f>
        <v>9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1</v>
      </c>
      <c r="H153">
        <f>IFERROR(VLOOKUP(A153,预留库存!A:H,8,0),0)</f>
        <v>0</v>
      </c>
      <c r="I153">
        <f>IFERROR(VLOOKUP(A153,预留库存!A:F,6,0),0)</f>
        <v>1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540</v>
      </c>
      <c r="B154">
        <f>IFERROR(VLOOKUP(A154,管理亚马逊库存!A:K,11,0),"")</f>
        <v>6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1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543</v>
      </c>
      <c r="B155">
        <f>IFERROR(VLOOKUP(A155,管理亚马逊库存!A:K,11,0),"")</f>
        <v>16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2</v>
      </c>
      <c r="H155">
        <f>IFERROR(VLOOKUP(A155,预留库存!A:H,8,0),0)</f>
        <v>1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547</v>
      </c>
      <c r="B156">
        <f>IFERROR(VLOOKUP(A156,管理亚马逊库存!A:K,11,0),"")</f>
        <v>5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1</v>
      </c>
      <c r="I156">
        <f>IFERROR(VLOOKUP(A156,预留库存!A:F,6,0),0)</f>
        <v>0</v>
      </c>
      <c r="J156">
        <f>IFERROR(VLOOKUP(A156,库龄!B:K,9,0),0)</f>
        <v>6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6</v>
      </c>
    </row>
    <row r="157" spans="1:14">
      <c r="A157" s="3" t="s">
        <v>550</v>
      </c>
      <c r="B157">
        <f>IFERROR(VLOOKUP(A157,管理亚马逊库存!A:K,11,0),"")</f>
        <v>9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1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553</v>
      </c>
      <c r="B158">
        <f>IFERROR(VLOOKUP(A158,管理亚马逊库存!A:K,11,0),"")</f>
        <v>29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1</v>
      </c>
      <c r="H158">
        <f>IFERROR(VLOOKUP(A158,预留库存!A:H,8,0),0)</f>
        <v>1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556</v>
      </c>
      <c r="B159">
        <f>IFERROR(VLOOKUP(A159,管理亚马逊库存!A:K,11,0),"")</f>
        <v>4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1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559</v>
      </c>
      <c r="B160">
        <f>IFERROR(VLOOKUP(A160,管理亚马逊库存!A:K,11,0),"")</f>
        <v>2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1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562</v>
      </c>
      <c r="B161">
        <f>IFERROR(VLOOKUP(A161,管理亚马逊库存!A:K,11,0),"")</f>
        <v>6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1</v>
      </c>
      <c r="I161">
        <f>IFERROR(VLOOKUP(A161,预留库存!A:F,6,0),0)</f>
        <v>0</v>
      </c>
      <c r="J161">
        <f>IFERROR(VLOOKUP(A161,库龄!B:K,9,0),0)</f>
        <v>8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8</v>
      </c>
    </row>
    <row r="162" spans="1:14">
      <c r="A162" s="3" t="s">
        <v>565</v>
      </c>
      <c r="B162">
        <f>IFERROR(VLOOKUP(A162,管理亚马逊库存!A:K,11,0),"")</f>
        <v>23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1</v>
      </c>
      <c r="I162">
        <f>IFERROR(VLOOKUP(A162,预留库存!A:F,6,0),0)</f>
        <v>0</v>
      </c>
      <c r="J162">
        <f>IFERROR(VLOOKUP(A162,库龄!B:K,9,0),0)</f>
        <v>24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24</v>
      </c>
    </row>
    <row r="163" spans="1:14">
      <c r="A163" s="3" t="s">
        <v>568</v>
      </c>
      <c r="B163">
        <f>IFERROR(VLOOKUP(A163,管理亚马逊库存!A:K,11,0),"")</f>
        <v>0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13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570</v>
      </c>
      <c r="B164">
        <f>IFERROR(VLOOKUP(A164,管理亚马逊库存!A:K,11,0),"")</f>
        <v>9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1</v>
      </c>
      <c r="J164">
        <f>IFERROR(VLOOKUP(A164,库龄!B:K,9,0),0)</f>
        <v>10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10</v>
      </c>
    </row>
    <row r="165" spans="1:14">
      <c r="A165" s="3" t="s">
        <v>573</v>
      </c>
      <c r="B165">
        <f>IFERROR(VLOOKUP(A165,管理亚马逊库存!A:K,11,0),"")</f>
        <v>6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1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574</v>
      </c>
      <c r="B166">
        <f>IFERROR(VLOOKUP(A166,管理亚马逊库存!A:K,11,0),"")</f>
        <v>23</v>
      </c>
      <c r="C166">
        <f>IFERROR(VLOOKUP(A166,管理亚马逊库存!A:L,12,0),"")</f>
        <v>1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1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575</v>
      </c>
      <c r="B167">
        <f>IFERROR(VLOOKUP(A167,管理亚马逊库存!A:K,11,0),"")</f>
        <v>0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1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578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1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579</v>
      </c>
      <c r="B169">
        <f>IFERROR(VLOOKUP(A169,管理亚马逊库存!A:K,11,0),"")</f>
        <v>15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1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582</v>
      </c>
      <c r="B170">
        <f>IFERROR(VLOOKUP(A170,管理亚马逊库存!A:K,11,0),"")</f>
        <v>27</v>
      </c>
      <c r="C170">
        <f>IFERROR(VLOOKUP(A170,管理亚马逊库存!A:L,12,0),"")</f>
        <v>1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1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585</v>
      </c>
      <c r="B171">
        <f>IFERROR(VLOOKUP(A171,管理亚马逊库存!A:K,11,0),"")</f>
        <v>13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1</v>
      </c>
      <c r="H171">
        <f>IFERROR(VLOOKUP(A171,预留库存!A:H,8,0),0)</f>
        <v>0</v>
      </c>
      <c r="I171">
        <f>IFERROR(VLOOKUP(A171,预留库存!A:F,6,0),0)</f>
        <v>1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586</v>
      </c>
      <c r="B172">
        <f>IFERROR(VLOOKUP(A172,管理亚马逊库存!A:K,11,0),"")</f>
        <v>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1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588</v>
      </c>
      <c r="B173">
        <f>IFERROR(VLOOKUP(A173,管理亚马逊库存!A:K,11,0),"")</f>
        <v>14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1</v>
      </c>
      <c r="H173">
        <f>IFERROR(VLOOKUP(A173,预留库存!A:H,8,0),0)</f>
        <v>1</v>
      </c>
      <c r="I173">
        <f>IFERROR(VLOOKUP(A173,预留库存!A:F,6,0),0)</f>
        <v>1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591</v>
      </c>
      <c r="B174">
        <f>IFERROR(VLOOKUP(A174,管理亚马逊库存!A:K,11,0),"")</f>
        <v>11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3</v>
      </c>
      <c r="H174">
        <f>IFERROR(VLOOKUP(A174,预留库存!A:H,8,0),0)</f>
        <v>0</v>
      </c>
      <c r="I174">
        <f>IFERROR(VLOOKUP(A174,预留库存!A:F,6,0),0)</f>
        <v>1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592</v>
      </c>
      <c r="B175">
        <f>IFERROR(VLOOKUP(A175,管理亚马逊库存!A:K,11,0),"")</f>
        <v>0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1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593</v>
      </c>
      <c r="B176">
        <f>IFERROR(VLOOKUP(A176,管理亚马逊库存!A:K,11,0),"")</f>
        <v>4</v>
      </c>
      <c r="C176">
        <f>IFERROR(VLOOKUP(A176,管理亚马逊库存!A:L,12,0),"")</f>
        <v>1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1</v>
      </c>
      <c r="H176">
        <f>IFERROR(VLOOKUP(A176,预留库存!A:H,8,0),0)</f>
        <v>0</v>
      </c>
      <c r="I176">
        <f>IFERROR(VLOOKUP(A176,预留库存!A:F,6,0),0)</f>
        <v>1</v>
      </c>
      <c r="J176">
        <f>IFERROR(VLOOKUP(A176,库龄!B:K,9,0),0)</f>
        <v>2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2</v>
      </c>
    </row>
    <row r="177" spans="1:14">
      <c r="A177" s="3" t="s">
        <v>596</v>
      </c>
      <c r="B177">
        <f>IFERROR(VLOOKUP(A177,管理亚马逊库存!A:K,11,0),"")</f>
        <v>14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13</v>
      </c>
      <c r="I177">
        <f>IFERROR(VLOOKUP(A177,预留库存!A:F,6,0),0)</f>
        <v>1</v>
      </c>
      <c r="J177">
        <f>IFERROR(VLOOKUP(A177,库龄!B:K,9,0),0)</f>
        <v>10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10</v>
      </c>
    </row>
    <row r="178" spans="1:14">
      <c r="A178" s="3" t="s">
        <v>599</v>
      </c>
      <c r="B178">
        <f>IFERROR(VLOOKUP(A178,管理亚马逊库存!A:K,11,0),"")</f>
        <v>0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1</v>
      </c>
      <c r="H178">
        <f>IFERROR(VLOOKUP(A178,预留库存!A:H,8,0),0)</f>
        <v>1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600</v>
      </c>
      <c r="B179">
        <f>IFERROR(VLOOKUP(A179,管理亚马逊库存!A:K,11,0),"")</f>
        <v>0</v>
      </c>
      <c r="C179">
        <f>IFERROR(VLOOKUP(A179,管理亚马逊库存!A:L,12,0),"")</f>
        <v>1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1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603</v>
      </c>
      <c r="B180">
        <f>IFERROR(VLOOKUP(A180,管理亚马逊库存!A:K,11,0),"")</f>
        <v>12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1</v>
      </c>
      <c r="J180">
        <f>IFERROR(VLOOKUP(A180,库龄!B:K,9,0),0)</f>
        <v>7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7</v>
      </c>
    </row>
    <row r="181" spans="1:14">
      <c r="A181" s="3" t="s">
        <v>606</v>
      </c>
      <c r="B181">
        <f>IFERROR(VLOOKUP(A181,管理亚马逊库存!A:K,11,0),"")</f>
        <v>7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2</v>
      </c>
      <c r="I181">
        <f>IFERROR(VLOOKUP(A181,预留库存!A:F,6,0),0)</f>
        <v>0</v>
      </c>
      <c r="J181">
        <f>IFERROR(VLOOKUP(A181,库龄!B:K,9,0),0)</f>
        <v>9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9</v>
      </c>
    </row>
    <row r="182" spans="1:14">
      <c r="A182" s="3" t="s">
        <v>609</v>
      </c>
      <c r="B182">
        <f>IFERROR(VLOOKUP(A182,管理亚马逊库存!A:K,11,0),"")</f>
        <v>0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16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612</v>
      </c>
      <c r="B183">
        <f>IFERROR(VLOOKUP(A183,管理亚马逊库存!A:K,11,0),"")</f>
        <v>5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1</v>
      </c>
      <c r="I183">
        <f>IFERROR(VLOOKUP(A183,预留库存!A:F,6,0),0)</f>
        <v>0</v>
      </c>
      <c r="J183">
        <f>IFERROR(VLOOKUP(A183,库龄!B:K,9,0),0)</f>
        <v>4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4</v>
      </c>
    </row>
    <row r="184" spans="1:14">
      <c r="A184" s="3" t="s">
        <v>615</v>
      </c>
      <c r="B184">
        <f>IFERROR(VLOOKUP(A184,管理亚马逊库存!A:K,11,0),"")</f>
        <v>19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1</v>
      </c>
      <c r="H184">
        <f>IFERROR(VLOOKUP(A184,预留库存!A:H,8,0),0)</f>
        <v>0</v>
      </c>
      <c r="I184">
        <f>IFERROR(VLOOKUP(A184,预留库存!A:F,6,0),0)</f>
        <v>1</v>
      </c>
      <c r="J184">
        <f>IFERROR(VLOOKUP(A184,库龄!B:K,9,0),0)</f>
        <v>15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15</v>
      </c>
    </row>
    <row r="185" spans="1:14">
      <c r="A185" s="3" t="s">
        <v>618</v>
      </c>
      <c r="B185">
        <f>IFERROR(VLOOKUP(A185,管理亚马逊库存!A:K,11,0),"")</f>
        <v>21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2</v>
      </c>
      <c r="I185">
        <f>IFERROR(VLOOKUP(A185,预留库存!A:F,6,0),0)</f>
        <v>0</v>
      </c>
      <c r="J185">
        <f>IFERROR(VLOOKUP(A185,库龄!B:K,9,0),0)</f>
        <v>24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24</v>
      </c>
    </row>
    <row r="186" spans="1:14">
      <c r="A186" s="3" t="s">
        <v>621</v>
      </c>
      <c r="B186">
        <f>IFERROR(VLOOKUP(A186,管理亚马逊库存!A:K,11,0),"")</f>
        <v>15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2</v>
      </c>
      <c r="I186">
        <f>IFERROR(VLOOKUP(A186,预留库存!A:F,6,0),0)</f>
        <v>1</v>
      </c>
      <c r="J186">
        <f>IFERROR(VLOOKUP(A186,库龄!B:K,9,0),0)</f>
        <v>20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20</v>
      </c>
    </row>
    <row r="187" spans="1:14">
      <c r="A187" s="3" t="s">
        <v>624</v>
      </c>
      <c r="B187">
        <f>IFERROR(VLOOKUP(A187,管理亚马逊库存!A:K,11,0),"")</f>
        <v>14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1</v>
      </c>
      <c r="I187">
        <f>IFERROR(VLOOKUP(A187,预留库存!A:F,6,0),0)</f>
        <v>0</v>
      </c>
      <c r="J187">
        <f>IFERROR(VLOOKUP(A187,库龄!B:K,9,0),0)</f>
        <v>8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8</v>
      </c>
    </row>
    <row r="188" spans="1:14">
      <c r="A188" s="3" t="s">
        <v>625</v>
      </c>
      <c r="B188">
        <f>IFERROR(VLOOKUP(A188,管理亚马逊库存!A:K,11,0),"")</f>
        <v>23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1</v>
      </c>
      <c r="J188">
        <f>IFERROR(VLOOKUP(A188,库龄!B:K,9,0),0)</f>
        <v>26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26</v>
      </c>
    </row>
    <row r="189" spans="1:14">
      <c r="A189" s="3" t="s">
        <v>628</v>
      </c>
      <c r="B189">
        <f>IFERROR(VLOOKUP(A189,管理亚马逊库存!A:K,11,0),"")</f>
        <v>4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1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631</v>
      </c>
      <c r="B190">
        <f>IFERROR(VLOOKUP(A190,管理亚马逊库存!A:K,11,0),"")</f>
        <v>0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1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634</v>
      </c>
      <c r="B191">
        <f>IFERROR(VLOOKUP(A191,管理亚马逊库存!A:K,11,0),"")</f>
        <v>0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1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637</v>
      </c>
      <c r="B192">
        <f>IFERROR(VLOOKUP(A192,管理亚马逊库存!A:K,11,0),"")</f>
        <v>21</v>
      </c>
      <c r="C192">
        <f>IFERROR(VLOOKUP(A192,管理亚马逊库存!A:L,12,0),"")</f>
        <v>0</v>
      </c>
      <c r="D192">
        <f>IFERROR(VLOOKUP(A192,管理亚马逊库存!A:Q,17,0),"")</f>
        <v>5</v>
      </c>
      <c r="E192">
        <f>IFERROR(VLOOKUP(A192,管理亚马逊库存!A:R,18,0),"")</f>
        <v>0</v>
      </c>
      <c r="F192">
        <f t="shared" si="5"/>
        <v>5</v>
      </c>
      <c r="G192">
        <f>IFERROR(VLOOKUP(A192,预留库存!A:G,7,0),0)</f>
        <v>7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641</v>
      </c>
      <c r="B193">
        <f>IFERROR(VLOOKUP(A193,管理亚马逊库存!A:K,11,0),"")</f>
        <v>38</v>
      </c>
      <c r="C193">
        <f>IFERROR(VLOOKUP(A193,管理亚马逊库存!A:L,12,0),"")</f>
        <v>1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1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645</v>
      </c>
      <c r="B194">
        <f>IFERROR(VLOOKUP(A194,管理亚马逊库存!A:K,11,0),"")</f>
        <v>34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1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649</v>
      </c>
      <c r="B195">
        <f>IFERROR(VLOOKUP(A195,管理亚马逊库存!A:K,11,0),"")</f>
        <v>29</v>
      </c>
      <c r="C195">
        <f>IFERROR(VLOOKUP(A195,管理亚马逊库存!A:L,12,0),"")</f>
        <v>3</v>
      </c>
      <c r="D195">
        <f>IFERROR(VLOOKUP(A195,管理亚马逊库存!A:Q,17,0),"")</f>
        <v>15</v>
      </c>
      <c r="E195">
        <f>IFERROR(VLOOKUP(A195,管理亚马逊库存!A:R,18,0),"")</f>
        <v>0</v>
      </c>
      <c r="F195">
        <f t="shared" ref="F195:F258" si="7">SUM(D195:E195)</f>
        <v>15</v>
      </c>
      <c r="G195">
        <f>IFERROR(VLOOKUP(A195,预留库存!A:G,7,0),0)</f>
        <v>16</v>
      </c>
      <c r="H195">
        <f>IFERROR(VLOOKUP(A195,预留库存!A:H,8,0),0)</f>
        <v>1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653</v>
      </c>
      <c r="B196">
        <f>IFERROR(VLOOKUP(A196,管理亚马逊库存!A:K,11,0),"")</f>
        <v>24</v>
      </c>
      <c r="C196">
        <f>IFERROR(VLOOKUP(A196,管理亚马逊库存!A:L,12,0),"")</f>
        <v>3</v>
      </c>
      <c r="D196">
        <f>IFERROR(VLOOKUP(A196,管理亚马逊库存!A:Q,17,0),"")</f>
        <v>15</v>
      </c>
      <c r="E196">
        <f>IFERROR(VLOOKUP(A196,管理亚马逊库存!A:R,18,0),"")</f>
        <v>0</v>
      </c>
      <c r="F196">
        <f t="shared" si="7"/>
        <v>15</v>
      </c>
      <c r="G196">
        <f>IFERROR(VLOOKUP(A196,预留库存!A:G,7,0),0)</f>
        <v>1</v>
      </c>
      <c r="H196">
        <f>IFERROR(VLOOKUP(A196,预留库存!A:H,8,0),0)</f>
        <v>0</v>
      </c>
      <c r="I196">
        <f>IFERROR(VLOOKUP(A196,预留库存!A:F,6,0),0)</f>
        <v>1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657</v>
      </c>
      <c r="B197">
        <f>IFERROR(VLOOKUP(A197,管理亚马逊库存!A:K,11,0),"")</f>
        <v>1</v>
      </c>
      <c r="C197">
        <f>IFERROR(VLOOKUP(A197,管理亚马逊库存!A:L,12,0),"")</f>
        <v>0</v>
      </c>
      <c r="D197">
        <f>IFERROR(VLOOKUP(A197,管理亚马逊库存!A:Q,17,0),"")</f>
        <v>14</v>
      </c>
      <c r="E197">
        <f>IFERROR(VLOOKUP(A197,管理亚马逊库存!A:R,18,0),"")</f>
        <v>0</v>
      </c>
      <c r="F197">
        <f t="shared" si="7"/>
        <v>14</v>
      </c>
      <c r="G197">
        <f>IFERROR(VLOOKUP(A197,预留库存!A:G,7,0),0)</f>
        <v>0</v>
      </c>
      <c r="H197">
        <f>IFERROR(VLOOKUP(A197,预留库存!A:H,8,0),0)</f>
        <v>1</v>
      </c>
      <c r="I197">
        <f>IFERROR(VLOOKUP(A197,预留库存!A:F,6,0),0)</f>
        <v>1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661</v>
      </c>
      <c r="B198">
        <f>IFERROR(VLOOKUP(A198,管理亚马逊库存!A:K,11,0),"")</f>
        <v>1</v>
      </c>
      <c r="C198">
        <f>IFERROR(VLOOKUP(A198,管理亚马逊库存!A:L,12,0),"")</f>
        <v>0</v>
      </c>
      <c r="D198">
        <f>IFERROR(VLOOKUP(A198,管理亚马逊库存!A:Q,17,0),"")</f>
        <v>20</v>
      </c>
      <c r="E198">
        <f>IFERROR(VLOOKUP(A198,管理亚马逊库存!A:R,18,0),"")</f>
        <v>0</v>
      </c>
      <c r="F198">
        <f t="shared" si="7"/>
        <v>20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3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665</v>
      </c>
      <c r="B199">
        <f>IFERROR(VLOOKUP(A199,管理亚马逊库存!A:K,11,0),"")</f>
        <v>1</v>
      </c>
      <c r="C199">
        <f>IFERROR(VLOOKUP(A199,管理亚马逊库存!A:L,12,0),"")</f>
        <v>0</v>
      </c>
      <c r="D199">
        <f>IFERROR(VLOOKUP(A199,管理亚马逊库存!A:Q,17,0),"")</f>
        <v>2</v>
      </c>
      <c r="E199">
        <f>IFERROR(VLOOKUP(A199,管理亚马逊库存!A:R,18,0),"")</f>
        <v>0</v>
      </c>
      <c r="F199">
        <f t="shared" si="7"/>
        <v>2</v>
      </c>
      <c r="G199">
        <f>IFERROR(VLOOKUP(A199,预留库存!A:G,7,0),0)</f>
        <v>2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669</v>
      </c>
      <c r="B200">
        <f>IFERROR(VLOOKUP(A200,管理亚马逊库存!A:K,11,0),"")</f>
        <v>4</v>
      </c>
      <c r="C200">
        <f>IFERROR(VLOOKUP(A200,管理亚马逊库存!A:L,12,0),"")</f>
        <v>0</v>
      </c>
      <c r="D200">
        <f>IFERROR(VLOOKUP(A200,管理亚马逊库存!A:Q,17,0),"")</f>
        <v>15</v>
      </c>
      <c r="E200">
        <f>IFERROR(VLOOKUP(A200,管理亚马逊库存!A:R,18,0),"")</f>
        <v>0</v>
      </c>
      <c r="F200">
        <f t="shared" si="7"/>
        <v>15</v>
      </c>
      <c r="G200">
        <f>IFERROR(VLOOKUP(A200,预留库存!A:G,7,0),0)</f>
        <v>0</v>
      </c>
      <c r="H200">
        <f>IFERROR(VLOOKUP(A200,预留库存!A:H,8,0),0)</f>
        <v>1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673</v>
      </c>
      <c r="B201">
        <f>IFERROR(VLOOKUP(A201,管理亚马逊库存!A:K,11,0),"")</f>
        <v>3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1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676</v>
      </c>
      <c r="B202">
        <f>IFERROR(VLOOKUP(A202,管理亚马逊库存!A:K,11,0),"")</f>
        <v>0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1</v>
      </c>
      <c r="J202">
        <f>IFERROR(VLOOKUP(A202,库龄!B:K,9,0),0)</f>
        <v>1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1</v>
      </c>
    </row>
    <row r="203" spans="1:14">
      <c r="A203" s="3" t="s">
        <v>679</v>
      </c>
      <c r="B203">
        <f>IFERROR(VLOOKUP(A203,管理亚马逊库存!A:K,11,0),"")</f>
        <v>9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1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682</v>
      </c>
      <c r="B204">
        <f>IFERROR(VLOOKUP(A204,管理亚马逊库存!A:K,11,0),"")</f>
        <v>6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1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685</v>
      </c>
      <c r="B205">
        <f>IFERROR(VLOOKUP(A205,管理亚马逊库存!A:K,11,0),"")</f>
        <v>22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1</v>
      </c>
      <c r="J205">
        <f>IFERROR(VLOOKUP(A205,库龄!B:K,9,0),0)</f>
        <v>13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13</v>
      </c>
    </row>
    <row r="206" spans="1:14">
      <c r="A206" s="3" t="s">
        <v>688</v>
      </c>
      <c r="B206">
        <f>IFERROR(VLOOKUP(A206,管理亚马逊库存!A:K,11,0),"")</f>
        <v>18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1</v>
      </c>
      <c r="I206">
        <f>IFERROR(VLOOKUP(A206,预留库存!A:F,6,0),0)</f>
        <v>0</v>
      </c>
      <c r="J206">
        <f>IFERROR(VLOOKUP(A206,库龄!B:K,9,0),0)</f>
        <v>6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6</v>
      </c>
    </row>
    <row r="207" spans="1:14">
      <c r="A207" s="3" t="s">
        <v>691</v>
      </c>
      <c r="B207">
        <f>IFERROR(VLOOKUP(A207,管理亚马逊库存!A:K,11,0),"")</f>
        <v>5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1</v>
      </c>
      <c r="J207">
        <f>IFERROR(VLOOKUP(A207,库龄!B:K,9,0),0)</f>
        <v>0</v>
      </c>
      <c r="K207">
        <f>IFERROR(VLOOKUP(A207,库龄!B:L,10,0),0)</f>
        <v>4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4</v>
      </c>
    </row>
    <row r="208" spans="1:14">
      <c r="A208" s="3" t="s">
        <v>694</v>
      </c>
      <c r="B208">
        <f>IFERROR(VLOOKUP(A208,管理亚马逊库存!A:K,11,0),"")</f>
        <v>7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1</v>
      </c>
      <c r="I208">
        <f>IFERROR(VLOOKUP(A208,预留库存!A:F,6,0),0)</f>
        <v>1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697</v>
      </c>
      <c r="B209">
        <f>IFERROR(VLOOKUP(A209,管理亚马逊库存!A:K,11,0),"")</f>
        <v>2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1</v>
      </c>
      <c r="H209">
        <f>IFERROR(VLOOKUP(A209,预留库存!A:H,8,0),0)</f>
        <v>1</v>
      </c>
      <c r="I209">
        <f>IFERROR(VLOOKUP(A209,预留库存!A:F,6,0),0)</f>
        <v>1</v>
      </c>
      <c r="J209">
        <f>IFERROR(VLOOKUP(A209,库龄!B:K,9,0),0)</f>
        <v>5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5</v>
      </c>
    </row>
    <row r="210" spans="1:14">
      <c r="A210" s="3" t="s">
        <v>700</v>
      </c>
      <c r="B210">
        <f>IFERROR(VLOOKUP(A210,管理亚马逊库存!A:K,11,0),"")</f>
        <v>3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1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703</v>
      </c>
      <c r="B211">
        <f>IFERROR(VLOOKUP(A211,管理亚马逊库存!A:K,11,0),"")</f>
        <v>0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2</v>
      </c>
      <c r="H211">
        <f>IFERROR(VLOOKUP(A211,预留库存!A:H,8,0),0)</f>
        <v>0</v>
      </c>
      <c r="I211">
        <f>IFERROR(VLOOKUP(A211,预留库存!A:F,6,0),0)</f>
        <v>2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706</v>
      </c>
      <c r="B212">
        <f>IFERROR(VLOOKUP(A212,管理亚马逊库存!A:K,11,0),"")</f>
        <v>13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2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709</v>
      </c>
      <c r="B213">
        <f>IFERROR(VLOOKUP(A213,管理亚马逊库存!A:K,11,0),"")</f>
        <v>9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1</v>
      </c>
      <c r="J213">
        <f>IFERROR(VLOOKUP(A213,库龄!B:K,9,0),0)</f>
        <v>9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9</v>
      </c>
    </row>
    <row r="214" spans="1:14">
      <c r="A214" s="3" t="s">
        <v>712</v>
      </c>
      <c r="B214">
        <f>IFERROR(VLOOKUP(A214,管理亚马逊库存!A:K,11,0),"")</f>
        <v>11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1</v>
      </c>
      <c r="I214">
        <f>IFERROR(VLOOKUP(A214,预留库存!A:F,6,0),0)</f>
        <v>0</v>
      </c>
      <c r="J214">
        <f>IFERROR(VLOOKUP(A214,库龄!B:K,9,0),0)</f>
        <v>7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7</v>
      </c>
    </row>
    <row r="215" spans="1:14">
      <c r="A215" s="3" t="s">
        <v>715</v>
      </c>
      <c r="B215">
        <f>IFERROR(VLOOKUP(A215,管理亚马逊库存!A:K,11,0),"")</f>
        <v>10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1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718</v>
      </c>
      <c r="B216">
        <f>IFERROR(VLOOKUP(A216,管理亚马逊库存!A:K,11,0),"")</f>
        <v>0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1</v>
      </c>
      <c r="H216">
        <f>IFERROR(VLOOKUP(A216,预留库存!A:H,8,0),0)</f>
        <v>0</v>
      </c>
      <c r="I216">
        <f>IFERROR(VLOOKUP(A216,预留库存!A:F,6,0),0)</f>
        <v>1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721</v>
      </c>
      <c r="B217">
        <f>IFERROR(VLOOKUP(A217,管理亚马逊库存!A:K,11,0),"")</f>
        <v>11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1</v>
      </c>
      <c r="I217">
        <f>IFERROR(VLOOKUP(A217,预留库存!A:F,6,0),0)</f>
        <v>0</v>
      </c>
      <c r="J217">
        <f>IFERROR(VLOOKUP(A217,库龄!B:K,9,0),0)</f>
        <v>1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1</v>
      </c>
    </row>
    <row r="218" spans="1:14">
      <c r="A218" s="3" t="s">
        <v>724</v>
      </c>
      <c r="B218">
        <f>IFERROR(VLOOKUP(A218,管理亚马逊库存!A:K,11,0),"")</f>
        <v>1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1</v>
      </c>
      <c r="I218">
        <f>IFERROR(VLOOKUP(A218,预留库存!A:F,6,0),0)</f>
        <v>0</v>
      </c>
      <c r="J218">
        <f>IFERROR(VLOOKUP(A218,库龄!B:K,9,0),0)</f>
        <v>1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1</v>
      </c>
    </row>
    <row r="219" spans="1:14">
      <c r="A219" s="3" t="s">
        <v>727</v>
      </c>
      <c r="B219">
        <f>IFERROR(VLOOKUP(A219,管理亚马逊库存!A:K,11,0),"")</f>
        <v>4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1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730</v>
      </c>
      <c r="B220">
        <f>IFERROR(VLOOKUP(A220,管理亚马逊库存!A:K,11,0),"")</f>
        <v>0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2</v>
      </c>
      <c r="H220">
        <f>IFERROR(VLOOKUP(A220,预留库存!A:H,8,0),0)</f>
        <v>0</v>
      </c>
      <c r="I220">
        <f>IFERROR(VLOOKUP(A220,预留库存!A:F,6,0),0)</f>
        <v>1</v>
      </c>
      <c r="J220">
        <f>IFERROR(VLOOKUP(A220,库龄!B:K,9,0),0)</f>
        <v>1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1</v>
      </c>
    </row>
    <row r="221" spans="1:14">
      <c r="A221" s="3" t="s">
        <v>733</v>
      </c>
      <c r="B221">
        <f>IFERROR(VLOOKUP(A221,管理亚马逊库存!A:K,11,0),"")</f>
        <v>11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1</v>
      </c>
      <c r="H221">
        <f>IFERROR(VLOOKUP(A221,预留库存!A:H,8,0),0)</f>
        <v>0</v>
      </c>
      <c r="I221">
        <f>IFERROR(VLOOKUP(A221,预留库存!A:F,6,0),0)</f>
        <v>1</v>
      </c>
      <c r="J221">
        <f>IFERROR(VLOOKUP(A221,库龄!B:K,9,0),0)</f>
        <v>8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8</v>
      </c>
    </row>
    <row r="222" spans="1:14">
      <c r="A222" s="3" t="s">
        <v>736</v>
      </c>
      <c r="B222">
        <f>IFERROR(VLOOKUP(A222,管理亚马逊库存!A:K,11,0),"")</f>
        <v>3</v>
      </c>
      <c r="C222">
        <f>IFERROR(VLOOKUP(A222,管理亚马逊库存!A:L,12,0),"")</f>
        <v>0</v>
      </c>
      <c r="D222">
        <f>IFERROR(VLOOKUP(A222,管理亚马逊库存!A:Q,17,0),"")</f>
        <v>20</v>
      </c>
      <c r="E222">
        <f>IFERROR(VLOOKUP(A222,管理亚马逊库存!A:R,18,0),"")</f>
        <v>0</v>
      </c>
      <c r="F222">
        <f t="shared" si="7"/>
        <v>20</v>
      </c>
      <c r="G222">
        <f>IFERROR(VLOOKUP(A222,预留库存!A:G,7,0),0)</f>
        <v>0</v>
      </c>
      <c r="H222">
        <f>IFERROR(VLOOKUP(A222,预留库存!A:H,8,0),0)</f>
        <v>1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740</v>
      </c>
      <c r="B223">
        <f>IFERROR(VLOOKUP(A223,管理亚马逊库存!A:K,11,0),"")</f>
        <v>0</v>
      </c>
      <c r="C223">
        <f>IFERROR(VLOOKUP(A223,管理亚马逊库存!A:L,12,0),"")</f>
        <v>0</v>
      </c>
      <c r="D223">
        <f>IFERROR(VLOOKUP(A223,管理亚马逊库存!A:Q,17,0),"")</f>
        <v>15</v>
      </c>
      <c r="E223">
        <f>IFERROR(VLOOKUP(A223,管理亚马逊库存!A:R,18,0),"")</f>
        <v>0</v>
      </c>
      <c r="F223">
        <f t="shared" si="7"/>
        <v>15</v>
      </c>
      <c r="G223">
        <f>IFERROR(VLOOKUP(A223,预留库存!A:G,7,0),0)</f>
        <v>6</v>
      </c>
      <c r="H223">
        <f>IFERROR(VLOOKUP(A223,预留库存!A:H,8,0),0)</f>
        <v>1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744</v>
      </c>
      <c r="B224">
        <f>IFERROR(VLOOKUP(A224,管理亚马逊库存!A:K,11,0),"")</f>
        <v>3</v>
      </c>
      <c r="C224">
        <f>IFERROR(VLOOKUP(A224,管理亚马逊库存!A:L,12,0),"")</f>
        <v>0</v>
      </c>
      <c r="D224">
        <f>IFERROR(VLOOKUP(A224,管理亚马逊库存!A:Q,17,0),"")</f>
        <v>18</v>
      </c>
      <c r="E224">
        <f>IFERROR(VLOOKUP(A224,管理亚马逊库存!A:R,18,0),"")</f>
        <v>0</v>
      </c>
      <c r="F224">
        <f t="shared" si="7"/>
        <v>18</v>
      </c>
      <c r="G224">
        <f>IFERROR(VLOOKUP(A224,预留库存!A:G,7,0),0)</f>
        <v>3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748</v>
      </c>
      <c r="B225">
        <f>IFERROR(VLOOKUP(A225,管理亚马逊库存!A:K,11,0),"")</f>
        <v>6</v>
      </c>
      <c r="C225">
        <f>IFERROR(VLOOKUP(A225,管理亚马逊库存!A:L,12,0),"")</f>
        <v>0</v>
      </c>
      <c r="D225">
        <f>IFERROR(VLOOKUP(A225,管理亚马逊库存!A:Q,17,0),"")</f>
        <v>5</v>
      </c>
      <c r="E225">
        <f>IFERROR(VLOOKUP(A225,管理亚马逊库存!A:R,18,0),"")</f>
        <v>0</v>
      </c>
      <c r="F225">
        <f t="shared" si="7"/>
        <v>5</v>
      </c>
      <c r="G225">
        <f>IFERROR(VLOOKUP(A225,预留库存!A:G,7,0),0)</f>
        <v>7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752</v>
      </c>
      <c r="B226">
        <f>IFERROR(VLOOKUP(A226,管理亚马逊库存!A:K,11,0),"")</f>
        <v>8</v>
      </c>
      <c r="C226">
        <f>IFERROR(VLOOKUP(A226,管理亚马逊库存!A:L,12,0),"")</f>
        <v>0</v>
      </c>
      <c r="D226">
        <f>IFERROR(VLOOKUP(A226,管理亚马逊库存!A:Q,17,0),"")</f>
        <v>37</v>
      </c>
      <c r="E226">
        <f>IFERROR(VLOOKUP(A226,管理亚马逊库存!A:R,18,0),"")</f>
        <v>0</v>
      </c>
      <c r="F226">
        <f t="shared" si="7"/>
        <v>37</v>
      </c>
      <c r="G226">
        <f>IFERROR(VLOOKUP(A226,预留库存!A:G,7,0),0)</f>
        <v>5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756</v>
      </c>
      <c r="B227">
        <f>IFERROR(VLOOKUP(A227,管理亚马逊库存!A:K,11,0),"")</f>
        <v>2</v>
      </c>
      <c r="C227">
        <f>IFERROR(VLOOKUP(A227,管理亚马逊库存!A:L,12,0),"")</f>
        <v>0</v>
      </c>
      <c r="D227">
        <f>IFERROR(VLOOKUP(A227,管理亚马逊库存!A:Q,17,0),"")</f>
        <v>15</v>
      </c>
      <c r="E227">
        <f>IFERROR(VLOOKUP(A227,管理亚马逊库存!A:R,18,0),"")</f>
        <v>0</v>
      </c>
      <c r="F227">
        <f t="shared" si="7"/>
        <v>15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1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760</v>
      </c>
      <c r="B228">
        <f>IFERROR(VLOOKUP(A228,管理亚马逊库存!A:K,11,0),"")</f>
        <v>5</v>
      </c>
      <c r="C228">
        <f>IFERROR(VLOOKUP(A228,管理亚马逊库存!A:L,12,0),"")</f>
        <v>0</v>
      </c>
      <c r="D228">
        <f>IFERROR(VLOOKUP(A228,管理亚马逊库存!A:Q,17,0),"")</f>
        <v>34</v>
      </c>
      <c r="E228">
        <f>IFERROR(VLOOKUP(A228,管理亚马逊库存!A:R,18,0),"")</f>
        <v>0</v>
      </c>
      <c r="F228">
        <f t="shared" si="7"/>
        <v>34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1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764</v>
      </c>
      <c r="B229">
        <f>IFERROR(VLOOKUP(A229,管理亚马逊库存!A:K,11,0),"")</f>
        <v>0</v>
      </c>
      <c r="C229">
        <f>IFERROR(VLOOKUP(A229,管理亚马逊库存!A:L,12,0),"")</f>
        <v>0</v>
      </c>
      <c r="D229">
        <f>IFERROR(VLOOKUP(A229,管理亚马逊库存!A:Q,17,0),"")</f>
        <v>5</v>
      </c>
      <c r="E229">
        <f>IFERROR(VLOOKUP(A229,管理亚马逊库存!A:R,18,0),"")</f>
        <v>0</v>
      </c>
      <c r="F229">
        <f t="shared" si="7"/>
        <v>5</v>
      </c>
      <c r="G229">
        <f>IFERROR(VLOOKUP(A229,预留库存!A:G,7,0),0)</f>
        <v>5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768</v>
      </c>
      <c r="B230">
        <f>IFERROR(VLOOKUP(A230,管理亚马逊库存!A:K,11,0),"")</f>
        <v>5</v>
      </c>
      <c r="C230">
        <f>IFERROR(VLOOKUP(A230,管理亚马逊库存!A:L,12,0),"")</f>
        <v>0</v>
      </c>
      <c r="D230">
        <f>IFERROR(VLOOKUP(A230,管理亚马逊库存!A:Q,17,0),"")</f>
        <v>24</v>
      </c>
      <c r="E230">
        <f>IFERROR(VLOOKUP(A230,管理亚马逊库存!A:R,18,0),"")</f>
        <v>0</v>
      </c>
      <c r="F230">
        <f t="shared" si="7"/>
        <v>24</v>
      </c>
      <c r="G230">
        <f>IFERROR(VLOOKUP(A230,预留库存!A:G,7,0),0)</f>
        <v>3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772</v>
      </c>
      <c r="B231">
        <f>IFERROR(VLOOKUP(A231,管理亚马逊库存!A:K,11,0),"")</f>
        <v>3</v>
      </c>
      <c r="C231">
        <f>IFERROR(VLOOKUP(A231,管理亚马逊库存!A:L,12,0),"")</f>
        <v>0</v>
      </c>
      <c r="D231">
        <f>IFERROR(VLOOKUP(A231,管理亚马逊库存!A:Q,17,0),"")</f>
        <v>22</v>
      </c>
      <c r="E231">
        <f>IFERROR(VLOOKUP(A231,管理亚马逊库存!A:R,18,0),"")</f>
        <v>0</v>
      </c>
      <c r="F231">
        <f t="shared" si="7"/>
        <v>22</v>
      </c>
      <c r="G231">
        <f>IFERROR(VLOOKUP(A231,预留库存!A:G,7,0),0)</f>
        <v>0</v>
      </c>
      <c r="H231">
        <f>IFERROR(VLOOKUP(A231,预留库存!A:H,8,0),0)</f>
        <v>1</v>
      </c>
      <c r="I231">
        <f>IFERROR(VLOOKUP(A231,预留库存!A:F,6,0),0)</f>
        <v>1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776</v>
      </c>
      <c r="B232">
        <f>IFERROR(VLOOKUP(A232,管理亚马逊库存!A:K,11,0),"")</f>
        <v>8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1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779</v>
      </c>
      <c r="B233">
        <f>IFERROR(VLOOKUP(A233,管理亚马逊库存!A:K,11,0),"")</f>
        <v>0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1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782</v>
      </c>
      <c r="B234">
        <f>IFERROR(VLOOKUP(A234,管理亚马逊库存!A:K,11,0),"")</f>
        <v>0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1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785</v>
      </c>
      <c r="B235">
        <f>IFERROR(VLOOKUP(A235,管理亚马逊库存!A:K,11,0),"")</f>
        <v>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2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788</v>
      </c>
      <c r="B236">
        <f>IFERROR(VLOOKUP(A236,管理亚马逊库存!A:K,11,0),"")</f>
        <v>8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1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791</v>
      </c>
      <c r="B237">
        <f>IFERROR(VLOOKUP(A237,管理亚马逊库存!A:K,11,0),"")</f>
        <v>0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2</v>
      </c>
      <c r="J237">
        <f>IFERROR(VLOOKUP(A237,库龄!B:K,9,0),0)</f>
        <v>0</v>
      </c>
      <c r="K237">
        <f>IFERROR(VLOOKUP(A237,库龄!B:L,10,0),0)</f>
        <v>2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2</v>
      </c>
    </row>
    <row r="238" spans="1:14">
      <c r="A238" s="3" t="s">
        <v>794</v>
      </c>
      <c r="B238">
        <f>IFERROR(VLOOKUP(A238,管理亚马逊库存!A:K,11,0),"")</f>
        <v>14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1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797</v>
      </c>
      <c r="B239">
        <f>IFERROR(VLOOKUP(A239,管理亚马逊库存!A:K,11,0),"")</f>
        <v>6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1</v>
      </c>
      <c r="H239">
        <f>IFERROR(VLOOKUP(A239,预留库存!A:H,8,0),0)</f>
        <v>1</v>
      </c>
      <c r="I239">
        <f>IFERROR(VLOOKUP(A239,预留库存!A:F,6,0),0)</f>
        <v>1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799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1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802</v>
      </c>
      <c r="B241">
        <f>IFERROR(VLOOKUP(A241,管理亚马逊库存!A:K,11,0),"")</f>
        <v>9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1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803</v>
      </c>
      <c r="B242">
        <f>IFERROR(VLOOKUP(A242,管理亚马逊库存!A:K,11,0),"")</f>
        <v>4</v>
      </c>
      <c r="C242">
        <f>IFERROR(VLOOKUP(A242,管理亚马逊库存!A:L,12,0),"")</f>
        <v>0</v>
      </c>
      <c r="D242">
        <f>IFERROR(VLOOKUP(A242,管理亚马逊库存!A:Q,17,0),"")</f>
        <v>6</v>
      </c>
      <c r="E242">
        <f>IFERROR(VLOOKUP(A242,管理亚马逊库存!A:R,18,0),"")</f>
        <v>0</v>
      </c>
      <c r="F242">
        <f t="shared" si="7"/>
        <v>6</v>
      </c>
      <c r="G242">
        <f>IFERROR(VLOOKUP(A242,预留库存!A:G,7,0),0)</f>
        <v>6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807</v>
      </c>
      <c r="B243">
        <f>IFERROR(VLOOKUP(A243,管理亚马逊库存!A:K,11,0),"")</f>
        <v>7</v>
      </c>
      <c r="C243">
        <f>IFERROR(VLOOKUP(A243,管理亚马逊库存!A:L,12,0),"")</f>
        <v>0</v>
      </c>
      <c r="D243">
        <f>IFERROR(VLOOKUP(A243,管理亚马逊库存!A:Q,17,0),"")</f>
        <v>3</v>
      </c>
      <c r="E243">
        <f>IFERROR(VLOOKUP(A243,管理亚马逊库存!A:R,18,0),"")</f>
        <v>0</v>
      </c>
      <c r="F243">
        <f t="shared" si="7"/>
        <v>3</v>
      </c>
      <c r="G243">
        <f>IFERROR(VLOOKUP(A243,预留库存!A:G,7,0),0)</f>
        <v>7</v>
      </c>
      <c r="H243">
        <f>IFERROR(VLOOKUP(A243,预留库存!A:H,8,0),0)</f>
        <v>1</v>
      </c>
      <c r="I243">
        <f>IFERROR(VLOOKUP(A243,预留库存!A:F,6,0),0)</f>
        <v>1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811</v>
      </c>
      <c r="B244">
        <f>IFERROR(VLOOKUP(A244,管理亚马逊库存!A:K,11,0),"")</f>
        <v>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1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814</v>
      </c>
      <c r="B245">
        <f>IFERROR(VLOOKUP(A245,管理亚马逊库存!A:K,11,0),"")</f>
        <v>3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1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3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3</v>
      </c>
    </row>
    <row r="246" spans="1:14">
      <c r="A246" s="3" t="s">
        <v>817</v>
      </c>
      <c r="B246">
        <f>IFERROR(VLOOKUP(A246,管理亚马逊库存!A:K,11,0),"")</f>
        <v>7</v>
      </c>
      <c r="C246">
        <f>IFERROR(VLOOKUP(A246,管理亚马逊库存!A:L,12,0),"")</f>
        <v>0</v>
      </c>
      <c r="D246">
        <f>IFERROR(VLOOKUP(A246,管理亚马逊库存!A:Q,17,0),"")</f>
        <v>8</v>
      </c>
      <c r="E246">
        <f>IFERROR(VLOOKUP(A246,管理亚马逊库存!A:R,18,0),"")</f>
        <v>0</v>
      </c>
      <c r="F246">
        <f t="shared" si="7"/>
        <v>8</v>
      </c>
      <c r="G246">
        <f>IFERROR(VLOOKUP(A246,预留库存!A:G,7,0),0)</f>
        <v>8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819</v>
      </c>
      <c r="B247">
        <f>IFERROR(VLOOKUP(A247,管理亚马逊库存!A:K,11,0),"")</f>
        <v>1</v>
      </c>
      <c r="C247">
        <f>IFERROR(VLOOKUP(A247,管理亚马逊库存!A:L,12,0),"")</f>
        <v>0</v>
      </c>
      <c r="D247">
        <f>IFERROR(VLOOKUP(A247,管理亚马逊库存!A:Q,17,0),"")</f>
        <v>3</v>
      </c>
      <c r="E247">
        <f>IFERROR(VLOOKUP(A247,管理亚马逊库存!A:R,18,0),"")</f>
        <v>0</v>
      </c>
      <c r="F247">
        <f t="shared" si="7"/>
        <v>3</v>
      </c>
      <c r="G247">
        <f>IFERROR(VLOOKUP(A247,预留库存!A:G,7,0),0)</f>
        <v>3</v>
      </c>
      <c r="H247">
        <f>IFERROR(VLOOKUP(A247,预留库存!A:H,8,0),0)</f>
        <v>1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821</v>
      </c>
      <c r="B248">
        <f>IFERROR(VLOOKUP(A248,管理亚马逊库存!A:K,11,0),"")</f>
        <v>5</v>
      </c>
      <c r="C248">
        <f>IFERROR(VLOOKUP(A248,管理亚马逊库存!A:L,12,0),"")</f>
        <v>0</v>
      </c>
      <c r="D248">
        <f>IFERROR(VLOOKUP(A248,管理亚马逊库存!A:Q,17,0),"")</f>
        <v>4</v>
      </c>
      <c r="E248">
        <f>IFERROR(VLOOKUP(A248,管理亚马逊库存!A:R,18,0),"")</f>
        <v>0</v>
      </c>
      <c r="F248">
        <f t="shared" si="7"/>
        <v>4</v>
      </c>
      <c r="G248">
        <f>IFERROR(VLOOKUP(A248,预留库存!A:G,7,0),0)</f>
        <v>4</v>
      </c>
      <c r="H248">
        <f>IFERROR(VLOOKUP(A248,预留库存!A:H,8,0),0)</f>
        <v>1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825</v>
      </c>
      <c r="B249">
        <f>IFERROR(VLOOKUP(A249,管理亚马逊库存!A:K,11,0),"")</f>
        <v>8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1</v>
      </c>
      <c r="J249">
        <f>IFERROR(VLOOKUP(A249,库龄!B:K,9,0),0)</f>
        <v>1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1</v>
      </c>
    </row>
    <row r="250" spans="1:14">
      <c r="A250" s="3" t="s">
        <v>826</v>
      </c>
      <c r="B250">
        <f>IFERROR(VLOOKUP(A250,管理亚马逊库存!A:K,11,0),"")</f>
        <v>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1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827</v>
      </c>
      <c r="B251">
        <f>IFERROR(VLOOKUP(A251,管理亚马逊库存!A:K,11,0),"")</f>
        <v>0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1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828</v>
      </c>
      <c r="B252">
        <f>IFERROR(VLOOKUP(A252,管理亚马逊库存!A:K,11,0),"")</f>
        <v>7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2</v>
      </c>
      <c r="H252">
        <f>IFERROR(VLOOKUP(A252,预留库存!A:H,8,0),0)</f>
        <v>0</v>
      </c>
      <c r="I252">
        <f>IFERROR(VLOOKUP(A252,预留库存!A:F,6,0),0)</f>
        <v>1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829</v>
      </c>
      <c r="B253">
        <f>IFERROR(VLOOKUP(A253,管理亚马逊库存!A:K,11,0),"")</f>
        <v>8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1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830</v>
      </c>
      <c r="B254">
        <f>IFERROR(VLOOKUP(A254,管理亚马逊库存!A:K,11,0),"")</f>
        <v>3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1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831</v>
      </c>
      <c r="B255">
        <f>IFERROR(VLOOKUP(A255,管理亚马逊库存!A:K,11,0),"")</f>
        <v>14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1</v>
      </c>
      <c r="J255">
        <f>IFERROR(VLOOKUP(A255,库龄!B:K,9,0),0)</f>
        <v>12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12</v>
      </c>
    </row>
    <row r="256" spans="1:14">
      <c r="A256" s="3" t="s">
        <v>872</v>
      </c>
      <c r="B256">
        <f>IFERROR(VLOOKUP(A256,管理亚马逊库存!A:K,11,0),"")</f>
        <v>17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10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10</v>
      </c>
    </row>
    <row r="257" spans="1:14">
      <c r="A257" s="3" t="s">
        <v>875</v>
      </c>
      <c r="B257">
        <f>IFERROR(VLOOKUP(A257,管理亚马逊库存!A:K,11,0),"")</f>
        <v>10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1</v>
      </c>
      <c r="K257">
        <f>IFERROR(VLOOKUP(A257,库龄!B:L,10,0),0)</f>
        <v>7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8</v>
      </c>
    </row>
    <row r="258" spans="1:14">
      <c r="A258" s="3" t="s">
        <v>876</v>
      </c>
      <c r="B258">
        <f>IFERROR(VLOOKUP(A258,管理亚马逊库存!A:K,11,0),"")</f>
        <v>4</v>
      </c>
      <c r="C258">
        <f>IFERROR(VLOOKUP(A258,管理亚马逊库存!A:L,12,0),"")</f>
        <v>0</v>
      </c>
      <c r="D258">
        <f>IFERROR(VLOOKUP(A258,管理亚马逊库存!A:Q,17,0),"")</f>
        <v>11</v>
      </c>
      <c r="E258">
        <f>IFERROR(VLOOKUP(A258,管理亚马逊库存!A:R,18,0),"")</f>
        <v>0</v>
      </c>
      <c r="F258">
        <f t="shared" si="7"/>
        <v>11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880</v>
      </c>
      <c r="B259">
        <f>IFERROR(VLOOKUP(A259,管理亚马逊库存!A:K,11,0),"")</f>
        <v>12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11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11</v>
      </c>
    </row>
    <row r="260" spans="1:14">
      <c r="A260" s="3" t="s">
        <v>884</v>
      </c>
      <c r="B260">
        <f>IFERROR(VLOOKUP(A260,管理亚马逊库存!A:K,11,0),"")</f>
        <v>18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888</v>
      </c>
      <c r="B261">
        <f>IFERROR(VLOOKUP(A261,管理亚马逊库存!A:K,11,0),"")</f>
        <v>1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1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1</v>
      </c>
    </row>
    <row r="262" spans="1:14">
      <c r="A262" s="3" t="s">
        <v>892</v>
      </c>
      <c r="B262">
        <f>IFERROR(VLOOKUP(A262,管理亚马逊库存!A:K,11,0),"")</f>
        <v>9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895</v>
      </c>
      <c r="B263">
        <f>IFERROR(VLOOKUP(A263,管理亚马逊库存!A:K,11,0),"")</f>
        <v>1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899</v>
      </c>
      <c r="B264">
        <f>IFERROR(VLOOKUP(A264,管理亚马逊库存!A:K,11,0),"")</f>
        <v>20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903</v>
      </c>
      <c r="B265">
        <f>IFERROR(VLOOKUP(A265,管理亚马逊库存!A:K,11,0),"")</f>
        <v>7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3</v>
      </c>
      <c r="K265">
        <f>IFERROR(VLOOKUP(A265,库龄!B:L,10,0),0)</f>
        <v>4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7</v>
      </c>
    </row>
    <row r="266" spans="1:14">
      <c r="A266" s="3" t="s">
        <v>906</v>
      </c>
      <c r="B266">
        <f>IFERROR(VLOOKUP(A266,管理亚马逊库存!A:K,11,0),"")</f>
        <v>3</v>
      </c>
      <c r="C266">
        <f>IFERROR(VLOOKUP(A266,管理亚马逊库存!A:L,12,0),"")</f>
        <v>0</v>
      </c>
      <c r="D266">
        <f>IFERROR(VLOOKUP(A266,管理亚马逊库存!A:Q,17,0),"")</f>
        <v>20</v>
      </c>
      <c r="E266">
        <f>IFERROR(VLOOKUP(A266,管理亚马逊库存!A:R,18,0),"")</f>
        <v>0</v>
      </c>
      <c r="F266">
        <f t="shared" si="9"/>
        <v>20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910</v>
      </c>
      <c r="B267">
        <f>IFERROR(VLOOKUP(A267,管理亚马逊库存!A:K,11,0),"")</f>
        <v>2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1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1</v>
      </c>
    </row>
    <row r="268" spans="1:14">
      <c r="A268" s="3" t="s">
        <v>913</v>
      </c>
      <c r="B268">
        <f>IFERROR(VLOOKUP(A268,管理亚马逊库存!A:K,11,0),"")</f>
        <v>2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915</v>
      </c>
      <c r="B269">
        <f>IFERROR(VLOOKUP(A269,管理亚马逊库存!A:K,11,0),"")</f>
        <v>19</v>
      </c>
      <c r="C269">
        <f>IFERROR(VLOOKUP(A269,管理亚马逊库存!A:L,12,0),"")</f>
        <v>1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918</v>
      </c>
      <c r="B270">
        <f>IFERROR(VLOOKUP(A270,管理亚马逊库存!A:K,11,0),"")</f>
        <v>14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13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13</v>
      </c>
    </row>
    <row r="271" spans="1:14">
      <c r="A271" s="3" t="s">
        <v>921</v>
      </c>
      <c r="B271">
        <f>IFERROR(VLOOKUP(A271,管理亚马逊库存!A:K,11,0),"")</f>
        <v>6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926</v>
      </c>
      <c r="B272">
        <f>IFERROR(VLOOKUP(A272,管理亚马逊库存!A:K,11,0),"")</f>
        <v>15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15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15</v>
      </c>
    </row>
    <row r="273" spans="1:14">
      <c r="A273" s="3" t="s">
        <v>929</v>
      </c>
      <c r="B273">
        <f>IFERROR(VLOOKUP(A273,管理亚马逊库存!A:K,11,0),"")</f>
        <v>9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932</v>
      </c>
      <c r="B274">
        <f>IFERROR(VLOOKUP(A274,管理亚马逊库存!A:K,11,0),"")</f>
        <v>6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938</v>
      </c>
      <c r="B275">
        <f>IFERROR(VLOOKUP(A275,管理亚马逊库存!A:K,11,0),"")</f>
        <v>16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9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9</v>
      </c>
    </row>
    <row r="276" spans="1:14">
      <c r="A276" s="3" t="s">
        <v>941</v>
      </c>
      <c r="B276">
        <f>IFERROR(VLOOKUP(A276,管理亚马逊库存!A:K,11,0),"")</f>
        <v>34</v>
      </c>
      <c r="C276">
        <f>IFERROR(VLOOKUP(A276,管理亚马逊库存!A:L,12,0),"")</f>
        <v>2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945</v>
      </c>
      <c r="B277">
        <f>IFERROR(VLOOKUP(A277,管理亚马逊库存!A:K,11,0),"")</f>
        <v>17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4</v>
      </c>
      <c r="K277">
        <f>IFERROR(VLOOKUP(A277,库龄!B:L,10,0),0)</f>
        <v>13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17</v>
      </c>
    </row>
    <row r="278" spans="1:14">
      <c r="A278" s="3" t="s">
        <v>948</v>
      </c>
      <c r="B278">
        <f>IFERROR(VLOOKUP(A278,管理亚马逊库存!A:K,11,0),"")</f>
        <v>16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10</v>
      </c>
      <c r="K278">
        <f>IFERROR(VLOOKUP(A278,库龄!B:L,10,0),0)</f>
        <v>6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16</v>
      </c>
    </row>
    <row r="279" spans="1:14">
      <c r="A279" s="3" t="s">
        <v>951</v>
      </c>
      <c r="B279">
        <f>IFERROR(VLOOKUP(A279,管理亚马逊库存!A:K,11,0),"")</f>
        <v>1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1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1</v>
      </c>
    </row>
    <row r="280" spans="1:14">
      <c r="A280" s="3" t="s">
        <v>954</v>
      </c>
      <c r="B280">
        <f>IFERROR(VLOOKUP(A280,管理亚马逊库存!A:K,11,0),"")</f>
        <v>4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2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2</v>
      </c>
    </row>
    <row r="281" spans="1:14">
      <c r="A281" s="3" t="s">
        <v>957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1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1</v>
      </c>
    </row>
    <row r="282" spans="1:14">
      <c r="A282" s="3" t="s">
        <v>960</v>
      </c>
      <c r="B282">
        <f>IFERROR(VLOOKUP(A282,管理亚马逊库存!A:K,11,0),"")</f>
        <v>3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3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3</v>
      </c>
    </row>
    <row r="283" spans="1:14">
      <c r="A283" s="3" t="s">
        <v>963</v>
      </c>
      <c r="B283">
        <f>IFERROR(VLOOKUP(A283,管理亚马逊库存!A:K,11,0),"")</f>
        <v>33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22</v>
      </c>
      <c r="K283">
        <f>IFERROR(VLOOKUP(A283,库龄!B:L,10,0),0)</f>
        <v>6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28</v>
      </c>
    </row>
    <row r="284" spans="1:14">
      <c r="A284" s="3" t="s">
        <v>966</v>
      </c>
      <c r="B284">
        <f>IFERROR(VLOOKUP(A284,管理亚马逊库存!A:K,11,0),"")</f>
        <v>36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30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30</v>
      </c>
    </row>
    <row r="285" spans="1:14">
      <c r="A285" s="3" t="s">
        <v>969</v>
      </c>
      <c r="B285">
        <f>IFERROR(VLOOKUP(A285,管理亚马逊库存!A:K,11,0),"")</f>
        <v>2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972</v>
      </c>
      <c r="B286">
        <f>IFERROR(VLOOKUP(A286,管理亚马逊库存!A:K,11,0),"")</f>
        <v>4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1</v>
      </c>
      <c r="K286">
        <f>IFERROR(VLOOKUP(A286,库龄!B:L,10,0),0)</f>
        <v>2</v>
      </c>
      <c r="L286">
        <f>IFERROR(VLOOKUP(A286,库龄!B:M,11,0),0)</f>
        <v>1</v>
      </c>
      <c r="M286">
        <f>IFERROR(VLOOKUP(A286,库龄!B:N,12,0),0)</f>
        <v>0</v>
      </c>
      <c r="N286">
        <f t="shared" si="10"/>
        <v>4</v>
      </c>
    </row>
    <row r="287" spans="1:14">
      <c r="A287" s="3" t="s">
        <v>975</v>
      </c>
      <c r="B287">
        <f>IFERROR(VLOOKUP(A287,管理亚马逊库存!A:K,11,0),"")</f>
        <v>16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3</v>
      </c>
      <c r="K287">
        <f>IFERROR(VLOOKUP(A287,库龄!B:L,10,0),0)</f>
        <v>0</v>
      </c>
      <c r="L287">
        <f>IFERROR(VLOOKUP(A287,库龄!B:M,11,0),0)</f>
        <v>2</v>
      </c>
      <c r="M287">
        <f>IFERROR(VLOOKUP(A287,库龄!B:N,12,0),0)</f>
        <v>0</v>
      </c>
      <c r="N287">
        <f t="shared" si="10"/>
        <v>5</v>
      </c>
    </row>
    <row r="288" spans="1:14">
      <c r="A288" s="3" t="s">
        <v>978</v>
      </c>
      <c r="B288">
        <f>IFERROR(VLOOKUP(A288,管理亚马逊库存!A:K,11,0),"")</f>
        <v>1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981</v>
      </c>
      <c r="B289">
        <f>IFERROR(VLOOKUP(A289,管理亚马逊库存!A:K,11,0),"")</f>
        <v>3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986</v>
      </c>
      <c r="B290">
        <f>IFERROR(VLOOKUP(A290,管理亚马逊库存!A:K,11,0),"")</f>
        <v>4</v>
      </c>
      <c r="C290">
        <f>IFERROR(VLOOKUP(A290,管理亚马逊库存!A:L,12,0),"")</f>
        <v>0</v>
      </c>
      <c r="D290">
        <f>IFERROR(VLOOKUP(A290,管理亚马逊库存!A:Q,17,0),"")</f>
        <v>10</v>
      </c>
      <c r="E290">
        <f>IFERROR(VLOOKUP(A290,管理亚马逊库存!A:R,18,0),"")</f>
        <v>0</v>
      </c>
      <c r="F290">
        <f t="shared" si="9"/>
        <v>10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990</v>
      </c>
      <c r="B291">
        <f>IFERROR(VLOOKUP(A291,管理亚马逊库存!A:K,11,0),"")</f>
        <v>33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20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20</v>
      </c>
    </row>
    <row r="292" spans="1:14">
      <c r="A292" s="3" t="s">
        <v>993</v>
      </c>
      <c r="B292">
        <f>IFERROR(VLOOKUP(A292,管理亚马逊库存!A:K,11,0),"")</f>
        <v>8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1</v>
      </c>
      <c r="L292">
        <f>IFERROR(VLOOKUP(A292,库龄!B:M,11,0),0)</f>
        <v>6</v>
      </c>
      <c r="M292">
        <f>IFERROR(VLOOKUP(A292,库龄!B:N,12,0),0)</f>
        <v>0</v>
      </c>
      <c r="N292">
        <f t="shared" si="10"/>
        <v>7</v>
      </c>
    </row>
    <row r="293" spans="1:14">
      <c r="A293" s="3" t="s">
        <v>996</v>
      </c>
      <c r="B293">
        <f>IFERROR(VLOOKUP(A293,管理亚马逊库存!A:K,11,0),"")</f>
        <v>4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1000</v>
      </c>
      <c r="B294">
        <f>IFERROR(VLOOKUP(A294,管理亚马逊库存!A:K,11,0),"")</f>
        <v>7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1004</v>
      </c>
      <c r="B295">
        <f>IFERROR(VLOOKUP(A295,管理亚马逊库存!A:K,11,0),"")</f>
        <v>3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1008</v>
      </c>
      <c r="B296">
        <f>IFERROR(VLOOKUP(A296,管理亚马逊库存!A:K,11,0),"")</f>
        <v>5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1012</v>
      </c>
      <c r="B297">
        <f>IFERROR(VLOOKUP(A297,管理亚马逊库存!A:K,11,0),"")</f>
        <v>6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1016</v>
      </c>
      <c r="B298">
        <f>IFERROR(VLOOKUP(A298,管理亚马逊库存!A:K,11,0),"")</f>
        <v>3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3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3</v>
      </c>
    </row>
    <row r="299" spans="1:14">
      <c r="A299" s="3" t="s">
        <v>1019</v>
      </c>
      <c r="B299">
        <f>IFERROR(VLOOKUP(A299,管理亚马逊库存!A:K,11,0),"")</f>
        <v>6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1024</v>
      </c>
      <c r="B300">
        <f>IFERROR(VLOOKUP(A300,管理亚马逊库存!A:K,11,0),"")</f>
        <v>32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28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28</v>
      </c>
    </row>
    <row r="301" spans="1:14">
      <c r="A301" s="3" t="s">
        <v>1027</v>
      </c>
      <c r="B301">
        <f>IFERROR(VLOOKUP(A301,管理亚马逊库存!A:K,11,0),"")</f>
        <v>9</v>
      </c>
      <c r="C301">
        <f>IFERROR(VLOOKUP(A301,管理亚马逊库存!A:L,12,0),"")</f>
        <v>0</v>
      </c>
      <c r="D301">
        <f>IFERROR(VLOOKUP(A301,管理亚马逊库存!A:Q,17,0),"")</f>
        <v>17</v>
      </c>
      <c r="E301">
        <f>IFERROR(VLOOKUP(A301,管理亚马逊库存!A:R,18,0),"")</f>
        <v>0</v>
      </c>
      <c r="F301">
        <f t="shared" si="9"/>
        <v>17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1031</v>
      </c>
      <c r="B302">
        <f>IFERROR(VLOOKUP(A302,管理亚马逊库存!A:K,11,0),"")</f>
        <v>13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12</v>
      </c>
      <c r="K302">
        <f>IFERROR(VLOOKUP(A302,库龄!B:L,10,0),0)</f>
        <v>1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13</v>
      </c>
    </row>
    <row r="303" spans="1:14">
      <c r="A303" s="3" t="s">
        <v>1034</v>
      </c>
      <c r="B303">
        <f>IFERROR(VLOOKUP(A303,管理亚马逊库存!A:K,11,0),"")</f>
        <v>5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1037</v>
      </c>
      <c r="B304">
        <f>IFERROR(VLOOKUP(A304,管理亚马逊库存!A:K,11,0),"")</f>
        <v>25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25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25</v>
      </c>
    </row>
    <row r="305" spans="1:14">
      <c r="A305" s="3" t="s">
        <v>1040</v>
      </c>
      <c r="B305">
        <f>IFERROR(VLOOKUP(A305,管理亚马逊库存!A:K,11,0),"")</f>
        <v>2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1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1</v>
      </c>
    </row>
    <row r="306" spans="1:14">
      <c r="A306" s="3" t="s">
        <v>1041</v>
      </c>
      <c r="B306">
        <f>IFERROR(VLOOKUP(A306,管理亚马逊库存!A:K,11,0),"")</f>
        <v>18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1044</v>
      </c>
      <c r="B307">
        <f>IFERROR(VLOOKUP(A307,管理亚马逊库存!A:K,11,0),"")</f>
        <v>5</v>
      </c>
      <c r="C307">
        <f>IFERROR(VLOOKUP(A307,管理亚马逊库存!A:L,12,0),"")</f>
        <v>0</v>
      </c>
      <c r="D307">
        <f>IFERROR(VLOOKUP(A307,管理亚马逊库存!A:Q,17,0),"")</f>
        <v>30</v>
      </c>
      <c r="E307">
        <f>IFERROR(VLOOKUP(A307,管理亚马逊库存!A:R,18,0),"")</f>
        <v>0</v>
      </c>
      <c r="F307">
        <f t="shared" si="9"/>
        <v>30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1048</v>
      </c>
      <c r="B308">
        <f>IFERROR(VLOOKUP(A308,管理亚马逊库存!A:K,11,0),"")</f>
        <v>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1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1</v>
      </c>
    </row>
    <row r="309" spans="1:14">
      <c r="A309" s="3" t="s">
        <v>1051</v>
      </c>
      <c r="B309">
        <f>IFERROR(VLOOKUP(A309,管理亚马逊库存!A:K,11,0),"")</f>
        <v>4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1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1</v>
      </c>
    </row>
    <row r="310" spans="1:14">
      <c r="A310" s="3" t="s">
        <v>1054</v>
      </c>
      <c r="B310">
        <f>IFERROR(VLOOKUP(A310,管理亚马逊库存!A:K,11,0),"")</f>
        <v>7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7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7</v>
      </c>
    </row>
    <row r="311" spans="1:14">
      <c r="A311" s="3" t="s">
        <v>1058</v>
      </c>
      <c r="B311">
        <f>IFERROR(VLOOKUP(A311,管理亚马逊库存!A:K,11,0),"")</f>
        <v>5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1</v>
      </c>
      <c r="K311">
        <f>IFERROR(VLOOKUP(A311,库龄!B:L,10,0),0)</f>
        <v>3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4</v>
      </c>
    </row>
    <row r="312" spans="1:14">
      <c r="A312" s="3" t="s">
        <v>1061</v>
      </c>
      <c r="B312">
        <f>IFERROR(VLOOKUP(A312,管理亚马逊库存!A:K,11,0),"")</f>
        <v>6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5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5</v>
      </c>
    </row>
    <row r="313" spans="1:14">
      <c r="A313" s="3" t="s">
        <v>1064</v>
      </c>
      <c r="B313">
        <f>IFERROR(VLOOKUP(A313,管理亚马逊库存!A:K,11,0),"")</f>
        <v>4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1067</v>
      </c>
      <c r="B314">
        <f>IFERROR(VLOOKUP(A314,管理亚马逊库存!A:K,11,0),"")</f>
        <v>1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1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1</v>
      </c>
    </row>
    <row r="315" spans="1:14">
      <c r="A315" s="3" t="s">
        <v>1070</v>
      </c>
      <c r="B315">
        <f>IFERROR(VLOOKUP(A315,管理亚马逊库存!A:K,11,0),"")</f>
        <v>14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14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14</v>
      </c>
    </row>
    <row r="316" spans="1:14">
      <c r="A316" s="3" t="s">
        <v>1073</v>
      </c>
      <c r="B316">
        <f>IFERROR(VLOOKUP(A316,管理亚马逊库存!A:K,11,0),"")</f>
        <v>2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2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2</v>
      </c>
    </row>
    <row r="317" spans="1:14">
      <c r="A317" s="3" t="s">
        <v>1076</v>
      </c>
      <c r="B317">
        <f>IFERROR(VLOOKUP(A317,管理亚马逊库存!A:K,11,0),"")</f>
        <v>1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1079</v>
      </c>
      <c r="B318">
        <f>IFERROR(VLOOKUP(A318,管理亚马逊库存!A:K,11,0),"")</f>
        <v>3</v>
      </c>
      <c r="C318">
        <f>IFERROR(VLOOKUP(A318,管理亚马逊库存!A:L,12,0),"")</f>
        <v>0</v>
      </c>
      <c r="D318">
        <f>IFERROR(VLOOKUP(A318,管理亚马逊库存!A:Q,17,0),"")</f>
        <v>3</v>
      </c>
      <c r="E318">
        <f>IFERROR(VLOOKUP(A318,管理亚马逊库存!A:R,18,0),"")</f>
        <v>0</v>
      </c>
      <c r="F318">
        <f t="shared" si="9"/>
        <v>3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1083</v>
      </c>
      <c r="B319">
        <f>IFERROR(VLOOKUP(A319,管理亚马逊库存!A:K,11,0),"")</f>
        <v>3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3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3</v>
      </c>
    </row>
    <row r="320" spans="1:14">
      <c r="A320" s="3" t="s">
        <v>1086</v>
      </c>
      <c r="B320">
        <f>IFERROR(VLOOKUP(A320,管理亚马逊库存!A:K,11,0),"")</f>
        <v>2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2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2</v>
      </c>
    </row>
    <row r="321" spans="1:14">
      <c r="A321" s="3" t="s">
        <v>1089</v>
      </c>
      <c r="B321">
        <f>IFERROR(VLOOKUP(A321,管理亚马逊库存!A:K,11,0),"")</f>
        <v>11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1093</v>
      </c>
      <c r="B322">
        <f>IFERROR(VLOOKUP(A322,管理亚马逊库存!A:K,11,0),"")</f>
        <v>19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1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1</v>
      </c>
    </row>
    <row r="323" spans="1:14">
      <c r="A323" s="3" t="s">
        <v>1096</v>
      </c>
      <c r="B323">
        <f>IFERROR(VLOOKUP(A323,管理亚马逊库存!A:K,11,0),"")</f>
        <v>1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1099</v>
      </c>
      <c r="B324">
        <f>IFERROR(VLOOKUP(A324,管理亚马逊库存!A:K,11,0),"")</f>
        <v>3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2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2</v>
      </c>
    </row>
    <row r="325" spans="1:14">
      <c r="A325" s="3" t="s">
        <v>1102</v>
      </c>
      <c r="B325">
        <f>IFERROR(VLOOKUP(A325,管理亚马逊库存!A:K,11,0),"")</f>
        <v>3</v>
      </c>
      <c r="C325">
        <f>IFERROR(VLOOKUP(A325,管理亚马逊库存!A:L,12,0),"")</f>
        <v>0</v>
      </c>
      <c r="D325">
        <f>IFERROR(VLOOKUP(A325,管理亚马逊库存!A:Q,17,0),"")</f>
        <v>21</v>
      </c>
      <c r="E325">
        <f>IFERROR(VLOOKUP(A325,管理亚马逊库存!A:R,18,0),"")</f>
        <v>0</v>
      </c>
      <c r="F325">
        <f t="shared" si="11"/>
        <v>21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1106</v>
      </c>
      <c r="B326">
        <f>IFERROR(VLOOKUP(A326,管理亚马逊库存!A:K,11,0),"")</f>
        <v>2</v>
      </c>
      <c r="C326">
        <f>IFERROR(VLOOKUP(A326,管理亚马逊库存!A:L,12,0),"")</f>
        <v>0</v>
      </c>
      <c r="D326">
        <f>IFERROR(VLOOKUP(A326,管理亚马逊库存!A:Q,17,0),"")</f>
        <v>10</v>
      </c>
      <c r="E326">
        <f>IFERROR(VLOOKUP(A326,管理亚马逊库存!A:R,18,0),"")</f>
        <v>0</v>
      </c>
      <c r="F326">
        <f t="shared" si="11"/>
        <v>10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1111</v>
      </c>
      <c r="B327">
        <f>IFERROR(VLOOKUP(A327,管理亚马逊库存!A:K,11,0),"")</f>
        <v>8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8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8</v>
      </c>
    </row>
    <row r="328" spans="1:14">
      <c r="A328" s="3" t="s">
        <v>1114</v>
      </c>
      <c r="B328">
        <f>IFERROR(VLOOKUP(A328,管理亚马逊库存!A:K,11,0),"")</f>
        <v>6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1118</v>
      </c>
      <c r="B329">
        <f>IFERROR(VLOOKUP(A329,管理亚马逊库存!A:K,11,0),"")</f>
        <v>31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28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28</v>
      </c>
    </row>
    <row r="330" spans="1:14">
      <c r="A330" s="3" t="s">
        <v>1120</v>
      </c>
      <c r="B330">
        <f>IFERROR(VLOOKUP(A330,管理亚马逊库存!A:K,11,0),"")</f>
        <v>2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1122</v>
      </c>
      <c r="B331">
        <f>IFERROR(VLOOKUP(A331,管理亚马逊库存!A:K,11,0),"")</f>
        <v>18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1125</v>
      </c>
      <c r="B332">
        <f>IFERROR(VLOOKUP(A332,管理亚马逊库存!A:K,11,0),"")</f>
        <v>12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1129</v>
      </c>
      <c r="B333">
        <f>IFERROR(VLOOKUP(A333,管理亚马逊库存!A:K,11,0),"")</f>
        <v>20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1133</v>
      </c>
      <c r="B334">
        <f>IFERROR(VLOOKUP(A334,管理亚马逊库存!A:K,11,0),"")</f>
        <v>4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3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3</v>
      </c>
    </row>
    <row r="335" spans="1:14">
      <c r="A335" s="3" t="s">
        <v>1134</v>
      </c>
      <c r="B335">
        <f>IFERROR(VLOOKUP(A335,管理亚马逊库存!A:K,11,0),"")</f>
        <v>28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5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5</v>
      </c>
    </row>
    <row r="336" spans="1:14">
      <c r="A336" s="3" t="s">
        <v>1135</v>
      </c>
      <c r="B336">
        <f>IFERROR(VLOOKUP(A336,管理亚马逊库存!A:K,11,0),"")</f>
        <v>7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3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3</v>
      </c>
    </row>
    <row r="337" spans="1:14">
      <c r="A337" s="3" t="s">
        <v>1138</v>
      </c>
      <c r="B337">
        <f>IFERROR(VLOOKUP(A337,管理亚马逊库存!A:K,11,0),"")</f>
        <v>4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1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1</v>
      </c>
    </row>
    <row r="338" spans="1:14">
      <c r="A338" s="3" t="s">
        <v>1141</v>
      </c>
      <c r="B338">
        <f>IFERROR(VLOOKUP(A338,管理亚马逊库存!A:K,11,0),"")</f>
        <v>7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1</v>
      </c>
      <c r="K338">
        <f>IFERROR(VLOOKUP(A338,库龄!B:L,10,0),0)</f>
        <v>5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6</v>
      </c>
    </row>
    <row r="339" spans="1:14">
      <c r="A339" s="3" t="s">
        <v>1144</v>
      </c>
      <c r="B339">
        <f>IFERROR(VLOOKUP(A339,管理亚马逊库存!A:K,11,0),"")</f>
        <v>6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1148</v>
      </c>
      <c r="B340">
        <f>IFERROR(VLOOKUP(A340,管理亚马逊库存!A:K,11,0),"")</f>
        <v>2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1149</v>
      </c>
      <c r="B341">
        <f>IFERROR(VLOOKUP(A341,管理亚马逊库存!A:K,11,0),"")</f>
        <v>7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7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7</v>
      </c>
    </row>
    <row r="342" spans="1:14">
      <c r="A342" s="3" t="s">
        <v>1152</v>
      </c>
      <c r="B342">
        <f>IFERROR(VLOOKUP(A342,管理亚马逊库存!A:K,11,0),"")</f>
        <v>26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21</v>
      </c>
      <c r="K342">
        <f>IFERROR(VLOOKUP(A342,库龄!B:L,10,0),0)</f>
        <v>2</v>
      </c>
      <c r="L342">
        <f>IFERROR(VLOOKUP(A342,库龄!B:M,11,0),0)</f>
        <v>2</v>
      </c>
      <c r="M342">
        <f>IFERROR(VLOOKUP(A342,库龄!B:N,12,0),0)</f>
        <v>0</v>
      </c>
      <c r="N342">
        <f t="shared" si="12"/>
        <v>25</v>
      </c>
    </row>
    <row r="343" spans="1:14">
      <c r="A343" s="3" t="s">
        <v>1155</v>
      </c>
      <c r="B343">
        <f>IFERROR(VLOOKUP(A343,管理亚马逊库存!A:K,11,0),"")</f>
        <v>2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1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1</v>
      </c>
    </row>
    <row r="344" spans="1:14">
      <c r="A344" s="3" t="s">
        <v>1158</v>
      </c>
      <c r="B344">
        <f>IFERROR(VLOOKUP(A344,管理亚马逊库存!A:K,11,0),"")</f>
        <v>11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1162</v>
      </c>
      <c r="B345">
        <f>IFERROR(VLOOKUP(A345,管理亚马逊库存!A:K,11,0),"")</f>
        <v>5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2</v>
      </c>
      <c r="K345">
        <f>IFERROR(VLOOKUP(A345,库龄!B:L,10,0),0)</f>
        <v>3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5</v>
      </c>
    </row>
    <row r="346" spans="1:14">
      <c r="A346" s="3" t="s">
        <v>1165</v>
      </c>
      <c r="B346">
        <f>IFERROR(VLOOKUP(A346,管理亚马逊库存!A:K,11,0),"")</f>
        <v>3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1</v>
      </c>
      <c r="K346">
        <f>IFERROR(VLOOKUP(A346,库龄!B:L,10,0),0)</f>
        <v>1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2</v>
      </c>
    </row>
    <row r="347" spans="1:14">
      <c r="A347" s="3" t="s">
        <v>1168</v>
      </c>
      <c r="B347">
        <f>IFERROR(VLOOKUP(A347,管理亚马逊库存!A:K,11,0),"")</f>
        <v>13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1172</v>
      </c>
      <c r="B348">
        <f>IFERROR(VLOOKUP(A348,管理亚马逊库存!A:K,11,0),"")</f>
        <v>6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1176</v>
      </c>
      <c r="B349">
        <f>IFERROR(VLOOKUP(A349,管理亚马逊库存!A:K,11,0),"")</f>
        <v>4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1179</v>
      </c>
      <c r="B350">
        <f>IFERROR(VLOOKUP(A350,管理亚马逊库存!A:K,11,0),"")</f>
        <v>8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1182</v>
      </c>
      <c r="B351">
        <f>IFERROR(VLOOKUP(A351,管理亚马逊库存!A:K,11,0),"")</f>
        <v>3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1</v>
      </c>
      <c r="K351">
        <f>IFERROR(VLOOKUP(A351,库龄!B:L,10,0),0)</f>
        <v>2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3</v>
      </c>
    </row>
    <row r="352" spans="1:14">
      <c r="A352" s="3" t="s">
        <v>1185</v>
      </c>
      <c r="B352">
        <f>IFERROR(VLOOKUP(A352,管理亚马逊库存!A:K,11,0),"")</f>
        <v>5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4</v>
      </c>
      <c r="L352">
        <f>IFERROR(VLOOKUP(A352,库龄!B:M,11,0),0)</f>
        <v>1</v>
      </c>
      <c r="M352">
        <f>IFERROR(VLOOKUP(A352,库龄!B:N,12,0),0)</f>
        <v>0</v>
      </c>
      <c r="N352">
        <f t="shared" si="12"/>
        <v>5</v>
      </c>
    </row>
    <row r="353" spans="1:14">
      <c r="A353" s="3" t="s">
        <v>1188</v>
      </c>
      <c r="B353">
        <f>IFERROR(VLOOKUP(A353,管理亚马逊库存!A:K,11,0),"")</f>
        <v>5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1192</v>
      </c>
      <c r="B354">
        <f>IFERROR(VLOOKUP(A354,管理亚马逊库存!A:K,11,0),"")</f>
        <v>2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1</v>
      </c>
      <c r="K354">
        <f>IFERROR(VLOOKUP(A354,库龄!B:L,10,0),0)</f>
        <v>1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2</v>
      </c>
    </row>
    <row r="355" spans="1:14">
      <c r="A355" s="3" t="s">
        <v>1195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1198</v>
      </c>
      <c r="B356">
        <f>IFERROR(VLOOKUP(A356,管理亚马逊库存!A:K,11,0),"")</f>
        <v>8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1201</v>
      </c>
      <c r="B357">
        <f>IFERROR(VLOOKUP(A357,管理亚马逊库存!A:K,11,0),"")</f>
        <v>30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30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30</v>
      </c>
    </row>
    <row r="358" spans="1:14">
      <c r="A358" s="3" t="s">
        <v>1204</v>
      </c>
      <c r="B358">
        <f>IFERROR(VLOOKUP(A358,管理亚马逊库存!A:K,11,0),"")</f>
        <v>3</v>
      </c>
      <c r="C358">
        <f>IFERROR(VLOOKUP(A358,管理亚马逊库存!A:L,12,0),"")</f>
        <v>0</v>
      </c>
      <c r="D358">
        <f>IFERROR(VLOOKUP(A358,管理亚马逊库存!A:Q,17,0),"")</f>
        <v>24</v>
      </c>
      <c r="E358">
        <f>IFERROR(VLOOKUP(A358,管理亚马逊库存!A:R,18,0),"")</f>
        <v>0</v>
      </c>
      <c r="F358">
        <f t="shared" si="11"/>
        <v>24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1208</v>
      </c>
      <c r="B359">
        <f>IFERROR(VLOOKUP(A359,管理亚马逊库存!A:K,11,0),"")</f>
        <v>6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7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7</v>
      </c>
    </row>
    <row r="360" spans="1:14">
      <c r="A360" s="3" t="s">
        <v>1211</v>
      </c>
      <c r="B360">
        <f>IFERROR(VLOOKUP(A360,管理亚马逊库存!A:K,11,0),"")</f>
        <v>3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1214</v>
      </c>
      <c r="B361">
        <f>IFERROR(VLOOKUP(A361,管理亚马逊库存!A:K,11,0),"")</f>
        <v>4</v>
      </c>
      <c r="C361">
        <f>IFERROR(VLOOKUP(A361,管理亚马逊库存!A:L,12,0),"")</f>
        <v>0</v>
      </c>
      <c r="D361">
        <f>IFERROR(VLOOKUP(A361,管理亚马逊库存!A:Q,17,0),"")</f>
        <v>5</v>
      </c>
      <c r="E361">
        <f>IFERROR(VLOOKUP(A361,管理亚马逊库存!A:R,18,0),"")</f>
        <v>0</v>
      </c>
      <c r="F361">
        <f t="shared" si="11"/>
        <v>5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1218</v>
      </c>
      <c r="B362">
        <f>IFERROR(VLOOKUP(A362,管理亚马逊库存!A:K,11,0),"")</f>
        <v>1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1219</v>
      </c>
      <c r="B363">
        <f>IFERROR(VLOOKUP(A363,管理亚马逊库存!A:K,11,0),"")</f>
        <v>46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42</v>
      </c>
      <c r="K363">
        <f>IFERROR(VLOOKUP(A363,库龄!B:L,10,0),0)</f>
        <v>4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46</v>
      </c>
    </row>
    <row r="364" spans="1:14">
      <c r="A364" s="3" t="s">
        <v>1222</v>
      </c>
      <c r="B364">
        <f>IFERROR(VLOOKUP(A364,管理亚马逊库存!A:K,11,0),"")</f>
        <v>21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1226</v>
      </c>
      <c r="B365">
        <f>IFERROR(VLOOKUP(A365,管理亚马逊库存!A:K,11,0),"")</f>
        <v>2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1229</v>
      </c>
      <c r="B366">
        <f>IFERROR(VLOOKUP(A366,管理亚马逊库存!A:K,11,0),"")</f>
        <v>1</v>
      </c>
      <c r="C366">
        <f>IFERROR(VLOOKUP(A366,管理亚马逊库存!A:L,12,0),"")</f>
        <v>0</v>
      </c>
      <c r="D366">
        <f>IFERROR(VLOOKUP(A366,管理亚马逊库存!A:Q,17,0),"")</f>
        <v>9</v>
      </c>
      <c r="E366">
        <f>IFERROR(VLOOKUP(A366,管理亚马逊库存!A:R,18,0),"")</f>
        <v>0</v>
      </c>
      <c r="F366">
        <f t="shared" si="11"/>
        <v>9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1231</v>
      </c>
      <c r="B367">
        <f>IFERROR(VLOOKUP(A367,管理亚马逊库存!A:K,11,0),"")</f>
        <v>4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5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5</v>
      </c>
    </row>
    <row r="368" spans="1:14">
      <c r="A368" s="3" t="s">
        <v>1234</v>
      </c>
      <c r="B368">
        <f>IFERROR(VLOOKUP(A368,管理亚马逊库存!A:K,11,0),"")</f>
        <v>1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1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1</v>
      </c>
    </row>
    <row r="369" spans="1:14">
      <c r="A369" s="3" t="s">
        <v>1237</v>
      </c>
      <c r="B369">
        <f>IFERROR(VLOOKUP(A369,管理亚马逊库存!A:K,11,0),"")</f>
        <v>2</v>
      </c>
      <c r="C369">
        <f>IFERROR(VLOOKUP(A369,管理亚马逊库存!A:L,12,0),"")</f>
        <v>0</v>
      </c>
      <c r="D369">
        <f>IFERROR(VLOOKUP(A369,管理亚马逊库存!A:Q,17,0),"")</f>
        <v>44</v>
      </c>
      <c r="E369">
        <f>IFERROR(VLOOKUP(A369,管理亚马逊库存!A:R,18,0),"")</f>
        <v>0</v>
      </c>
      <c r="F369">
        <f t="shared" si="11"/>
        <v>44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1241</v>
      </c>
      <c r="B370">
        <f>IFERROR(VLOOKUP(A370,管理亚马逊库存!A:K,11,0),"")</f>
        <v>13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4</v>
      </c>
      <c r="K370">
        <f>IFERROR(VLOOKUP(A370,库龄!B:L,10,0),0)</f>
        <v>8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12</v>
      </c>
    </row>
    <row r="371" spans="1:14">
      <c r="A371" s="3" t="s">
        <v>1244</v>
      </c>
      <c r="B371">
        <f>IFERROR(VLOOKUP(A371,管理亚马逊库存!A:K,11,0),"")</f>
        <v>17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17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17</v>
      </c>
    </row>
    <row r="372" spans="1:14">
      <c r="A372" s="3" t="s">
        <v>1247</v>
      </c>
      <c r="B372">
        <f>IFERROR(VLOOKUP(A372,管理亚马逊库存!A:K,11,0),"")</f>
        <v>2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3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3</v>
      </c>
    </row>
    <row r="373" spans="1:14">
      <c r="A373" s="3" t="s">
        <v>1250</v>
      </c>
      <c r="B373">
        <f>IFERROR(VLOOKUP(A373,管理亚马逊库存!A:K,11,0),"")</f>
        <v>6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1254</v>
      </c>
      <c r="B374">
        <f>IFERROR(VLOOKUP(A374,管理亚马逊库存!A:K,11,0),"")</f>
        <v>1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1258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1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1</v>
      </c>
    </row>
    <row r="376" spans="1:14">
      <c r="A376" s="3" t="s">
        <v>1261</v>
      </c>
      <c r="B376">
        <f>IFERROR(VLOOKUP(A376,管理亚马逊库存!A:K,11,0),"")</f>
        <v>14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8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8</v>
      </c>
    </row>
    <row r="377" spans="1:14">
      <c r="A377" s="3" t="s">
        <v>1264</v>
      </c>
      <c r="B377">
        <f>IFERROR(VLOOKUP(A377,管理亚马逊库存!A:K,11,0),"")</f>
        <v>1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1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1</v>
      </c>
    </row>
    <row r="378" spans="1:14">
      <c r="A378" s="3" t="s">
        <v>1267</v>
      </c>
      <c r="B378">
        <f>IFERROR(VLOOKUP(A378,管理亚马逊库存!A:K,11,0),"")</f>
        <v>4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4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4</v>
      </c>
    </row>
    <row r="379" spans="1:14">
      <c r="A379" s="3" t="s">
        <v>1270</v>
      </c>
      <c r="B379">
        <f>IFERROR(VLOOKUP(A379,管理亚马逊库存!A:K,11,0),"")</f>
        <v>5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5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5</v>
      </c>
    </row>
    <row r="380" spans="1:14">
      <c r="A380" s="3" t="s">
        <v>1273</v>
      </c>
      <c r="B380">
        <f>IFERROR(VLOOKUP(A380,管理亚马逊库存!A:K,11,0),"")</f>
        <v>23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20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20</v>
      </c>
    </row>
    <row r="381" spans="1:14">
      <c r="A381" s="3" t="s">
        <v>1276</v>
      </c>
      <c r="B381">
        <f>IFERROR(VLOOKUP(A381,管理亚马逊库存!A:K,11,0),"")</f>
        <v>3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3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3</v>
      </c>
    </row>
    <row r="382" spans="1:14">
      <c r="A382" s="3" t="s">
        <v>1279</v>
      </c>
      <c r="B382">
        <f>IFERROR(VLOOKUP(A382,管理亚马逊库存!A:K,11,0),"")</f>
        <v>11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1282</v>
      </c>
      <c r="B383">
        <f>IFERROR(VLOOKUP(A383,管理亚马逊库存!A:K,11,0),"")</f>
        <v>4</v>
      </c>
      <c r="C383">
        <f>IFERROR(VLOOKUP(A383,管理亚马逊库存!A:L,12,0),"")</f>
        <v>0</v>
      </c>
      <c r="D383">
        <f>IFERROR(VLOOKUP(A383,管理亚马逊库存!A:Q,17,0),"")</f>
        <v>30</v>
      </c>
      <c r="E383">
        <f>IFERROR(VLOOKUP(A383,管理亚马逊库存!A:R,18,0),"")</f>
        <v>0</v>
      </c>
      <c r="F383">
        <f t="shared" si="11"/>
        <v>30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1286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1289</v>
      </c>
      <c r="B385">
        <f>IFERROR(VLOOKUP(A385,管理亚马逊库存!A:K,11,0),"")</f>
        <v>5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4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4</v>
      </c>
    </row>
    <row r="386" spans="1:14">
      <c r="A386" s="3" t="s">
        <v>1292</v>
      </c>
      <c r="B386">
        <f>IFERROR(VLOOKUP(A386,管理亚马逊库存!A:K,11,0),"")</f>
        <v>2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1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1</v>
      </c>
    </row>
    <row r="387" spans="1:14">
      <c r="A387" s="3" t="s">
        <v>1295</v>
      </c>
      <c r="B387">
        <f>IFERROR(VLOOKUP(A387,管理亚马逊库存!A:K,11,0),"")</f>
        <v>1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1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1</v>
      </c>
    </row>
    <row r="388" spans="1:14">
      <c r="A388" s="3" t="s">
        <v>1298</v>
      </c>
      <c r="B388">
        <f>IFERROR(VLOOKUP(A388,管理亚马逊库存!A:K,11,0),"")</f>
        <v>33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30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30</v>
      </c>
    </row>
    <row r="389" spans="1:14">
      <c r="A389" s="3" t="s">
        <v>1301</v>
      </c>
      <c r="B389">
        <f>IFERROR(VLOOKUP(A389,管理亚马逊库存!A:K,11,0),"")</f>
        <v>2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2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2</v>
      </c>
    </row>
    <row r="390" spans="1:14">
      <c r="A390" s="3" t="s">
        <v>1304</v>
      </c>
      <c r="B390">
        <f>IFERROR(VLOOKUP(A390,管理亚马逊库存!A:K,11,0),"")</f>
        <v>9</v>
      </c>
      <c r="C390">
        <f>IFERROR(VLOOKUP(A390,管理亚马逊库存!A:L,12,0),"")</f>
        <v>0</v>
      </c>
      <c r="D390">
        <f>IFERROR(VLOOKUP(A390,管理亚马逊库存!A:Q,17,0),"")</f>
        <v>33</v>
      </c>
      <c r="E390">
        <f>IFERROR(VLOOKUP(A390,管理亚马逊库存!A:R,18,0),"")</f>
        <v>0</v>
      </c>
      <c r="F390">
        <f t="shared" si="13"/>
        <v>33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1308</v>
      </c>
      <c r="B391">
        <f>IFERROR(VLOOKUP(A391,管理亚马逊库存!A:K,11,0),"")</f>
        <v>1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1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1</v>
      </c>
    </row>
    <row r="392" spans="1:14">
      <c r="A392" s="3" t="s">
        <v>1311</v>
      </c>
      <c r="B392">
        <f>IFERROR(VLOOKUP(A392,管理亚马逊库存!A:K,11,0),"")</f>
        <v>18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1315</v>
      </c>
      <c r="B393">
        <f>IFERROR(VLOOKUP(A393,管理亚马逊库存!A:K,11,0),"")</f>
        <v>2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2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2</v>
      </c>
    </row>
    <row r="394" spans="1:14">
      <c r="A394" s="3" t="s">
        <v>1318</v>
      </c>
      <c r="B394">
        <f>IFERROR(VLOOKUP(A394,管理亚马逊库存!A:K,11,0),"")</f>
        <v>3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1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1</v>
      </c>
    </row>
    <row r="395" spans="1:14">
      <c r="A395" s="3" t="s">
        <v>1319</v>
      </c>
      <c r="B395">
        <f>IFERROR(VLOOKUP(A395,管理亚马逊库存!A:K,11,0),"")</f>
        <v>9</v>
      </c>
      <c r="C395">
        <f>IFERROR(VLOOKUP(A395,管理亚马逊库存!A:L,12,0),"")</f>
        <v>0</v>
      </c>
      <c r="D395">
        <f>IFERROR(VLOOKUP(A395,管理亚马逊库存!A:Q,17,0),"")</f>
        <v>12</v>
      </c>
      <c r="E395">
        <f>IFERROR(VLOOKUP(A395,管理亚马逊库存!A:R,18,0),"")</f>
        <v>0</v>
      </c>
      <c r="F395">
        <f t="shared" si="13"/>
        <v>12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1323</v>
      </c>
      <c r="B396">
        <f>IFERROR(VLOOKUP(A396,管理亚马逊库存!A:K,11,0),"")</f>
        <v>9</v>
      </c>
      <c r="C396">
        <f>IFERROR(VLOOKUP(A396,管理亚马逊库存!A:L,12,0),"")</f>
        <v>0</v>
      </c>
      <c r="D396">
        <f>IFERROR(VLOOKUP(A396,管理亚马逊库存!A:Q,17,0),"")</f>
        <v>30</v>
      </c>
      <c r="E396">
        <f>IFERROR(VLOOKUP(A396,管理亚马逊库存!A:R,18,0),"")</f>
        <v>0</v>
      </c>
      <c r="F396">
        <f t="shared" si="13"/>
        <v>30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1327</v>
      </c>
      <c r="B397">
        <f>IFERROR(VLOOKUP(A397,管理亚马逊库存!A:K,11,0),"")</f>
        <v>18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19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19</v>
      </c>
    </row>
    <row r="398" spans="1:14">
      <c r="A398" s="3" t="s">
        <v>1330</v>
      </c>
      <c r="B398">
        <f>IFERROR(VLOOKUP(A398,管理亚马逊库存!A:K,11,0),"")</f>
        <v>2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1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1</v>
      </c>
    </row>
    <row r="399" spans="1:14">
      <c r="A399" s="3" t="s">
        <v>1333</v>
      </c>
      <c r="B399">
        <f>IFERROR(VLOOKUP(A399,管理亚马逊库存!A:K,11,0),"")</f>
        <v>7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8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8</v>
      </c>
    </row>
    <row r="400" spans="1:14">
      <c r="A400" s="3" t="s">
        <v>1336</v>
      </c>
      <c r="B400">
        <f>IFERROR(VLOOKUP(A400,管理亚马逊库存!A:K,11,0),"")</f>
        <v>2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1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1</v>
      </c>
    </row>
    <row r="401" spans="1:14">
      <c r="A401" s="3" t="s">
        <v>1339</v>
      </c>
      <c r="B401">
        <f>IFERROR(VLOOKUP(A401,管理亚马逊库存!A:K,11,0),"")</f>
        <v>1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1340</v>
      </c>
      <c r="B402">
        <f>IFERROR(VLOOKUP(A402,管理亚马逊库存!A:K,11,0),"")</f>
        <v>2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2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2</v>
      </c>
    </row>
    <row r="403" spans="1:14">
      <c r="A403" s="3" t="s">
        <v>1343</v>
      </c>
      <c r="B403">
        <f>IFERROR(VLOOKUP(A403,管理亚马逊库存!A:K,11,0),"")</f>
        <v>3</v>
      </c>
      <c r="C403">
        <f>IFERROR(VLOOKUP(A403,管理亚马逊库存!A:L,12,0),"")</f>
        <v>0</v>
      </c>
      <c r="D403">
        <f>IFERROR(VLOOKUP(A403,管理亚马逊库存!A:Q,17,0),"")</f>
        <v>14</v>
      </c>
      <c r="E403">
        <f>IFERROR(VLOOKUP(A403,管理亚马逊库存!A:R,18,0),"")</f>
        <v>0</v>
      </c>
      <c r="F403">
        <f t="shared" si="13"/>
        <v>14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1347</v>
      </c>
      <c r="B404">
        <f>IFERROR(VLOOKUP(A404,管理亚马逊库存!A:K,11,0),"")</f>
        <v>9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1350</v>
      </c>
      <c r="B405">
        <f>IFERROR(VLOOKUP(A405,管理亚马逊库存!A:K,11,0),"")</f>
        <v>18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18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18</v>
      </c>
    </row>
    <row r="406" spans="1:14">
      <c r="A406" s="3" t="s">
        <v>1353</v>
      </c>
      <c r="B406">
        <f>IFERROR(VLOOKUP(A406,管理亚马逊库存!A:K,11,0),"")</f>
        <v>6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1357</v>
      </c>
      <c r="B407">
        <f>IFERROR(VLOOKUP(A407,管理亚马逊库存!A:K,11,0),"")</f>
        <v>11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9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9</v>
      </c>
    </row>
    <row r="408" spans="1:14">
      <c r="A408" s="3" t="s">
        <v>1360</v>
      </c>
      <c r="B408">
        <f>IFERROR(VLOOKUP(A408,管理亚马逊库存!A:K,11,0),"")</f>
        <v>1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1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1</v>
      </c>
    </row>
    <row r="409" spans="1:14">
      <c r="A409" s="3" t="s">
        <v>1363</v>
      </c>
      <c r="B409">
        <f>IFERROR(VLOOKUP(A409,管理亚马逊库存!A:K,11,0),"")</f>
        <v>2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1366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28</v>
      </c>
      <c r="E410">
        <f>IFERROR(VLOOKUP(A410,管理亚马逊库存!A:R,18,0),"")</f>
        <v>0</v>
      </c>
      <c r="F410">
        <f t="shared" si="13"/>
        <v>28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1370</v>
      </c>
      <c r="B411">
        <f>IFERROR(VLOOKUP(A411,管理亚马逊库存!A:K,11,0),"")</f>
        <v>2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1371</v>
      </c>
      <c r="B412">
        <f>IFERROR(VLOOKUP(A412,管理亚马逊库存!A:K,11,0),"")</f>
        <v>17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1374</v>
      </c>
      <c r="B413">
        <f>IFERROR(VLOOKUP(A413,管理亚马逊库存!A:K,11,0),"")</f>
        <v>4</v>
      </c>
      <c r="C413">
        <f>IFERROR(VLOOKUP(A413,管理亚马逊库存!A:L,12,0),"")</f>
        <v>0</v>
      </c>
      <c r="D413">
        <f>IFERROR(VLOOKUP(A413,管理亚马逊库存!A:Q,17,0),"")</f>
        <v>35</v>
      </c>
      <c r="E413">
        <f>IFERROR(VLOOKUP(A413,管理亚马逊库存!A:R,18,0),"")</f>
        <v>0</v>
      </c>
      <c r="F413">
        <f t="shared" si="13"/>
        <v>35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1378</v>
      </c>
      <c r="B414">
        <f>IFERROR(VLOOKUP(A414,管理亚马逊库存!A:K,11,0),"")</f>
        <v>14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7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7</v>
      </c>
    </row>
    <row r="415" spans="1:14">
      <c r="A415" s="3" t="s">
        <v>1381</v>
      </c>
      <c r="B415">
        <f>IFERROR(VLOOKUP(A415,管理亚马逊库存!A:K,11,0),"")</f>
        <v>8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1382</v>
      </c>
      <c r="B416">
        <f>IFERROR(VLOOKUP(A416,管理亚马逊库存!A:K,11,0),"")</f>
        <v>2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1</v>
      </c>
      <c r="K416">
        <f>IFERROR(VLOOKUP(A416,库龄!B:L,10,0),0)</f>
        <v>1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2</v>
      </c>
    </row>
    <row r="417" spans="1:14">
      <c r="A417" s="3" t="s">
        <v>1385</v>
      </c>
      <c r="B417">
        <f>IFERROR(VLOOKUP(A417,管理亚马逊库存!A:K,11,0),"")</f>
        <v>14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1388</v>
      </c>
      <c r="B418">
        <f>IFERROR(VLOOKUP(A418,管理亚马逊库存!A:K,11,0),"")</f>
        <v>12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1391</v>
      </c>
      <c r="B419">
        <f>IFERROR(VLOOKUP(A419,管理亚马逊库存!A:K,11,0),"")</f>
        <v>6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1395</v>
      </c>
      <c r="B420">
        <f>IFERROR(VLOOKUP(A420,管理亚马逊库存!A:K,11,0),"")</f>
        <v>6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1399</v>
      </c>
      <c r="B421">
        <f>IFERROR(VLOOKUP(A421,管理亚马逊库存!A:K,11,0),"")</f>
        <v>4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1402</v>
      </c>
      <c r="B422">
        <f>IFERROR(VLOOKUP(A422,管理亚马逊库存!A:K,11,0),"")</f>
        <v>2</v>
      </c>
      <c r="C422">
        <f>IFERROR(VLOOKUP(A422,管理亚马逊库存!A:L,12,0),"")</f>
        <v>0</v>
      </c>
      <c r="D422">
        <f>IFERROR(VLOOKUP(A422,管理亚马逊库存!A:Q,17,0),"")</f>
        <v>12</v>
      </c>
      <c r="E422">
        <f>IFERROR(VLOOKUP(A422,管理亚马逊库存!A:R,18,0),"")</f>
        <v>0</v>
      </c>
      <c r="F422">
        <f t="shared" si="13"/>
        <v>12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1406</v>
      </c>
      <c r="B423">
        <f>IFERROR(VLOOKUP(A423,管理亚马逊库存!A:K,11,0),"")</f>
        <v>19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17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17</v>
      </c>
    </row>
    <row r="424" spans="1:14">
      <c r="A424" s="3" t="s">
        <v>1409</v>
      </c>
      <c r="B424">
        <f>IFERROR(VLOOKUP(A424,管理亚马逊库存!A:K,11,0),"")</f>
        <v>2</v>
      </c>
      <c r="C424">
        <f>IFERROR(VLOOKUP(A424,管理亚马逊库存!A:L,12,0),"")</f>
        <v>0</v>
      </c>
      <c r="D424">
        <f>IFERROR(VLOOKUP(A424,管理亚马逊库存!A:Q,17,0),"")</f>
        <v>10</v>
      </c>
      <c r="E424">
        <f>IFERROR(VLOOKUP(A424,管理亚马逊库存!A:R,18,0),"")</f>
        <v>0</v>
      </c>
      <c r="F424">
        <f t="shared" si="13"/>
        <v>10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1413</v>
      </c>
      <c r="B425">
        <f>IFERROR(VLOOKUP(A425,管理亚马逊库存!A:K,11,0),"")</f>
        <v>1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1416</v>
      </c>
      <c r="B426">
        <f>IFERROR(VLOOKUP(A426,管理亚马逊库存!A:K,11,0),"")</f>
        <v>1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1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1</v>
      </c>
    </row>
    <row r="427" spans="1:14">
      <c r="A427" s="3" t="s">
        <v>1419</v>
      </c>
      <c r="B427">
        <f>IFERROR(VLOOKUP(A427,管理亚马逊库存!A:K,11,0),"")</f>
        <v>1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1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1</v>
      </c>
    </row>
    <row r="428" spans="1:14">
      <c r="A428" s="3" t="s">
        <v>1422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1425</v>
      </c>
      <c r="B429">
        <f>IFERROR(VLOOKUP(A429,管理亚马逊库存!A:K,11,0),"")</f>
        <v>7</v>
      </c>
      <c r="C429">
        <f>IFERROR(VLOOKUP(A429,管理亚马逊库存!A:L,12,0),"")</f>
        <v>0</v>
      </c>
      <c r="D429">
        <f>IFERROR(VLOOKUP(A429,管理亚马逊库存!A:Q,17,0),"")</f>
        <v>3</v>
      </c>
      <c r="E429">
        <f>IFERROR(VLOOKUP(A429,管理亚马逊库存!A:R,18,0),"")</f>
        <v>0</v>
      </c>
      <c r="F429">
        <f t="shared" si="13"/>
        <v>3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1429</v>
      </c>
      <c r="B430">
        <f>IFERROR(VLOOKUP(A430,管理亚马逊库存!A:K,11,0),"")</f>
        <v>6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1432</v>
      </c>
      <c r="B431">
        <f>IFERROR(VLOOKUP(A431,管理亚马逊库存!A:K,11,0),"")</f>
        <v>23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20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20</v>
      </c>
    </row>
    <row r="432" spans="1:14">
      <c r="A432" s="3" t="s">
        <v>1435</v>
      </c>
      <c r="B432">
        <f>IFERROR(VLOOKUP(A432,管理亚马逊库存!A:K,11,0),"")</f>
        <v>2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2</v>
      </c>
      <c r="M432">
        <f>IFERROR(VLOOKUP(A432,库龄!B:N,12,0),0)</f>
        <v>0</v>
      </c>
      <c r="N432">
        <f t="shared" si="14"/>
        <v>2</v>
      </c>
    </row>
    <row r="433" spans="1:14">
      <c r="A433" s="3" t="s">
        <v>1438</v>
      </c>
      <c r="B433">
        <f>IFERROR(VLOOKUP(A433,管理亚马逊库存!A:K,11,0),"")</f>
        <v>22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9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9</v>
      </c>
    </row>
    <row r="434" spans="1:14">
      <c r="A434" s="3" t="s">
        <v>1441</v>
      </c>
      <c r="B434">
        <f>IFERROR(VLOOKUP(A434,管理亚马逊库存!A:K,11,0),"")</f>
        <v>1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1444</v>
      </c>
      <c r="B435">
        <f>IFERROR(VLOOKUP(A435,管理亚马逊库存!A:K,11,0),"")</f>
        <v>6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1448</v>
      </c>
      <c r="B436">
        <f>IFERROR(VLOOKUP(A436,管理亚马逊库存!A:K,11,0),"")</f>
        <v>7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3</v>
      </c>
      <c r="K436">
        <f>IFERROR(VLOOKUP(A436,库龄!B:L,10,0),0)</f>
        <v>3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6</v>
      </c>
    </row>
    <row r="437" spans="1:14">
      <c r="A437" s="3" t="s">
        <v>1451</v>
      </c>
      <c r="B437">
        <f>IFERROR(VLOOKUP(A437,管理亚马逊库存!A:K,11,0),"")</f>
        <v>1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1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1</v>
      </c>
    </row>
    <row r="438" spans="1:14">
      <c r="A438" s="3" t="s">
        <v>1454</v>
      </c>
      <c r="B438">
        <f>IFERROR(VLOOKUP(A438,管理亚马逊库存!A:K,11,0),"")</f>
        <v>8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5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5</v>
      </c>
    </row>
    <row r="439" spans="1:14">
      <c r="A439" s="3" t="s">
        <v>1457</v>
      </c>
      <c r="B439">
        <f>IFERROR(VLOOKUP(A439,管理亚马逊库存!A:K,11,0),"")</f>
        <v>1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1460</v>
      </c>
      <c r="B440">
        <f>IFERROR(VLOOKUP(A440,管理亚马逊库存!A:K,11,0),"")</f>
        <v>6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1463</v>
      </c>
      <c r="B441">
        <f>IFERROR(VLOOKUP(A441,管理亚马逊库存!A:K,11,0),"")</f>
        <v>4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4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4</v>
      </c>
    </row>
    <row r="442" spans="1:14">
      <c r="A442" s="3" t="s">
        <v>1466</v>
      </c>
      <c r="B442">
        <f>IFERROR(VLOOKUP(A442,管理亚马逊库存!A:K,11,0),"")</f>
        <v>21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20</v>
      </c>
      <c r="K442">
        <f>IFERROR(VLOOKUP(A442,库龄!B:L,10,0),0)</f>
        <v>1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21</v>
      </c>
    </row>
    <row r="443" spans="1:14">
      <c r="A443" s="3" t="s">
        <v>1469</v>
      </c>
      <c r="B443">
        <f>IFERROR(VLOOKUP(A443,管理亚马逊库存!A:K,11,0),"")</f>
        <v>2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1472</v>
      </c>
      <c r="B444">
        <f>IFERROR(VLOOKUP(A444,管理亚马逊库存!A:K,11,0),"")</f>
        <v>4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4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4</v>
      </c>
    </row>
    <row r="445" spans="1:14">
      <c r="A445" s="3" t="s">
        <v>1473</v>
      </c>
      <c r="B445">
        <f>IFERROR(VLOOKUP(A445,管理亚马逊库存!A:K,11,0),"")</f>
        <v>29</v>
      </c>
      <c r="C445">
        <f>IFERROR(VLOOKUP(A445,管理亚马逊库存!A:L,12,0),"")</f>
        <v>2</v>
      </c>
      <c r="D445">
        <f>IFERROR(VLOOKUP(A445,管理亚马逊库存!A:Q,17,0),"")</f>
        <v>8</v>
      </c>
      <c r="E445">
        <f>IFERROR(VLOOKUP(A445,管理亚马逊库存!A:R,18,0),"")</f>
        <v>0</v>
      </c>
      <c r="F445">
        <f t="shared" si="13"/>
        <v>8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1477</v>
      </c>
      <c r="B446">
        <f>IFERROR(VLOOKUP(A446,管理亚马逊库存!A:K,11,0),"")</f>
        <v>6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1480</v>
      </c>
      <c r="B447">
        <f>IFERROR(VLOOKUP(A447,管理亚马逊库存!A:K,11,0),"")</f>
        <v>1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1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1</v>
      </c>
    </row>
    <row r="448" spans="1:14">
      <c r="A448" s="3" t="s">
        <v>1483</v>
      </c>
      <c r="B448">
        <f>IFERROR(VLOOKUP(A448,管理亚马逊库存!A:K,11,0),"")</f>
        <v>6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5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5</v>
      </c>
    </row>
    <row r="449" spans="1:14">
      <c r="A449" s="3" t="s">
        <v>1485</v>
      </c>
      <c r="B449">
        <f>IFERROR(VLOOKUP(A449,管理亚马逊库存!A:K,11,0),"")</f>
        <v>4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2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2</v>
      </c>
    </row>
    <row r="450" spans="1:14">
      <c r="A450" s="3" t="s">
        <v>1488</v>
      </c>
      <c r="B450">
        <f>IFERROR(VLOOKUP(A450,管理亚马逊库存!A:K,11,0),"")</f>
        <v>7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2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2</v>
      </c>
    </row>
    <row r="451" spans="1:14">
      <c r="A451" s="3" t="s">
        <v>1491</v>
      </c>
      <c r="B451">
        <f>IFERROR(VLOOKUP(A451,管理亚马逊库存!A:K,11,0),"")</f>
        <v>1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1</v>
      </c>
      <c r="M451">
        <f>IFERROR(VLOOKUP(A451,库龄!B:N,12,0),0)</f>
        <v>0</v>
      </c>
      <c r="N451">
        <f t="shared" ref="N451:N514" si="16">SUM(J451:M451)</f>
        <v>1</v>
      </c>
    </row>
    <row r="452" spans="1:14">
      <c r="A452" s="3" t="s">
        <v>1494</v>
      </c>
      <c r="B452">
        <f>IFERROR(VLOOKUP(A452,管理亚马逊库存!A:K,11,0),"")</f>
        <v>13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1498</v>
      </c>
      <c r="B453">
        <f>IFERROR(VLOOKUP(A453,管理亚马逊库存!A:K,11,0),"")</f>
        <v>2</v>
      </c>
      <c r="C453">
        <f>IFERROR(VLOOKUP(A453,管理亚马逊库存!A:L,12,0),"")</f>
        <v>0</v>
      </c>
      <c r="D453">
        <f>IFERROR(VLOOKUP(A453,管理亚马逊库存!A:Q,17,0),"")</f>
        <v>36</v>
      </c>
      <c r="E453">
        <f>IFERROR(VLOOKUP(A453,管理亚马逊库存!A:R,18,0),"")</f>
        <v>0</v>
      </c>
      <c r="F453">
        <f t="shared" si="15"/>
        <v>36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1502</v>
      </c>
      <c r="B454">
        <f>IFERROR(VLOOKUP(A454,管理亚马逊库存!A:K,11,0),"")</f>
        <v>1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1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1</v>
      </c>
    </row>
    <row r="455" spans="1:14">
      <c r="A455" s="3" t="s">
        <v>1505</v>
      </c>
      <c r="B455">
        <f>IFERROR(VLOOKUP(A455,管理亚马逊库存!A:K,11,0),"")</f>
        <v>30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29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29</v>
      </c>
    </row>
    <row r="456" spans="1:14">
      <c r="A456" s="3" t="s">
        <v>1506</v>
      </c>
      <c r="B456">
        <f>IFERROR(VLOOKUP(A456,管理亚马逊库存!A:K,11,0),"")</f>
        <v>12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2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2</v>
      </c>
    </row>
    <row r="457" spans="1:14">
      <c r="A457" s="3" t="s">
        <v>1509</v>
      </c>
      <c r="B457">
        <f>IFERROR(VLOOKUP(A457,管理亚马逊库存!A:K,11,0),"")</f>
        <v>33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29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29</v>
      </c>
    </row>
    <row r="458" spans="1:14">
      <c r="A458" s="3" t="s">
        <v>1512</v>
      </c>
      <c r="B458">
        <f>IFERROR(VLOOKUP(A458,管理亚马逊库存!A:K,11,0),"")</f>
        <v>10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1515</v>
      </c>
      <c r="B459">
        <f>IFERROR(VLOOKUP(A459,管理亚马逊库存!A:K,11,0),"")</f>
        <v>15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1519</v>
      </c>
      <c r="B460">
        <f>IFERROR(VLOOKUP(A460,管理亚马逊库存!A:K,11,0),"")</f>
        <v>3</v>
      </c>
      <c r="C460">
        <f>IFERROR(VLOOKUP(A460,管理亚马逊库存!A:L,12,0),"")</f>
        <v>0</v>
      </c>
      <c r="D460">
        <f>IFERROR(VLOOKUP(A460,管理亚马逊库存!A:Q,17,0),"")</f>
        <v>28</v>
      </c>
      <c r="E460">
        <f>IFERROR(VLOOKUP(A460,管理亚马逊库存!A:R,18,0),"")</f>
        <v>0</v>
      </c>
      <c r="F460">
        <f t="shared" si="15"/>
        <v>28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1523</v>
      </c>
      <c r="B461">
        <f>IFERROR(VLOOKUP(A461,管理亚马逊库存!A:K,11,0),"")</f>
        <v>5</v>
      </c>
      <c r="C461">
        <f>IFERROR(VLOOKUP(A461,管理亚马逊库存!A:L,12,0),"")</f>
        <v>0</v>
      </c>
      <c r="D461">
        <f>IFERROR(VLOOKUP(A461,管理亚马逊库存!A:Q,17,0),"")</f>
        <v>10</v>
      </c>
      <c r="E461">
        <f>IFERROR(VLOOKUP(A461,管理亚马逊库存!A:R,18,0),"")</f>
        <v>0</v>
      </c>
      <c r="F461">
        <f t="shared" si="15"/>
        <v>10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1527</v>
      </c>
      <c r="B462">
        <f>IFERROR(VLOOKUP(A462,管理亚马逊库存!A:K,11,0),"")</f>
        <v>0</v>
      </c>
      <c r="C462">
        <f>IFERROR(VLOOKUP(A462,管理亚马逊库存!A:L,12,0),"")</f>
        <v>1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1530</v>
      </c>
      <c r="B463">
        <f>IFERROR(VLOOKUP(A463,管理亚马逊库存!A:K,11,0),"")</f>
        <v>14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13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13</v>
      </c>
    </row>
    <row r="464" spans="1:14">
      <c r="A464" s="3" t="s">
        <v>1533</v>
      </c>
      <c r="B464">
        <f>IFERROR(VLOOKUP(A464,管理亚马逊库存!A:K,11,0),"")</f>
        <v>9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5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5</v>
      </c>
    </row>
    <row r="465" spans="1:14">
      <c r="A465" s="3" t="s">
        <v>1536</v>
      </c>
      <c r="B465">
        <f>IFERROR(VLOOKUP(A465,管理亚马逊库存!A:K,11,0),"")</f>
        <v>3</v>
      </c>
      <c r="C465">
        <f>IFERROR(VLOOKUP(A465,管理亚马逊库存!A:L,12,0),"")</f>
        <v>0</v>
      </c>
      <c r="D465">
        <f>IFERROR(VLOOKUP(A465,管理亚马逊库存!A:Q,17,0),"")</f>
        <v>14</v>
      </c>
      <c r="E465">
        <f>IFERROR(VLOOKUP(A465,管理亚马逊库存!A:R,18,0),"")</f>
        <v>0</v>
      </c>
      <c r="F465">
        <f t="shared" si="15"/>
        <v>14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1541</v>
      </c>
      <c r="B466">
        <f>IFERROR(VLOOKUP(A466,管理亚马逊库存!A:K,11,0),"")</f>
        <v>19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1545</v>
      </c>
      <c r="B467">
        <f>IFERROR(VLOOKUP(A467,管理亚马逊库存!A:K,11,0),"")</f>
        <v>9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9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9</v>
      </c>
    </row>
    <row r="468" spans="1:14">
      <c r="A468" s="3" t="s">
        <v>1548</v>
      </c>
      <c r="B468">
        <f>IFERROR(VLOOKUP(A468,管理亚马逊库存!A:K,11,0),"")</f>
        <v>9</v>
      </c>
      <c r="C468">
        <f>IFERROR(VLOOKUP(A468,管理亚马逊库存!A:L,12,0),"")</f>
        <v>1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1549</v>
      </c>
      <c r="B469">
        <f>IFERROR(VLOOKUP(A469,管理亚马逊库存!A:K,11,0),"")</f>
        <v>1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1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1</v>
      </c>
    </row>
    <row r="470" spans="1:14">
      <c r="A470" s="3" t="s">
        <v>1552</v>
      </c>
      <c r="B470">
        <f>IFERROR(VLOOKUP(A470,管理亚马逊库存!A:K,11,0),"")</f>
        <v>8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8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8</v>
      </c>
    </row>
    <row r="471" spans="1:14">
      <c r="A471" s="3" t="s">
        <v>1555</v>
      </c>
      <c r="B471">
        <f>IFERROR(VLOOKUP(A471,管理亚马逊库存!A:K,11,0),"")</f>
        <v>3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2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2</v>
      </c>
    </row>
    <row r="472" spans="1:14">
      <c r="A472" s="3" t="s">
        <v>1558</v>
      </c>
      <c r="B472">
        <f>IFERROR(VLOOKUP(A472,管理亚马逊库存!A:K,11,0),"")</f>
        <v>35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30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30</v>
      </c>
    </row>
    <row r="473" spans="1:14">
      <c r="A473" s="3" t="s">
        <v>1561</v>
      </c>
      <c r="B473">
        <f>IFERROR(VLOOKUP(A473,管理亚马逊库存!A:K,11,0),"")</f>
        <v>1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1564</v>
      </c>
      <c r="B474">
        <f>IFERROR(VLOOKUP(A474,管理亚马逊库存!A:K,11,0),"")</f>
        <v>11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9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9</v>
      </c>
    </row>
    <row r="475" spans="1:14">
      <c r="A475" s="3" t="s">
        <v>1567</v>
      </c>
      <c r="B475">
        <f>IFERROR(VLOOKUP(A475,管理亚马逊库存!A:K,11,0),"")</f>
        <v>1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1569</v>
      </c>
      <c r="B476">
        <f>IFERROR(VLOOKUP(A476,管理亚马逊库存!A:K,11,0),"")</f>
        <v>1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1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1</v>
      </c>
    </row>
    <row r="477" spans="1:14">
      <c r="A477" s="3" t="s">
        <v>1572</v>
      </c>
      <c r="B477">
        <f>IFERROR(VLOOKUP(A477,管理亚马逊库存!A:K,11,0),"")</f>
        <v>1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1575</v>
      </c>
      <c r="B478">
        <f>IFERROR(VLOOKUP(A478,管理亚马逊库存!A:K,11,0),"")</f>
        <v>1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1578</v>
      </c>
      <c r="B479">
        <f>IFERROR(VLOOKUP(A479,管理亚马逊库存!A:K,11,0),"")</f>
        <v>2</v>
      </c>
      <c r="C479">
        <f>IFERROR(VLOOKUP(A479,管理亚马逊库存!A:L,12,0),"")</f>
        <v>0</v>
      </c>
      <c r="D479">
        <f>IFERROR(VLOOKUP(A479,管理亚马逊库存!A:Q,17,0),"")</f>
        <v>16</v>
      </c>
      <c r="E479">
        <f>IFERROR(VLOOKUP(A479,管理亚马逊库存!A:R,18,0),"")</f>
        <v>0</v>
      </c>
      <c r="F479">
        <f t="shared" si="15"/>
        <v>16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1580</v>
      </c>
      <c r="B480">
        <f>IFERROR(VLOOKUP(A480,管理亚马逊库存!A:K,11,0),"")</f>
        <v>21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1583</v>
      </c>
      <c r="B481">
        <f>IFERROR(VLOOKUP(A481,管理亚马逊库存!A:K,11,0),"")</f>
        <v>6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1587</v>
      </c>
      <c r="B482">
        <f>IFERROR(VLOOKUP(A482,管理亚马逊库存!A:K,11,0),"")</f>
        <v>14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3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3</v>
      </c>
    </row>
    <row r="483" spans="1:14">
      <c r="A483" s="3" t="s">
        <v>1590</v>
      </c>
      <c r="B483">
        <f>IFERROR(VLOOKUP(A483,管理亚马逊库存!A:K,11,0),"")</f>
        <v>16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3</v>
      </c>
      <c r="K483">
        <f>IFERROR(VLOOKUP(A483,库龄!B:L,10,0),0)</f>
        <v>1</v>
      </c>
      <c r="L483">
        <f>IFERROR(VLOOKUP(A483,库龄!B:M,11,0),0)</f>
        <v>11</v>
      </c>
      <c r="M483">
        <f>IFERROR(VLOOKUP(A483,库龄!B:N,12,0),0)</f>
        <v>0</v>
      </c>
      <c r="N483">
        <f t="shared" si="16"/>
        <v>15</v>
      </c>
    </row>
    <row r="484" spans="1:14">
      <c r="A484" s="3" t="s">
        <v>1593</v>
      </c>
      <c r="B484">
        <f>IFERROR(VLOOKUP(A484,管理亚马逊库存!A:K,11,0),"")</f>
        <v>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1596</v>
      </c>
      <c r="B485">
        <f>IFERROR(VLOOKUP(A485,管理亚马逊库存!A:K,11,0),"")</f>
        <v>8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7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7</v>
      </c>
    </row>
    <row r="486" spans="1:14">
      <c r="A486" s="3" t="s">
        <v>1598</v>
      </c>
      <c r="B486">
        <f>IFERROR(VLOOKUP(A486,管理亚马逊库存!A:K,11,0),"")</f>
        <v>5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7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7</v>
      </c>
    </row>
    <row r="487" spans="1:14">
      <c r="A487" s="3" t="s">
        <v>1601</v>
      </c>
      <c r="B487">
        <f>IFERROR(VLOOKUP(A487,管理亚马逊库存!A:K,11,0),"")</f>
        <v>1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1604</v>
      </c>
      <c r="B488">
        <f>IFERROR(VLOOKUP(A488,管理亚马逊库存!A:K,11,0),"")</f>
        <v>4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4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4</v>
      </c>
    </row>
    <row r="489" spans="1:14">
      <c r="A489" s="3" t="s">
        <v>1607</v>
      </c>
      <c r="B489">
        <f>IFERROR(VLOOKUP(A489,管理亚马逊库存!A:K,11,0),"")</f>
        <v>17</v>
      </c>
      <c r="C489">
        <f>IFERROR(VLOOKUP(A489,管理亚马逊库存!A:L,12,0),"")</f>
        <v>0</v>
      </c>
      <c r="D489">
        <f>IFERROR(VLOOKUP(A489,管理亚马逊库存!A:Q,17,0),"")</f>
        <v>10</v>
      </c>
      <c r="E489">
        <f>IFERROR(VLOOKUP(A489,管理亚马逊库存!A:R,18,0),"")</f>
        <v>0</v>
      </c>
      <c r="F489">
        <f t="shared" si="15"/>
        <v>10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1613</v>
      </c>
      <c r="B490">
        <f>IFERROR(VLOOKUP(A490,管理亚马逊库存!A:K,11,0),"")</f>
        <v>28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24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24</v>
      </c>
    </row>
    <row r="491" spans="1:14">
      <c r="A491" s="3" t="s">
        <v>1616</v>
      </c>
      <c r="B491">
        <f>IFERROR(VLOOKUP(A491,管理亚马逊库存!A:K,11,0),"")</f>
        <v>1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1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1</v>
      </c>
    </row>
    <row r="492" spans="1:14">
      <c r="A492" s="3" t="s">
        <v>1617</v>
      </c>
      <c r="B492">
        <f>IFERROR(VLOOKUP(A492,管理亚马逊库存!A:K,11,0),"")</f>
        <v>11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1621</v>
      </c>
      <c r="B493">
        <f>IFERROR(VLOOKUP(A493,管理亚马逊库存!A:K,11,0),"")</f>
        <v>2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1624</v>
      </c>
      <c r="B494">
        <f>IFERROR(VLOOKUP(A494,管理亚马逊库存!A:K,11,0),"")</f>
        <v>6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1628</v>
      </c>
      <c r="B495">
        <f>IFERROR(VLOOKUP(A495,管理亚马逊库存!A:K,11,0),"")</f>
        <v>3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2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2</v>
      </c>
    </row>
    <row r="496" spans="1:14">
      <c r="A496" s="3" t="s">
        <v>1631</v>
      </c>
      <c r="B496">
        <f>IFERROR(VLOOKUP(A496,管理亚马逊库存!A:K,11,0),"")</f>
        <v>24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1633</v>
      </c>
      <c r="B497">
        <f>IFERROR(VLOOKUP(A497,管理亚马逊库存!A:K,11,0),"")</f>
        <v>4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1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1</v>
      </c>
    </row>
    <row r="498" spans="1:14">
      <c r="A498" s="3" t="s">
        <v>1635</v>
      </c>
      <c r="B498">
        <f>IFERROR(VLOOKUP(A498,管理亚马逊库存!A:K,11,0),"")</f>
        <v>1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1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1</v>
      </c>
    </row>
    <row r="499" spans="1:14">
      <c r="A499" s="3" t="s">
        <v>1636</v>
      </c>
      <c r="B499">
        <f>IFERROR(VLOOKUP(A499,管理亚马逊库存!A:K,11,0),"")</f>
        <v>12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12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12</v>
      </c>
    </row>
    <row r="500" spans="1:14">
      <c r="A500" s="3" t="s">
        <v>1639</v>
      </c>
      <c r="B500">
        <f>IFERROR(VLOOKUP(A500,管理亚马逊库存!A:K,11,0),"")</f>
        <v>3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1640</v>
      </c>
      <c r="B501">
        <f>IFERROR(VLOOKUP(A501,管理亚马逊库存!A:K,11,0),"")</f>
        <v>20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1642</v>
      </c>
      <c r="B502">
        <f>IFERROR(VLOOKUP(A502,管理亚马逊库存!A:K,11,0),"")</f>
        <v>5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1646</v>
      </c>
      <c r="B503">
        <f>IFERROR(VLOOKUP(A503,管理亚马逊库存!A:K,11,0),"")</f>
        <v>15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1648</v>
      </c>
      <c r="B504">
        <f>IFERROR(VLOOKUP(A504,管理亚马逊库存!A:K,11,0),"")</f>
        <v>4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1650</v>
      </c>
      <c r="B505">
        <f>IFERROR(VLOOKUP(A505,管理亚马逊库存!A:K,11,0),"")</f>
        <v>32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30</v>
      </c>
      <c r="K505">
        <f>IFERROR(VLOOKUP(A505,库龄!B:L,10,0),0)</f>
        <v>2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32</v>
      </c>
    </row>
    <row r="506" spans="1:14">
      <c r="A506" s="3" t="s">
        <v>1653</v>
      </c>
      <c r="B506">
        <f>IFERROR(VLOOKUP(A506,管理亚马逊库存!A:K,11,0),"")</f>
        <v>4</v>
      </c>
      <c r="C506">
        <f>IFERROR(VLOOKUP(A506,管理亚马逊库存!A:L,12,0),"")</f>
        <v>0</v>
      </c>
      <c r="D506">
        <f>IFERROR(VLOOKUP(A506,管理亚马逊库存!A:Q,17,0),"")</f>
        <v>10</v>
      </c>
      <c r="E506">
        <f>IFERROR(VLOOKUP(A506,管理亚马逊库存!A:R,18,0),"")</f>
        <v>0</v>
      </c>
      <c r="F506">
        <f t="shared" si="15"/>
        <v>10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1657</v>
      </c>
      <c r="B507">
        <f>IFERROR(VLOOKUP(A507,管理亚马逊库存!A:K,11,0),"")</f>
        <v>1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2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2</v>
      </c>
    </row>
    <row r="508" spans="1:14">
      <c r="A508" s="3" t="s">
        <v>1660</v>
      </c>
      <c r="B508">
        <f>IFERROR(VLOOKUP(A508,管理亚马逊库存!A:K,11,0),"")</f>
        <v>1</v>
      </c>
      <c r="C508">
        <f>IFERROR(VLOOKUP(A508,管理亚马逊库存!A:L,12,0),"")</f>
        <v>1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1663</v>
      </c>
      <c r="B509">
        <f>IFERROR(VLOOKUP(A509,管理亚马逊库存!A:K,11,0),"")</f>
        <v>3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1</v>
      </c>
      <c r="K509">
        <f>IFERROR(VLOOKUP(A509,库龄!B:L,10,0),0)</f>
        <v>1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2</v>
      </c>
    </row>
    <row r="510" spans="1:14">
      <c r="A510" s="3" t="s">
        <v>1664</v>
      </c>
      <c r="B510">
        <f>IFERROR(VLOOKUP(A510,管理亚马逊库存!A:K,11,0),"")</f>
        <v>6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1668</v>
      </c>
      <c r="B511">
        <f>IFERROR(VLOOKUP(A511,管理亚马逊库存!A:K,11,0),"")</f>
        <v>9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2</v>
      </c>
      <c r="K511">
        <f>IFERROR(VLOOKUP(A511,库龄!B:L,10,0),0)</f>
        <v>7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9</v>
      </c>
    </row>
    <row r="512" spans="1:14">
      <c r="A512" s="3" t="s">
        <v>1671</v>
      </c>
      <c r="B512">
        <f>IFERROR(VLOOKUP(A512,管理亚马逊库存!A:K,11,0),"")</f>
        <v>3</v>
      </c>
      <c r="C512">
        <f>IFERROR(VLOOKUP(A512,管理亚马逊库存!A:L,12,0),"")</f>
        <v>0</v>
      </c>
      <c r="D512">
        <f>IFERROR(VLOOKUP(A512,管理亚马逊库存!A:Q,17,0),"")</f>
        <v>34</v>
      </c>
      <c r="E512">
        <f>IFERROR(VLOOKUP(A512,管理亚马逊库存!A:R,18,0),"")</f>
        <v>0</v>
      </c>
      <c r="F512">
        <f t="shared" si="15"/>
        <v>34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1673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1674</v>
      </c>
      <c r="B514">
        <f>IFERROR(VLOOKUP(A514,管理亚马逊库存!A:K,11,0),"")</f>
        <v>10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8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8</v>
      </c>
    </row>
    <row r="515" spans="1:14">
      <c r="A515" s="3" t="s">
        <v>1677</v>
      </c>
      <c r="B515">
        <f>IFERROR(VLOOKUP(A515,管理亚马逊库存!A:K,11,0),"")</f>
        <v>17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1681</v>
      </c>
      <c r="B516">
        <f>IFERROR(VLOOKUP(A516,管理亚马逊库存!A:K,11,0),"")</f>
        <v>14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11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11</v>
      </c>
    </row>
    <row r="517" spans="1:14">
      <c r="A517" s="3" t="s">
        <v>1684</v>
      </c>
      <c r="B517">
        <f>IFERROR(VLOOKUP(A517,管理亚马逊库存!A:K,11,0),"")</f>
        <v>7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7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7</v>
      </c>
    </row>
    <row r="518" spans="1:14">
      <c r="A518" s="3" t="s">
        <v>1687</v>
      </c>
      <c r="B518">
        <f>IFERROR(VLOOKUP(A518,管理亚马逊库存!A:K,11,0),"")</f>
        <v>2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2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2</v>
      </c>
    </row>
    <row r="519" spans="1:14">
      <c r="A519" s="3" t="s">
        <v>1691</v>
      </c>
      <c r="B519">
        <f>IFERROR(VLOOKUP(A519,管理亚马逊库存!A:K,11,0),"")</f>
        <v>1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1694</v>
      </c>
      <c r="B520">
        <f>IFERROR(VLOOKUP(A520,管理亚马逊库存!A:K,11,0),"")</f>
        <v>14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1</v>
      </c>
      <c r="K520">
        <f>IFERROR(VLOOKUP(A520,库龄!B:L,10,0),0)</f>
        <v>10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11</v>
      </c>
    </row>
    <row r="521" spans="1:14">
      <c r="A521" s="3" t="s">
        <v>1697</v>
      </c>
      <c r="B521">
        <f>IFERROR(VLOOKUP(A521,管理亚马逊库存!A:K,11,0),"")</f>
        <v>3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1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1</v>
      </c>
    </row>
    <row r="522" spans="1:14">
      <c r="A522" s="3" t="s">
        <v>1700</v>
      </c>
      <c r="B522">
        <f>IFERROR(VLOOKUP(A522,管理亚马逊库存!A:K,11,0),"")</f>
        <v>15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7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7</v>
      </c>
    </row>
    <row r="523" spans="1:14">
      <c r="A523" s="3" t="s">
        <v>1701</v>
      </c>
      <c r="B523">
        <f>IFERROR(VLOOKUP(A523,管理亚马逊库存!A:K,11,0),"")</f>
        <v>2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2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2</v>
      </c>
    </row>
    <row r="524" spans="1:14">
      <c r="A524" s="3" t="s">
        <v>1703</v>
      </c>
      <c r="B524">
        <f>IFERROR(VLOOKUP(A524,管理亚马逊库存!A:K,11,0),"")</f>
        <v>2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1706</v>
      </c>
      <c r="B525">
        <f>IFERROR(VLOOKUP(A525,管理亚马逊库存!A:K,11,0),"")</f>
        <v>1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1709</v>
      </c>
      <c r="B526">
        <f>IFERROR(VLOOKUP(A526,管理亚马逊库存!A:K,11,0),"")</f>
        <v>1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1712</v>
      </c>
      <c r="B527">
        <f>IFERROR(VLOOKUP(A527,管理亚马逊库存!A:K,11,0),"")</f>
        <v>3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1716</v>
      </c>
      <c r="B528">
        <f>IFERROR(VLOOKUP(A528,管理亚马逊库存!A:K,11,0),"")</f>
        <v>12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6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6</v>
      </c>
    </row>
    <row r="529" spans="1:14">
      <c r="A529" s="3" t="s">
        <v>1719</v>
      </c>
      <c r="B529">
        <f>IFERROR(VLOOKUP(A529,管理亚马逊库存!A:K,11,0),"")</f>
        <v>4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1723</v>
      </c>
      <c r="B530">
        <f>IFERROR(VLOOKUP(A530,管理亚马逊库存!A:K,11,0),"")</f>
        <v>1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1724</v>
      </c>
      <c r="B531">
        <f>IFERROR(VLOOKUP(A531,管理亚马逊库存!A:K,11,0),"")</f>
        <v>1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1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1</v>
      </c>
    </row>
    <row r="532" spans="1:14">
      <c r="A532" s="3" t="s">
        <v>1727</v>
      </c>
      <c r="B532">
        <f>IFERROR(VLOOKUP(A532,管理亚马逊库存!A:K,11,0),"")</f>
        <v>2</v>
      </c>
      <c r="C532">
        <f>IFERROR(VLOOKUP(A532,管理亚马逊库存!A:L,12,0),"")</f>
        <v>0</v>
      </c>
      <c r="D532">
        <f>IFERROR(VLOOKUP(A532,管理亚马逊库存!A:Q,17,0),"")</f>
        <v>7</v>
      </c>
      <c r="E532">
        <f>IFERROR(VLOOKUP(A532,管理亚马逊库存!A:R,18,0),"")</f>
        <v>0</v>
      </c>
      <c r="F532">
        <f t="shared" si="17"/>
        <v>7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1731</v>
      </c>
      <c r="B533">
        <f>IFERROR(VLOOKUP(A533,管理亚马逊库存!A:K,11,0),"")</f>
        <v>6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1735</v>
      </c>
      <c r="B534">
        <f>IFERROR(VLOOKUP(A534,管理亚马逊库存!A:K,11,0),"")</f>
        <v>4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4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4</v>
      </c>
    </row>
    <row r="535" spans="1:14">
      <c r="A535" s="3" t="s">
        <v>1738</v>
      </c>
      <c r="B535">
        <f>IFERROR(VLOOKUP(A535,管理亚马逊库存!A:K,11,0),"")</f>
        <v>16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1</v>
      </c>
      <c r="K535">
        <f>IFERROR(VLOOKUP(A535,库龄!B:L,10,0),0)</f>
        <v>14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15</v>
      </c>
    </row>
    <row r="536" spans="1:14">
      <c r="A536" s="3" t="s">
        <v>1741</v>
      </c>
      <c r="B536">
        <f>IFERROR(VLOOKUP(A536,管理亚马逊库存!A:K,11,0),"")</f>
        <v>4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1744</v>
      </c>
      <c r="B537">
        <f>IFERROR(VLOOKUP(A537,管理亚马逊库存!A:K,11,0),"")</f>
        <v>10</v>
      </c>
      <c r="C537">
        <f>IFERROR(VLOOKUP(A537,管理亚马逊库存!A:L,12,0),"")</f>
        <v>0</v>
      </c>
      <c r="D537">
        <f>IFERROR(VLOOKUP(A537,管理亚马逊库存!A:Q,17,0),"")</f>
        <v>2</v>
      </c>
      <c r="E537">
        <f>IFERROR(VLOOKUP(A537,管理亚马逊库存!A:R,18,0),"")</f>
        <v>0</v>
      </c>
      <c r="F537">
        <f t="shared" si="17"/>
        <v>2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1748</v>
      </c>
      <c r="B538">
        <f>IFERROR(VLOOKUP(A538,管理亚马逊库存!A:K,11,0),"")</f>
        <v>22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19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19</v>
      </c>
    </row>
    <row r="539" spans="1:14">
      <c r="A539" s="3" t="s">
        <v>1752</v>
      </c>
      <c r="B539">
        <f>IFERROR(VLOOKUP(A539,管理亚马逊库存!A:K,11,0),"")</f>
        <v>10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6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6</v>
      </c>
    </row>
    <row r="540" spans="1:14">
      <c r="A540" s="3" t="s">
        <v>1755</v>
      </c>
      <c r="B540">
        <f>IFERROR(VLOOKUP(A540,管理亚马逊库存!A:K,11,0),"")</f>
        <v>1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2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2</v>
      </c>
    </row>
    <row r="541" spans="1:14">
      <c r="A541" s="3" t="s">
        <v>1758</v>
      </c>
      <c r="B541">
        <f>IFERROR(VLOOKUP(A541,管理亚马逊库存!A:K,11,0),"")</f>
        <v>16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1761</v>
      </c>
      <c r="B542">
        <f>IFERROR(VLOOKUP(A542,管理亚马逊库存!A:K,11,0),"")</f>
        <v>4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1765</v>
      </c>
      <c r="B543">
        <f>IFERROR(VLOOKUP(A543,管理亚马逊库存!A:K,11,0),"")</f>
        <v>20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1767</v>
      </c>
      <c r="B544">
        <f>IFERROR(VLOOKUP(A544,管理亚马逊库存!A:K,11,0),"")</f>
        <v>11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11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11</v>
      </c>
    </row>
    <row r="545" spans="1:14">
      <c r="A545" s="3" t="s">
        <v>1770</v>
      </c>
      <c r="B545">
        <f>IFERROR(VLOOKUP(A545,管理亚马逊库存!A:K,11,0),"")</f>
        <v>1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1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1</v>
      </c>
    </row>
    <row r="546" spans="1:14">
      <c r="A546" s="3" t="s">
        <v>1773</v>
      </c>
      <c r="B546">
        <f>IFERROR(VLOOKUP(A546,管理亚马逊库存!A:K,11,0),"")</f>
        <v>10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10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10</v>
      </c>
    </row>
    <row r="547" spans="1:14">
      <c r="A547" s="3" t="s">
        <v>1776</v>
      </c>
      <c r="B547">
        <f>IFERROR(VLOOKUP(A547,管理亚马逊库存!A:K,11,0),"")</f>
        <v>15</v>
      </c>
      <c r="C547">
        <f>IFERROR(VLOOKUP(A547,管理亚马逊库存!A:L,12,0),"")</f>
        <v>0</v>
      </c>
      <c r="D547">
        <f>IFERROR(VLOOKUP(A547,管理亚马逊库存!A:Q,17,0),"")</f>
        <v>3</v>
      </c>
      <c r="E547">
        <f>IFERROR(VLOOKUP(A547,管理亚马逊库存!A:R,18,0),"")</f>
        <v>0</v>
      </c>
      <c r="F547">
        <f t="shared" si="17"/>
        <v>3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1780</v>
      </c>
      <c r="B548">
        <f>IFERROR(VLOOKUP(A548,管理亚马逊库存!A:K,11,0),"")</f>
        <v>7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5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5</v>
      </c>
    </row>
    <row r="549" spans="1:14">
      <c r="A549" s="3" t="s">
        <v>1783</v>
      </c>
      <c r="B549">
        <f>IFERROR(VLOOKUP(A549,管理亚马逊库存!A:K,11,0),"")</f>
        <v>12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1</v>
      </c>
      <c r="K549">
        <f>IFERROR(VLOOKUP(A549,库龄!B:L,10,0),0)</f>
        <v>10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11</v>
      </c>
    </row>
    <row r="550" spans="1:14">
      <c r="A550" s="3" t="s">
        <v>1785</v>
      </c>
      <c r="B550">
        <f>IFERROR(VLOOKUP(A550,管理亚马逊库存!A:K,11,0),"")</f>
        <v>1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1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1</v>
      </c>
    </row>
    <row r="551" spans="1:14">
      <c r="A551" s="3" t="s">
        <v>1786</v>
      </c>
      <c r="B551">
        <f>IFERROR(VLOOKUP(A551,管理亚马逊库存!A:K,11,0),"")</f>
        <v>2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2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2</v>
      </c>
    </row>
    <row r="552" spans="1:14">
      <c r="A552" s="3" t="s">
        <v>1789</v>
      </c>
      <c r="B552">
        <f>IFERROR(VLOOKUP(A552,管理亚马逊库存!A:K,11,0),"")</f>
        <v>1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1792</v>
      </c>
      <c r="B553">
        <f>IFERROR(VLOOKUP(A553,管理亚马逊库存!A:K,11,0),"")</f>
        <v>4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2</v>
      </c>
      <c r="K553">
        <f>IFERROR(VLOOKUP(A553,库龄!B:L,10,0),0)</f>
        <v>2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4</v>
      </c>
    </row>
    <row r="554" spans="1:14">
      <c r="A554" s="3" t="s">
        <v>1795</v>
      </c>
      <c r="B554">
        <f>IFERROR(VLOOKUP(A554,管理亚马逊库存!A:K,11,0),"")</f>
        <v>12</v>
      </c>
      <c r="C554">
        <f>IFERROR(VLOOKUP(A554,管理亚马逊库存!A:L,12,0),"")</f>
        <v>0</v>
      </c>
      <c r="D554">
        <f>IFERROR(VLOOKUP(A554,管理亚马逊库存!A:Q,17,0),"")</f>
        <v>4</v>
      </c>
      <c r="E554">
        <f>IFERROR(VLOOKUP(A554,管理亚马逊库存!A:R,18,0),"")</f>
        <v>0</v>
      </c>
      <c r="F554">
        <f t="shared" si="17"/>
        <v>4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1799</v>
      </c>
      <c r="B555">
        <f>IFERROR(VLOOKUP(A555,管理亚马逊库存!A:K,11,0),"")</f>
        <v>5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1</v>
      </c>
      <c r="K555">
        <f>IFERROR(VLOOKUP(A555,库龄!B:L,10,0),0)</f>
        <v>4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5</v>
      </c>
    </row>
    <row r="556" spans="1:14">
      <c r="A556" s="3" t="s">
        <v>1802</v>
      </c>
      <c r="B556">
        <f>IFERROR(VLOOKUP(A556,管理亚马逊库存!A:K,11,0),"")</f>
        <v>7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1</v>
      </c>
      <c r="K556">
        <f>IFERROR(VLOOKUP(A556,库龄!B:L,10,0),0)</f>
        <v>5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6</v>
      </c>
    </row>
    <row r="557" spans="1:14">
      <c r="A557" s="3" t="s">
        <v>1805</v>
      </c>
      <c r="B557">
        <f>IFERROR(VLOOKUP(A557,管理亚马逊库存!A:K,11,0),"")</f>
        <v>1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1806</v>
      </c>
      <c r="B558">
        <f>IFERROR(VLOOKUP(A558,管理亚马逊库存!A:K,11,0),"")</f>
        <v>9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1809</v>
      </c>
      <c r="B559">
        <f>IFERROR(VLOOKUP(A559,管理亚马逊库存!A:K,11,0),"")</f>
        <v>29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1813</v>
      </c>
      <c r="B560">
        <f>IFERROR(VLOOKUP(A560,管理亚马逊库存!A:K,11,0),"")</f>
        <v>6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1816</v>
      </c>
      <c r="B561">
        <f>IFERROR(VLOOKUP(A561,管理亚马逊库存!A:K,11,0),"")</f>
        <v>14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14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14</v>
      </c>
    </row>
    <row r="562" spans="1:14">
      <c r="A562" s="3" t="s">
        <v>1819</v>
      </c>
      <c r="B562">
        <f>IFERROR(VLOOKUP(A562,管理亚马逊库存!A:K,11,0),"")</f>
        <v>6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1823</v>
      </c>
      <c r="B563">
        <f>IFERROR(VLOOKUP(A563,管理亚马逊库存!A:K,11,0),"")</f>
        <v>5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1826</v>
      </c>
      <c r="B564">
        <f>IFERROR(VLOOKUP(A564,管理亚马逊库存!A:K,11,0),"")</f>
        <v>5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1</v>
      </c>
      <c r="K564">
        <f>IFERROR(VLOOKUP(A564,库龄!B:L,10,0),0)</f>
        <v>4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5</v>
      </c>
    </row>
    <row r="565" spans="1:14">
      <c r="A565" s="3" t="s">
        <v>1829</v>
      </c>
      <c r="B565">
        <f>IFERROR(VLOOKUP(A565,管理亚马逊库存!A:K,11,0),"")</f>
        <v>21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18</v>
      </c>
      <c r="K565">
        <f>IFERROR(VLOOKUP(A565,库龄!B:L,10,0),0)</f>
        <v>3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21</v>
      </c>
    </row>
    <row r="566" spans="1:14">
      <c r="A566" s="3" t="s">
        <v>1832</v>
      </c>
      <c r="B566">
        <f>IFERROR(VLOOKUP(A566,管理亚马逊库存!A:K,11,0),"")</f>
        <v>5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5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5</v>
      </c>
    </row>
    <row r="567" spans="1:14">
      <c r="A567" s="3" t="s">
        <v>1835</v>
      </c>
      <c r="B567">
        <f>IFERROR(VLOOKUP(A567,管理亚马逊库存!A:K,11,0),"")</f>
        <v>1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1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1</v>
      </c>
    </row>
    <row r="568" spans="1:14">
      <c r="A568" s="3" t="s">
        <v>1838</v>
      </c>
      <c r="B568">
        <f>IFERROR(VLOOKUP(A568,管理亚马逊库存!A:K,11,0),"")</f>
        <v>6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5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5</v>
      </c>
    </row>
    <row r="569" spans="1:14">
      <c r="A569" s="3" t="s">
        <v>1841</v>
      </c>
      <c r="B569">
        <f>IFERROR(VLOOKUP(A569,管理亚马逊库存!A:K,11,0),"")</f>
        <v>3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1844</v>
      </c>
      <c r="B570">
        <f>IFERROR(VLOOKUP(A570,管理亚马逊库存!A:K,11,0),"")</f>
        <v>27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21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21</v>
      </c>
    </row>
    <row r="571" spans="1:14">
      <c r="A571" s="3" t="s">
        <v>1847</v>
      </c>
      <c r="B571">
        <f>IFERROR(VLOOKUP(A571,管理亚马逊库存!A:K,11,0),"")</f>
        <v>3</v>
      </c>
      <c r="C571">
        <f>IFERROR(VLOOKUP(A571,管理亚马逊库存!A:L,12,0),"")</f>
        <v>0</v>
      </c>
      <c r="D571">
        <f>IFERROR(VLOOKUP(A571,管理亚马逊库存!A:Q,17,0),"")</f>
        <v>17</v>
      </c>
      <c r="E571">
        <f>IFERROR(VLOOKUP(A571,管理亚马逊库存!A:R,18,0),"")</f>
        <v>0</v>
      </c>
      <c r="F571">
        <f t="shared" si="17"/>
        <v>17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1851</v>
      </c>
      <c r="B572">
        <f>IFERROR(VLOOKUP(A572,管理亚马逊库存!A:K,11,0),"")</f>
        <v>16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16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16</v>
      </c>
    </row>
    <row r="573" spans="1:14">
      <c r="A573" s="3" t="s">
        <v>1853</v>
      </c>
      <c r="B573">
        <f>IFERROR(VLOOKUP(A573,管理亚马逊库存!A:K,11,0),"")</f>
        <v>22</v>
      </c>
      <c r="C573">
        <f>IFERROR(VLOOKUP(A573,管理亚马逊库存!A:L,12,0),"")</f>
        <v>1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1857</v>
      </c>
      <c r="B574">
        <f>IFERROR(VLOOKUP(A574,管理亚马逊库存!A:K,11,0),"")</f>
        <v>9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1860</v>
      </c>
      <c r="B575">
        <f>IFERROR(VLOOKUP(A575,管理亚马逊库存!A:K,11,0),"")</f>
        <v>1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1</v>
      </c>
      <c r="M575">
        <f>IFERROR(VLOOKUP(A575,库龄!B:N,12,0),0)</f>
        <v>0</v>
      </c>
      <c r="N575">
        <f t="shared" si="18"/>
        <v>1</v>
      </c>
    </row>
    <row r="576" spans="1:14">
      <c r="A576" s="3" t="s">
        <v>1863</v>
      </c>
      <c r="B576">
        <f>IFERROR(VLOOKUP(A576,管理亚马逊库存!A:K,11,0),"")</f>
        <v>5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4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4</v>
      </c>
    </row>
    <row r="577" spans="1:14">
      <c r="A577" s="3" t="s">
        <v>1866</v>
      </c>
      <c r="B577">
        <f>IFERROR(VLOOKUP(A577,管理亚马逊库存!A:K,11,0),"")</f>
        <v>1</v>
      </c>
      <c r="C577">
        <f>IFERROR(VLOOKUP(A577,管理亚马逊库存!A:L,12,0),"")</f>
        <v>0</v>
      </c>
      <c r="D577">
        <f>IFERROR(VLOOKUP(A577,管理亚马逊库存!A:Q,17,0),"")</f>
        <v>20</v>
      </c>
      <c r="E577">
        <f>IFERROR(VLOOKUP(A577,管理亚马逊库存!A:R,18,0),"")</f>
        <v>0</v>
      </c>
      <c r="F577">
        <f t="shared" si="17"/>
        <v>20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1868</v>
      </c>
      <c r="B578">
        <f>IFERROR(VLOOKUP(A578,管理亚马逊库存!A:K,11,0),"")</f>
        <v>6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6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6</v>
      </c>
    </row>
    <row r="579" spans="1:14">
      <c r="A579" s="3" t="s">
        <v>1871</v>
      </c>
      <c r="B579">
        <f>IFERROR(VLOOKUP(A579,管理亚马逊库存!A:K,11,0),"")</f>
        <v>3</v>
      </c>
      <c r="C579">
        <f>IFERROR(VLOOKUP(A579,管理亚马逊库存!A:L,12,0),"")</f>
        <v>0</v>
      </c>
      <c r="D579">
        <f>IFERROR(VLOOKUP(A579,管理亚马逊库存!A:Q,17,0),"")</f>
        <v>7</v>
      </c>
      <c r="E579">
        <f>IFERROR(VLOOKUP(A579,管理亚马逊库存!A:R,18,0),"")</f>
        <v>0</v>
      </c>
      <c r="F579">
        <f t="shared" ref="F579:F642" si="19">SUM(D579:E579)</f>
        <v>7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1873</v>
      </c>
      <c r="B580">
        <f>IFERROR(VLOOKUP(A580,管理亚马逊库存!A:K,11,0),"")</f>
        <v>31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1876</v>
      </c>
      <c r="B581">
        <f>IFERROR(VLOOKUP(A581,管理亚马逊库存!A:K,11,0),"")</f>
        <v>19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3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3</v>
      </c>
    </row>
    <row r="582" spans="1:14">
      <c r="A582" s="3" t="s">
        <v>1879</v>
      </c>
      <c r="B582">
        <f>IFERROR(VLOOKUP(A582,管理亚马逊库存!A:K,11,0),"")</f>
        <v>4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1</v>
      </c>
      <c r="K582">
        <f>IFERROR(VLOOKUP(A582,库龄!B:L,10,0),0)</f>
        <v>2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3</v>
      </c>
    </row>
    <row r="583" spans="1:14">
      <c r="A583" s="3" t="s">
        <v>1882</v>
      </c>
      <c r="B583">
        <f>IFERROR(VLOOKUP(A583,管理亚马逊库存!A:K,11,0),"")</f>
        <v>19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15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15</v>
      </c>
    </row>
    <row r="584" spans="1:14">
      <c r="A584" s="3" t="s">
        <v>1885</v>
      </c>
      <c r="B584">
        <f>IFERROR(VLOOKUP(A584,管理亚马逊库存!A:K,11,0),"")</f>
        <v>6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1890</v>
      </c>
      <c r="B585">
        <f>IFERROR(VLOOKUP(A585,管理亚马逊库存!A:K,11,0),"")</f>
        <v>1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1893</v>
      </c>
      <c r="B586">
        <f>IFERROR(VLOOKUP(A586,管理亚马逊库存!A:K,11,0),"")</f>
        <v>8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1896</v>
      </c>
      <c r="B587">
        <f>IFERROR(VLOOKUP(A587,管理亚马逊库存!A:K,11,0),"")</f>
        <v>5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2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2</v>
      </c>
    </row>
    <row r="588" spans="1:14">
      <c r="A588" s="3" t="s">
        <v>1899</v>
      </c>
      <c r="B588">
        <f>IFERROR(VLOOKUP(A588,管理亚马逊库存!A:K,11,0),"")</f>
        <v>1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1902</v>
      </c>
      <c r="B589">
        <f>IFERROR(VLOOKUP(A589,管理亚马逊库存!A:K,11,0),"")</f>
        <v>7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1905</v>
      </c>
      <c r="B590">
        <f>IFERROR(VLOOKUP(A590,管理亚马逊库存!A:K,11,0),"")</f>
        <v>13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13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13</v>
      </c>
    </row>
    <row r="591" spans="1:14">
      <c r="A591" s="3" t="s">
        <v>1908</v>
      </c>
      <c r="B591">
        <f>IFERROR(VLOOKUP(A591,管理亚马逊库存!A:K,11,0),"")</f>
        <v>3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2</v>
      </c>
      <c r="K591">
        <f>IFERROR(VLOOKUP(A591,库龄!B:L,10,0),0)</f>
        <v>1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3</v>
      </c>
    </row>
    <row r="592" spans="1:14">
      <c r="A592" s="3" t="s">
        <v>1911</v>
      </c>
      <c r="B592">
        <f>IFERROR(VLOOKUP(A592,管理亚马逊库存!A:K,11,0),"")</f>
        <v>5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5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5</v>
      </c>
    </row>
    <row r="593" spans="1:14">
      <c r="A593" s="3" t="s">
        <v>1914</v>
      </c>
      <c r="B593">
        <f>IFERROR(VLOOKUP(A593,管理亚马逊库存!A:K,11,0),"")</f>
        <v>2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1</v>
      </c>
      <c r="K593">
        <f>IFERROR(VLOOKUP(A593,库龄!B:L,10,0),0)</f>
        <v>1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2</v>
      </c>
    </row>
    <row r="594" spans="1:14">
      <c r="A594" s="3" t="s">
        <v>1917</v>
      </c>
      <c r="B594">
        <f>IFERROR(VLOOKUP(A594,管理亚马逊库存!A:K,11,0),"")</f>
        <v>9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4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4</v>
      </c>
    </row>
    <row r="595" spans="1:14">
      <c r="A595" s="3" t="s">
        <v>1920</v>
      </c>
      <c r="B595">
        <f>IFERROR(VLOOKUP(A595,管理亚马逊库存!A:K,11,0),"")</f>
        <v>7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5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5</v>
      </c>
    </row>
    <row r="596" spans="1:14">
      <c r="A596" s="3" t="s">
        <v>1923</v>
      </c>
      <c r="B596">
        <f>IFERROR(VLOOKUP(A596,管理亚马逊库存!A:K,11,0),"")</f>
        <v>6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6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6</v>
      </c>
    </row>
    <row r="597" spans="1:14">
      <c r="A597" s="3" t="s">
        <v>1926</v>
      </c>
      <c r="B597">
        <f>IFERROR(VLOOKUP(A597,管理亚马逊库存!A:K,11,0),"")</f>
        <v>13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10</v>
      </c>
      <c r="M597">
        <f>IFERROR(VLOOKUP(A597,库龄!B:N,12,0),0)</f>
        <v>0</v>
      </c>
      <c r="N597">
        <f t="shared" si="20"/>
        <v>10</v>
      </c>
    </row>
    <row r="598" spans="1:14">
      <c r="A598" s="3" t="s">
        <v>1929</v>
      </c>
      <c r="B598">
        <f>IFERROR(VLOOKUP(A598,管理亚马逊库存!A:K,11,0),"")</f>
        <v>6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1933</v>
      </c>
      <c r="B599">
        <f>IFERROR(VLOOKUP(A599,管理亚马逊库存!A:K,11,0),"")</f>
        <v>6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0</v>
      </c>
    </row>
    <row r="600" spans="1:14">
      <c r="A600" s="3" t="s">
        <v>1937</v>
      </c>
      <c r="B600">
        <f>IFERROR(VLOOKUP(A600,管理亚马逊库存!A:K,11,0),"")</f>
        <v>6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1941</v>
      </c>
      <c r="B601">
        <f>IFERROR(VLOOKUP(A601,管理亚马逊库存!A:K,11,0),"")</f>
        <v>3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1944</v>
      </c>
      <c r="B602">
        <f>IFERROR(VLOOKUP(A602,管理亚马逊库存!A:K,11,0),"")</f>
        <v>5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5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5</v>
      </c>
    </row>
    <row r="603" spans="1:14">
      <c r="A603" s="3" t="s">
        <v>1945</v>
      </c>
      <c r="B603">
        <f>IFERROR(VLOOKUP(A603,管理亚马逊库存!A:K,11,0),"")</f>
        <v>14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1949</v>
      </c>
      <c r="B604">
        <f>IFERROR(VLOOKUP(A604,管理亚马逊库存!A:K,11,0),"")</f>
        <v>3</v>
      </c>
      <c r="C604">
        <f>IFERROR(VLOOKUP(A604,管理亚马逊库存!A:L,12,0),"")</f>
        <v>0</v>
      </c>
      <c r="D604">
        <f>IFERROR(VLOOKUP(A604,管理亚马逊库存!A:Q,17,0),"")</f>
        <v>17</v>
      </c>
      <c r="E604">
        <f>IFERROR(VLOOKUP(A604,管理亚马逊库存!A:R,18,0),"")</f>
        <v>0</v>
      </c>
      <c r="F604">
        <f t="shared" si="19"/>
        <v>17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1953</v>
      </c>
      <c r="B605">
        <f>IFERROR(VLOOKUP(A605,管理亚马逊库存!A:K,11,0),"")</f>
        <v>6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3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3</v>
      </c>
    </row>
    <row r="606" spans="1:14">
      <c r="A606" s="3" t="s">
        <v>1956</v>
      </c>
      <c r="B606">
        <f>IFERROR(VLOOKUP(A606,管理亚马逊库存!A:K,11,0),"")</f>
        <v>1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1959</v>
      </c>
      <c r="B607">
        <f>IFERROR(VLOOKUP(A607,管理亚马逊库存!A:K,11,0),"")</f>
        <v>4</v>
      </c>
      <c r="C607">
        <f>IFERROR(VLOOKUP(A607,管理亚马逊库存!A:L,12,0),"")</f>
        <v>0</v>
      </c>
      <c r="D607">
        <f>IFERROR(VLOOKUP(A607,管理亚马逊库存!A:Q,17,0),"")</f>
        <v>12</v>
      </c>
      <c r="E607">
        <f>IFERROR(VLOOKUP(A607,管理亚马逊库存!A:R,18,0),"")</f>
        <v>0</v>
      </c>
      <c r="F607">
        <f t="shared" si="19"/>
        <v>12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1963</v>
      </c>
      <c r="B608">
        <f>IFERROR(VLOOKUP(A608,管理亚马逊库存!A:K,11,0),"")</f>
        <v>1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1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1</v>
      </c>
    </row>
    <row r="609" spans="1:14">
      <c r="A609" s="3" t="s">
        <v>1965</v>
      </c>
      <c r="B609">
        <f>IFERROR(VLOOKUP(A609,管理亚马逊库存!A:K,11,0),"")</f>
        <v>27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1967</v>
      </c>
      <c r="B610">
        <f>IFERROR(VLOOKUP(A610,管理亚马逊库存!A:K,11,0),"")</f>
        <v>10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1969</v>
      </c>
      <c r="B611">
        <f>IFERROR(VLOOKUP(A611,管理亚马逊库存!A:K,11,0),"")</f>
        <v>29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14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14</v>
      </c>
    </row>
    <row r="612" spans="1:14">
      <c r="A612" s="3" t="s">
        <v>1972</v>
      </c>
      <c r="B612">
        <f>IFERROR(VLOOKUP(A612,管理亚马逊库存!A:K,11,0),"")</f>
        <v>5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1976</v>
      </c>
      <c r="B613">
        <f>IFERROR(VLOOKUP(A613,管理亚马逊库存!A:K,11,0),"")</f>
        <v>1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1980</v>
      </c>
      <c r="B614">
        <f>IFERROR(VLOOKUP(A614,管理亚马逊库存!A:K,11,0),"")</f>
        <v>1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1981</v>
      </c>
      <c r="B615">
        <f>IFERROR(VLOOKUP(A615,管理亚马逊库存!A:K,11,0),"")</f>
        <v>30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2</v>
      </c>
      <c r="K615">
        <f>IFERROR(VLOOKUP(A615,库龄!B:L,10,0),0)</f>
        <v>2</v>
      </c>
      <c r="L615">
        <f>IFERROR(VLOOKUP(A615,库龄!B:M,11,0),0)</f>
        <v>26</v>
      </c>
      <c r="M615">
        <f>IFERROR(VLOOKUP(A615,库龄!B:N,12,0),0)</f>
        <v>0</v>
      </c>
      <c r="N615">
        <f t="shared" si="20"/>
        <v>30</v>
      </c>
    </row>
    <row r="616" spans="1:14">
      <c r="A616" s="3" t="s">
        <v>1984</v>
      </c>
      <c r="B616">
        <f>IFERROR(VLOOKUP(A616,管理亚马逊库存!A:K,11,0),"")</f>
        <v>16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10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10</v>
      </c>
    </row>
    <row r="617" spans="1:14">
      <c r="A617" s="3" t="s">
        <v>1987</v>
      </c>
      <c r="B617">
        <f>IFERROR(VLOOKUP(A617,管理亚马逊库存!A:K,11,0),"")</f>
        <v>6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1991</v>
      </c>
      <c r="B618">
        <f>IFERROR(VLOOKUP(A618,管理亚马逊库存!A:K,11,0),"")</f>
        <v>7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1</v>
      </c>
      <c r="K618">
        <f>IFERROR(VLOOKUP(A618,库龄!B:L,10,0),0)</f>
        <v>5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6</v>
      </c>
    </row>
    <row r="619" spans="1:14">
      <c r="A619" s="3" t="s">
        <v>1995</v>
      </c>
      <c r="B619">
        <f>IFERROR(VLOOKUP(A619,管理亚马逊库存!A:K,11,0),"")</f>
        <v>0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1998</v>
      </c>
      <c r="B620">
        <f>IFERROR(VLOOKUP(A620,管理亚马逊库存!A:K,11,0),"")</f>
        <v>34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23</v>
      </c>
      <c r="K620">
        <f>IFERROR(VLOOKUP(A620,库龄!B:L,10,0),0)</f>
        <v>9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32</v>
      </c>
    </row>
    <row r="621" spans="1:14">
      <c r="A621" s="3" t="s">
        <v>2001</v>
      </c>
      <c r="B621">
        <f>IFERROR(VLOOKUP(A621,管理亚马逊库存!A:K,11,0),"")</f>
        <v>1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1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1</v>
      </c>
    </row>
    <row r="622" spans="1:14">
      <c r="A622" s="3" t="s">
        <v>2002</v>
      </c>
      <c r="B622">
        <f>IFERROR(VLOOKUP(A622,管理亚马逊库存!A:K,11,0),"")</f>
        <v>10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10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10</v>
      </c>
    </row>
    <row r="623" spans="1:14">
      <c r="A623" s="3" t="s">
        <v>2004</v>
      </c>
      <c r="B623">
        <f>IFERROR(VLOOKUP(A623,管理亚马逊库存!A:K,11,0),"")</f>
        <v>1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2007</v>
      </c>
      <c r="B624">
        <f>IFERROR(VLOOKUP(A624,管理亚马逊库存!A:K,11,0),"")</f>
        <v>6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3</v>
      </c>
      <c r="K624">
        <f>IFERROR(VLOOKUP(A624,库龄!B:L,10,0),0)</f>
        <v>3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6</v>
      </c>
    </row>
    <row r="625" spans="1:14">
      <c r="A625" s="3" t="s">
        <v>2010</v>
      </c>
      <c r="B625">
        <f>IFERROR(VLOOKUP(A625,管理亚马逊库存!A:K,11,0),"")</f>
        <v>6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2014</v>
      </c>
      <c r="B626">
        <f>IFERROR(VLOOKUP(A626,管理亚马逊库存!A:K,11,0),"")</f>
        <v>1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1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1</v>
      </c>
    </row>
    <row r="627" spans="1:14">
      <c r="A627" s="3" t="s">
        <v>2017</v>
      </c>
      <c r="B627">
        <f>IFERROR(VLOOKUP(A627,管理亚马逊库存!A:K,11,0),"")</f>
        <v>17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14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14</v>
      </c>
    </row>
    <row r="628" spans="1:14">
      <c r="A628" s="3" t="s">
        <v>2019</v>
      </c>
      <c r="B628">
        <f>IFERROR(VLOOKUP(A628,管理亚马逊库存!A:K,11,0),"")</f>
        <v>6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2023</v>
      </c>
      <c r="B629">
        <f>IFERROR(VLOOKUP(A629,管理亚马逊库存!A:K,11,0),"")</f>
        <v>1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1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1</v>
      </c>
    </row>
    <row r="630" spans="1:14">
      <c r="A630" s="3" t="s">
        <v>2026</v>
      </c>
      <c r="B630">
        <f>IFERROR(VLOOKUP(A630,管理亚马逊库存!A:K,11,0),"")</f>
        <v>5</v>
      </c>
      <c r="C630">
        <f>IFERROR(VLOOKUP(A630,管理亚马逊库存!A:L,12,0),"")</f>
        <v>0</v>
      </c>
      <c r="D630">
        <f>IFERROR(VLOOKUP(A630,管理亚马逊库存!A:Q,17,0),"")</f>
        <v>20</v>
      </c>
      <c r="E630">
        <f>IFERROR(VLOOKUP(A630,管理亚马逊库存!A:R,18,0),"")</f>
        <v>0</v>
      </c>
      <c r="F630">
        <f t="shared" si="19"/>
        <v>20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2030</v>
      </c>
      <c r="B631">
        <f>IFERROR(VLOOKUP(A631,管理亚马逊库存!A:K,11,0),"")</f>
        <v>14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6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6</v>
      </c>
    </row>
    <row r="632" spans="1:14">
      <c r="A632" s="3" t="s">
        <v>2033</v>
      </c>
      <c r="B632">
        <f>IFERROR(VLOOKUP(A632,管理亚马逊库存!A:K,11,0),"")</f>
        <v>3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3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3</v>
      </c>
    </row>
    <row r="633" spans="1:14">
      <c r="A633" s="3" t="s">
        <v>2036</v>
      </c>
      <c r="B633">
        <f>IFERROR(VLOOKUP(A633,管理亚马逊库存!A:K,11,0),"")</f>
        <v>11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11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11</v>
      </c>
    </row>
    <row r="634" spans="1:14">
      <c r="A634" s="3" t="s">
        <v>2038</v>
      </c>
      <c r="B634">
        <f>IFERROR(VLOOKUP(A634,管理亚马逊库存!A:K,11,0),"")</f>
        <v>1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1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1</v>
      </c>
    </row>
    <row r="635" spans="1:14">
      <c r="A635" s="3" t="s">
        <v>2041</v>
      </c>
      <c r="B635">
        <f>IFERROR(VLOOKUP(A635,管理亚马逊库存!A:K,11,0),"")</f>
        <v>2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2045</v>
      </c>
      <c r="B636">
        <f>IFERROR(VLOOKUP(A636,管理亚马逊库存!A:K,11,0),"")</f>
        <v>1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2049</v>
      </c>
      <c r="B637">
        <f>IFERROR(VLOOKUP(A637,管理亚马逊库存!A:K,11,0),"")</f>
        <v>22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22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22</v>
      </c>
    </row>
    <row r="638" spans="1:14">
      <c r="A638" s="3" t="s">
        <v>2052</v>
      </c>
      <c r="B638">
        <f>IFERROR(VLOOKUP(A638,管理亚马逊库存!A:K,11,0),"")</f>
        <v>21</v>
      </c>
      <c r="C638">
        <f>IFERROR(VLOOKUP(A638,管理亚马逊库存!A:L,12,0),"")</f>
        <v>2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2055</v>
      </c>
      <c r="B639">
        <f>IFERROR(VLOOKUP(A639,管理亚马逊库存!A:K,11,0),"")</f>
        <v>5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2</v>
      </c>
      <c r="K639">
        <f>IFERROR(VLOOKUP(A639,库龄!B:L,10,0),0)</f>
        <v>3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5</v>
      </c>
    </row>
    <row r="640" spans="1:14">
      <c r="A640" s="3" t="s">
        <v>2058</v>
      </c>
      <c r="B640">
        <f>IFERROR(VLOOKUP(A640,管理亚马逊库存!A:K,11,0),"")</f>
        <v>6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2062</v>
      </c>
      <c r="B641">
        <f>IFERROR(VLOOKUP(A641,管理亚马逊库存!A:K,11,0),"")</f>
        <v>6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2067</v>
      </c>
      <c r="B642">
        <f>IFERROR(VLOOKUP(A642,管理亚马逊库存!A:K,11,0),"")</f>
        <v>9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9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9</v>
      </c>
    </row>
    <row r="643" spans="1:14">
      <c r="A643" s="3" t="s">
        <v>2070</v>
      </c>
      <c r="B643">
        <f>IFERROR(VLOOKUP(A643,管理亚马逊库存!A:K,11,0),"")</f>
        <v>25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3</v>
      </c>
      <c r="K643">
        <f>IFERROR(VLOOKUP(A643,库龄!B:L,10,0),0)</f>
        <v>0</v>
      </c>
      <c r="L643">
        <f>IFERROR(VLOOKUP(A643,库龄!B:M,11,0),0)</f>
        <v>20</v>
      </c>
      <c r="M643">
        <f>IFERROR(VLOOKUP(A643,库龄!B:N,12,0),0)</f>
        <v>0</v>
      </c>
      <c r="N643">
        <f t="shared" ref="N643:N706" si="22">SUM(J643:M643)</f>
        <v>23</v>
      </c>
    </row>
    <row r="644" spans="1:14">
      <c r="A644" s="3" t="s">
        <v>2073</v>
      </c>
      <c r="B644">
        <f>IFERROR(VLOOKUP(A644,管理亚马逊库存!A:K,11,0),"")</f>
        <v>16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2075</v>
      </c>
      <c r="B645">
        <f>IFERROR(VLOOKUP(A645,管理亚马逊库存!A:K,11,0),"")</f>
        <v>10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9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9</v>
      </c>
    </row>
    <row r="646" spans="1:14">
      <c r="A646" s="3" t="s">
        <v>2078</v>
      </c>
      <c r="B646">
        <f>IFERROR(VLOOKUP(A646,管理亚马逊库存!A:K,11,0),"")</f>
        <v>5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2082</v>
      </c>
      <c r="B647">
        <f>IFERROR(VLOOKUP(A647,管理亚马逊库存!A:K,11,0),"")</f>
        <v>14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13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13</v>
      </c>
    </row>
    <row r="648" spans="1:14">
      <c r="A648" s="3" t="s">
        <v>2083</v>
      </c>
      <c r="B648">
        <f>IFERROR(VLOOKUP(A648,管理亚马逊库存!A:K,11,0),"")</f>
        <v>10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6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6</v>
      </c>
    </row>
    <row r="649" spans="1:14">
      <c r="A649" s="3" t="s">
        <v>2086</v>
      </c>
      <c r="B649">
        <f>IFERROR(VLOOKUP(A649,管理亚马逊库存!A:K,11,0),"")</f>
        <v>4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2090</v>
      </c>
      <c r="B650">
        <f>IFERROR(VLOOKUP(A650,管理亚马逊库存!A:K,11,0),"")</f>
        <v>10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8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8</v>
      </c>
    </row>
    <row r="651" spans="1:14">
      <c r="A651" s="3" t="s">
        <v>2093</v>
      </c>
      <c r="B651">
        <f>IFERROR(VLOOKUP(A651,管理亚马逊库存!A:K,11,0),"")</f>
        <v>1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2094</v>
      </c>
      <c r="B652">
        <f>IFERROR(VLOOKUP(A652,管理亚马逊库存!A:K,11,0),"")</f>
        <v>5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2098</v>
      </c>
      <c r="B653">
        <f>IFERROR(VLOOKUP(A653,管理亚马逊库存!A:K,11,0),"")</f>
        <v>3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2101</v>
      </c>
      <c r="B654">
        <f>IFERROR(VLOOKUP(A654,管理亚马逊库存!A:K,11,0),"")</f>
        <v>13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2104</v>
      </c>
      <c r="B655">
        <f>IFERROR(VLOOKUP(A655,管理亚马逊库存!A:K,11,0),"")</f>
        <v>1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1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1</v>
      </c>
    </row>
    <row r="656" spans="1:14">
      <c r="A656" s="3" t="s">
        <v>2107</v>
      </c>
      <c r="B656">
        <f>IFERROR(VLOOKUP(A656,管理亚马逊库存!A:K,11,0),"")</f>
        <v>28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2111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2114</v>
      </c>
      <c r="B658">
        <f>IFERROR(VLOOKUP(A658,管理亚马逊库存!A:K,11,0),"")</f>
        <v>12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12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12</v>
      </c>
    </row>
    <row r="659" spans="1:14">
      <c r="A659" s="3" t="s">
        <v>2117</v>
      </c>
      <c r="B659">
        <f>IFERROR(VLOOKUP(A659,管理亚马逊库存!A:K,11,0),"")</f>
        <v>21</v>
      </c>
      <c r="C659">
        <f>IFERROR(VLOOKUP(A659,管理亚马逊库存!A:L,12,0),"")</f>
        <v>0</v>
      </c>
      <c r="D659">
        <f>IFERROR(VLOOKUP(A659,管理亚马逊库存!A:Q,17,0),"")</f>
        <v>2</v>
      </c>
      <c r="E659">
        <f>IFERROR(VLOOKUP(A659,管理亚马逊库存!A:R,18,0),"")</f>
        <v>0</v>
      </c>
      <c r="F659">
        <f t="shared" si="21"/>
        <v>2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2119</v>
      </c>
      <c r="B660">
        <f>IFERROR(VLOOKUP(A660,管理亚马逊库存!A:K,11,0),"")</f>
        <v>29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29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29</v>
      </c>
    </row>
    <row r="661" spans="1:14">
      <c r="A661" s="3" t="s">
        <v>2122</v>
      </c>
      <c r="B661">
        <f>IFERROR(VLOOKUP(A661,管理亚马逊库存!A:K,11,0),"")</f>
        <v>3</v>
      </c>
      <c r="C661">
        <f>IFERROR(VLOOKUP(A661,管理亚马逊库存!A:L,12,0),"")</f>
        <v>0</v>
      </c>
      <c r="D661">
        <f>IFERROR(VLOOKUP(A661,管理亚马逊库存!A:Q,17,0),"")</f>
        <v>24</v>
      </c>
      <c r="E661">
        <f>IFERROR(VLOOKUP(A661,管理亚马逊库存!A:R,18,0),"")</f>
        <v>0</v>
      </c>
      <c r="F661">
        <f t="shared" si="21"/>
        <v>24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2126</v>
      </c>
      <c r="B662">
        <f>IFERROR(VLOOKUP(A662,管理亚马逊库存!A:K,11,0),"")</f>
        <v>17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2128</v>
      </c>
      <c r="B663">
        <f>IFERROR(VLOOKUP(A663,管理亚马逊库存!A:K,11,0),"")</f>
        <v>2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2</v>
      </c>
      <c r="M663">
        <f>IFERROR(VLOOKUP(A663,库龄!B:N,12,0),0)</f>
        <v>0</v>
      </c>
      <c r="N663">
        <f t="shared" si="22"/>
        <v>2</v>
      </c>
    </row>
    <row r="664" spans="1:14">
      <c r="A664" s="3" t="s">
        <v>2131</v>
      </c>
      <c r="B664">
        <f>IFERROR(VLOOKUP(A664,管理亚马逊库存!A:K,11,0),"")</f>
        <v>5</v>
      </c>
      <c r="C664">
        <f>IFERROR(VLOOKUP(A664,管理亚马逊库存!A:L,12,0),"")</f>
        <v>0</v>
      </c>
      <c r="D664">
        <f>IFERROR(VLOOKUP(A664,管理亚马逊库存!A:Q,17,0),"")</f>
        <v>5</v>
      </c>
      <c r="E664">
        <f>IFERROR(VLOOKUP(A664,管理亚马逊库存!A:R,18,0),"")</f>
        <v>0</v>
      </c>
      <c r="F664">
        <f t="shared" si="21"/>
        <v>5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2135</v>
      </c>
      <c r="B665">
        <f>IFERROR(VLOOKUP(A665,管理亚马逊库存!A:K,11,0),"")</f>
        <v>22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2138</v>
      </c>
      <c r="B666">
        <f>IFERROR(VLOOKUP(A666,管理亚马逊库存!A:K,11,0),"")</f>
        <v>1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1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1</v>
      </c>
    </row>
    <row r="667" spans="1:14">
      <c r="A667" s="3" t="s">
        <v>2141</v>
      </c>
      <c r="B667">
        <f>IFERROR(VLOOKUP(A667,管理亚马逊库存!A:K,11,0),"")</f>
        <v>3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2145</v>
      </c>
      <c r="B668">
        <f>IFERROR(VLOOKUP(A668,管理亚马逊库存!A:K,11,0),"")</f>
        <v>8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8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8</v>
      </c>
    </row>
    <row r="669" spans="1:14">
      <c r="A669" s="3" t="s">
        <v>2148</v>
      </c>
      <c r="B669">
        <f>IFERROR(VLOOKUP(A669,管理亚马逊库存!A:K,11,0),"")</f>
        <v>3</v>
      </c>
      <c r="C669">
        <f>IFERROR(VLOOKUP(A669,管理亚马逊库存!A:L,12,0),"")</f>
        <v>0</v>
      </c>
      <c r="D669">
        <f>IFERROR(VLOOKUP(A669,管理亚马逊库存!A:Q,17,0),"")</f>
        <v>4</v>
      </c>
      <c r="E669">
        <f>IFERROR(VLOOKUP(A669,管理亚马逊库存!A:R,18,0),"")</f>
        <v>0</v>
      </c>
      <c r="F669">
        <f t="shared" si="21"/>
        <v>4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2152</v>
      </c>
      <c r="B670">
        <f>IFERROR(VLOOKUP(A670,管理亚马逊库存!A:K,11,0),"")</f>
        <v>2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2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2</v>
      </c>
    </row>
    <row r="671" spans="1:14">
      <c r="A671" s="3" t="s">
        <v>2155</v>
      </c>
      <c r="B671">
        <f>IFERROR(VLOOKUP(A671,管理亚马逊库存!A:K,11,0),"")</f>
        <v>1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2158</v>
      </c>
      <c r="B672">
        <f>IFERROR(VLOOKUP(A672,管理亚马逊库存!A:K,11,0),"")</f>
        <v>22</v>
      </c>
      <c r="C672">
        <f>IFERROR(VLOOKUP(A672,管理亚马逊库存!A:L,12,0),"")</f>
        <v>1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10</v>
      </c>
      <c r="K672">
        <f>IFERROR(VLOOKUP(A672,库龄!B:L,10,0),0)</f>
        <v>2</v>
      </c>
      <c r="L672">
        <f>IFERROR(VLOOKUP(A672,库龄!B:M,11,0),0)</f>
        <v>8</v>
      </c>
      <c r="M672">
        <f>IFERROR(VLOOKUP(A672,库龄!B:N,12,0),0)</f>
        <v>0</v>
      </c>
      <c r="N672">
        <f t="shared" si="22"/>
        <v>20</v>
      </c>
    </row>
    <row r="673" spans="1:14">
      <c r="A673" s="3" t="s">
        <v>2162</v>
      </c>
      <c r="B673">
        <f>IFERROR(VLOOKUP(A673,管理亚马逊库存!A:K,11,0),"")</f>
        <v>34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29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29</v>
      </c>
    </row>
    <row r="674" spans="1:14">
      <c r="A674" s="3" t="s">
        <v>2165</v>
      </c>
      <c r="B674">
        <f>IFERROR(VLOOKUP(A674,管理亚马逊库存!A:K,11,0),"")</f>
        <v>20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2168</v>
      </c>
      <c r="B675">
        <f>IFERROR(VLOOKUP(A675,管理亚马逊库存!A:K,11,0),"")</f>
        <v>2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1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1</v>
      </c>
    </row>
    <row r="676" spans="1:14">
      <c r="A676" s="3" t="s">
        <v>2171</v>
      </c>
      <c r="B676">
        <f>IFERROR(VLOOKUP(A676,管理亚马逊库存!A:K,11,0),"")</f>
        <v>2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1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1</v>
      </c>
    </row>
    <row r="677" spans="1:14">
      <c r="A677" s="3" t="s">
        <v>2174</v>
      </c>
      <c r="B677">
        <f>IFERROR(VLOOKUP(A677,管理亚马逊库存!A:K,11,0),"")</f>
        <v>5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5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5</v>
      </c>
    </row>
    <row r="678" spans="1:14">
      <c r="A678" s="3" t="s">
        <v>2177</v>
      </c>
      <c r="B678">
        <f>IFERROR(VLOOKUP(A678,管理亚马逊库存!A:K,11,0),"")</f>
        <v>4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1</v>
      </c>
      <c r="K678">
        <f>IFERROR(VLOOKUP(A678,库龄!B:L,10,0),0)</f>
        <v>1</v>
      </c>
      <c r="L678">
        <f>IFERROR(VLOOKUP(A678,库龄!B:M,11,0),0)</f>
        <v>1</v>
      </c>
      <c r="M678">
        <f>IFERROR(VLOOKUP(A678,库龄!B:N,12,0),0)</f>
        <v>0</v>
      </c>
      <c r="N678">
        <f t="shared" si="22"/>
        <v>3</v>
      </c>
    </row>
    <row r="679" spans="1:14">
      <c r="A679" s="3" t="s">
        <v>2180</v>
      </c>
      <c r="B679">
        <f>IFERROR(VLOOKUP(A679,管理亚马逊库存!A:K,11,0),"")</f>
        <v>7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5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5</v>
      </c>
    </row>
    <row r="680" spans="1:14">
      <c r="A680" s="3" t="s">
        <v>2183</v>
      </c>
      <c r="B680">
        <f>IFERROR(VLOOKUP(A680,管理亚马逊库存!A:K,11,0),"")</f>
        <v>22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2186</v>
      </c>
      <c r="B681">
        <f>IFERROR(VLOOKUP(A681,管理亚马逊库存!A:K,11,0),"")</f>
        <v>28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27</v>
      </c>
      <c r="K681">
        <f>IFERROR(VLOOKUP(A681,库龄!B:L,10,0),0)</f>
        <v>1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28</v>
      </c>
    </row>
    <row r="682" spans="1:14">
      <c r="A682" s="3" t="s">
        <v>2189</v>
      </c>
      <c r="B682">
        <f>IFERROR(VLOOKUP(A682,管理亚马逊库存!A:K,11,0),"")</f>
        <v>7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2193</v>
      </c>
      <c r="B683">
        <f>IFERROR(VLOOKUP(A683,管理亚马逊库存!A:K,11,0),"")</f>
        <v>5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3</v>
      </c>
      <c r="K683">
        <f>IFERROR(VLOOKUP(A683,库龄!B:L,10,0),0)</f>
        <v>2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5</v>
      </c>
    </row>
    <row r="684" spans="1:14">
      <c r="A684" s="3" t="s">
        <v>2196</v>
      </c>
      <c r="B684">
        <f>IFERROR(VLOOKUP(A684,管理亚马逊库存!A:K,11,0),"")</f>
        <v>6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2200</v>
      </c>
      <c r="B685">
        <f>IFERROR(VLOOKUP(A685,管理亚马逊库存!A:K,11,0),"")</f>
        <v>6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2204</v>
      </c>
      <c r="B686">
        <f>IFERROR(VLOOKUP(A686,管理亚马逊库存!A:K,11,0),"")</f>
        <v>4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4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4</v>
      </c>
    </row>
    <row r="687" spans="1:14">
      <c r="A687" s="3" t="s">
        <v>2207</v>
      </c>
      <c r="B687">
        <f>IFERROR(VLOOKUP(A687,管理亚马逊库存!A:K,11,0),"")</f>
        <v>12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10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10</v>
      </c>
    </row>
    <row r="688" spans="1:14">
      <c r="A688" s="3" t="s">
        <v>2210</v>
      </c>
      <c r="B688">
        <f>IFERROR(VLOOKUP(A688,管理亚马逊库存!A:K,11,0),"")</f>
        <v>1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2211</v>
      </c>
      <c r="B689">
        <f>IFERROR(VLOOKUP(A689,管理亚马逊库存!A:K,11,0),"")</f>
        <v>1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1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1</v>
      </c>
    </row>
    <row r="690" spans="1:14">
      <c r="A690" s="3" t="s">
        <v>2214</v>
      </c>
      <c r="B690">
        <f>IFERROR(VLOOKUP(A690,管理亚马逊库存!A:K,11,0),"")</f>
        <v>21</v>
      </c>
      <c r="C690">
        <f>IFERROR(VLOOKUP(A690,管理亚马逊库存!A:L,12,0),"")</f>
        <v>1</v>
      </c>
      <c r="D690">
        <f>IFERROR(VLOOKUP(A690,管理亚马逊库存!A:Q,17,0),"")</f>
        <v>5</v>
      </c>
      <c r="E690">
        <f>IFERROR(VLOOKUP(A690,管理亚马逊库存!A:R,18,0),"")</f>
        <v>0</v>
      </c>
      <c r="F690">
        <f t="shared" si="21"/>
        <v>5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2218</v>
      </c>
      <c r="B691">
        <f>IFERROR(VLOOKUP(A691,管理亚马逊库存!A:K,11,0),"")</f>
        <v>17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2221</v>
      </c>
      <c r="B692">
        <f>IFERROR(VLOOKUP(A692,管理亚马逊库存!A:K,11,0),"")</f>
        <v>10</v>
      </c>
      <c r="C692">
        <f>IFERROR(VLOOKUP(A692,管理亚马逊库存!A:L,12,0),"")</f>
        <v>0</v>
      </c>
      <c r="D692">
        <f>IFERROR(VLOOKUP(A692,管理亚马逊库存!A:Q,17,0),"")</f>
        <v>10</v>
      </c>
      <c r="E692">
        <f>IFERROR(VLOOKUP(A692,管理亚马逊库存!A:R,18,0),"")</f>
        <v>0</v>
      </c>
      <c r="F692">
        <f t="shared" si="21"/>
        <v>10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2225</v>
      </c>
      <c r="B693">
        <f>IFERROR(VLOOKUP(A693,管理亚马逊库存!A:K,11,0),"")</f>
        <v>1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2228</v>
      </c>
      <c r="B694">
        <f>IFERROR(VLOOKUP(A694,管理亚马逊库存!A:K,11,0),"")</f>
        <v>1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1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1</v>
      </c>
    </row>
    <row r="695" spans="1:14">
      <c r="A695" s="3" t="s">
        <v>2231</v>
      </c>
      <c r="B695">
        <f>IFERROR(VLOOKUP(A695,管理亚马逊库存!A:K,11,0),"")</f>
        <v>4</v>
      </c>
      <c r="C695">
        <f>IFERROR(VLOOKUP(A695,管理亚马逊库存!A:L,12,0),"")</f>
        <v>0</v>
      </c>
      <c r="D695">
        <f>IFERROR(VLOOKUP(A695,管理亚马逊库存!A:Q,17,0),"")</f>
        <v>9</v>
      </c>
      <c r="E695">
        <f>IFERROR(VLOOKUP(A695,管理亚马逊库存!A:R,18,0),"")</f>
        <v>0</v>
      </c>
      <c r="F695">
        <f t="shared" si="21"/>
        <v>9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2233</v>
      </c>
      <c r="B696">
        <f>IFERROR(VLOOKUP(A696,管理亚马逊库存!A:K,11,0),"")</f>
        <v>6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2237</v>
      </c>
      <c r="B697">
        <f>IFERROR(VLOOKUP(A697,管理亚马逊库存!A:K,11,0),"")</f>
        <v>10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1</v>
      </c>
      <c r="K697">
        <f>IFERROR(VLOOKUP(A697,库龄!B:L,10,0),0)</f>
        <v>9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10</v>
      </c>
    </row>
    <row r="698" spans="1:14">
      <c r="A698" s="3" t="s">
        <v>2239</v>
      </c>
      <c r="B698">
        <f>IFERROR(VLOOKUP(A698,管理亚马逊库存!A:K,11,0),"")</f>
        <v>6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2241</v>
      </c>
      <c r="B699">
        <f>IFERROR(VLOOKUP(A699,管理亚马逊库存!A:K,11,0),"")</f>
        <v>14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4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4</v>
      </c>
    </row>
    <row r="700" spans="1:14">
      <c r="A700" s="3" t="s">
        <v>2244</v>
      </c>
      <c r="B700">
        <f>IFERROR(VLOOKUP(A700,管理亚马逊库存!A:K,11,0),"")</f>
        <v>23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23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23</v>
      </c>
    </row>
    <row r="701" spans="1:14">
      <c r="A701" s="3" t="s">
        <v>2247</v>
      </c>
      <c r="B701">
        <f>IFERROR(VLOOKUP(A701,管理亚马逊库存!A:K,11,0),"")</f>
        <v>6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2249</v>
      </c>
      <c r="B702">
        <f>IFERROR(VLOOKUP(A702,管理亚马逊库存!A:K,11,0),"")</f>
        <v>23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23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23</v>
      </c>
    </row>
    <row r="703" spans="1:14">
      <c r="A703" s="3" t="s">
        <v>2252</v>
      </c>
      <c r="B703">
        <f>IFERROR(VLOOKUP(A703,管理亚马逊库存!A:K,11,0),"")</f>
        <v>1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2255</v>
      </c>
      <c r="B704">
        <f>IFERROR(VLOOKUP(A704,管理亚马逊库存!A:K,11,0),"")</f>
        <v>18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6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6</v>
      </c>
    </row>
    <row r="705" spans="1:14">
      <c r="A705" s="3" t="s">
        <v>2258</v>
      </c>
      <c r="B705">
        <f>IFERROR(VLOOKUP(A705,管理亚马逊库存!A:K,11,0),"")</f>
        <v>2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2260</v>
      </c>
      <c r="B706">
        <f>IFERROR(VLOOKUP(A706,管理亚马逊库存!A:K,11,0),"")</f>
        <v>6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2261</v>
      </c>
      <c r="B707">
        <f>IFERROR(VLOOKUP(A707,管理亚马逊库存!A:K,11,0),"")</f>
        <v>5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2</v>
      </c>
      <c r="K707">
        <f>IFERROR(VLOOKUP(A707,库龄!B:L,10,0),0)</f>
        <v>3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5</v>
      </c>
    </row>
    <row r="708" spans="1:14">
      <c r="A708" s="3" t="s">
        <v>2262</v>
      </c>
      <c r="B708">
        <f>IFERROR(VLOOKUP(A708,管理亚马逊库存!A:K,11,0),"")</f>
        <v>5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2265</v>
      </c>
      <c r="B709">
        <f>IFERROR(VLOOKUP(A709,管理亚马逊库存!A:K,11,0),"")</f>
        <v>47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47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47</v>
      </c>
    </row>
    <row r="710" spans="1:14">
      <c r="A710" s="3" t="s">
        <v>2268</v>
      </c>
      <c r="B710">
        <f>IFERROR(VLOOKUP(A710,管理亚马逊库存!A:K,11,0),"")</f>
        <v>31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2270</v>
      </c>
      <c r="B711">
        <f>IFERROR(VLOOKUP(A711,管理亚马逊库存!A:K,11,0),"")</f>
        <v>6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5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5</v>
      </c>
    </row>
    <row r="712" spans="1:14">
      <c r="A712" s="3" t="s">
        <v>2271</v>
      </c>
      <c r="B712">
        <f>IFERROR(VLOOKUP(A712,管理亚马逊库存!A:K,11,0),"")</f>
        <v>6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2275</v>
      </c>
      <c r="B713">
        <f>IFERROR(VLOOKUP(A713,管理亚马逊库存!A:K,11,0),"")</f>
        <v>3</v>
      </c>
      <c r="C713">
        <f>IFERROR(VLOOKUP(A713,管理亚马逊库存!A:L,12,0),"")</f>
        <v>1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1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1</v>
      </c>
    </row>
    <row r="714" spans="1:14">
      <c r="A714" s="3" t="s">
        <v>2278</v>
      </c>
      <c r="B714">
        <f>IFERROR(VLOOKUP(A714,管理亚马逊库存!A:K,11,0),"")</f>
        <v>3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2281</v>
      </c>
      <c r="B715">
        <f>IFERROR(VLOOKUP(A715,管理亚马逊库存!A:K,11,0),"")</f>
        <v>5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2285</v>
      </c>
      <c r="B716">
        <f>IFERROR(VLOOKUP(A716,管理亚马逊库存!A:K,11,0),"")</f>
        <v>1</v>
      </c>
      <c r="C716">
        <f>IFERROR(VLOOKUP(A716,管理亚马逊库存!A:L,12,0),"")</f>
        <v>0</v>
      </c>
      <c r="D716">
        <f>IFERROR(VLOOKUP(A716,管理亚马逊库存!A:Q,17,0),"")</f>
        <v>15</v>
      </c>
      <c r="E716">
        <f>IFERROR(VLOOKUP(A716,管理亚马逊库存!A:R,18,0),"")</f>
        <v>0</v>
      </c>
      <c r="F716">
        <f t="shared" si="23"/>
        <v>15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2287</v>
      </c>
      <c r="B717">
        <f>IFERROR(VLOOKUP(A717,管理亚马逊库存!A:K,11,0),"")</f>
        <v>5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2290</v>
      </c>
      <c r="B718">
        <f>IFERROR(VLOOKUP(A718,管理亚马逊库存!A:K,11,0),"")</f>
        <v>1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2293</v>
      </c>
      <c r="B719">
        <f>IFERROR(VLOOKUP(A719,管理亚马逊库存!A:K,11,0),"")</f>
        <v>1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1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1</v>
      </c>
    </row>
    <row r="720" spans="1:14">
      <c r="A720" s="3" t="s">
        <v>2297</v>
      </c>
      <c r="B720">
        <f>IFERROR(VLOOKUP(A720,管理亚马逊库存!A:K,11,0),"")</f>
        <v>5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2302</v>
      </c>
      <c r="B721">
        <f>IFERROR(VLOOKUP(A721,管理亚马逊库存!A:K,11,0),"")</f>
        <v>4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1</v>
      </c>
      <c r="K721">
        <f>IFERROR(VLOOKUP(A721,库龄!B:L,10,0),0)</f>
        <v>0</v>
      </c>
      <c r="L721">
        <f>IFERROR(VLOOKUP(A721,库龄!B:M,11,0),0)</f>
        <v>2</v>
      </c>
      <c r="M721">
        <f>IFERROR(VLOOKUP(A721,库龄!B:N,12,0),0)</f>
        <v>0</v>
      </c>
      <c r="N721">
        <f t="shared" si="24"/>
        <v>3</v>
      </c>
    </row>
    <row r="722" spans="1:14">
      <c r="A722" s="3" t="s">
        <v>2305</v>
      </c>
      <c r="B722">
        <f>IFERROR(VLOOKUP(A722,管理亚马逊库存!A:K,11,0),"")</f>
        <v>2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2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2</v>
      </c>
    </row>
    <row r="723" spans="1:14">
      <c r="A723" s="3" t="s">
        <v>2308</v>
      </c>
      <c r="B723">
        <f>IFERROR(VLOOKUP(A723,管理亚马逊库存!A:K,11,0),"")</f>
        <v>14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2311</v>
      </c>
      <c r="B724">
        <f>IFERROR(VLOOKUP(A724,管理亚马逊库存!A:K,11,0),"")</f>
        <v>2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2314</v>
      </c>
      <c r="B725">
        <f>IFERROR(VLOOKUP(A725,管理亚马逊库存!A:K,11,0),"")</f>
        <v>10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2319</v>
      </c>
      <c r="B726">
        <f>IFERROR(VLOOKUP(A726,管理亚马逊库存!A:K,11,0),"")</f>
        <v>1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1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1</v>
      </c>
    </row>
    <row r="727" spans="1:14">
      <c r="A727" s="3" t="s">
        <v>2322</v>
      </c>
      <c r="B727">
        <f>IFERROR(VLOOKUP(A727,管理亚马逊库存!A:K,11,0),"")</f>
        <v>1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2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2</v>
      </c>
    </row>
    <row r="728" spans="1:14">
      <c r="A728" s="3" t="s">
        <v>2325</v>
      </c>
      <c r="B728">
        <f>IFERROR(VLOOKUP(A728,管理亚马逊库存!A:K,11,0),"")</f>
        <v>3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3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3</v>
      </c>
    </row>
    <row r="729" spans="1:14">
      <c r="A729" s="3" t="s">
        <v>2328</v>
      </c>
      <c r="B729">
        <f>IFERROR(VLOOKUP(A729,管理亚马逊库存!A:K,11,0),"")</f>
        <v>8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1</v>
      </c>
      <c r="F729">
        <f t="shared" si="23"/>
        <v>1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2329</v>
      </c>
      <c r="B730">
        <f>IFERROR(VLOOKUP(A730,管理亚马逊库存!A:K,11,0),"")</f>
        <v>2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1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1</v>
      </c>
    </row>
    <row r="731" spans="1:14">
      <c r="A731" s="3" t="s">
        <v>2332</v>
      </c>
      <c r="B731">
        <f>IFERROR(VLOOKUP(A731,管理亚马逊库存!A:K,11,0),"")</f>
        <v>41</v>
      </c>
      <c r="C731">
        <f>IFERROR(VLOOKUP(A731,管理亚马逊库存!A:L,12,0),"")</f>
        <v>3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2336</v>
      </c>
      <c r="B732">
        <f>IFERROR(VLOOKUP(A732,管理亚马逊库存!A:K,11,0),"")</f>
        <v>8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8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8</v>
      </c>
    </row>
    <row r="733" spans="1:14">
      <c r="A733" s="3" t="s">
        <v>2339</v>
      </c>
      <c r="B733">
        <f>IFERROR(VLOOKUP(A733,管理亚马逊库存!A:K,11,0),"")</f>
        <v>3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3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3</v>
      </c>
    </row>
    <row r="734" spans="1:14">
      <c r="A734" s="3" t="s">
        <v>2342</v>
      </c>
      <c r="B734">
        <f>IFERROR(VLOOKUP(A734,管理亚马逊库存!A:K,11,0),"")</f>
        <v>12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2345</v>
      </c>
      <c r="B735">
        <f>IFERROR(VLOOKUP(A735,管理亚马逊库存!A:K,11,0),"")</f>
        <v>6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2350</v>
      </c>
      <c r="B736">
        <f>IFERROR(VLOOKUP(A736,管理亚马逊库存!A:K,11,0),"")</f>
        <v>6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2353</v>
      </c>
      <c r="B737">
        <f>IFERROR(VLOOKUP(A737,管理亚马逊库存!A:K,11,0),"")</f>
        <v>5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2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2</v>
      </c>
    </row>
    <row r="738" spans="1:14">
      <c r="A738" s="3" t="s">
        <v>2356</v>
      </c>
      <c r="B738">
        <f>IFERROR(VLOOKUP(A738,管理亚马逊库存!A:K,11,0),"")</f>
        <v>21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2358</v>
      </c>
      <c r="B739">
        <f>IFERROR(VLOOKUP(A739,管理亚马逊库存!A:K,11,0),"")</f>
        <v>13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11</v>
      </c>
      <c r="K739">
        <f>IFERROR(VLOOKUP(A739,库龄!B:L,10,0),0)</f>
        <v>2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13</v>
      </c>
    </row>
    <row r="740" spans="1:14">
      <c r="A740" s="3" t="s">
        <v>2361</v>
      </c>
      <c r="B740">
        <f>IFERROR(VLOOKUP(A740,管理亚马逊库存!A:K,11,0),"")</f>
        <v>3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2364</v>
      </c>
      <c r="B741">
        <f>IFERROR(VLOOKUP(A741,管理亚马逊库存!A:K,11,0),"")</f>
        <v>6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2368</v>
      </c>
      <c r="B742">
        <f>IFERROR(VLOOKUP(A742,管理亚马逊库存!A:K,11,0),"")</f>
        <v>2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2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2</v>
      </c>
    </row>
    <row r="743" spans="1:14">
      <c r="A743" s="3" t="s">
        <v>2369</v>
      </c>
      <c r="B743">
        <f>IFERROR(VLOOKUP(A743,管理亚马逊库存!A:K,11,0),"")</f>
        <v>22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10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10</v>
      </c>
    </row>
    <row r="744" spans="1:14">
      <c r="A744" s="3" t="s">
        <v>2372</v>
      </c>
      <c r="B744">
        <f>IFERROR(VLOOKUP(A744,管理亚马逊库存!A:K,11,0),"")</f>
        <v>8</v>
      </c>
      <c r="C744">
        <f>IFERROR(VLOOKUP(A744,管理亚马逊库存!A:L,12,0),"")</f>
        <v>0</v>
      </c>
      <c r="D744">
        <f>IFERROR(VLOOKUP(A744,管理亚马逊库存!A:Q,17,0),"")</f>
        <v>17</v>
      </c>
      <c r="E744">
        <f>IFERROR(VLOOKUP(A744,管理亚马逊库存!A:R,18,0),"")</f>
        <v>0</v>
      </c>
      <c r="F744">
        <f t="shared" si="23"/>
        <v>17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2376</v>
      </c>
      <c r="B745">
        <f>IFERROR(VLOOKUP(A745,管理亚马逊库存!A:K,11,0),"")</f>
        <v>23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2380</v>
      </c>
      <c r="B746">
        <f>IFERROR(VLOOKUP(A746,管理亚马逊库存!A:K,11,0),"")</f>
        <v>7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3</v>
      </c>
      <c r="L746">
        <f>IFERROR(VLOOKUP(A746,库龄!B:M,11,0),0)</f>
        <v>2</v>
      </c>
      <c r="M746">
        <f>IFERROR(VLOOKUP(A746,库龄!B:N,12,0),0)</f>
        <v>0</v>
      </c>
      <c r="N746">
        <f t="shared" si="24"/>
        <v>5</v>
      </c>
    </row>
    <row r="747" spans="1:14">
      <c r="A747" s="3" t="s">
        <v>2383</v>
      </c>
      <c r="B747">
        <f>IFERROR(VLOOKUP(A747,管理亚马逊库存!A:K,11,0),"")</f>
        <v>35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2386</v>
      </c>
      <c r="B748">
        <f>IFERROR(VLOOKUP(A748,管理亚马逊库存!A:K,11,0),"")</f>
        <v>11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2389</v>
      </c>
      <c r="B749">
        <f>IFERROR(VLOOKUP(A749,管理亚马逊库存!A:K,11,0),"")</f>
        <v>8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7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7</v>
      </c>
    </row>
    <row r="750" spans="1:14">
      <c r="A750" s="3" t="s">
        <v>2392</v>
      </c>
      <c r="B750">
        <f>IFERROR(VLOOKUP(A750,管理亚马逊库存!A:K,11,0),"")</f>
        <v>1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1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1</v>
      </c>
    </row>
    <row r="751" spans="1:14">
      <c r="A751" s="3" t="s">
        <v>2395</v>
      </c>
      <c r="B751">
        <f>IFERROR(VLOOKUP(A751,管理亚马逊库存!A:K,11,0),"")</f>
        <v>6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2398</v>
      </c>
      <c r="B752">
        <f>IFERROR(VLOOKUP(A752,管理亚马逊库存!A:K,11,0),"")</f>
        <v>4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2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2</v>
      </c>
    </row>
    <row r="753" spans="1:14">
      <c r="A753" s="3" t="s">
        <v>2401</v>
      </c>
      <c r="B753">
        <f>IFERROR(VLOOKUP(A753,管理亚马逊库存!A:K,11,0),"")</f>
        <v>8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2405</v>
      </c>
      <c r="B754">
        <f>IFERROR(VLOOKUP(A754,管理亚马逊库存!A:K,11,0),"")</f>
        <v>18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2409</v>
      </c>
      <c r="B755">
        <f>IFERROR(VLOOKUP(A755,管理亚马逊库存!A:K,11,0),"")</f>
        <v>3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1</v>
      </c>
      <c r="K755">
        <f>IFERROR(VLOOKUP(A755,库龄!B:L,10,0),0)</f>
        <v>2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3</v>
      </c>
    </row>
    <row r="756" spans="1:14">
      <c r="A756" s="3" t="s">
        <v>2412</v>
      </c>
      <c r="B756">
        <f>IFERROR(VLOOKUP(A756,管理亚马逊库存!A:K,11,0),"")</f>
        <v>23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2416</v>
      </c>
      <c r="B757">
        <f>IFERROR(VLOOKUP(A757,管理亚马逊库存!A:K,11,0),"")</f>
        <v>2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2417</v>
      </c>
      <c r="B758">
        <f>IFERROR(VLOOKUP(A758,管理亚马逊库存!A:K,11,0),"")</f>
        <v>14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9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9</v>
      </c>
    </row>
    <row r="759" spans="1:14">
      <c r="A759" s="3" t="s">
        <v>2419</v>
      </c>
      <c r="B759">
        <f>IFERROR(VLOOKUP(A759,管理亚马逊库存!A:K,11,0),"")</f>
        <v>2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2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2</v>
      </c>
    </row>
    <row r="760" spans="1:14">
      <c r="A760" s="3" t="s">
        <v>2422</v>
      </c>
      <c r="B760">
        <f>IFERROR(VLOOKUP(A760,管理亚马逊库存!A:K,11,0),"")</f>
        <v>26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2426</v>
      </c>
      <c r="B761">
        <f>IFERROR(VLOOKUP(A761,管理亚马逊库存!A:K,11,0),"")</f>
        <v>10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2428</v>
      </c>
      <c r="B762">
        <f>IFERROR(VLOOKUP(A762,管理亚马逊库存!A:K,11,0),"")</f>
        <v>8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7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7</v>
      </c>
    </row>
    <row r="763" spans="1:14">
      <c r="A763" s="3" t="s">
        <v>2431</v>
      </c>
      <c r="B763">
        <f>IFERROR(VLOOKUP(A763,管理亚马逊库存!A:K,11,0),"")</f>
        <v>26</v>
      </c>
      <c r="C763">
        <f>IFERROR(VLOOKUP(A763,管理亚马逊库存!A:L,12,0),"")</f>
        <v>0</v>
      </c>
      <c r="D763">
        <f>IFERROR(VLOOKUP(A763,管理亚马逊库存!A:Q,17,0),"")</f>
        <v>4</v>
      </c>
      <c r="E763">
        <f>IFERROR(VLOOKUP(A763,管理亚马逊库存!A:R,18,0),"")</f>
        <v>0</v>
      </c>
      <c r="F763">
        <f t="shared" si="23"/>
        <v>4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2435</v>
      </c>
      <c r="B764">
        <f>IFERROR(VLOOKUP(A764,管理亚马逊库存!A:K,11,0),"")</f>
        <v>1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2439</v>
      </c>
      <c r="B765">
        <f>IFERROR(VLOOKUP(A765,管理亚马逊库存!A:K,11,0),"")</f>
        <v>5</v>
      </c>
      <c r="C765">
        <f>IFERROR(VLOOKUP(A765,管理亚马逊库存!A:L,12,0),"")</f>
        <v>0</v>
      </c>
      <c r="D765">
        <f>IFERROR(VLOOKUP(A765,管理亚马逊库存!A:Q,17,0),"")</f>
        <v>10</v>
      </c>
      <c r="E765">
        <f>IFERROR(VLOOKUP(A765,管理亚马逊库存!A:R,18,0),"")</f>
        <v>0</v>
      </c>
      <c r="F765">
        <f t="shared" si="23"/>
        <v>10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2443</v>
      </c>
      <c r="B766">
        <f>IFERROR(VLOOKUP(A766,管理亚马逊库存!A:K,11,0),"")</f>
        <v>4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4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4</v>
      </c>
    </row>
    <row r="767" spans="1:14">
      <c r="A767" s="3" t="s">
        <v>2446</v>
      </c>
      <c r="B767">
        <f>IFERROR(VLOOKUP(A767,管理亚马逊库存!A:K,11,0),"")</f>
        <v>1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1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1</v>
      </c>
    </row>
    <row r="768" spans="1:14">
      <c r="A768" s="3" t="s">
        <v>2449</v>
      </c>
      <c r="B768">
        <f>IFERROR(VLOOKUP(A768,管理亚马逊库存!A:K,11,0),"")</f>
        <v>1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1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1</v>
      </c>
    </row>
    <row r="769" spans="1:14">
      <c r="A769" s="3" t="s">
        <v>2452</v>
      </c>
      <c r="B769">
        <f>IFERROR(VLOOKUP(A769,管理亚马逊库存!A:K,11,0),"")</f>
        <v>9</v>
      </c>
      <c r="C769">
        <f>IFERROR(VLOOKUP(A769,管理亚马逊库存!A:L,12,0),"")</f>
        <v>0</v>
      </c>
      <c r="D769">
        <f>IFERROR(VLOOKUP(A769,管理亚马逊库存!A:Q,17,0),"")</f>
        <v>1</v>
      </c>
      <c r="E769">
        <f>IFERROR(VLOOKUP(A769,管理亚马逊库存!A:R,18,0),"")</f>
        <v>0</v>
      </c>
      <c r="F769">
        <f t="shared" si="23"/>
        <v>1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2456</v>
      </c>
      <c r="B770">
        <f>IFERROR(VLOOKUP(A770,管理亚马逊库存!A:K,11,0),"")</f>
        <v>1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2459</v>
      </c>
      <c r="B771">
        <f>IFERROR(VLOOKUP(A771,管理亚马逊库存!A:K,11,0),"")</f>
        <v>9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1</v>
      </c>
      <c r="K771">
        <f>IFERROR(VLOOKUP(A771,库龄!B:L,10,0),0)</f>
        <v>8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9</v>
      </c>
    </row>
    <row r="772" spans="1:14">
      <c r="A772" s="3" t="s">
        <v>2461</v>
      </c>
      <c r="B772">
        <f>IFERROR(VLOOKUP(A772,管理亚马逊库存!A:K,11,0),"")</f>
        <v>4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6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6</v>
      </c>
    </row>
    <row r="773" spans="1:14">
      <c r="A773" s="3" t="s">
        <v>2463</v>
      </c>
      <c r="B773">
        <f>IFERROR(VLOOKUP(A773,管理亚马逊库存!A:K,11,0),"")</f>
        <v>9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8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8</v>
      </c>
    </row>
    <row r="774" spans="1:14">
      <c r="A774" s="3" t="s">
        <v>2466</v>
      </c>
      <c r="B774">
        <f>IFERROR(VLOOKUP(A774,管理亚马逊库存!A:K,11,0),"")</f>
        <v>7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6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6</v>
      </c>
    </row>
    <row r="775" spans="1:14">
      <c r="A775" s="3" t="s">
        <v>2468</v>
      </c>
      <c r="B775">
        <f>IFERROR(VLOOKUP(A775,管理亚马逊库存!A:K,11,0),"")</f>
        <v>1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2471</v>
      </c>
      <c r="B776">
        <f>IFERROR(VLOOKUP(A776,管理亚马逊库存!A:K,11,0),"")</f>
        <v>2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2474</v>
      </c>
      <c r="B777">
        <f>IFERROR(VLOOKUP(A777,管理亚马逊库存!A:K,11,0),"")</f>
        <v>2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2477</v>
      </c>
      <c r="B778">
        <f>IFERROR(VLOOKUP(A778,管理亚马逊库存!A:K,11,0),"")</f>
        <v>2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2480</v>
      </c>
      <c r="B779">
        <f>IFERROR(VLOOKUP(A779,管理亚马逊库存!A:K,11,0),"")</f>
        <v>1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1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1</v>
      </c>
    </row>
    <row r="780" spans="1:14">
      <c r="A780" s="3" t="s">
        <v>2483</v>
      </c>
      <c r="B780">
        <f>IFERROR(VLOOKUP(A780,管理亚马逊库存!A:K,11,0),"")</f>
        <v>7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6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6</v>
      </c>
    </row>
    <row r="781" spans="1:14">
      <c r="A781" s="3" t="s">
        <v>2486</v>
      </c>
      <c r="B781">
        <f>IFERROR(VLOOKUP(A781,管理亚马逊库存!A:K,11,0),"")</f>
        <v>27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4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4</v>
      </c>
    </row>
    <row r="782" spans="1:14">
      <c r="A782" s="3" t="s">
        <v>2489</v>
      </c>
      <c r="B782">
        <f>IFERROR(VLOOKUP(A782,管理亚马逊库存!A:K,11,0),"")</f>
        <v>1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1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1</v>
      </c>
    </row>
    <row r="783" spans="1:14">
      <c r="A783" s="3" t="s">
        <v>2492</v>
      </c>
      <c r="B783">
        <f>IFERROR(VLOOKUP(A783,管理亚马逊库存!A:K,11,0),"")</f>
        <v>5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2496</v>
      </c>
      <c r="B784">
        <f>IFERROR(VLOOKUP(A784,管理亚马逊库存!A:K,11,0),"")</f>
        <v>21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21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21</v>
      </c>
    </row>
    <row r="785" spans="1:14">
      <c r="A785" s="3" t="s">
        <v>2499</v>
      </c>
      <c r="B785">
        <f>IFERROR(VLOOKUP(A785,管理亚马逊库存!A:K,11,0),"")</f>
        <v>1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1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1</v>
      </c>
    </row>
    <row r="786" spans="1:14">
      <c r="A786" s="3" t="s">
        <v>2502</v>
      </c>
      <c r="B786">
        <f>IFERROR(VLOOKUP(A786,管理亚马逊库存!A:K,11,0),"")</f>
        <v>1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1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1</v>
      </c>
    </row>
    <row r="787" spans="1:14">
      <c r="A787" s="3" t="s">
        <v>2505</v>
      </c>
      <c r="B787">
        <f>IFERROR(VLOOKUP(A787,管理亚马逊库存!A:K,11,0),"")</f>
        <v>12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2509</v>
      </c>
      <c r="B788">
        <f>IFERROR(VLOOKUP(A788,管理亚马逊库存!A:K,11,0),"")</f>
        <v>5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2513</v>
      </c>
      <c r="B789">
        <f>IFERROR(VLOOKUP(A789,管理亚马逊库存!A:K,11,0),"")</f>
        <v>2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2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2</v>
      </c>
    </row>
    <row r="790" spans="1:14">
      <c r="A790" s="3" t="s">
        <v>2516</v>
      </c>
      <c r="B790">
        <f>IFERROR(VLOOKUP(A790,管理亚马逊库存!A:K,11,0),"")</f>
        <v>7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7</v>
      </c>
      <c r="M790">
        <f>IFERROR(VLOOKUP(A790,库龄!B:N,12,0),0)</f>
        <v>0</v>
      </c>
      <c r="N790">
        <f t="shared" si="26"/>
        <v>7</v>
      </c>
    </row>
    <row r="791" spans="1:14">
      <c r="A791" s="3" t="s">
        <v>2519</v>
      </c>
      <c r="B791">
        <f>IFERROR(VLOOKUP(A791,管理亚马逊库存!A:K,11,0),"")</f>
        <v>2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2522</v>
      </c>
      <c r="B792">
        <f>IFERROR(VLOOKUP(A792,管理亚马逊库存!A:K,11,0),"")</f>
        <v>3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3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3</v>
      </c>
    </row>
    <row r="793" spans="1:14">
      <c r="A793" s="3" t="s">
        <v>2525</v>
      </c>
      <c r="B793">
        <f>IFERROR(VLOOKUP(A793,管理亚马逊库存!A:K,11,0),"")</f>
        <v>4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5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5</v>
      </c>
    </row>
    <row r="794" spans="1:14">
      <c r="A794" s="3" t="s">
        <v>2528</v>
      </c>
      <c r="B794">
        <f>IFERROR(VLOOKUP(A794,管理亚马逊库存!A:K,11,0),"")</f>
        <v>22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2532</v>
      </c>
      <c r="B795">
        <f>IFERROR(VLOOKUP(A795,管理亚马逊库存!A:K,11,0),"")</f>
        <v>6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2536</v>
      </c>
      <c r="B796">
        <f>IFERROR(VLOOKUP(A796,管理亚马逊库存!A:K,11,0),"")</f>
        <v>24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2540</v>
      </c>
      <c r="B797">
        <f>IFERROR(VLOOKUP(A797,管理亚马逊库存!A:K,11,0),"")</f>
        <v>15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15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15</v>
      </c>
    </row>
    <row r="798" spans="1:14">
      <c r="A798" s="3" t="s">
        <v>2543</v>
      </c>
      <c r="B798">
        <f>IFERROR(VLOOKUP(A798,管理亚马逊库存!A:K,11,0),"")</f>
        <v>1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1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1</v>
      </c>
    </row>
    <row r="799" spans="1:14">
      <c r="A799" s="3" t="s">
        <v>2546</v>
      </c>
      <c r="B799">
        <f>IFERROR(VLOOKUP(A799,管理亚马逊库存!A:K,11,0),"")</f>
        <v>6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2549</v>
      </c>
      <c r="B800">
        <f>IFERROR(VLOOKUP(A800,管理亚马逊库存!A:K,11,0),"")</f>
        <v>12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2552</v>
      </c>
      <c r="B801">
        <f>IFERROR(VLOOKUP(A801,管理亚马逊库存!A:K,11,0),"")</f>
        <v>7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2556</v>
      </c>
      <c r="B802">
        <f>IFERROR(VLOOKUP(A802,管理亚马逊库存!A:K,11,0),"")</f>
        <v>1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1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1</v>
      </c>
    </row>
    <row r="803" spans="1:14">
      <c r="A803" s="3" t="s">
        <v>2559</v>
      </c>
      <c r="B803">
        <f>IFERROR(VLOOKUP(A803,管理亚马逊库存!A:K,11,0),"")</f>
        <v>1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1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1</v>
      </c>
    </row>
    <row r="804" spans="1:14">
      <c r="A804" s="3" t="s">
        <v>2562</v>
      </c>
      <c r="B804">
        <f>IFERROR(VLOOKUP(A804,管理亚马逊库存!A:K,11,0),"")</f>
        <v>2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2564</v>
      </c>
      <c r="B805">
        <f>IFERROR(VLOOKUP(A805,管理亚马逊库存!A:K,11,0),"")</f>
        <v>5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2568</v>
      </c>
      <c r="B806">
        <f>IFERROR(VLOOKUP(A806,管理亚马逊库存!A:K,11,0),"")</f>
        <v>4</v>
      </c>
      <c r="C806">
        <f>IFERROR(VLOOKUP(A806,管理亚马逊库存!A:L,12,0),"")</f>
        <v>0</v>
      </c>
      <c r="D806">
        <f>IFERROR(VLOOKUP(A806,管理亚马逊库存!A:Q,17,0),"")</f>
        <v>10</v>
      </c>
      <c r="E806">
        <f>IFERROR(VLOOKUP(A806,管理亚马逊库存!A:R,18,0),"")</f>
        <v>0</v>
      </c>
      <c r="F806">
        <f t="shared" si="25"/>
        <v>10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2572</v>
      </c>
      <c r="B807">
        <f>IFERROR(VLOOKUP(A807,管理亚马逊库存!A:K,11,0),"")</f>
        <v>12</v>
      </c>
      <c r="C807">
        <f>IFERROR(VLOOKUP(A807,管理亚马逊库存!A:L,12,0),"")</f>
        <v>0</v>
      </c>
      <c r="D807">
        <f>IFERROR(VLOOKUP(A807,管理亚马逊库存!A:Q,17,0),"")</f>
        <v>6</v>
      </c>
      <c r="E807">
        <f>IFERROR(VLOOKUP(A807,管理亚马逊库存!A:R,18,0),"")</f>
        <v>0</v>
      </c>
      <c r="F807">
        <f t="shared" si="25"/>
        <v>6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2576</v>
      </c>
      <c r="B808">
        <f>IFERROR(VLOOKUP(A808,管理亚马逊库存!A:K,11,0),"")</f>
        <v>6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2580</v>
      </c>
      <c r="B809">
        <f>IFERROR(VLOOKUP(A809,管理亚马逊库存!A:K,11,0),"")</f>
        <v>1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2583</v>
      </c>
      <c r="B810">
        <f>IFERROR(VLOOKUP(A810,管理亚马逊库存!A:K,11,0),"")</f>
        <v>11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2585</v>
      </c>
      <c r="B811">
        <f>IFERROR(VLOOKUP(A811,管理亚马逊库存!A:K,11,0),"")</f>
        <v>10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2587</v>
      </c>
      <c r="B812">
        <f>IFERROR(VLOOKUP(A812,管理亚马逊库存!A:K,11,0),"")</f>
        <v>4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4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4</v>
      </c>
    </row>
    <row r="813" spans="1:14">
      <c r="A813" s="3" t="s">
        <v>2590</v>
      </c>
      <c r="B813">
        <f>IFERROR(VLOOKUP(A813,管理亚马逊库存!A:K,11,0),"")</f>
        <v>6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2594</v>
      </c>
      <c r="B814">
        <f>IFERROR(VLOOKUP(A814,管理亚马逊库存!A:K,11,0),"")</f>
        <v>8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2597</v>
      </c>
      <c r="B815">
        <f>IFERROR(VLOOKUP(A815,管理亚马逊库存!A:K,11,0),"")</f>
        <v>6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2601</v>
      </c>
      <c r="B816">
        <f>IFERROR(VLOOKUP(A816,管理亚马逊库存!A:K,11,0),"")</f>
        <v>6</v>
      </c>
      <c r="C816">
        <f>IFERROR(VLOOKUP(A816,管理亚马逊库存!A:L,12,0),"")</f>
        <v>0</v>
      </c>
      <c r="D816">
        <f>IFERROR(VLOOKUP(A816,管理亚马逊库存!A:Q,17,0),"")</f>
        <v>5</v>
      </c>
      <c r="E816">
        <f>IFERROR(VLOOKUP(A816,管理亚马逊库存!A:R,18,0),"")</f>
        <v>0</v>
      </c>
      <c r="F816">
        <f t="shared" si="25"/>
        <v>5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2603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2</v>
      </c>
      <c r="E817">
        <f>IFERROR(VLOOKUP(A817,管理亚马逊库存!A:R,18,0),"")</f>
        <v>0</v>
      </c>
      <c r="F817">
        <f t="shared" si="25"/>
        <v>2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2605</v>
      </c>
      <c r="B818">
        <f>IFERROR(VLOOKUP(A818,管理亚马逊库存!A:K,11,0),"")</f>
        <v>24</v>
      </c>
      <c r="C818">
        <f>IFERROR(VLOOKUP(A818,管理亚马逊库存!A:L,12,0),"")</f>
        <v>1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2609</v>
      </c>
      <c r="B819">
        <f>IFERROR(VLOOKUP(A819,管理亚马逊库存!A:K,11,0),"")</f>
        <v>9</v>
      </c>
      <c r="C819">
        <f>IFERROR(VLOOKUP(A819,管理亚马逊库存!A:L,12,0),"")</f>
        <v>1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2611</v>
      </c>
      <c r="B820">
        <f>IFERROR(VLOOKUP(A820,管理亚马逊库存!A:K,11,0),"")</f>
        <v>1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1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1</v>
      </c>
    </row>
    <row r="821" spans="1:14">
      <c r="A821" s="3" t="s">
        <v>2612</v>
      </c>
      <c r="B821">
        <f>IFERROR(VLOOKUP(A821,管理亚马逊库存!A:K,11,0),"")</f>
        <v>11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1</v>
      </c>
      <c r="L821">
        <f>IFERROR(VLOOKUP(A821,库龄!B:M,11,0),0)</f>
        <v>9</v>
      </c>
      <c r="M821">
        <f>IFERROR(VLOOKUP(A821,库龄!B:N,12,0),0)</f>
        <v>0</v>
      </c>
      <c r="N821">
        <f t="shared" si="26"/>
        <v>10</v>
      </c>
    </row>
    <row r="822" spans="1:14">
      <c r="A822" s="3" t="s">
        <v>2615</v>
      </c>
      <c r="B822">
        <f>IFERROR(VLOOKUP(A822,管理亚马逊库存!A:K,11,0),"")</f>
        <v>23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15</v>
      </c>
      <c r="K822">
        <f>IFERROR(VLOOKUP(A822,库龄!B:L,10,0),0)</f>
        <v>8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23</v>
      </c>
    </row>
    <row r="823" spans="1:14">
      <c r="A823" s="3" t="s">
        <v>2618</v>
      </c>
      <c r="B823">
        <f>IFERROR(VLOOKUP(A823,管理亚马逊库存!A:K,11,0),"")</f>
        <v>2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1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1</v>
      </c>
    </row>
    <row r="824" spans="1:14">
      <c r="A824" s="3" t="s">
        <v>2619</v>
      </c>
      <c r="B824">
        <f>IFERROR(VLOOKUP(A824,管理亚马逊库存!A:K,11,0),"")</f>
        <v>5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3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3</v>
      </c>
    </row>
    <row r="825" spans="1:14">
      <c r="A825" s="3" t="s">
        <v>2622</v>
      </c>
      <c r="B825">
        <f>IFERROR(VLOOKUP(A825,管理亚马逊库存!A:K,11,0),"")</f>
        <v>1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2625</v>
      </c>
      <c r="B826">
        <f>IFERROR(VLOOKUP(A826,管理亚马逊库存!A:K,11,0),"")</f>
        <v>39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30</v>
      </c>
      <c r="K826">
        <f>IFERROR(VLOOKUP(A826,库龄!B:L,10,0),0)</f>
        <v>6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36</v>
      </c>
    </row>
    <row r="827" spans="1:14">
      <c r="A827" s="3" t="s">
        <v>2628</v>
      </c>
      <c r="B827">
        <f>IFERROR(VLOOKUP(A827,管理亚马逊库存!A:K,11,0),"")</f>
        <v>1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1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1</v>
      </c>
    </row>
    <row r="828" spans="1:14">
      <c r="A828" s="3" t="s">
        <v>2631</v>
      </c>
      <c r="B828">
        <f>IFERROR(VLOOKUP(A828,管理亚马逊库存!A:K,11,0),"")</f>
        <v>3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2</v>
      </c>
      <c r="K828">
        <f>IFERROR(VLOOKUP(A828,库龄!B:L,10,0),0)</f>
        <v>1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3</v>
      </c>
    </row>
    <row r="829" spans="1:14">
      <c r="A829" s="3" t="s">
        <v>2634</v>
      </c>
      <c r="B829">
        <f>IFERROR(VLOOKUP(A829,管理亚马逊库存!A:K,11,0),"")</f>
        <v>41</v>
      </c>
      <c r="C829">
        <f>IFERROR(VLOOKUP(A829,管理亚马逊库存!A:L,12,0),"")</f>
        <v>2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2638</v>
      </c>
      <c r="B830">
        <f>IFERROR(VLOOKUP(A830,管理亚马逊库存!A:K,11,0),"")</f>
        <v>1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2639</v>
      </c>
      <c r="B831">
        <f>IFERROR(VLOOKUP(A831,管理亚马逊库存!A:K,11,0),"")</f>
        <v>2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2640</v>
      </c>
      <c r="B832">
        <f>IFERROR(VLOOKUP(A832,管理亚马逊库存!A:K,11,0),"")</f>
        <v>1</v>
      </c>
      <c r="C832">
        <f>IFERROR(VLOOKUP(A832,管理亚马逊库存!A:L,12,0),"")</f>
        <v>1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1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1</v>
      </c>
    </row>
    <row r="833" spans="1:14">
      <c r="A833" s="3" t="s">
        <v>2641</v>
      </c>
      <c r="B833">
        <f>IFERROR(VLOOKUP(A833,管理亚马逊库存!A:K,11,0),"")</f>
        <v>8</v>
      </c>
      <c r="C833">
        <f>IFERROR(VLOOKUP(A833,管理亚马逊库存!A:L,12,0),"")</f>
        <v>0</v>
      </c>
      <c r="D833">
        <f>IFERROR(VLOOKUP(A833,管理亚马逊库存!A:Q,17,0),"")</f>
        <v>42</v>
      </c>
      <c r="E833">
        <f>IFERROR(VLOOKUP(A833,管理亚马逊库存!A:R,18,0),"")</f>
        <v>0</v>
      </c>
      <c r="F833">
        <f t="shared" si="25"/>
        <v>42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2643</v>
      </c>
      <c r="B834">
        <f>IFERROR(VLOOKUP(A834,管理亚马逊库存!A:K,11,0),"")</f>
        <v>4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4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4</v>
      </c>
    </row>
    <row r="835" spans="1:14">
      <c r="A835" s="3" t="s">
        <v>2646</v>
      </c>
      <c r="B835">
        <f>IFERROR(VLOOKUP(A835,管理亚马逊库存!A:K,11,0),"")</f>
        <v>16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2649</v>
      </c>
      <c r="B836">
        <f>IFERROR(VLOOKUP(A836,管理亚马逊库存!A:K,11,0),"")</f>
        <v>4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4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4</v>
      </c>
    </row>
    <row r="837" spans="1:14">
      <c r="A837" s="3" t="s">
        <v>2652</v>
      </c>
      <c r="B837">
        <f>IFERROR(VLOOKUP(A837,管理亚马逊库存!A:K,11,0),"")</f>
        <v>10</v>
      </c>
      <c r="C837">
        <f>IFERROR(VLOOKUP(A837,管理亚马逊库存!A:L,12,0),"")</f>
        <v>0</v>
      </c>
      <c r="D837">
        <f>IFERROR(VLOOKUP(A837,管理亚马逊库存!A:Q,17,0),"")</f>
        <v>20</v>
      </c>
      <c r="E837">
        <f>IFERROR(VLOOKUP(A837,管理亚马逊库存!A:R,18,0),"")</f>
        <v>0</v>
      </c>
      <c r="F837">
        <f t="shared" si="27"/>
        <v>20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2656</v>
      </c>
      <c r="B838">
        <f>IFERROR(VLOOKUP(A838,管理亚马逊库存!A:K,11,0),"")</f>
        <v>8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2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2</v>
      </c>
    </row>
    <row r="839" spans="1:14">
      <c r="A839" s="3" t="s">
        <v>2659</v>
      </c>
      <c r="B839">
        <f>IFERROR(VLOOKUP(A839,管理亚马逊库存!A:K,11,0),"")</f>
        <v>1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1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1</v>
      </c>
    </row>
    <row r="840" spans="1:14">
      <c r="A840" s="3" t="s">
        <v>2662</v>
      </c>
      <c r="B840">
        <f>IFERROR(VLOOKUP(A840,管理亚马逊库存!A:K,11,0),"")</f>
        <v>19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16</v>
      </c>
      <c r="K840">
        <f>IFERROR(VLOOKUP(A840,库龄!B:L,10,0),0)</f>
        <v>2</v>
      </c>
      <c r="L840">
        <f>IFERROR(VLOOKUP(A840,库龄!B:M,11,0),0)</f>
        <v>1</v>
      </c>
      <c r="M840">
        <f>IFERROR(VLOOKUP(A840,库龄!B:N,12,0),0)</f>
        <v>0</v>
      </c>
      <c r="N840">
        <f t="shared" si="28"/>
        <v>19</v>
      </c>
    </row>
    <row r="841" spans="1:14">
      <c r="A841" s="3" t="s">
        <v>2665</v>
      </c>
      <c r="B841">
        <f>IFERROR(VLOOKUP(A841,管理亚马逊库存!A:K,11,0),"")</f>
        <v>1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1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1</v>
      </c>
    </row>
    <row r="842" spans="1:14">
      <c r="A842" s="3" t="s">
        <v>2668</v>
      </c>
      <c r="B842">
        <f>IFERROR(VLOOKUP(A842,管理亚马逊库存!A:K,11,0),"")</f>
        <v>1</v>
      </c>
      <c r="C842">
        <f>IFERROR(VLOOKUP(A842,管理亚马逊库存!A:L,12,0),"")</f>
        <v>1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2671</v>
      </c>
      <c r="B843">
        <f>IFERROR(VLOOKUP(A843,管理亚马逊库存!A:K,11,0),"")</f>
        <v>16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1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1</v>
      </c>
    </row>
    <row r="844" spans="1:14">
      <c r="A844" s="3" t="s">
        <v>2674</v>
      </c>
      <c r="B844">
        <f>IFERROR(VLOOKUP(A844,管理亚马逊库存!A:K,11,0),"")</f>
        <v>10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10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10</v>
      </c>
    </row>
    <row r="845" spans="1:14">
      <c r="A845" s="3" t="s">
        <v>2677</v>
      </c>
      <c r="B845">
        <f>IFERROR(VLOOKUP(A845,管理亚马逊库存!A:K,11,0),"")</f>
        <v>16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2680</v>
      </c>
      <c r="B846">
        <f>IFERROR(VLOOKUP(A846,管理亚马逊库存!A:K,11,0),"")</f>
        <v>2</v>
      </c>
      <c r="C846">
        <f>IFERROR(VLOOKUP(A846,管理亚马逊库存!A:L,12,0),"")</f>
        <v>0</v>
      </c>
      <c r="D846">
        <f>IFERROR(VLOOKUP(A846,管理亚马逊库存!A:Q,17,0),"")</f>
        <v>12</v>
      </c>
      <c r="E846">
        <f>IFERROR(VLOOKUP(A846,管理亚马逊库存!A:R,18,0),"")</f>
        <v>0</v>
      </c>
      <c r="F846">
        <f t="shared" si="27"/>
        <v>12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2682</v>
      </c>
      <c r="B847">
        <f>IFERROR(VLOOKUP(A847,管理亚马逊库存!A:K,11,0),"")</f>
        <v>2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2685</v>
      </c>
      <c r="B848">
        <f>IFERROR(VLOOKUP(A848,管理亚马逊库存!A:K,11,0),"")</f>
        <v>32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27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27</v>
      </c>
    </row>
    <row r="849" spans="1:14">
      <c r="A849" s="3" t="s">
        <v>2688</v>
      </c>
      <c r="B849">
        <f>IFERROR(VLOOKUP(A849,管理亚马逊库存!A:K,11,0),"")</f>
        <v>1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2691</v>
      </c>
      <c r="B850">
        <f>IFERROR(VLOOKUP(A850,管理亚马逊库存!A:K,11,0),"")</f>
        <v>21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18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18</v>
      </c>
    </row>
    <row r="851" spans="1:14">
      <c r="A851" s="3" t="s">
        <v>2694</v>
      </c>
      <c r="B851">
        <f>IFERROR(VLOOKUP(A851,管理亚马逊库存!A:K,11,0),"")</f>
        <v>1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1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1</v>
      </c>
    </row>
    <row r="852" spans="1:14">
      <c r="A852" s="3" t="s">
        <v>2697</v>
      </c>
      <c r="B852">
        <f>IFERROR(VLOOKUP(A852,管理亚马逊库存!A:K,11,0),"")</f>
        <v>33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30</v>
      </c>
      <c r="K852">
        <f>IFERROR(VLOOKUP(A852,库龄!B:L,10,0),0)</f>
        <v>3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33</v>
      </c>
    </row>
    <row r="853" spans="1:14">
      <c r="A853" s="3" t="s">
        <v>2699</v>
      </c>
      <c r="B853">
        <f>IFERROR(VLOOKUP(A853,管理亚马逊库存!A:K,11,0),"")</f>
        <v>17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11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11</v>
      </c>
    </row>
    <row r="854" spans="1:14">
      <c r="A854" s="3" t="s">
        <v>2702</v>
      </c>
      <c r="B854">
        <f>IFERROR(VLOOKUP(A854,管理亚马逊库存!A:K,11,0),"")</f>
        <v>1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2705</v>
      </c>
      <c r="B855">
        <f>IFERROR(VLOOKUP(A855,管理亚马逊库存!A:K,11,0),"")</f>
        <v>2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2709</v>
      </c>
      <c r="B856">
        <f>IFERROR(VLOOKUP(A856,管理亚马逊库存!A:K,11,0),"")</f>
        <v>6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2713</v>
      </c>
      <c r="B857">
        <f>IFERROR(VLOOKUP(A857,管理亚马逊库存!A:K,11,0),"")</f>
        <v>6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2717</v>
      </c>
      <c r="B858">
        <f>IFERROR(VLOOKUP(A858,管理亚马逊库存!A:K,11,0),"")</f>
        <v>3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2</v>
      </c>
      <c r="K858">
        <f>IFERROR(VLOOKUP(A858,库龄!B:L,10,0),0)</f>
        <v>1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3</v>
      </c>
    </row>
    <row r="859" spans="1:14">
      <c r="A859" s="3" t="s">
        <v>2720</v>
      </c>
      <c r="B859">
        <f>IFERROR(VLOOKUP(A859,管理亚马逊库存!A:K,11,0),"")</f>
        <v>6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5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5</v>
      </c>
    </row>
    <row r="860" spans="1:14">
      <c r="A860" s="3" t="s">
        <v>2723</v>
      </c>
      <c r="B860">
        <f>IFERROR(VLOOKUP(A860,管理亚马逊库存!A:K,11,0),"")</f>
        <v>5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2727</v>
      </c>
      <c r="B861">
        <f>IFERROR(VLOOKUP(A861,管理亚马逊库存!A:K,11,0),"")</f>
        <v>1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1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1</v>
      </c>
    </row>
    <row r="862" spans="1:14">
      <c r="A862" s="3" t="s">
        <v>2730</v>
      </c>
      <c r="B862">
        <f>IFERROR(VLOOKUP(A862,管理亚马逊库存!A:K,11,0),"")</f>
        <v>8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2733</v>
      </c>
      <c r="B863">
        <f>IFERROR(VLOOKUP(A863,管理亚马逊库存!A:K,11,0),"")</f>
        <v>6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2737</v>
      </c>
      <c r="B864">
        <f>IFERROR(VLOOKUP(A864,管理亚马逊库存!A:K,11,0),"")</f>
        <v>1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1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1</v>
      </c>
    </row>
    <row r="865" spans="1:14">
      <c r="A865" s="3" t="s">
        <v>2740</v>
      </c>
      <c r="B865">
        <f>IFERROR(VLOOKUP(A865,管理亚马逊库存!A:K,11,0),"")</f>
        <v>8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8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8</v>
      </c>
    </row>
    <row r="866" spans="1:14">
      <c r="A866" s="3" t="s">
        <v>2743</v>
      </c>
      <c r="B866">
        <f>IFERROR(VLOOKUP(A866,管理亚马逊库存!A:K,11,0),"")</f>
        <v>6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2746</v>
      </c>
      <c r="B867">
        <f>IFERROR(VLOOKUP(A867,管理亚马逊库存!A:K,11,0),"")</f>
        <v>19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2750</v>
      </c>
      <c r="B868">
        <f>IFERROR(VLOOKUP(A868,管理亚马逊库存!A:K,11,0),"")</f>
        <v>5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6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6</v>
      </c>
    </row>
    <row r="869" spans="1:14">
      <c r="A869" s="3" t="s">
        <v>2753</v>
      </c>
      <c r="B869">
        <f>IFERROR(VLOOKUP(A869,管理亚马逊库存!A:K,11,0),"")</f>
        <v>6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2757</v>
      </c>
      <c r="B870">
        <f>IFERROR(VLOOKUP(A870,管理亚马逊库存!A:K,11,0),"")</f>
        <v>4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4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4</v>
      </c>
    </row>
    <row r="871" spans="1:14">
      <c r="A871" s="3" t="s">
        <v>2760</v>
      </c>
      <c r="B871">
        <f>IFERROR(VLOOKUP(A871,管理亚马逊库存!A:K,11,0),"")</f>
        <v>2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1</v>
      </c>
      <c r="K871">
        <f>IFERROR(VLOOKUP(A871,库龄!B:L,10,0),0)</f>
        <v>1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2</v>
      </c>
    </row>
    <row r="872" spans="1:14">
      <c r="A872" s="3" t="s">
        <v>2762</v>
      </c>
      <c r="B872">
        <f>IFERROR(VLOOKUP(A872,管理亚马逊库存!A:K,11,0),"")</f>
        <v>3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1</v>
      </c>
      <c r="K872">
        <f>IFERROR(VLOOKUP(A872,库龄!B:L,10,0),0)</f>
        <v>2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3</v>
      </c>
    </row>
    <row r="873" spans="1:14">
      <c r="A873" s="3" t="s">
        <v>2763</v>
      </c>
      <c r="B873">
        <f>IFERROR(VLOOKUP(A873,管理亚马逊库存!A:K,11,0),"")</f>
        <v>21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15</v>
      </c>
      <c r="K873">
        <f>IFERROR(VLOOKUP(A873,库龄!B:L,10,0),0)</f>
        <v>1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16</v>
      </c>
    </row>
    <row r="874" spans="1:14">
      <c r="A874" s="3" t="s">
        <v>2766</v>
      </c>
      <c r="B874">
        <f>IFERROR(VLOOKUP(A874,管理亚马逊库存!A:K,11,0),"")</f>
        <v>9</v>
      </c>
      <c r="C874">
        <f>IFERROR(VLOOKUP(A874,管理亚马逊库存!A:L,12,0),"")</f>
        <v>0</v>
      </c>
      <c r="D874">
        <f>IFERROR(VLOOKUP(A874,管理亚马逊库存!A:Q,17,0),"")</f>
        <v>25</v>
      </c>
      <c r="E874">
        <f>IFERROR(VLOOKUP(A874,管理亚马逊库存!A:R,18,0),"")</f>
        <v>0</v>
      </c>
      <c r="F874">
        <f t="shared" si="27"/>
        <v>25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2768</v>
      </c>
      <c r="B875">
        <f>IFERROR(VLOOKUP(A875,管理亚马逊库存!A:K,11,0),"")</f>
        <v>17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15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15</v>
      </c>
    </row>
    <row r="876" spans="1:14">
      <c r="A876" s="3" t="s">
        <v>2771</v>
      </c>
      <c r="B876">
        <f>IFERROR(VLOOKUP(A876,管理亚马逊库存!A:K,11,0),"")</f>
        <v>21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2773</v>
      </c>
      <c r="B877">
        <f>IFERROR(VLOOKUP(A877,管理亚马逊库存!A:K,11,0),"")</f>
        <v>16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15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15</v>
      </c>
    </row>
    <row r="878" spans="1:14">
      <c r="A878" s="3" t="s">
        <v>2775</v>
      </c>
      <c r="B878">
        <f>IFERROR(VLOOKUP(A878,管理亚马逊库存!A:K,11,0),"")</f>
        <v>6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6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6</v>
      </c>
    </row>
    <row r="879" spans="1:14">
      <c r="A879" s="3" t="s">
        <v>2777</v>
      </c>
      <c r="B879">
        <f>IFERROR(VLOOKUP(A879,管理亚马逊库存!A:K,11,0),"")</f>
        <v>4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2778</v>
      </c>
      <c r="B880">
        <f>IFERROR(VLOOKUP(A880,管理亚马逊库存!A:K,11,0),"")</f>
        <v>15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15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15</v>
      </c>
    </row>
    <row r="881" spans="1:14">
      <c r="A881" s="3" t="s">
        <v>2781</v>
      </c>
      <c r="B881">
        <f>IFERROR(VLOOKUP(A881,管理亚马逊库存!A:K,11,0),"")</f>
        <v>2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2785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1</v>
      </c>
      <c r="M882">
        <f>IFERROR(VLOOKUP(A882,库龄!B:N,12,0),0)</f>
        <v>0</v>
      </c>
      <c r="N882">
        <f t="shared" si="28"/>
        <v>1</v>
      </c>
    </row>
    <row r="883" spans="1:14">
      <c r="A883" s="3" t="s">
        <v>2788</v>
      </c>
      <c r="B883">
        <f>IFERROR(VLOOKUP(A883,管理亚马逊库存!A:K,11,0),"")</f>
        <v>23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2792</v>
      </c>
      <c r="B884">
        <f>IFERROR(VLOOKUP(A884,管理亚马逊库存!A:K,11,0),"")</f>
        <v>5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2</v>
      </c>
      <c r="K884">
        <f>IFERROR(VLOOKUP(A884,库龄!B:L,10,0),0)</f>
        <v>2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4</v>
      </c>
    </row>
    <row r="885" spans="1:14">
      <c r="A885" s="3" t="s">
        <v>2795</v>
      </c>
      <c r="B885">
        <f>IFERROR(VLOOKUP(A885,管理亚马逊库存!A:K,11,0),"")</f>
        <v>4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4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4</v>
      </c>
    </row>
    <row r="886" spans="1:14">
      <c r="A886" s="3" t="s">
        <v>2798</v>
      </c>
      <c r="B886">
        <f>IFERROR(VLOOKUP(A886,管理亚马逊库存!A:K,11,0),"")</f>
        <v>1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1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1</v>
      </c>
    </row>
    <row r="887" spans="1:14">
      <c r="A887" s="3" t="s">
        <v>2801</v>
      </c>
      <c r="B887">
        <f>IFERROR(VLOOKUP(A887,管理亚马逊库存!A:K,11,0),"")</f>
        <v>4</v>
      </c>
      <c r="C887">
        <f>IFERROR(VLOOKUP(A887,管理亚马逊库存!A:L,12,0),"")</f>
        <v>0</v>
      </c>
      <c r="D887">
        <f>IFERROR(VLOOKUP(A887,管理亚马逊库存!A:Q,17,0),"")</f>
        <v>11</v>
      </c>
      <c r="E887">
        <f>IFERROR(VLOOKUP(A887,管理亚马逊库存!A:R,18,0),"")</f>
        <v>0</v>
      </c>
      <c r="F887">
        <f t="shared" si="27"/>
        <v>11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2803</v>
      </c>
      <c r="B888">
        <f>IFERROR(VLOOKUP(A888,管理亚马逊库存!A:K,11,0),"")</f>
        <v>3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3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3</v>
      </c>
    </row>
    <row r="889" spans="1:14">
      <c r="A889" s="3" t="s">
        <v>2806</v>
      </c>
      <c r="B889">
        <f>IFERROR(VLOOKUP(A889,管理亚马逊库存!A:K,11,0),"")</f>
        <v>2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2809</v>
      </c>
      <c r="B890">
        <f>IFERROR(VLOOKUP(A890,管理亚马逊库存!A:K,11,0),"")</f>
        <v>12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11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11</v>
      </c>
    </row>
    <row r="891" spans="1:14">
      <c r="A891" s="3" t="s">
        <v>2812</v>
      </c>
      <c r="B891">
        <f>IFERROR(VLOOKUP(A891,管理亚马逊库存!A:K,11,0),"")</f>
        <v>6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2816</v>
      </c>
      <c r="B892">
        <f>IFERROR(VLOOKUP(A892,管理亚马逊库存!A:K,11,0),"")</f>
        <v>17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6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6</v>
      </c>
    </row>
    <row r="893" spans="1:14">
      <c r="A893" s="3" t="s">
        <v>2819</v>
      </c>
      <c r="B893">
        <f>IFERROR(VLOOKUP(A893,管理亚马逊库存!A:K,11,0),"")</f>
        <v>2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3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3</v>
      </c>
    </row>
    <row r="894" spans="1:14">
      <c r="A894" s="3" t="s">
        <v>2822</v>
      </c>
      <c r="B894">
        <f>IFERROR(VLOOKUP(A894,管理亚马逊库存!A:K,11,0),"")</f>
        <v>1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2825</v>
      </c>
      <c r="B895">
        <f>IFERROR(VLOOKUP(A895,管理亚马逊库存!A:K,11,0),"")</f>
        <v>2</v>
      </c>
      <c r="C895">
        <f>IFERROR(VLOOKUP(A895,管理亚马逊库存!A:L,12,0),"")</f>
        <v>0</v>
      </c>
      <c r="D895">
        <f>IFERROR(VLOOKUP(A895,管理亚马逊库存!A:Q,17,0),"")</f>
        <v>25</v>
      </c>
      <c r="E895">
        <f>IFERROR(VLOOKUP(A895,管理亚马逊库存!A:R,18,0),"")</f>
        <v>0</v>
      </c>
      <c r="F895">
        <f t="shared" si="27"/>
        <v>25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2827</v>
      </c>
      <c r="B896">
        <f>IFERROR(VLOOKUP(A896,管理亚马逊库存!A:K,11,0),"")</f>
        <v>1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2829</v>
      </c>
      <c r="B897">
        <f>IFERROR(VLOOKUP(A897,管理亚马逊库存!A:K,11,0),"")</f>
        <v>6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2833</v>
      </c>
      <c r="B898">
        <f>IFERROR(VLOOKUP(A898,管理亚马逊库存!A:K,11,0),"")</f>
        <v>1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2836</v>
      </c>
      <c r="B899">
        <f>IFERROR(VLOOKUP(A899,管理亚马逊库存!A:K,11,0),"")</f>
        <v>4</v>
      </c>
      <c r="C899">
        <f>IFERROR(VLOOKUP(A899,管理亚马逊库存!A:L,12,0),"")</f>
        <v>0</v>
      </c>
      <c r="D899">
        <f>IFERROR(VLOOKUP(A899,管理亚马逊库存!A:Q,17,0),"")</f>
        <v>20</v>
      </c>
      <c r="E899">
        <f>IFERROR(VLOOKUP(A899,管理亚马逊库存!A:R,18,0),"")</f>
        <v>0</v>
      </c>
      <c r="F899">
        <f t="shared" ref="F899:F962" si="29">SUM(D899:E899)</f>
        <v>20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2840</v>
      </c>
      <c r="B900">
        <f>IFERROR(VLOOKUP(A900,管理亚马逊库存!A:K,11,0),"")</f>
        <v>5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4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4</v>
      </c>
    </row>
    <row r="901" spans="1:14">
      <c r="A901" s="3" t="s">
        <v>2841</v>
      </c>
      <c r="B901">
        <f>IFERROR(VLOOKUP(A901,管理亚马逊库存!A:K,11,0),"")</f>
        <v>1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1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1</v>
      </c>
    </row>
    <row r="902" spans="1:14">
      <c r="A902" s="3" t="s">
        <v>2844</v>
      </c>
      <c r="B902">
        <f>IFERROR(VLOOKUP(A902,管理亚马逊库存!A:K,11,0),"")</f>
        <v>2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1</v>
      </c>
      <c r="M902">
        <f>IFERROR(VLOOKUP(A902,库龄!B:N,12,0),0)</f>
        <v>0</v>
      </c>
      <c r="N902">
        <f t="shared" si="30"/>
        <v>1</v>
      </c>
    </row>
    <row r="903" spans="1:14">
      <c r="A903" s="3" t="s">
        <v>2847</v>
      </c>
      <c r="B903">
        <f>IFERROR(VLOOKUP(A903,管理亚马逊库存!A:K,11,0),"")</f>
        <v>5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5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5</v>
      </c>
    </row>
    <row r="904" spans="1:14">
      <c r="A904" s="3" t="s">
        <v>2850</v>
      </c>
      <c r="B904">
        <f>IFERROR(VLOOKUP(A904,管理亚马逊库存!A:K,11,0),"")</f>
        <v>3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3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3</v>
      </c>
    </row>
    <row r="905" spans="1:14">
      <c r="A905" s="3" t="s">
        <v>2851</v>
      </c>
      <c r="B905">
        <f>IFERROR(VLOOKUP(A905,管理亚马逊库存!A:K,11,0),"")</f>
        <v>16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1</v>
      </c>
      <c r="K905">
        <f>IFERROR(VLOOKUP(A905,库龄!B:L,10,0),0)</f>
        <v>4</v>
      </c>
      <c r="L905">
        <f>IFERROR(VLOOKUP(A905,库龄!B:M,11,0),0)</f>
        <v>9</v>
      </c>
      <c r="M905">
        <f>IFERROR(VLOOKUP(A905,库龄!B:N,12,0),0)</f>
        <v>0</v>
      </c>
      <c r="N905">
        <f t="shared" si="30"/>
        <v>14</v>
      </c>
    </row>
    <row r="906" spans="1:14">
      <c r="A906" s="3" t="s">
        <v>2854</v>
      </c>
      <c r="B906">
        <f>IFERROR(VLOOKUP(A906,管理亚马逊库存!A:K,11,0),"")</f>
        <v>18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7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7</v>
      </c>
    </row>
    <row r="907" spans="1:14">
      <c r="A907" s="3" t="s">
        <v>2857</v>
      </c>
      <c r="B907">
        <f>IFERROR(VLOOKUP(A907,管理亚马逊库存!A:K,11,0),"")</f>
        <v>4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1</v>
      </c>
      <c r="K907">
        <f>IFERROR(VLOOKUP(A907,库龄!B:L,10,0),0)</f>
        <v>4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5</v>
      </c>
    </row>
    <row r="908" spans="1:14">
      <c r="A908" s="3" t="s">
        <v>2860</v>
      </c>
      <c r="B908">
        <f>IFERROR(VLOOKUP(A908,管理亚马逊库存!A:K,11,0),"")</f>
        <v>8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8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8</v>
      </c>
    </row>
    <row r="909" spans="1:14">
      <c r="A909" s="3" t="s">
        <v>2862</v>
      </c>
      <c r="B909">
        <f>IFERROR(VLOOKUP(A909,管理亚马逊库存!A:K,11,0),"")</f>
        <v>6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2866</v>
      </c>
      <c r="B910">
        <f>IFERROR(VLOOKUP(A910,管理亚马逊库存!A:K,11,0),"")</f>
        <v>14</v>
      </c>
      <c r="C910">
        <f>IFERROR(VLOOKUP(A910,管理亚马逊库存!A:L,12,0),"")</f>
        <v>0</v>
      </c>
      <c r="D910">
        <f>IFERROR(VLOOKUP(A910,管理亚马逊库存!A:Q,17,0),"")</f>
        <v>8</v>
      </c>
      <c r="E910">
        <f>IFERROR(VLOOKUP(A910,管理亚马逊库存!A:R,18,0),"")</f>
        <v>0</v>
      </c>
      <c r="F910">
        <f t="shared" si="29"/>
        <v>8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2870</v>
      </c>
      <c r="B911">
        <f>IFERROR(VLOOKUP(A911,管理亚马逊库存!A:K,11,0),"")</f>
        <v>1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2873</v>
      </c>
      <c r="B912">
        <f>IFERROR(VLOOKUP(A912,管理亚马逊库存!A:K,11,0),"")</f>
        <v>6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2877</v>
      </c>
      <c r="B913">
        <f>IFERROR(VLOOKUP(A913,管理亚马逊库存!A:K,11,0),"")</f>
        <v>2</v>
      </c>
      <c r="C913">
        <f>IFERROR(VLOOKUP(A913,管理亚马逊库存!A:L,12,0),"")</f>
        <v>0</v>
      </c>
      <c r="D913">
        <f>IFERROR(VLOOKUP(A913,管理亚马逊库存!A:Q,17,0),"")</f>
        <v>10</v>
      </c>
      <c r="E913">
        <f>IFERROR(VLOOKUP(A913,管理亚马逊库存!A:R,18,0),"")</f>
        <v>0</v>
      </c>
      <c r="F913">
        <f t="shared" si="29"/>
        <v>10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2881</v>
      </c>
      <c r="B914">
        <f>IFERROR(VLOOKUP(A914,管理亚马逊库存!A:K,11,0),"")</f>
        <v>4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2884</v>
      </c>
      <c r="B915">
        <f>IFERROR(VLOOKUP(A915,管理亚马逊库存!A:K,11,0),"")</f>
        <v>13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14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14</v>
      </c>
    </row>
    <row r="916" spans="1:14">
      <c r="A916" s="3" t="s">
        <v>2886</v>
      </c>
      <c r="B916">
        <f>IFERROR(VLOOKUP(A916,管理亚马逊库存!A:K,11,0),"")</f>
        <v>28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2888</v>
      </c>
      <c r="B917">
        <f>IFERROR(VLOOKUP(A917,管理亚马逊库存!A:K,11,0),"")</f>
        <v>2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3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3</v>
      </c>
    </row>
    <row r="918" spans="1:14">
      <c r="A918" s="3" t="s">
        <v>2889</v>
      </c>
      <c r="B918">
        <f>IFERROR(VLOOKUP(A918,管理亚马逊库存!A:K,11,0),"")</f>
        <v>4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2893</v>
      </c>
      <c r="B919">
        <f>IFERROR(VLOOKUP(A919,管理亚马逊库存!A:K,11,0),"")</f>
        <v>3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2895</v>
      </c>
      <c r="B920">
        <f>IFERROR(VLOOKUP(A920,管理亚马逊库存!A:K,11,0),"")</f>
        <v>7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3</v>
      </c>
      <c r="K920">
        <f>IFERROR(VLOOKUP(A920,库龄!B:L,10,0),0)</f>
        <v>4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7</v>
      </c>
    </row>
    <row r="921" spans="1:14">
      <c r="A921" s="3" t="s">
        <v>2898</v>
      </c>
      <c r="B921">
        <f>IFERROR(VLOOKUP(A921,管理亚马逊库存!A:K,11,0),"")</f>
        <v>3</v>
      </c>
      <c r="C921">
        <f>IFERROR(VLOOKUP(A921,管理亚马逊库存!A:L,12,0),"")</f>
        <v>0</v>
      </c>
      <c r="D921">
        <f>IFERROR(VLOOKUP(A921,管理亚马逊库存!A:Q,17,0),"")</f>
        <v>10</v>
      </c>
      <c r="E921">
        <f>IFERROR(VLOOKUP(A921,管理亚马逊库存!A:R,18,0),"")</f>
        <v>0</v>
      </c>
      <c r="F921">
        <f t="shared" si="29"/>
        <v>10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2902</v>
      </c>
      <c r="B922">
        <f>IFERROR(VLOOKUP(A922,管理亚马逊库存!A:K,11,0),"")</f>
        <v>11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10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10</v>
      </c>
    </row>
    <row r="923" spans="1:14">
      <c r="A923" s="3" t="s">
        <v>2905</v>
      </c>
      <c r="B923">
        <f>IFERROR(VLOOKUP(A923,管理亚马逊库存!A:K,11,0),"")</f>
        <v>11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11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11</v>
      </c>
    </row>
    <row r="924" spans="1:14">
      <c r="A924" s="3" t="s">
        <v>2908</v>
      </c>
      <c r="B924">
        <f>IFERROR(VLOOKUP(A924,管理亚马逊库存!A:K,11,0),"")</f>
        <v>13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12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12</v>
      </c>
    </row>
    <row r="925" spans="1:14">
      <c r="A925" s="3" t="s">
        <v>2911</v>
      </c>
      <c r="B925">
        <f>IFERROR(VLOOKUP(A925,管理亚马逊库存!A:K,11,0),"")</f>
        <v>6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2915</v>
      </c>
      <c r="B926">
        <f>IFERROR(VLOOKUP(A926,管理亚马逊库存!A:K,11,0),"")</f>
        <v>2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2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2</v>
      </c>
    </row>
    <row r="927" spans="1:14">
      <c r="A927" s="3" t="s">
        <v>2918</v>
      </c>
      <c r="B927">
        <f>IFERROR(VLOOKUP(A927,管理亚马逊库存!A:K,11,0),"")</f>
        <v>4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2</v>
      </c>
      <c r="K927">
        <f>IFERROR(VLOOKUP(A927,库龄!B:L,10,0),0)</f>
        <v>1</v>
      </c>
      <c r="L927">
        <f>IFERROR(VLOOKUP(A927,库龄!B:M,11,0),0)</f>
        <v>2</v>
      </c>
      <c r="M927">
        <f>IFERROR(VLOOKUP(A927,库龄!B:N,12,0),0)</f>
        <v>0</v>
      </c>
      <c r="N927">
        <f t="shared" si="30"/>
        <v>5</v>
      </c>
    </row>
    <row r="928" spans="1:14">
      <c r="A928" s="3" t="s">
        <v>2921</v>
      </c>
      <c r="B928">
        <f>IFERROR(VLOOKUP(A928,管理亚马逊库存!A:K,11,0),"")</f>
        <v>2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1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1</v>
      </c>
    </row>
    <row r="929" spans="1:14">
      <c r="A929" s="3" t="s">
        <v>2924</v>
      </c>
      <c r="B929">
        <f>IFERROR(VLOOKUP(A929,管理亚马逊库存!A:K,11,0),"")</f>
        <v>9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1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1</v>
      </c>
    </row>
    <row r="930" spans="1:14">
      <c r="A930" s="3" t="s">
        <v>2927</v>
      </c>
      <c r="B930">
        <f>IFERROR(VLOOKUP(A930,管理亚马逊库存!A:K,11,0),"")</f>
        <v>26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25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25</v>
      </c>
    </row>
    <row r="931" spans="1:14">
      <c r="A931" s="3" t="s">
        <v>2930</v>
      </c>
      <c r="B931">
        <f>IFERROR(VLOOKUP(A931,管理亚马逊库存!A:K,11,0),"")</f>
        <v>3</v>
      </c>
      <c r="C931">
        <f>IFERROR(VLOOKUP(A931,管理亚马逊库存!A:L,12,0),"")</f>
        <v>0</v>
      </c>
      <c r="D931">
        <f>IFERROR(VLOOKUP(A931,管理亚马逊库存!A:Q,17,0),"")</f>
        <v>8</v>
      </c>
      <c r="E931">
        <f>IFERROR(VLOOKUP(A931,管理亚马逊库存!A:R,18,0),"")</f>
        <v>0</v>
      </c>
      <c r="F931">
        <f t="shared" si="29"/>
        <v>8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2934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10</v>
      </c>
      <c r="E932">
        <f>IFERROR(VLOOKUP(A932,管理亚马逊库存!A:R,18,0),"")</f>
        <v>0</v>
      </c>
      <c r="F932">
        <f t="shared" si="29"/>
        <v>10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2938</v>
      </c>
      <c r="B933">
        <f>IFERROR(VLOOKUP(A933,管理亚马逊库存!A:K,11,0),"")</f>
        <v>12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13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13</v>
      </c>
    </row>
    <row r="934" spans="1:14">
      <c r="A934" s="3" t="s">
        <v>2941</v>
      </c>
      <c r="B934">
        <f>IFERROR(VLOOKUP(A934,管理亚马逊库存!A:K,11,0),"")</f>
        <v>5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5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5</v>
      </c>
    </row>
    <row r="935" spans="1:14">
      <c r="A935" s="3" t="s">
        <v>2942</v>
      </c>
      <c r="B935">
        <f>IFERROR(VLOOKUP(A935,管理亚马逊库存!A:K,11,0),"")</f>
        <v>5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2943</v>
      </c>
      <c r="B936">
        <f>IFERROR(VLOOKUP(A936,管理亚马逊库存!A:K,11,0),"")</f>
        <v>2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2944</v>
      </c>
      <c r="B937">
        <f>IFERROR(VLOOKUP(A937,管理亚马逊库存!A:K,11,0),"")</f>
        <v>3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3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3</v>
      </c>
    </row>
    <row r="938" spans="1:14">
      <c r="A938" s="3" t="s">
        <v>2947</v>
      </c>
      <c r="B938">
        <f>IFERROR(VLOOKUP(A938,管理亚马逊库存!A:K,11,0),"")</f>
        <v>6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2951</v>
      </c>
      <c r="B939">
        <f>IFERROR(VLOOKUP(A939,管理亚马逊库存!A:K,11,0),"")</f>
        <v>1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1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1</v>
      </c>
    </row>
    <row r="940" spans="1:14">
      <c r="A940" s="3" t="s">
        <v>2954</v>
      </c>
      <c r="B940">
        <f>IFERROR(VLOOKUP(A940,管理亚马逊库存!A:K,11,0),"")</f>
        <v>4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2958</v>
      </c>
      <c r="B941">
        <f>IFERROR(VLOOKUP(A941,管理亚马逊库存!A:K,11,0),"")</f>
        <v>25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8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8</v>
      </c>
    </row>
    <row r="942" spans="1:14">
      <c r="A942" s="3" t="s">
        <v>2961</v>
      </c>
      <c r="B942">
        <f>IFERROR(VLOOKUP(A942,管理亚马逊库存!A:K,11,0),"")</f>
        <v>14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1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1</v>
      </c>
    </row>
    <row r="943" spans="1:14">
      <c r="A943" s="3" t="s">
        <v>2964</v>
      </c>
      <c r="B943">
        <f>IFERROR(VLOOKUP(A943,管理亚马逊库存!A:K,11,0),"")</f>
        <v>25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24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24</v>
      </c>
    </row>
    <row r="944" spans="1:14">
      <c r="A944" s="3" t="s">
        <v>2967</v>
      </c>
      <c r="B944">
        <f>IFERROR(VLOOKUP(A944,管理亚马逊库存!A:K,11,0),"")</f>
        <v>6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6</v>
      </c>
      <c r="L944">
        <f>IFERROR(VLOOKUP(A944,库龄!B:M,11,0),0)</f>
        <v>1</v>
      </c>
      <c r="M944">
        <f>IFERROR(VLOOKUP(A944,库龄!B:N,12,0),0)</f>
        <v>0</v>
      </c>
      <c r="N944">
        <f t="shared" si="30"/>
        <v>7</v>
      </c>
    </row>
    <row r="945" spans="1:14">
      <c r="A945" s="3" t="s">
        <v>2969</v>
      </c>
      <c r="B945">
        <f>IFERROR(VLOOKUP(A945,管理亚马逊库存!A:K,11,0),"")</f>
        <v>10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1</v>
      </c>
      <c r="K945">
        <f>IFERROR(VLOOKUP(A945,库龄!B:L,10,0),0)</f>
        <v>6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7</v>
      </c>
    </row>
    <row r="946" spans="1:14">
      <c r="A946" s="3" t="s">
        <v>2971</v>
      </c>
      <c r="B946">
        <f>IFERROR(VLOOKUP(A946,管理亚马逊库存!A:K,11,0),"")</f>
        <v>3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2975</v>
      </c>
      <c r="B947">
        <f>IFERROR(VLOOKUP(A947,管理亚马逊库存!A:K,11,0),"")</f>
        <v>7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8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8</v>
      </c>
    </row>
    <row r="948" spans="1:14">
      <c r="A948" s="3" t="s">
        <v>2976</v>
      </c>
      <c r="B948">
        <f>IFERROR(VLOOKUP(A948,管理亚马逊库存!A:K,11,0),"")</f>
        <v>24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8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8</v>
      </c>
    </row>
    <row r="949" spans="1:14">
      <c r="A949" s="3" t="s">
        <v>2979</v>
      </c>
      <c r="B949">
        <f>IFERROR(VLOOKUP(A949,管理亚马逊库存!A:K,11,0),"")</f>
        <v>9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1</v>
      </c>
      <c r="K949">
        <f>IFERROR(VLOOKUP(A949,库龄!B:L,10,0),0)</f>
        <v>8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9</v>
      </c>
    </row>
    <row r="950" spans="1:14">
      <c r="A950" s="3" t="s">
        <v>2982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2985</v>
      </c>
      <c r="B951">
        <f>IFERROR(VLOOKUP(A951,管理亚马逊库存!A:K,11,0),"")</f>
        <v>1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2986</v>
      </c>
      <c r="B952">
        <f>IFERROR(VLOOKUP(A952,管理亚马逊库存!A:K,11,0),"")</f>
        <v>5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2989</v>
      </c>
      <c r="B953">
        <f>IFERROR(VLOOKUP(A953,管理亚马逊库存!A:K,11,0),"")</f>
        <v>11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12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12</v>
      </c>
    </row>
    <row r="954" spans="1:14">
      <c r="A954" s="3" t="s">
        <v>2992</v>
      </c>
      <c r="B954">
        <f>IFERROR(VLOOKUP(A954,管理亚马逊库存!A:K,11,0),"")</f>
        <v>3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3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3</v>
      </c>
    </row>
    <row r="955" spans="1:14">
      <c r="A955" s="3" t="s">
        <v>2995</v>
      </c>
      <c r="B955">
        <f>IFERROR(VLOOKUP(A955,管理亚马逊库存!A:K,11,0),"")</f>
        <v>5</v>
      </c>
      <c r="C955">
        <f>IFERROR(VLOOKUP(A955,管理亚马逊库存!A:L,12,0),"")</f>
        <v>1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1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1</v>
      </c>
    </row>
    <row r="956" spans="1:14">
      <c r="A956" s="3" t="s">
        <v>2996</v>
      </c>
      <c r="B956">
        <f>IFERROR(VLOOKUP(A956,管理亚马逊库存!A:K,11,0),"")</f>
        <v>6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5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5</v>
      </c>
    </row>
    <row r="957" spans="1:14">
      <c r="A957" s="3" t="s">
        <v>2999</v>
      </c>
      <c r="B957">
        <f>IFERROR(VLOOKUP(A957,管理亚马逊库存!A:K,11,0),"")</f>
        <v>10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10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10</v>
      </c>
    </row>
    <row r="958" spans="1:14">
      <c r="A958" s="3" t="s">
        <v>3002</v>
      </c>
      <c r="B958">
        <f>IFERROR(VLOOKUP(A958,管理亚马逊库存!A:K,11,0),"")</f>
        <v>6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3004</v>
      </c>
      <c r="B959">
        <f>IFERROR(VLOOKUP(A959,管理亚马逊库存!A:K,11,0),"")</f>
        <v>2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1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1</v>
      </c>
    </row>
    <row r="960" spans="1:14">
      <c r="A960" s="3" t="s">
        <v>3007</v>
      </c>
      <c r="B960">
        <f>IFERROR(VLOOKUP(A960,管理亚马逊库存!A:K,11,0),"")</f>
        <v>8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3010</v>
      </c>
      <c r="B961">
        <f>IFERROR(VLOOKUP(A961,管理亚马逊库存!A:K,11,0),"")</f>
        <v>4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4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4</v>
      </c>
    </row>
    <row r="962" spans="1:14">
      <c r="A962" s="3" t="s">
        <v>3013</v>
      </c>
      <c r="B962">
        <f>IFERROR(VLOOKUP(A962,管理亚马逊库存!A:K,11,0),"")</f>
        <v>15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3014</v>
      </c>
      <c r="B963">
        <f>IFERROR(VLOOKUP(A963,管理亚马逊库存!A:K,11,0),"")</f>
        <v>7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3016</v>
      </c>
      <c r="B964">
        <f>IFERROR(VLOOKUP(A964,管理亚马逊库存!A:K,11,0),"")</f>
        <v>7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1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1</v>
      </c>
    </row>
    <row r="965" spans="1:14">
      <c r="A965" s="3" t="s">
        <v>3019</v>
      </c>
      <c r="B965">
        <f>IFERROR(VLOOKUP(A965,管理亚马逊库存!A:K,11,0),"")</f>
        <v>14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14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14</v>
      </c>
    </row>
    <row r="966" spans="1:14">
      <c r="A966" s="3" t="s">
        <v>3022</v>
      </c>
      <c r="B966">
        <f>IFERROR(VLOOKUP(A966,管理亚马逊库存!A:K,11,0),"")</f>
        <v>1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3025</v>
      </c>
      <c r="B967">
        <f>IFERROR(VLOOKUP(A967,管理亚马逊库存!A:K,11,0),"")</f>
        <v>5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4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4</v>
      </c>
    </row>
    <row r="968" spans="1:14">
      <c r="A968" s="3" t="s">
        <v>3028</v>
      </c>
      <c r="B968">
        <f>IFERROR(VLOOKUP(A968,管理亚马逊库存!A:K,11,0),"")</f>
        <v>1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1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1</v>
      </c>
    </row>
    <row r="969" spans="1:14">
      <c r="A969" s="3" t="s">
        <v>3031</v>
      </c>
      <c r="B969">
        <f>IFERROR(VLOOKUP(A969,管理亚马逊库存!A:K,11,0),"")</f>
        <v>9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3032</v>
      </c>
      <c r="B970">
        <f>IFERROR(VLOOKUP(A970,管理亚马逊库存!A:K,11,0),"")</f>
        <v>16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15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15</v>
      </c>
    </row>
    <row r="971" spans="1:14">
      <c r="A971" s="3" t="s">
        <v>3034</v>
      </c>
      <c r="B971">
        <f>IFERROR(VLOOKUP(A971,管理亚马逊库存!A:K,11,0),"")</f>
        <v>5</v>
      </c>
      <c r="C971">
        <f>IFERROR(VLOOKUP(A971,管理亚马逊库存!A:L,12,0),"")</f>
        <v>0</v>
      </c>
      <c r="D971">
        <f>IFERROR(VLOOKUP(A971,管理亚马逊库存!A:Q,17,0),"")</f>
        <v>35</v>
      </c>
      <c r="E971">
        <f>IFERROR(VLOOKUP(A971,管理亚马逊库存!A:R,18,0),"")</f>
        <v>0</v>
      </c>
      <c r="F971">
        <f t="shared" si="31"/>
        <v>35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3038</v>
      </c>
      <c r="B972">
        <f>IFERROR(VLOOKUP(A972,管理亚马逊库存!A:K,11,0),"")</f>
        <v>9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2</v>
      </c>
      <c r="K972">
        <f>IFERROR(VLOOKUP(A972,库龄!B:L,10,0),0)</f>
        <v>6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8</v>
      </c>
    </row>
    <row r="973" spans="1:14">
      <c r="A973" s="3" t="s">
        <v>3041</v>
      </c>
      <c r="B973">
        <f>IFERROR(VLOOKUP(A973,管理亚马逊库存!A:K,11,0),"")</f>
        <v>11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3044</v>
      </c>
      <c r="B974">
        <f>IFERROR(VLOOKUP(A974,管理亚马逊库存!A:K,11,0),"")</f>
        <v>6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3048</v>
      </c>
      <c r="B975">
        <f>IFERROR(VLOOKUP(A975,管理亚马逊库存!A:K,11,0),"")</f>
        <v>6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3052</v>
      </c>
      <c r="B976">
        <f>IFERROR(VLOOKUP(A976,管理亚马逊库存!A:K,11,0),"")</f>
        <v>1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1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1</v>
      </c>
    </row>
    <row r="977" spans="1:14">
      <c r="A977" s="3" t="s">
        <v>3055</v>
      </c>
      <c r="B977">
        <f>IFERROR(VLOOKUP(A977,管理亚马逊库存!A:K,11,0),"")</f>
        <v>6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3059</v>
      </c>
      <c r="B978">
        <f>IFERROR(VLOOKUP(A978,管理亚马逊库存!A:K,11,0),"")</f>
        <v>4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3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3</v>
      </c>
    </row>
    <row r="979" spans="1:14">
      <c r="A979" s="3" t="s">
        <v>3062</v>
      </c>
      <c r="B979">
        <f>IFERROR(VLOOKUP(A979,管理亚马逊库存!A:K,11,0),"")</f>
        <v>3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3065</v>
      </c>
      <c r="B980">
        <f>IFERROR(VLOOKUP(A980,管理亚马逊库存!A:K,11,0),"")</f>
        <v>9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2</v>
      </c>
      <c r="K980">
        <f>IFERROR(VLOOKUP(A980,库龄!B:L,10,0),0)</f>
        <v>5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7</v>
      </c>
    </row>
    <row r="981" spans="1:14">
      <c r="A981" s="3" t="s">
        <v>3068</v>
      </c>
      <c r="B981">
        <f>IFERROR(VLOOKUP(A981,管理亚马逊库存!A:K,11,0),"")</f>
        <v>9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3070</v>
      </c>
      <c r="B982">
        <f>IFERROR(VLOOKUP(A982,管理亚马逊库存!A:K,11,0),"")</f>
        <v>1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1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1</v>
      </c>
    </row>
    <row r="983" spans="1:14">
      <c r="A983" s="3" t="s">
        <v>3073</v>
      </c>
      <c r="B983">
        <f>IFERROR(VLOOKUP(A983,管理亚马逊库存!A:K,11,0),"")</f>
        <v>7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2</v>
      </c>
      <c r="K983">
        <f>IFERROR(VLOOKUP(A983,库龄!B:L,10,0),0)</f>
        <v>5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7</v>
      </c>
    </row>
    <row r="984" spans="1:14">
      <c r="A984" s="3" t="s">
        <v>3076</v>
      </c>
      <c r="B984">
        <f>IFERROR(VLOOKUP(A984,管理亚马逊库存!A:K,11,0),"")</f>
        <v>1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3077</v>
      </c>
      <c r="B985">
        <f>IFERROR(VLOOKUP(A985,管理亚马逊库存!A:K,11,0),"")</f>
        <v>3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3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3</v>
      </c>
    </row>
    <row r="986" spans="1:14">
      <c r="A986" s="3" t="s">
        <v>3080</v>
      </c>
      <c r="B986">
        <f>IFERROR(VLOOKUP(A986,管理亚马逊库存!A:K,11,0),"")</f>
        <v>15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3084</v>
      </c>
      <c r="B987">
        <f>IFERROR(VLOOKUP(A987,管理亚马逊库存!A:K,11,0),"")</f>
        <v>20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9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9</v>
      </c>
    </row>
    <row r="988" spans="1:14">
      <c r="A988" s="3" t="s">
        <v>3087</v>
      </c>
      <c r="B988">
        <f>IFERROR(VLOOKUP(A988,管理亚马逊库存!A:K,11,0),"")</f>
        <v>5</v>
      </c>
      <c r="C988">
        <f>IFERROR(VLOOKUP(A988,管理亚马逊库存!A:L,12,0),"")</f>
        <v>0</v>
      </c>
      <c r="D988">
        <f>IFERROR(VLOOKUP(A988,管理亚马逊库存!A:Q,17,0),"")</f>
        <v>15</v>
      </c>
      <c r="E988">
        <f>IFERROR(VLOOKUP(A988,管理亚马逊库存!A:R,18,0),"")</f>
        <v>0</v>
      </c>
      <c r="F988">
        <f t="shared" si="31"/>
        <v>15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3091</v>
      </c>
      <c r="B989">
        <f>IFERROR(VLOOKUP(A989,管理亚马逊库存!A:K,11,0),"")</f>
        <v>4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1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1</v>
      </c>
    </row>
    <row r="990" spans="1:14">
      <c r="A990" s="3" t="s">
        <v>3094</v>
      </c>
      <c r="B990">
        <f>IFERROR(VLOOKUP(A990,管理亚马逊库存!A:K,11,0),"")</f>
        <v>4</v>
      </c>
      <c r="C990">
        <f>IFERROR(VLOOKUP(A990,管理亚马逊库存!A:L,12,0),"")</f>
        <v>0</v>
      </c>
      <c r="D990">
        <f>IFERROR(VLOOKUP(A990,管理亚马逊库存!A:Q,17,0),"")</f>
        <v>21</v>
      </c>
      <c r="E990">
        <f>IFERROR(VLOOKUP(A990,管理亚马逊库存!A:R,18,0),"")</f>
        <v>0</v>
      </c>
      <c r="F990">
        <f t="shared" si="31"/>
        <v>21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3098</v>
      </c>
      <c r="B991">
        <f>IFERROR(VLOOKUP(A991,管理亚马逊库存!A:K,11,0),"")</f>
        <v>2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1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1</v>
      </c>
    </row>
    <row r="992" spans="1:14">
      <c r="A992" s="3" t="s">
        <v>3100</v>
      </c>
      <c r="B992">
        <f>IFERROR(VLOOKUP(A992,管理亚马逊库存!A:K,11,0),"")</f>
        <v>9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3103</v>
      </c>
      <c r="B993">
        <f>IFERROR(VLOOKUP(A993,管理亚马逊库存!A:K,11,0),"")</f>
        <v>8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3107</v>
      </c>
      <c r="B994">
        <f>IFERROR(VLOOKUP(A994,管理亚马逊库存!A:K,11,0),"")</f>
        <v>1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3110</v>
      </c>
      <c r="B995">
        <f>IFERROR(VLOOKUP(A995,管理亚马逊库存!A:K,11,0),"")</f>
        <v>9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1</v>
      </c>
      <c r="K995">
        <f>IFERROR(VLOOKUP(A995,库龄!B:L,10,0),0)</f>
        <v>8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9</v>
      </c>
    </row>
    <row r="996" spans="1:14">
      <c r="A996" s="3" t="s">
        <v>3112</v>
      </c>
      <c r="B996">
        <f>IFERROR(VLOOKUP(A996,管理亚马逊库存!A:K,11,0),"")</f>
        <v>22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6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6</v>
      </c>
    </row>
    <row r="997" spans="1:14">
      <c r="A997" s="3" t="s">
        <v>3115</v>
      </c>
      <c r="B997">
        <f>IFERROR(VLOOKUP(A997,管理亚马逊库存!A:K,11,0),"")</f>
        <v>7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1</v>
      </c>
      <c r="K997">
        <f>IFERROR(VLOOKUP(A997,库龄!B:L,10,0),0)</f>
        <v>6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7</v>
      </c>
    </row>
    <row r="998" spans="1:14">
      <c r="A998" s="3" t="s">
        <v>3118</v>
      </c>
      <c r="B998">
        <f>IFERROR(VLOOKUP(A998,管理亚马逊库存!A:K,11,0),"")</f>
        <v>2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2</v>
      </c>
      <c r="M998">
        <f>IFERROR(VLOOKUP(A998,库龄!B:N,12,0),0)</f>
        <v>0</v>
      </c>
      <c r="N998">
        <f t="shared" si="32"/>
        <v>2</v>
      </c>
    </row>
    <row r="999" spans="1:14">
      <c r="A999" s="3" t="s">
        <v>3121</v>
      </c>
      <c r="B999">
        <f>IFERROR(VLOOKUP(A999,管理亚马逊库存!A:K,11,0),"")</f>
        <v>3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3122</v>
      </c>
      <c r="B1000">
        <f>IFERROR(VLOOKUP(A1000,管理亚马逊库存!A:K,11,0),"")</f>
        <v>5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3126</v>
      </c>
      <c r="B1001">
        <f>IFERROR(VLOOKUP(A1001,管理亚马逊库存!A:K,11,0),"")</f>
        <v>4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1</v>
      </c>
      <c r="K1001">
        <f>IFERROR(VLOOKUP(A1001,库龄!B:L,10,0),0)</f>
        <v>3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4</v>
      </c>
    </row>
    <row r="1002" spans="1:14">
      <c r="A1002" s="3" t="s">
        <v>3128</v>
      </c>
      <c r="B1002">
        <f>IFERROR(VLOOKUP(A1002,管理亚马逊库存!A:K,11,0),"")</f>
        <v>1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3131</v>
      </c>
      <c r="B1003">
        <f>IFERROR(VLOOKUP(A1003,管理亚马逊库存!A:K,11,0),"")</f>
        <v>2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3134</v>
      </c>
      <c r="B1004">
        <f>IFERROR(VLOOKUP(A1004,管理亚马逊库存!A:K,11,0),"")</f>
        <v>1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3137</v>
      </c>
      <c r="B1005">
        <f>IFERROR(VLOOKUP(A1005,管理亚马逊库存!A:K,11,0),"")</f>
        <v>27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22</v>
      </c>
      <c r="K1005">
        <f>IFERROR(VLOOKUP(A1005,库龄!B:L,10,0),0)</f>
        <v>1</v>
      </c>
      <c r="L1005">
        <f>IFERROR(VLOOKUP(A1005,库龄!B:M,11,0),0)</f>
        <v>2</v>
      </c>
      <c r="M1005">
        <f>IFERROR(VLOOKUP(A1005,库龄!B:N,12,0),0)</f>
        <v>0</v>
      </c>
      <c r="N1005">
        <f t="shared" si="32"/>
        <v>25</v>
      </c>
    </row>
    <row r="1006" spans="1:14">
      <c r="A1006" s="3" t="s">
        <v>3139</v>
      </c>
      <c r="B1006">
        <f>IFERROR(VLOOKUP(A1006,管理亚马逊库存!A:K,11,0),"")</f>
        <v>6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6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6</v>
      </c>
    </row>
    <row r="1007" spans="1:14">
      <c r="A1007" s="3" t="s">
        <v>3142</v>
      </c>
      <c r="B1007">
        <f>IFERROR(VLOOKUP(A1007,管理亚马逊库存!A:K,11,0),"")</f>
        <v>6</v>
      </c>
      <c r="C1007">
        <f>IFERROR(VLOOKUP(A1007,管理亚马逊库存!A:L,12,0),"")</f>
        <v>0</v>
      </c>
      <c r="D1007">
        <f>IFERROR(VLOOKUP(A1007,管理亚马逊库存!A:Q,17,0),"")</f>
        <v>21</v>
      </c>
      <c r="E1007">
        <f>IFERROR(VLOOKUP(A1007,管理亚马逊库存!A:R,18,0),"")</f>
        <v>0</v>
      </c>
      <c r="F1007">
        <f t="shared" si="31"/>
        <v>21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3144</v>
      </c>
      <c r="B1008">
        <f>IFERROR(VLOOKUP(A1008,管理亚马逊库存!A:K,11,0),"")</f>
        <v>21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17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17</v>
      </c>
    </row>
    <row r="1009" spans="1:14">
      <c r="A1009" s="3" t="s">
        <v>3147</v>
      </c>
      <c r="B1009">
        <f>IFERROR(VLOOKUP(A1009,管理亚马逊库存!A:K,11,0),"")</f>
        <v>24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3149</v>
      </c>
      <c r="B1010">
        <f>IFERROR(VLOOKUP(A1010,管理亚马逊库存!A:K,11,0),"")</f>
        <v>11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10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10</v>
      </c>
    </row>
    <row r="1011" spans="1:14">
      <c r="A1011" s="3" t="s">
        <v>3152</v>
      </c>
      <c r="B1011">
        <f>IFERROR(VLOOKUP(A1011,管理亚马逊库存!A:K,11,0),"")</f>
        <v>22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3155</v>
      </c>
      <c r="B1012">
        <f>IFERROR(VLOOKUP(A1012,管理亚马逊库存!A:K,11,0),"")</f>
        <v>6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6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6</v>
      </c>
    </row>
    <row r="1013" spans="1:14">
      <c r="A1013" s="3" t="s">
        <v>3158</v>
      </c>
      <c r="B1013">
        <f>IFERROR(VLOOKUP(A1013,管理亚马逊库存!A:K,11,0),"")</f>
        <v>3</v>
      </c>
      <c r="C1013">
        <f>IFERROR(VLOOKUP(A1013,管理亚马逊库存!A:L,12,0),"")</f>
        <v>0</v>
      </c>
      <c r="D1013">
        <f>IFERROR(VLOOKUP(A1013,管理亚马逊库存!A:Q,17,0),"")</f>
        <v>30</v>
      </c>
      <c r="E1013">
        <f>IFERROR(VLOOKUP(A1013,管理亚马逊库存!A:R,18,0),"")</f>
        <v>0</v>
      </c>
      <c r="F1013">
        <f t="shared" si="31"/>
        <v>30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3162</v>
      </c>
      <c r="B1014">
        <f>IFERROR(VLOOKUP(A1014,管理亚马逊库存!A:K,11,0),"")</f>
        <v>11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3166</v>
      </c>
      <c r="B1015">
        <f>IFERROR(VLOOKUP(A1015,管理亚马逊库存!A:K,11,0),"")</f>
        <v>1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1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1</v>
      </c>
    </row>
    <row r="1016" spans="1:14">
      <c r="A1016" s="3" t="s">
        <v>3169</v>
      </c>
      <c r="B1016">
        <f>IFERROR(VLOOKUP(A1016,管理亚马逊库存!A:K,11,0),"")</f>
        <v>13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3173</v>
      </c>
      <c r="B1017">
        <f>IFERROR(VLOOKUP(A1017,管理亚马逊库存!A:K,11,0),"")</f>
        <v>5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4</v>
      </c>
      <c r="K1017">
        <f>IFERROR(VLOOKUP(A1017,库龄!B:L,10,0),0)</f>
        <v>1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5</v>
      </c>
    </row>
    <row r="1018" spans="1:14">
      <c r="A1018" s="3" t="s">
        <v>3176</v>
      </c>
      <c r="B1018">
        <f>IFERROR(VLOOKUP(A1018,管理亚马逊库存!A:K,11,0),"")</f>
        <v>10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3179</v>
      </c>
      <c r="B1019">
        <f>IFERROR(VLOOKUP(A1019,管理亚马逊库存!A:K,11,0),"")</f>
        <v>9</v>
      </c>
      <c r="C1019">
        <f>IFERROR(VLOOKUP(A1019,管理亚马逊库存!A:L,12,0),"")</f>
        <v>0</v>
      </c>
      <c r="D1019">
        <f>IFERROR(VLOOKUP(A1019,管理亚马逊库存!A:Q,17,0),"")</f>
        <v>30</v>
      </c>
      <c r="E1019">
        <f>IFERROR(VLOOKUP(A1019,管理亚马逊库存!A:R,18,0),"")</f>
        <v>0</v>
      </c>
      <c r="F1019">
        <f t="shared" si="31"/>
        <v>30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3181</v>
      </c>
      <c r="B1020">
        <f>IFERROR(VLOOKUP(A1020,管理亚马逊库存!A:K,11,0),"")</f>
        <v>20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20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20</v>
      </c>
    </row>
    <row r="1021" spans="1:14">
      <c r="A1021" s="3" t="s">
        <v>3184</v>
      </c>
      <c r="B1021">
        <f>IFERROR(VLOOKUP(A1021,管理亚马逊库存!A:K,11,0),"")</f>
        <v>22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3188</v>
      </c>
      <c r="B1022">
        <f>IFERROR(VLOOKUP(A1022,管理亚马逊库存!A:K,11,0),"")</f>
        <v>1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3191</v>
      </c>
      <c r="B1023">
        <f>IFERROR(VLOOKUP(A1023,管理亚马逊库存!A:K,11,0),"")</f>
        <v>10</v>
      </c>
      <c r="C1023">
        <f>IFERROR(VLOOKUP(A1023,管理亚马逊库存!A:L,12,0),"")</f>
        <v>0</v>
      </c>
      <c r="D1023">
        <f>IFERROR(VLOOKUP(A1023,管理亚马逊库存!A:Q,17,0),"")</f>
        <v>37</v>
      </c>
      <c r="E1023">
        <f>IFERROR(VLOOKUP(A1023,管理亚马逊库存!A:R,18,0),"")</f>
        <v>0</v>
      </c>
      <c r="F1023">
        <f t="shared" si="31"/>
        <v>37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3193</v>
      </c>
      <c r="B1024">
        <f>IFERROR(VLOOKUP(A1024,管理亚马逊库存!A:K,11,0),"")</f>
        <v>14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13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13</v>
      </c>
    </row>
    <row r="1025" spans="1:14">
      <c r="A1025" s="3" t="s">
        <v>3194</v>
      </c>
      <c r="B1025">
        <f>IFERROR(VLOOKUP(A1025,管理亚马逊库存!A:K,11,0),"")</f>
        <v>8</v>
      </c>
      <c r="C1025">
        <f>IFERROR(VLOOKUP(A1025,管理亚马逊库存!A:L,12,0),"")</f>
        <v>0</v>
      </c>
      <c r="D1025">
        <f>IFERROR(VLOOKUP(A1025,管理亚马逊库存!A:Q,17,0),"")</f>
        <v>6</v>
      </c>
      <c r="E1025">
        <f>IFERROR(VLOOKUP(A1025,管理亚马逊库存!A:R,18,0),"")</f>
        <v>0</v>
      </c>
      <c r="F1025">
        <f t="shared" si="31"/>
        <v>6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3198</v>
      </c>
      <c r="B1026">
        <f>IFERROR(VLOOKUP(A1026,管理亚马逊库存!A:K,11,0),"")</f>
        <v>3</v>
      </c>
      <c r="C1026">
        <f>IFERROR(VLOOKUP(A1026,管理亚马逊库存!A:L,12,0),"")</f>
        <v>0</v>
      </c>
      <c r="D1026">
        <f>IFERROR(VLOOKUP(A1026,管理亚马逊库存!A:Q,17,0),"")</f>
        <v>14</v>
      </c>
      <c r="E1026">
        <f>IFERROR(VLOOKUP(A1026,管理亚马逊库存!A:R,18,0),"")</f>
        <v>0</v>
      </c>
      <c r="F1026">
        <f t="shared" si="31"/>
        <v>14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3202</v>
      </c>
      <c r="B1027">
        <f>IFERROR(VLOOKUP(A1027,管理亚马逊库存!A:K,11,0),"")</f>
        <v>10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0</v>
      </c>
    </row>
    <row r="1028" spans="1:14">
      <c r="A1028" s="3" t="s">
        <v>3205</v>
      </c>
      <c r="B1028">
        <f>IFERROR(VLOOKUP(A1028,管理亚马逊库存!A:K,11,0),"")</f>
        <v>5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5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5</v>
      </c>
    </row>
    <row r="1029" spans="1:14">
      <c r="A1029" s="3" t="s">
        <v>3208</v>
      </c>
      <c r="B1029">
        <f>IFERROR(VLOOKUP(A1029,管理亚马逊库存!A:K,11,0),"")</f>
        <v>18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2</v>
      </c>
      <c r="K1029">
        <f>IFERROR(VLOOKUP(A1029,库龄!B:L,10,0),0)</f>
        <v>1</v>
      </c>
      <c r="L1029">
        <f>IFERROR(VLOOKUP(A1029,库龄!B:M,11,0),0)</f>
        <v>15</v>
      </c>
      <c r="M1029">
        <f>IFERROR(VLOOKUP(A1029,库龄!B:N,12,0),0)</f>
        <v>0</v>
      </c>
      <c r="N1029">
        <f t="shared" si="34"/>
        <v>18</v>
      </c>
    </row>
    <row r="1030" spans="1:14">
      <c r="A1030" s="3" t="s">
        <v>3211</v>
      </c>
      <c r="B1030">
        <f>IFERROR(VLOOKUP(A1030,管理亚马逊库存!A:K,11,0),"")</f>
        <v>7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3212</v>
      </c>
      <c r="B1031">
        <f>IFERROR(VLOOKUP(A1031,管理亚马逊库存!A:K,11,0),"")</f>
        <v>1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1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1</v>
      </c>
    </row>
    <row r="1032" spans="1:14">
      <c r="A1032" s="3" t="s">
        <v>3215</v>
      </c>
      <c r="B1032">
        <f>IFERROR(VLOOKUP(A1032,管理亚马逊库存!A:K,11,0),"")</f>
        <v>6</v>
      </c>
      <c r="C1032">
        <f>IFERROR(VLOOKUP(A1032,管理亚马逊库存!A:L,12,0),"")</f>
        <v>0</v>
      </c>
      <c r="D1032">
        <f>IFERROR(VLOOKUP(A1032,管理亚马逊库存!A:Q,17,0),"")</f>
        <v>30</v>
      </c>
      <c r="E1032">
        <f>IFERROR(VLOOKUP(A1032,管理亚马逊库存!A:R,18,0),"")</f>
        <v>0</v>
      </c>
      <c r="F1032">
        <f t="shared" si="33"/>
        <v>30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3217</v>
      </c>
      <c r="B1033">
        <f>IFERROR(VLOOKUP(A1033,管理亚马逊库存!A:K,11,0),"")</f>
        <v>3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3218</v>
      </c>
      <c r="B1034">
        <f>IFERROR(VLOOKUP(A1034,管理亚马逊库存!A:K,11,0),"")</f>
        <v>4</v>
      </c>
      <c r="C1034">
        <f>IFERROR(VLOOKUP(A1034,管理亚马逊库存!A:L,12,0),"")</f>
        <v>0</v>
      </c>
      <c r="D1034">
        <f>IFERROR(VLOOKUP(A1034,管理亚马逊库存!A:Q,17,0),"")</f>
        <v>39</v>
      </c>
      <c r="E1034">
        <f>IFERROR(VLOOKUP(A1034,管理亚马逊库存!A:R,18,0),"")</f>
        <v>0</v>
      </c>
      <c r="F1034">
        <f t="shared" si="33"/>
        <v>39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3222</v>
      </c>
      <c r="B1035">
        <f>IFERROR(VLOOKUP(A1035,管理亚马逊库存!A:K,11,0),"")</f>
        <v>5</v>
      </c>
      <c r="C1035">
        <f>IFERROR(VLOOKUP(A1035,管理亚马逊库存!A:L,12,0),"")</f>
        <v>0</v>
      </c>
      <c r="D1035">
        <f>IFERROR(VLOOKUP(A1035,管理亚马逊库存!A:Q,17,0),"")</f>
        <v>15</v>
      </c>
      <c r="E1035">
        <f>IFERROR(VLOOKUP(A1035,管理亚马逊库存!A:R,18,0),"")</f>
        <v>0</v>
      </c>
      <c r="F1035">
        <f t="shared" si="33"/>
        <v>15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3226</v>
      </c>
      <c r="B1036">
        <f>IFERROR(VLOOKUP(A1036,管理亚马逊库存!A:K,11,0),"")</f>
        <v>1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3227</v>
      </c>
      <c r="B1037">
        <f>IFERROR(VLOOKUP(A1037,管理亚马逊库存!A:K,11,0),"")</f>
        <v>2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3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3</v>
      </c>
    </row>
    <row r="1038" spans="1:14">
      <c r="A1038" s="3" t="s">
        <v>3230</v>
      </c>
      <c r="B1038">
        <f>IFERROR(VLOOKUP(A1038,管理亚马逊库存!A:K,11,0),"")</f>
        <v>2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1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1</v>
      </c>
    </row>
    <row r="1039" spans="1:14">
      <c r="A1039" s="3" t="s">
        <v>3233</v>
      </c>
      <c r="B1039">
        <f>IFERROR(VLOOKUP(A1039,管理亚马逊库存!A:K,11,0),"")</f>
        <v>4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3235</v>
      </c>
      <c r="B1040">
        <f>IFERROR(VLOOKUP(A1040,管理亚马逊库存!A:K,11,0),"")</f>
        <v>6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3237</v>
      </c>
      <c r="B1041">
        <f>IFERROR(VLOOKUP(A1041,管理亚马逊库存!A:K,11,0),"")</f>
        <v>5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4</v>
      </c>
      <c r="K1041">
        <f>IFERROR(VLOOKUP(A1041,库龄!B:L,10,0),0)</f>
        <v>1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5</v>
      </c>
    </row>
    <row r="1042" spans="1:14">
      <c r="A1042" s="3" t="s">
        <v>3240</v>
      </c>
      <c r="B1042">
        <f>IFERROR(VLOOKUP(A1042,管理亚马逊库存!A:K,11,0),"")</f>
        <v>1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1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1</v>
      </c>
    </row>
    <row r="1043" spans="1:14">
      <c r="A1043" s="3" t="s">
        <v>3243</v>
      </c>
      <c r="B1043">
        <f>IFERROR(VLOOKUP(A1043,管理亚马逊库存!A:K,11,0),"")</f>
        <v>1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1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1</v>
      </c>
    </row>
    <row r="1044" spans="1:14">
      <c r="A1044" s="3" t="s">
        <v>3246</v>
      </c>
      <c r="B1044">
        <f>IFERROR(VLOOKUP(A1044,管理亚马逊库存!A:K,11,0),"")</f>
        <v>13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11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11</v>
      </c>
    </row>
    <row r="1045" spans="1:14">
      <c r="A1045" s="3" t="s">
        <v>3249</v>
      </c>
      <c r="B1045">
        <f>IFERROR(VLOOKUP(A1045,管理亚马逊库存!A:K,11,0),"")</f>
        <v>5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5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5</v>
      </c>
    </row>
    <row r="1046" spans="1:14">
      <c r="A1046" s="3" t="s">
        <v>3252</v>
      </c>
      <c r="B1046">
        <f>IFERROR(VLOOKUP(A1046,管理亚马逊库存!A:K,11,0),"")</f>
        <v>6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3256</v>
      </c>
      <c r="B1047">
        <f>IFERROR(VLOOKUP(A1047,管理亚马逊库存!A:K,11,0),"")</f>
        <v>2</v>
      </c>
      <c r="C1047">
        <f>IFERROR(VLOOKUP(A1047,管理亚马逊库存!A:L,12,0),"")</f>
        <v>1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3259</v>
      </c>
      <c r="B1048">
        <f>IFERROR(VLOOKUP(A1048,管理亚马逊库存!A:K,11,0),"")</f>
        <v>12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7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7</v>
      </c>
    </row>
    <row r="1049" spans="1:14">
      <c r="A1049" s="3" t="s">
        <v>3260</v>
      </c>
      <c r="B1049">
        <f>IFERROR(VLOOKUP(A1049,管理亚马逊库存!A:K,11,0),"")</f>
        <v>3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3263</v>
      </c>
      <c r="B1050">
        <f>IFERROR(VLOOKUP(A1050,管理亚马逊库存!A:K,11,0),"")</f>
        <v>9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10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10</v>
      </c>
    </row>
    <row r="1051" spans="1:14">
      <c r="A1051" s="3" t="s">
        <v>3266</v>
      </c>
      <c r="B1051">
        <f>IFERROR(VLOOKUP(A1051,管理亚马逊库存!A:K,11,0),"")</f>
        <v>5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7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7</v>
      </c>
    </row>
    <row r="1052" spans="1:14">
      <c r="A1052" s="3" t="s">
        <v>3269</v>
      </c>
      <c r="B1052">
        <f>IFERROR(VLOOKUP(A1052,管理亚马逊库存!A:K,11,0),"")</f>
        <v>3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2</v>
      </c>
      <c r="K1052">
        <f>IFERROR(VLOOKUP(A1052,库龄!B:L,10,0),0)</f>
        <v>1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3</v>
      </c>
    </row>
    <row r="1053" spans="1:14">
      <c r="A1053" s="3" t="s">
        <v>3272</v>
      </c>
      <c r="B1053">
        <f>IFERROR(VLOOKUP(A1053,管理亚马逊库存!A:K,11,0),"")</f>
        <v>12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3275</v>
      </c>
      <c r="B1054">
        <f>IFERROR(VLOOKUP(A1054,管理亚马逊库存!A:K,11,0),"")</f>
        <v>5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5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5</v>
      </c>
    </row>
    <row r="1055" spans="1:14">
      <c r="A1055" s="3" t="s">
        <v>1389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3294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3296</v>
      </c>
      <c r="B1057">
        <f>IFERROR(VLOOKUP(A1057,管理亚马逊库存!A:K,11,0),"")</f>
        <v>5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3297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3298</v>
      </c>
      <c r="B1059">
        <f>IFERROR(VLOOKUP(A1059,管理亚马逊库存!A:K,11,0),"")</f>
        <v>1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3299</v>
      </c>
      <c r="B1060">
        <f>IFERROR(VLOOKUP(A1060,管理亚马逊库存!A:K,11,0),"")</f>
        <v>4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3300</v>
      </c>
      <c r="B1061">
        <f>IFERROR(VLOOKUP(A1061,管理亚马逊库存!A:K,11,0),"")</f>
        <v>11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3301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3303</v>
      </c>
      <c r="B1063">
        <f>IFERROR(VLOOKUP(A1063,管理亚马逊库存!A:K,11,0),"")</f>
        <v>0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3305</v>
      </c>
      <c r="B1064">
        <f>IFERROR(VLOOKUP(A1064,管理亚马逊库存!A:K,11,0),"")</f>
        <v>10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3306</v>
      </c>
      <c r="B1065">
        <f>IFERROR(VLOOKUP(A1065,管理亚马逊库存!A:K,11,0),"")</f>
        <v>0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3307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3309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3310</v>
      </c>
      <c r="B1068">
        <f>IFERROR(VLOOKUP(A1068,管理亚马逊库存!A:K,11,0),"")</f>
        <v>2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3311</v>
      </c>
      <c r="B1069">
        <f>IFERROR(VLOOKUP(A1069,管理亚马逊库存!A:K,11,0),"")</f>
        <v>5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3312</v>
      </c>
      <c r="B1070">
        <f>IFERROR(VLOOKUP(A1070,管理亚马逊库存!A:K,11,0),"")</f>
        <v>14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3313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3315</v>
      </c>
      <c r="B1072">
        <f>IFERROR(VLOOKUP(A1072,管理亚马逊库存!A:K,11,0),"")</f>
        <v>34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3316</v>
      </c>
      <c r="B1073">
        <f>IFERROR(VLOOKUP(A1073,管理亚马逊库存!A:K,11,0),"")</f>
        <v>13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3317</v>
      </c>
      <c r="B1074">
        <f>IFERROR(VLOOKUP(A1074,管理亚马逊库存!A:K,11,0),"")</f>
        <v>6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3318</v>
      </c>
      <c r="B1075">
        <f>IFERROR(VLOOKUP(A1075,管理亚马逊库存!A:K,11,0),"")</f>
        <v>39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3319</v>
      </c>
      <c r="B1076">
        <f>IFERROR(VLOOKUP(A1076,管理亚马逊库存!A:K,11,0),"")</f>
        <v>46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3320</v>
      </c>
      <c r="B1077">
        <f>IFERROR(VLOOKUP(A1077,管理亚马逊库存!A:K,11,0),"")</f>
        <v>3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3321</v>
      </c>
      <c r="B1078">
        <f>IFERROR(VLOOKUP(A1078,管理亚马逊库存!A:K,11,0),"")</f>
        <v>1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3322</v>
      </c>
      <c r="B1079">
        <f>IFERROR(VLOOKUP(A1079,管理亚马逊库存!A:K,11,0),"")</f>
        <v>5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3323</v>
      </c>
      <c r="B1080">
        <f>IFERROR(VLOOKUP(A1080,管理亚马逊库存!A:K,11,0),"")</f>
        <v>15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3324</v>
      </c>
      <c r="B1081">
        <f>IFERROR(VLOOKUP(A1081,管理亚马逊库存!A:K,11,0),"")</f>
        <v>17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3325</v>
      </c>
      <c r="B1082">
        <f>IFERROR(VLOOKUP(A1082,管理亚马逊库存!A:K,11,0),"")</f>
        <v>29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3326</v>
      </c>
      <c r="B1083">
        <f>IFERROR(VLOOKUP(A1083,管理亚马逊库存!A:K,11,0),"")</f>
        <v>7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3327</v>
      </c>
      <c r="B1084">
        <f>IFERROR(VLOOKUP(A1084,管理亚马逊库存!A:K,11,0),"")</f>
        <v>2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3328</v>
      </c>
      <c r="B1085">
        <f>IFERROR(VLOOKUP(A1085,管理亚马逊库存!A:K,11,0),"")</f>
        <v>2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3329</v>
      </c>
      <c r="B1086">
        <f>IFERROR(VLOOKUP(A1086,管理亚马逊库存!A:K,11,0),"")</f>
        <v>2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3330</v>
      </c>
      <c r="B1087">
        <f>IFERROR(VLOOKUP(A1087,管理亚马逊库存!A:K,11,0),"")</f>
        <v>14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3331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3333</v>
      </c>
      <c r="B1089">
        <f>IFERROR(VLOOKUP(A1089,管理亚马逊库存!A:K,11,0),"")</f>
        <v>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3335</v>
      </c>
      <c r="B1090">
        <f>IFERROR(VLOOKUP(A1090,管理亚马逊库存!A:K,11,0),"")</f>
        <v>3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3336</v>
      </c>
      <c r="B1091">
        <f>IFERROR(VLOOKUP(A1091,管理亚马逊库存!A:K,11,0),"")</f>
        <v>13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3337</v>
      </c>
      <c r="B1092">
        <f>IFERROR(VLOOKUP(A1092,管理亚马逊库存!A:K,11,0),"")</f>
        <v>0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3338</v>
      </c>
      <c r="B1093">
        <f>IFERROR(VLOOKUP(A1093,管理亚马逊库存!A:K,11,0),"")</f>
        <v>0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3339</v>
      </c>
      <c r="B1094">
        <f>IFERROR(VLOOKUP(A1094,管理亚马逊库存!A:K,11,0),"")</f>
        <v>1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3340</v>
      </c>
      <c r="B1095">
        <f>IFERROR(VLOOKUP(A1095,管理亚马逊库存!A:K,11,0),"")</f>
        <v>1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3341</v>
      </c>
      <c r="B1096">
        <f>IFERROR(VLOOKUP(A1096,管理亚马逊库存!A:K,11,0),"")</f>
        <v>17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3342</v>
      </c>
      <c r="B1097">
        <f>IFERROR(VLOOKUP(A1097,管理亚马逊库存!A:K,11,0),"")</f>
        <v>3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3343</v>
      </c>
      <c r="B1098">
        <f>IFERROR(VLOOKUP(A1098,管理亚马逊库存!A:K,11,0),"")</f>
        <v>0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3345</v>
      </c>
      <c r="B1099">
        <f>IFERROR(VLOOKUP(A1099,管理亚马逊库存!A:K,11,0),"")</f>
        <v>4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3346</v>
      </c>
      <c r="B1100">
        <f>IFERROR(VLOOKUP(A1100,管理亚马逊库存!A:K,11,0),"")</f>
        <v>0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3348</v>
      </c>
      <c r="B1101">
        <f>IFERROR(VLOOKUP(A1101,管理亚马逊库存!A:K,11,0),"")</f>
        <v>0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3350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3352</v>
      </c>
      <c r="B1103">
        <f>IFERROR(VLOOKUP(A1103,管理亚马逊库存!A:K,11,0),"")</f>
        <v>0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3354</v>
      </c>
      <c r="B1104">
        <f>IFERROR(VLOOKUP(A1104,管理亚马逊库存!A:K,11,0),"")</f>
        <v>0</v>
      </c>
      <c r="C1104">
        <f>IFERROR(VLOOKUP(A1104,管理亚马逊库存!A:L,12,0),"")</f>
        <v>1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3355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3357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3359</v>
      </c>
      <c r="B1107">
        <f>IFERROR(VLOOKUP(A1107,管理亚马逊库存!A:K,11,0),"")</f>
        <v>1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3360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3362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3364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1:14">
      <c r="A1111" s="3" t="s">
        <v>3366</v>
      </c>
      <c r="B1111">
        <f>IFERROR(VLOOKUP(A1111,管理亚马逊库存!A:K,11,0),"")</f>
        <v>0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1:14">
      <c r="A1112" s="3" t="s">
        <v>3368</v>
      </c>
      <c r="B1112">
        <f>IFERROR(VLOOKUP(A1112,管理亚马逊库存!A:K,11,0),"")</f>
        <v>1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3369</v>
      </c>
      <c r="B1113">
        <f>IFERROR(VLOOKUP(A1113,管理亚马逊库存!A:K,11,0),"")</f>
        <v>4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1:14">
      <c r="A1114" s="3" t="s">
        <v>3370</v>
      </c>
      <c r="B1114">
        <f>IFERROR(VLOOKUP(A1114,管理亚马逊库存!A:K,11,0),"")</f>
        <v>0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1:14">
      <c r="A1115" s="3" t="s">
        <v>3372</v>
      </c>
      <c r="B1115">
        <f>IFERROR(VLOOKUP(A1115,管理亚马逊库存!A:K,11,0),"")</f>
        <v>1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3373</v>
      </c>
      <c r="B1116">
        <f>IFERROR(VLOOKUP(A1116,管理亚马逊库存!A:K,11,0),"")</f>
        <v>0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1:14">
      <c r="A1117" s="3" t="s">
        <v>3374</v>
      </c>
      <c r="B1117">
        <f>IFERROR(VLOOKUP(A1117,管理亚马逊库存!A:K,11,0),"")</f>
        <v>2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0</v>
      </c>
    </row>
    <row r="1118" spans="1:14">
      <c r="A1118" s="3" t="s">
        <v>3375</v>
      </c>
      <c r="B1118">
        <f>IFERROR(VLOOKUP(A1118,管理亚马逊库存!A:K,11,0),"")</f>
        <v>2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1:14">
      <c r="A1119" s="3" t="s">
        <v>3376</v>
      </c>
      <c r="B1119">
        <f>IFERROR(VLOOKUP(A1119,管理亚马逊库存!A:K,11,0),"")</f>
        <v>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3378</v>
      </c>
      <c r="B1120">
        <f>IFERROR(VLOOKUP(A1120,管理亚马逊库存!A:K,11,0),"")</f>
        <v>0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3380</v>
      </c>
      <c r="B1121">
        <f>IFERROR(VLOOKUP(A1121,管理亚马逊库存!A:K,11,0),"")</f>
        <v>0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1:14">
      <c r="A1122" s="3" t="s">
        <v>3382</v>
      </c>
      <c r="B1122">
        <f>IFERROR(VLOOKUP(A1122,管理亚马逊库存!A:K,11,0),"")</f>
        <v>0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1:14">
      <c r="A1123" s="3" t="s">
        <v>3384</v>
      </c>
      <c r="B1123">
        <f>IFERROR(VLOOKUP(A1123,管理亚马逊库存!A:K,11,0),"")</f>
        <v>0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0</v>
      </c>
    </row>
    <row r="1124" spans="1:14">
      <c r="A1124" s="3" t="s">
        <v>3386</v>
      </c>
      <c r="B1124">
        <f>IFERROR(VLOOKUP(A1124,管理亚马逊库存!A:K,11,0),"")</f>
        <v>2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3387</v>
      </c>
      <c r="B1125">
        <f>IFERROR(VLOOKUP(A1125,管理亚马逊库存!A:K,11,0),"")</f>
        <v>30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3388</v>
      </c>
      <c r="B1126">
        <f>IFERROR(VLOOKUP(A1126,管理亚马逊库存!A:K,11,0),"")</f>
        <v>0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0</v>
      </c>
    </row>
    <row r="1127" spans="1:14">
      <c r="A1127" s="3" t="s">
        <v>3393</v>
      </c>
      <c r="B1127">
        <f>IFERROR(VLOOKUP(A1127,管理亚马逊库存!A:K,11,0),"")</f>
        <v>0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3396</v>
      </c>
      <c r="B1128">
        <f>IFERROR(VLOOKUP(A1128,管理亚马逊库存!A:K,11,0),"")</f>
        <v>0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0</v>
      </c>
    </row>
    <row r="1129" spans="1:14">
      <c r="A1129" s="3" t="s">
        <v>3399</v>
      </c>
      <c r="B1129">
        <f>IFERROR(VLOOKUP(A1129,管理亚马逊库存!A:K,11,0),"")</f>
        <v>0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0</v>
      </c>
    </row>
    <row r="1130" spans="1:14">
      <c r="A1130" s="3" t="s">
        <v>3402</v>
      </c>
      <c r="B1130">
        <f>IFERROR(VLOOKUP(A1130,管理亚马逊库存!A:K,11,0),"")</f>
        <v>0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0</v>
      </c>
    </row>
    <row r="1131" spans="1:14">
      <c r="A1131" s="3" t="s">
        <v>3405</v>
      </c>
      <c r="B1131">
        <f>IFERROR(VLOOKUP(A1131,管理亚马逊库存!A:K,11,0),"")</f>
        <v>0</v>
      </c>
      <c r="C1131">
        <f>IFERROR(VLOOKUP(A1131,管理亚马逊库存!A:L,12,0),"")</f>
        <v>1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0</v>
      </c>
    </row>
    <row r="1132" spans="1:14">
      <c r="A1132" s="3" t="s">
        <v>3408</v>
      </c>
      <c r="B1132">
        <f>IFERROR(VLOOKUP(A1132,管理亚马逊库存!A:K,11,0),"")</f>
        <v>0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0</v>
      </c>
    </row>
    <row r="1133" spans="1:14">
      <c r="A1133" s="3" t="s">
        <v>3411</v>
      </c>
      <c r="B1133">
        <f>IFERROR(VLOOKUP(A1133,管理亚马逊库存!A:K,11,0),"")</f>
        <v>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3414</v>
      </c>
      <c r="B1134">
        <f>IFERROR(VLOOKUP(A1134,管理亚马逊库存!A:K,11,0),"")</f>
        <v>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3417</v>
      </c>
      <c r="B1135">
        <f>IFERROR(VLOOKUP(A1135,管理亚马逊库存!A:K,11,0),"")</f>
        <v>0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3420</v>
      </c>
      <c r="B1136">
        <f>IFERROR(VLOOKUP(A1136,管理亚马逊库存!A:K,11,0),"")</f>
        <v>0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0</v>
      </c>
    </row>
    <row r="1137" spans="1:14">
      <c r="A1137" s="3" t="s">
        <v>3423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3426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3429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3432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3435</v>
      </c>
      <c r="B1141">
        <f>IFERROR(VLOOKUP(A1141,管理亚马逊库存!A:K,11,0),"")</f>
        <v>0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3438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3441</v>
      </c>
      <c r="B1143">
        <f>IFERROR(VLOOKUP(A1143,管理亚马逊库存!A:K,11,0),"")</f>
        <v>0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3444</v>
      </c>
      <c r="B1144">
        <f>IFERROR(VLOOKUP(A1144,管理亚马逊库存!A:K,11,0),"")</f>
        <v>23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0</v>
      </c>
    </row>
    <row r="1145" spans="1:14">
      <c r="A1145" s="3" t="s">
        <v>3445</v>
      </c>
      <c r="B1145">
        <f>IFERROR(VLOOKUP(A1145,管理亚马逊库存!A:K,11,0),"")</f>
        <v>7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0</v>
      </c>
    </row>
    <row r="1146" spans="1:14">
      <c r="A1146" s="3" t="s">
        <v>3446</v>
      </c>
      <c r="B1146">
        <f>IFERROR(VLOOKUP(A1146,管理亚马逊库存!A:K,11,0),"")</f>
        <v>17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3447</v>
      </c>
      <c r="B1147">
        <f>IFERROR(VLOOKUP(A1147,管理亚马逊库存!A:K,11,0),"")</f>
        <v>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0</v>
      </c>
    </row>
    <row r="1148" spans="1:14">
      <c r="A1148" s="3" t="s">
        <v>3448</v>
      </c>
      <c r="B1148">
        <f>IFERROR(VLOOKUP(A1148,管理亚马逊库存!A:K,11,0),"")</f>
        <v>0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0</v>
      </c>
    </row>
    <row r="1149" spans="1:14">
      <c r="A1149" s="3" t="s">
        <v>3449</v>
      </c>
      <c r="B1149">
        <f>IFERROR(VLOOKUP(A1149,管理亚马逊库存!A:K,11,0),"")</f>
        <v>0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0</v>
      </c>
    </row>
    <row r="1150" spans="1:14">
      <c r="A1150" s="3" t="s">
        <v>3451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0</v>
      </c>
    </row>
    <row r="1151" spans="1:14">
      <c r="A1151" s="3" t="s">
        <v>3452</v>
      </c>
      <c r="B1151">
        <f>IFERROR(VLOOKUP(A1151,管理亚马逊库存!A:K,11,0),"")</f>
        <v>10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3453</v>
      </c>
      <c r="B1152">
        <f>IFERROR(VLOOKUP(A1152,管理亚马逊库存!A:K,11,0),"")</f>
        <v>2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3454</v>
      </c>
      <c r="B1153">
        <f>IFERROR(VLOOKUP(A1153,管理亚马逊库存!A:K,11,0),"")</f>
        <v>13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0</v>
      </c>
    </row>
    <row r="1154" spans="1:14">
      <c r="A1154" s="3" t="s">
        <v>3455</v>
      </c>
      <c r="B1154">
        <f>IFERROR(VLOOKUP(A1154,管理亚马逊库存!A:K,11,0),"")</f>
        <v>33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0</v>
      </c>
    </row>
    <row r="1155" spans="1:14">
      <c r="A1155" s="3" t="s">
        <v>3456</v>
      </c>
      <c r="B1155">
        <f>IFERROR(VLOOKUP(A1155,管理亚马逊库存!A:K,11,0),"")</f>
        <v>20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3457</v>
      </c>
      <c r="B1156">
        <f>IFERROR(VLOOKUP(A1156,管理亚马逊库存!A:K,11,0),"")</f>
        <v>3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0</v>
      </c>
    </row>
    <row r="1157" spans="1:14">
      <c r="A1157" s="3" t="s">
        <v>3458</v>
      </c>
      <c r="B1157">
        <f>IFERROR(VLOOKUP(A1157,管理亚马逊库存!A:K,11,0),"")</f>
        <v>1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3459</v>
      </c>
      <c r="B1158">
        <f>IFERROR(VLOOKUP(A1158,管理亚马逊库存!A:K,11,0),"")</f>
        <v>5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3460</v>
      </c>
      <c r="B1159">
        <f>IFERROR(VLOOKUP(A1159,管理亚马逊库存!A:K,11,0),"")</f>
        <v>1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3461</v>
      </c>
      <c r="B1160">
        <f>IFERROR(VLOOKUP(A1160,管理亚马逊库存!A:K,11,0),"")</f>
        <v>0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3463</v>
      </c>
      <c r="B1161">
        <f>IFERROR(VLOOKUP(A1161,管理亚马逊库存!A:K,11,0),"")</f>
        <v>0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3464</v>
      </c>
      <c r="B1162">
        <f>IFERROR(VLOOKUP(A1162,管理亚马逊库存!A:K,11,0),"")</f>
        <v>10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3465</v>
      </c>
      <c r="B1163">
        <f>IFERROR(VLOOKUP(A1163,管理亚马逊库存!A:K,11,0),"")</f>
        <v>2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3466</v>
      </c>
      <c r="B1164">
        <f>IFERROR(VLOOKUP(A1164,管理亚马逊库存!A:K,11,0),"")</f>
        <v>7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3467</v>
      </c>
      <c r="B1165">
        <f>IFERROR(VLOOKUP(A1165,管理亚马逊库存!A:K,11,0),"")</f>
        <v>5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3468</v>
      </c>
      <c r="B1166">
        <f>IFERROR(VLOOKUP(A1166,管理亚马逊库存!A:K,11,0),"")</f>
        <v>6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3469</v>
      </c>
      <c r="B1167">
        <f>IFERROR(VLOOKUP(A1167,管理亚马逊库存!A:K,11,0),"")</f>
        <v>8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3470</v>
      </c>
      <c r="B1168">
        <f>IFERROR(VLOOKUP(A1168,管理亚马逊库存!A:K,11,0),"")</f>
        <v>9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3471</v>
      </c>
      <c r="B1169">
        <f>IFERROR(VLOOKUP(A1169,管理亚马逊库存!A:K,11,0),"")</f>
        <v>0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3473</v>
      </c>
      <c r="B1170">
        <f>IFERROR(VLOOKUP(A1170,管理亚马逊库存!A:K,11,0),"")</f>
        <v>0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0</v>
      </c>
    </row>
    <row r="1171" spans="1:14">
      <c r="A1171" s="3" t="s">
        <v>3475</v>
      </c>
      <c r="B1171">
        <f>IFERROR(VLOOKUP(A1171,管理亚马逊库存!A:K,11,0),"")</f>
        <v>0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3479</v>
      </c>
      <c r="B1172">
        <f>IFERROR(VLOOKUP(A1172,管理亚马逊库存!A:K,11,0),"")</f>
        <v>0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3481</v>
      </c>
      <c r="B1173">
        <f>IFERROR(VLOOKUP(A1173,管理亚马逊库存!A:K,11,0),"")</f>
        <v>0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3483</v>
      </c>
      <c r="B1174">
        <f>IFERROR(VLOOKUP(A1174,管理亚马逊库存!A:K,11,0),"")</f>
        <v>0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3485</v>
      </c>
      <c r="B1175">
        <f>IFERROR(VLOOKUP(A1175,管理亚马逊库存!A:K,11,0),"")</f>
        <v>0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3489</v>
      </c>
      <c r="B1176">
        <f>IFERROR(VLOOKUP(A1176,管理亚马逊库存!A:K,11,0),"")</f>
        <v>0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3493</v>
      </c>
      <c r="B1177">
        <f>IFERROR(VLOOKUP(A1177,管理亚马逊库存!A:K,11,0),"")</f>
        <v>0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0</v>
      </c>
    </row>
    <row r="1178" spans="1:14">
      <c r="A1178" s="3" t="s">
        <v>3495</v>
      </c>
      <c r="B1178">
        <f>IFERROR(VLOOKUP(A1178,管理亚马逊库存!A:K,11,0),"")</f>
        <v>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3499</v>
      </c>
      <c r="B1179">
        <f>IFERROR(VLOOKUP(A1179,管理亚马逊库存!A:K,11,0),"")</f>
        <v>0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3502</v>
      </c>
      <c r="B1180">
        <f>IFERROR(VLOOKUP(A1180,管理亚马逊库存!A:K,11,0),"")</f>
        <v>23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3503</v>
      </c>
      <c r="B1181">
        <f>IFERROR(VLOOKUP(A1181,管理亚马逊库存!A:K,11,0),"")</f>
        <v>0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3504</v>
      </c>
      <c r="B1182">
        <f>IFERROR(VLOOKUP(A1182,管理亚马逊库存!A:K,11,0),"")</f>
        <v>0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3505</v>
      </c>
      <c r="B1183">
        <f>IFERROR(VLOOKUP(A1183,管理亚马逊库存!A:K,11,0),"")</f>
        <v>0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3506</v>
      </c>
      <c r="B1184">
        <f>IFERROR(VLOOKUP(A1184,管理亚马逊库存!A:K,11,0),"")</f>
        <v>3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3507</v>
      </c>
      <c r="B1185">
        <f>IFERROR(VLOOKUP(A1185,管理亚马逊库存!A:K,11,0),"")</f>
        <v>1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0</v>
      </c>
    </row>
    <row r="1186" spans="1:14">
      <c r="A1186" s="3" t="s">
        <v>3508</v>
      </c>
      <c r="B1186">
        <f>IFERROR(VLOOKUP(A1186,管理亚马逊库存!A:K,11,0),"")</f>
        <v>0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3509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3510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3511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3512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3514</v>
      </c>
      <c r="B1191">
        <f>IFERROR(VLOOKUP(A1191,管理亚马逊库存!A:K,11,0),"")</f>
        <v>0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3515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3516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0</v>
      </c>
    </row>
    <row r="1194" spans="1:14">
      <c r="A1194" s="3" t="s">
        <v>3517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3518</v>
      </c>
      <c r="B1195">
        <f>IFERROR(VLOOKUP(A1195,管理亚马逊库存!A:K,11,0),"")</f>
        <v>1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0</v>
      </c>
    </row>
    <row r="1196" spans="1:14">
      <c r="A1196" s="3" t="s">
        <v>3519</v>
      </c>
      <c r="B1196">
        <f>IFERROR(VLOOKUP(A1196,管理亚马逊库存!A:K,11,0),"")</f>
        <v>3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3520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0</v>
      </c>
    </row>
    <row r="1198" spans="1:14">
      <c r="A1198" s="3" t="s">
        <v>3521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3522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38"/>
        <v>0</v>
      </c>
    </row>
    <row r="1200" spans="1:14">
      <c r="A1200" s="3" t="s">
        <v>3523</v>
      </c>
      <c r="B1200">
        <f>IFERROR(VLOOKUP(A1200,管理亚马逊库存!A:K,11,0),"")</f>
        <v>10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0</v>
      </c>
    </row>
    <row r="1201" spans="1:14">
      <c r="A1201" s="3" t="s">
        <v>3524</v>
      </c>
      <c r="B1201">
        <f>IFERROR(VLOOKUP(A1201,管理亚马逊库存!A:K,11,0),"")</f>
        <v>6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0</v>
      </c>
    </row>
    <row r="1202" spans="1:14">
      <c r="A1202" s="3" t="s">
        <v>3525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3527</v>
      </c>
      <c r="B1203">
        <f>IFERROR(VLOOKUP(A1203,管理亚马逊库存!A:K,11,0),"")</f>
        <v>1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0</v>
      </c>
    </row>
    <row r="1204" spans="1:14">
      <c r="A1204" s="3" t="s">
        <v>3528</v>
      </c>
      <c r="B1204">
        <f>IFERROR(VLOOKUP(A1204,管理亚马逊库存!A:K,11,0),"")</f>
        <v>2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3529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3530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3532</v>
      </c>
      <c r="B1207">
        <f>IFERROR(VLOOKUP(A1207,管理亚马逊库存!A:K,11,0),"")</f>
        <v>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3535</v>
      </c>
      <c r="B1208">
        <f>IFERROR(VLOOKUP(A1208,管理亚马逊库存!A:K,11,0),"")</f>
        <v>0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3538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3541</v>
      </c>
      <c r="B1210">
        <f>IFERROR(VLOOKUP(A1210,管理亚马逊库存!A:K,11,0),"")</f>
        <v>0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0</v>
      </c>
    </row>
    <row r="1211" spans="1:14">
      <c r="A1211" s="3" t="s">
        <v>3542</v>
      </c>
      <c r="B1211">
        <f>IFERROR(VLOOKUP(A1211,管理亚马逊库存!A:K,11,0),"")</f>
        <v>0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3544</v>
      </c>
      <c r="B1212">
        <f>IFERROR(VLOOKUP(A1212,管理亚马逊库存!A:K,11,0),"")</f>
        <v>0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0</v>
      </c>
    </row>
    <row r="1213" spans="1:14">
      <c r="A1213" s="3" t="s">
        <v>3545</v>
      </c>
      <c r="B1213">
        <f>IFERROR(VLOOKUP(A1213,管理亚马逊库存!A:K,11,0),"")</f>
        <v>0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3546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3549</v>
      </c>
      <c r="B1215">
        <f>IFERROR(VLOOKUP(A1215,管理亚马逊库存!A:K,11,0),"")</f>
        <v>0</v>
      </c>
      <c r="C1215">
        <f>IFERROR(VLOOKUP(A1215,管理亚马逊库存!A:L,12,0),"")</f>
        <v>0</v>
      </c>
      <c r="D1215">
        <f>IFERROR(VLOOKUP(A1215,管理亚马逊库存!A:Q,17,0),"")</f>
        <v>20</v>
      </c>
      <c r="E1215">
        <f>IFERROR(VLOOKUP(A1215,管理亚马逊库存!A:R,18,0),"")</f>
        <v>0</v>
      </c>
      <c r="F1215">
        <f t="shared" si="37"/>
        <v>20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0</v>
      </c>
    </row>
    <row r="1216" spans="1:14">
      <c r="A1216" s="3" t="s">
        <v>3551</v>
      </c>
      <c r="B1216">
        <f>IFERROR(VLOOKUP(A1216,管理亚马逊库存!A:K,11,0),"")</f>
        <v>0</v>
      </c>
      <c r="C1216">
        <f>IFERROR(VLOOKUP(A1216,管理亚马逊库存!A:L,12,0),"")</f>
        <v>0</v>
      </c>
      <c r="D1216">
        <f>IFERROR(VLOOKUP(A1216,管理亚马逊库存!A:Q,17,0),"")</f>
        <v>10</v>
      </c>
      <c r="E1216">
        <f>IFERROR(VLOOKUP(A1216,管理亚马逊库存!A:R,18,0),"")</f>
        <v>0</v>
      </c>
      <c r="F1216">
        <f t="shared" si="37"/>
        <v>10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3553</v>
      </c>
      <c r="B1217">
        <f>IFERROR(VLOOKUP(A1217,管理亚马逊库存!A:K,11,0),"")</f>
        <v>0</v>
      </c>
      <c r="C1217">
        <f>IFERROR(VLOOKUP(A1217,管理亚马逊库存!A:L,12,0),"")</f>
        <v>0</v>
      </c>
      <c r="D1217">
        <f>IFERROR(VLOOKUP(A1217,管理亚马逊库存!A:Q,17,0),"")</f>
        <v>5</v>
      </c>
      <c r="E1217">
        <f>IFERROR(VLOOKUP(A1217,管理亚马逊库存!A:R,18,0),"")</f>
        <v>0</v>
      </c>
      <c r="F1217">
        <f t="shared" si="37"/>
        <v>5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3555</v>
      </c>
      <c r="B1218">
        <f>IFERROR(VLOOKUP(A1218,管理亚马逊库存!A:K,11,0),"")</f>
        <v>0</v>
      </c>
      <c r="C1218">
        <f>IFERROR(VLOOKUP(A1218,管理亚马逊库存!A:L,12,0),"")</f>
        <v>0</v>
      </c>
      <c r="D1218">
        <f>IFERROR(VLOOKUP(A1218,管理亚马逊库存!A:Q,17,0),"")</f>
        <v>28</v>
      </c>
      <c r="E1218">
        <f>IFERROR(VLOOKUP(A1218,管理亚马逊库存!A:R,18,0),"")</f>
        <v>0</v>
      </c>
      <c r="F1218">
        <f t="shared" si="37"/>
        <v>28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3557</v>
      </c>
      <c r="B1219">
        <f>IFERROR(VLOOKUP(A1219,管理亚马逊库存!A:K,11,0),"")</f>
        <v>0</v>
      </c>
      <c r="C1219">
        <f>IFERROR(VLOOKUP(A1219,管理亚马逊库存!A:L,12,0),"")</f>
        <v>0</v>
      </c>
      <c r="D1219">
        <f>IFERROR(VLOOKUP(A1219,管理亚马逊库存!A:Q,17,0),"")</f>
        <v>10</v>
      </c>
      <c r="E1219">
        <f>IFERROR(VLOOKUP(A1219,管理亚马逊库存!A:R,18,0),"")</f>
        <v>0</v>
      </c>
      <c r="F1219">
        <f t="shared" ref="F1219:F1282" si="39">SUM(D1219:E1219)</f>
        <v>10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3559</v>
      </c>
      <c r="B1220">
        <f>IFERROR(VLOOKUP(A1220,管理亚马逊库存!A:K,11,0),"")</f>
        <v>0</v>
      </c>
      <c r="C1220">
        <f>IFERROR(VLOOKUP(A1220,管理亚马逊库存!A:L,12,0),"")</f>
        <v>0</v>
      </c>
      <c r="D1220">
        <f>IFERROR(VLOOKUP(A1220,管理亚马逊库存!A:Q,17,0),"")</f>
        <v>12</v>
      </c>
      <c r="E1220">
        <f>IFERROR(VLOOKUP(A1220,管理亚马逊库存!A:R,18,0),"")</f>
        <v>0</v>
      </c>
      <c r="F1220">
        <f t="shared" si="39"/>
        <v>12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0</v>
      </c>
    </row>
    <row r="1221" spans="1:14">
      <c r="A1221" s="3" t="s">
        <v>3561</v>
      </c>
      <c r="B1221">
        <f>IFERROR(VLOOKUP(A1221,管理亚马逊库存!A:K,11,0),"")</f>
        <v>0</v>
      </c>
      <c r="C1221">
        <f>IFERROR(VLOOKUP(A1221,管理亚马逊库存!A:L,12,0),"")</f>
        <v>0</v>
      </c>
      <c r="D1221">
        <f>IFERROR(VLOOKUP(A1221,管理亚马逊库存!A:Q,17,0),"")</f>
        <v>10</v>
      </c>
      <c r="E1221">
        <f>IFERROR(VLOOKUP(A1221,管理亚马逊库存!A:R,18,0),"")</f>
        <v>0</v>
      </c>
      <c r="F1221">
        <f t="shared" si="39"/>
        <v>10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3563</v>
      </c>
      <c r="B1222">
        <f>IFERROR(VLOOKUP(A1222,管理亚马逊库存!A:K,11,0),"")</f>
        <v>0</v>
      </c>
      <c r="C1222">
        <f>IFERROR(VLOOKUP(A1222,管理亚马逊库存!A:L,12,0),"")</f>
        <v>0</v>
      </c>
      <c r="D1222">
        <f>IFERROR(VLOOKUP(A1222,管理亚马逊库存!A:Q,17,0),"")</f>
        <v>10</v>
      </c>
      <c r="E1222">
        <f>IFERROR(VLOOKUP(A1222,管理亚马逊库存!A:R,18,0),"")</f>
        <v>0</v>
      </c>
      <c r="F1222">
        <f t="shared" si="39"/>
        <v>10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3565</v>
      </c>
      <c r="B1223">
        <f>IFERROR(VLOOKUP(A1223,管理亚马逊库存!A:K,11,0),"")</f>
        <v>0</v>
      </c>
      <c r="C1223">
        <f>IFERROR(VLOOKUP(A1223,管理亚马逊库存!A:L,12,0),"")</f>
        <v>0</v>
      </c>
      <c r="D1223">
        <f>IFERROR(VLOOKUP(A1223,管理亚马逊库存!A:Q,17,0),"")</f>
        <v>5</v>
      </c>
      <c r="E1223">
        <f>IFERROR(VLOOKUP(A1223,管理亚马逊库存!A:R,18,0),"")</f>
        <v>0</v>
      </c>
      <c r="F1223">
        <f t="shared" si="39"/>
        <v>5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3567</v>
      </c>
      <c r="B1224">
        <f>IFERROR(VLOOKUP(A1224,管理亚马逊库存!A:K,11,0),"")</f>
        <v>0</v>
      </c>
      <c r="C1224">
        <f>IFERROR(VLOOKUP(A1224,管理亚马逊库存!A:L,12,0),"")</f>
        <v>0</v>
      </c>
      <c r="D1224">
        <f>IFERROR(VLOOKUP(A1224,管理亚马逊库存!A:Q,17,0),"")</f>
        <v>10</v>
      </c>
      <c r="E1224">
        <f>IFERROR(VLOOKUP(A1224,管理亚马逊库存!A:R,18,0),"")</f>
        <v>0</v>
      </c>
      <c r="F1224">
        <f t="shared" si="39"/>
        <v>10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3569</v>
      </c>
      <c r="B1225">
        <f>IFERROR(VLOOKUP(A1225,管理亚马逊库存!A:K,11,0),"")</f>
        <v>0</v>
      </c>
      <c r="C1225">
        <f>IFERROR(VLOOKUP(A1225,管理亚马逊库存!A:L,12,0),"")</f>
        <v>0</v>
      </c>
      <c r="D1225">
        <f>IFERROR(VLOOKUP(A1225,管理亚马逊库存!A:Q,17,0),"")</f>
        <v>10</v>
      </c>
      <c r="E1225">
        <f>IFERROR(VLOOKUP(A1225,管理亚马逊库存!A:R,18,0),"")</f>
        <v>0</v>
      </c>
      <c r="F1225">
        <f t="shared" si="39"/>
        <v>10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3571</v>
      </c>
      <c r="B1226">
        <f>IFERROR(VLOOKUP(A1226,管理亚马逊库存!A:K,11,0),"")</f>
        <v>0</v>
      </c>
      <c r="C1226">
        <f>IFERROR(VLOOKUP(A1226,管理亚马逊库存!A:L,12,0),"")</f>
        <v>0</v>
      </c>
      <c r="D1226">
        <f>IFERROR(VLOOKUP(A1226,管理亚马逊库存!A:Q,17,0),"")</f>
        <v>20</v>
      </c>
      <c r="E1226">
        <f>IFERROR(VLOOKUP(A1226,管理亚马逊库存!A:R,18,0),"")</f>
        <v>0</v>
      </c>
      <c r="F1226">
        <f t="shared" si="39"/>
        <v>20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3573</v>
      </c>
      <c r="B1227">
        <f>IFERROR(VLOOKUP(A1227,管理亚马逊库存!A:K,11,0),"")</f>
        <v>0</v>
      </c>
      <c r="C1227">
        <f>IFERROR(VLOOKUP(A1227,管理亚马逊库存!A:L,12,0),"")</f>
        <v>0</v>
      </c>
      <c r="D1227">
        <f>IFERROR(VLOOKUP(A1227,管理亚马逊库存!A:Q,17,0),"")</f>
        <v>10</v>
      </c>
      <c r="E1227">
        <f>IFERROR(VLOOKUP(A1227,管理亚马逊库存!A:R,18,0),"")</f>
        <v>0</v>
      </c>
      <c r="F1227">
        <f t="shared" si="39"/>
        <v>10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3575</v>
      </c>
      <c r="B1228">
        <f>IFERROR(VLOOKUP(A1228,管理亚马逊库存!A:K,11,0),"")</f>
        <v>0</v>
      </c>
      <c r="C1228">
        <f>IFERROR(VLOOKUP(A1228,管理亚马逊库存!A:L,12,0),"")</f>
        <v>0</v>
      </c>
      <c r="D1228">
        <f>IFERROR(VLOOKUP(A1228,管理亚马逊库存!A:Q,17,0),"")</f>
        <v>2</v>
      </c>
      <c r="E1228">
        <f>IFERROR(VLOOKUP(A1228,管理亚马逊库存!A:R,18,0),"")</f>
        <v>0</v>
      </c>
      <c r="F1228">
        <f t="shared" si="39"/>
        <v>2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3577</v>
      </c>
      <c r="B1229">
        <f>IFERROR(VLOOKUP(A1229,管理亚马逊库存!A:K,11,0),"")</f>
        <v>0</v>
      </c>
      <c r="C1229">
        <f>IFERROR(VLOOKUP(A1229,管理亚马逊库存!A:L,12,0),"")</f>
        <v>0</v>
      </c>
      <c r="D1229">
        <f>IFERROR(VLOOKUP(A1229,管理亚马逊库存!A:Q,17,0),"")</f>
        <v>20</v>
      </c>
      <c r="E1229">
        <f>IFERROR(VLOOKUP(A1229,管理亚马逊库存!A:R,18,0),"")</f>
        <v>0</v>
      </c>
      <c r="F1229">
        <f t="shared" si="39"/>
        <v>20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3579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15</v>
      </c>
      <c r="E1230">
        <f>IFERROR(VLOOKUP(A1230,管理亚马逊库存!A:R,18,0),"")</f>
        <v>0</v>
      </c>
      <c r="F1230">
        <f t="shared" si="39"/>
        <v>15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3581</v>
      </c>
      <c r="B1231">
        <f>IFERROR(VLOOKUP(A1231,管理亚马逊库存!A:K,11,0),"")</f>
        <v>0</v>
      </c>
      <c r="C1231">
        <f>IFERROR(VLOOKUP(A1231,管理亚马逊库存!A:L,12,0),"")</f>
        <v>0</v>
      </c>
      <c r="D1231">
        <f>IFERROR(VLOOKUP(A1231,管理亚马逊库存!A:Q,17,0),"")</f>
        <v>10</v>
      </c>
      <c r="E1231">
        <f>IFERROR(VLOOKUP(A1231,管理亚马逊库存!A:R,18,0),"")</f>
        <v>0</v>
      </c>
      <c r="F1231">
        <f t="shared" si="39"/>
        <v>10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3583</v>
      </c>
      <c r="B1232">
        <f>IFERROR(VLOOKUP(A1232,管理亚马逊库存!A:K,11,0),"")</f>
        <v>0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3585</v>
      </c>
      <c r="B1233">
        <f>IFERROR(VLOOKUP(A1233,管理亚马逊库存!A:K,11,0),"")</f>
        <v>0</v>
      </c>
      <c r="C1233">
        <f>IFERROR(VLOOKUP(A1233,管理亚马逊库存!A:L,12,0),"")</f>
        <v>0</v>
      </c>
      <c r="D1233">
        <f>IFERROR(VLOOKUP(A1233,管理亚马逊库存!A:Q,17,0),"")</f>
        <v>10</v>
      </c>
      <c r="E1233">
        <f>IFERROR(VLOOKUP(A1233,管理亚马逊库存!A:R,18,0),"")</f>
        <v>0</v>
      </c>
      <c r="F1233">
        <f t="shared" si="39"/>
        <v>10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3587</v>
      </c>
      <c r="B1234">
        <f>IFERROR(VLOOKUP(A1234,管理亚马逊库存!A:K,11,0),"")</f>
        <v>0</v>
      </c>
      <c r="C1234">
        <f>IFERROR(VLOOKUP(A1234,管理亚马逊库存!A:L,12,0),"")</f>
        <v>0</v>
      </c>
      <c r="D1234">
        <f>IFERROR(VLOOKUP(A1234,管理亚马逊库存!A:Q,17,0),"")</f>
        <v>10</v>
      </c>
      <c r="E1234">
        <f>IFERROR(VLOOKUP(A1234,管理亚马逊库存!A:R,18,0),"")</f>
        <v>0</v>
      </c>
      <c r="F1234">
        <f t="shared" si="39"/>
        <v>10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3589</v>
      </c>
      <c r="B1235">
        <f>IFERROR(VLOOKUP(A1235,管理亚马逊库存!A:K,11,0),"")</f>
        <v>0</v>
      </c>
      <c r="C1235">
        <f>IFERROR(VLOOKUP(A1235,管理亚马逊库存!A:L,12,0),"")</f>
        <v>0</v>
      </c>
      <c r="D1235">
        <f>IFERROR(VLOOKUP(A1235,管理亚马逊库存!A:Q,17,0),"")</f>
        <v>10</v>
      </c>
      <c r="E1235">
        <f>IFERROR(VLOOKUP(A1235,管理亚马逊库存!A:R,18,0),"")</f>
        <v>0</v>
      </c>
      <c r="F1235">
        <f t="shared" si="39"/>
        <v>10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3591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5</v>
      </c>
      <c r="E1236">
        <f>IFERROR(VLOOKUP(A1236,管理亚马逊库存!A:R,18,0),"")</f>
        <v>0</v>
      </c>
      <c r="F1236">
        <f t="shared" si="39"/>
        <v>5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3593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10</v>
      </c>
      <c r="E1237">
        <f>IFERROR(VLOOKUP(A1237,管理亚马逊库存!A:R,18,0),"")</f>
        <v>0</v>
      </c>
      <c r="F1237">
        <f t="shared" si="39"/>
        <v>10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3595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3596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3599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3600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3601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3603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3604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3605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3606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3607</v>
      </c>
      <c r="B1247">
        <f>IFERROR(VLOOKUP(A1247,管理亚马逊库存!A:K,11,0),"")</f>
        <v>0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3608</v>
      </c>
      <c r="B1248">
        <f>IFERROR(VLOOKUP(A1248,管理亚马逊库存!A:K,11,0),"")</f>
        <v>0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3609</v>
      </c>
      <c r="B1249">
        <f>IFERROR(VLOOKUP(A1249,管理亚马逊库存!A:K,11,0),"")</f>
        <v>0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3610</v>
      </c>
      <c r="B1250">
        <f>IFERROR(VLOOKUP(A1250,管理亚马逊库存!A:K,11,0),"")</f>
        <v>0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3611</v>
      </c>
      <c r="B1251">
        <f>IFERROR(VLOOKUP(A1251,管理亚马逊库存!A:K,11,0),"")</f>
        <v>6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3612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3613</v>
      </c>
      <c r="B1253">
        <f>IFERROR(VLOOKUP(A1253,管理亚马逊库存!A:K,11,0),"")</f>
        <v>0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3616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3618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3621</v>
      </c>
      <c r="B1256">
        <f>IFERROR(VLOOKUP(A1256,管理亚马逊库存!A:K,11,0),"")</f>
        <v>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3624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3625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3628</v>
      </c>
      <c r="B1259">
        <f>IFERROR(VLOOKUP(A1259,管理亚马逊库存!A:K,11,0),"")</f>
        <v>0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3631</v>
      </c>
      <c r="B1260">
        <f>IFERROR(VLOOKUP(A1260,管理亚马逊库存!A:K,11,0),"")</f>
        <v>0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3634</v>
      </c>
      <c r="B1261">
        <f>IFERROR(VLOOKUP(A1261,管理亚马逊库存!A:K,11,0),"")</f>
        <v>0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3637</v>
      </c>
      <c r="B1262">
        <f>IFERROR(VLOOKUP(A1262,管理亚马逊库存!A:K,11,0),"")</f>
        <v>0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3640</v>
      </c>
      <c r="B1263">
        <f>IFERROR(VLOOKUP(A1263,管理亚马逊库存!A:K,11,0),"")</f>
        <v>0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3643</v>
      </c>
      <c r="B1264">
        <f>IFERROR(VLOOKUP(A1264,管理亚马逊库存!A:K,11,0),"")</f>
        <v>0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0</v>
      </c>
    </row>
    <row r="1265" spans="1:14">
      <c r="A1265" s="3" t="s">
        <v>3646</v>
      </c>
      <c r="B1265">
        <f>IFERROR(VLOOKUP(A1265,管理亚马逊库存!A:K,11,0),"")</f>
        <v>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3649</v>
      </c>
      <c r="B1266">
        <f>IFERROR(VLOOKUP(A1266,管理亚马逊库存!A:K,11,0),"")</f>
        <v>0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3652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0</v>
      </c>
    </row>
    <row r="1268" spans="1:14">
      <c r="A1268" s="3" t="s">
        <v>3655</v>
      </c>
      <c r="B1268">
        <f>IFERROR(VLOOKUP(A1268,管理亚马逊库存!A:K,11,0),"")</f>
        <v>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3658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3661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3664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3667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3670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3673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3676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3679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3682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3685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3688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3691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3694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3697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3700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3703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3706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0</v>
      </c>
    </row>
    <row r="1286" spans="1:14">
      <c r="A1286" s="3" t="s">
        <v>3709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3712</v>
      </c>
      <c r="B1287">
        <f>IFERROR(VLOOKUP(A1287,管理亚马逊库存!A:K,11,0),"")</f>
        <v>0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3715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3718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3721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3724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3727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3730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3733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3736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3739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3742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3745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0</v>
      </c>
    </row>
    <row r="1299" spans="1:14">
      <c r="A1299" s="3" t="s">
        <v>3748</v>
      </c>
      <c r="B1299">
        <f>IFERROR(VLOOKUP(A1299,管理亚马逊库存!A:K,11,0),"")</f>
        <v>0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3751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3754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3757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3760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3763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3766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3769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3772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3775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3778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3781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3784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3787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0</v>
      </c>
    </row>
    <row r="1313" spans="1:14">
      <c r="A1313" s="3" t="s">
        <v>3790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3793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3796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0</v>
      </c>
    </row>
    <row r="1316" spans="1:14">
      <c r="A1316" s="3" t="s">
        <v>3799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3802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3805</v>
      </c>
      <c r="B1318">
        <f>IFERROR(VLOOKUP(A1318,管理亚马逊库存!A:K,11,0),"")</f>
        <v>0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3808</v>
      </c>
      <c r="B1319">
        <f>IFERROR(VLOOKUP(A1319,管理亚马逊库存!A:K,11,0),"")</f>
        <v>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3811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0</v>
      </c>
    </row>
    <row r="1321" spans="1:14">
      <c r="A1321" s="3" t="s">
        <v>3814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3817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0</v>
      </c>
    </row>
    <row r="1323" spans="1:14">
      <c r="A1323" s="3" t="s">
        <v>3820</v>
      </c>
      <c r="B1323">
        <f>IFERROR(VLOOKUP(A1323,管理亚马逊库存!A:K,11,0),"")</f>
        <v>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3823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3826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3829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3832</v>
      </c>
      <c r="B1327">
        <f>IFERROR(VLOOKUP(A1327,管理亚马逊库存!A:K,11,0),"")</f>
        <v>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3835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3838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3841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3844</v>
      </c>
      <c r="B1331">
        <f>IFERROR(VLOOKUP(A1331,管理亚马逊库存!A:K,11,0),"")</f>
        <v>0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0</v>
      </c>
    </row>
    <row r="1332" spans="1:14">
      <c r="A1332" s="3" t="s">
        <v>3847</v>
      </c>
      <c r="B1332">
        <f>IFERROR(VLOOKUP(A1332,管理亚马逊库存!A:K,11,0),"")</f>
        <v>0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3850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3853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3856</v>
      </c>
      <c r="B1335">
        <f>IFERROR(VLOOKUP(A1335,管理亚马逊库存!A:K,11,0),"")</f>
        <v>0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3859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3862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0</v>
      </c>
    </row>
    <row r="1338" spans="1:14">
      <c r="A1338" s="3" t="s">
        <v>3865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3868</v>
      </c>
      <c r="B1339">
        <f>IFERROR(VLOOKUP(A1339,管理亚马逊库存!A:K,11,0),"")</f>
        <v>0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3871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3874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0</v>
      </c>
    </row>
    <row r="1342" spans="1:14">
      <c r="A1342" s="3" t="s">
        <v>3877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3880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3883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3886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3889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3892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0</v>
      </c>
    </row>
    <row r="1348" spans="1:14">
      <c r="A1348" s="3" t="s">
        <v>3895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3898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0</v>
      </c>
    </row>
    <row r="1350" spans="1:14">
      <c r="A1350" s="3" t="s">
        <v>3901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3904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3907</v>
      </c>
      <c r="B1352">
        <f>IFERROR(VLOOKUP(A1352,管理亚马逊库存!A:K,11,0),"")</f>
        <v>0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3910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3913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3916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0</v>
      </c>
    </row>
    <row r="1356" spans="1:14">
      <c r="A1356" s="3" t="s">
        <v>3919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10</v>
      </c>
      <c r="E1356">
        <f>IFERROR(VLOOKUP(A1356,管理亚马逊库存!A:R,18,0),"")</f>
        <v>0</v>
      </c>
      <c r="F1356">
        <f t="shared" si="43"/>
        <v>10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3921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3923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3927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3929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10</v>
      </c>
      <c r="E1360">
        <f>IFERROR(VLOOKUP(A1360,管理亚马逊库存!A:R,18,0),"")</f>
        <v>0</v>
      </c>
      <c r="F1360">
        <f t="shared" si="43"/>
        <v>10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44"/>
        <v>0</v>
      </c>
    </row>
    <row r="1361" spans="1:14">
      <c r="A1361" s="3" t="s">
        <v>3931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3935</v>
      </c>
      <c r="B1362">
        <f>IFERROR(VLOOKUP(A1362,管理亚马逊库存!A:K,11,0),"")</f>
        <v>0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3937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3939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3941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3945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3947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3949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10</v>
      </c>
      <c r="E1368">
        <f>IFERROR(VLOOKUP(A1368,管理亚马逊库存!A:R,18,0),"")</f>
        <v>0</v>
      </c>
      <c r="F1368">
        <f t="shared" si="43"/>
        <v>10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3951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3953</v>
      </c>
      <c r="B1370">
        <f>IFERROR(VLOOKUP(A1370,管理亚马逊库存!A:K,11,0),"")</f>
        <v>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3955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3957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3959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1</v>
      </c>
      <c r="E1373">
        <f>IFERROR(VLOOKUP(A1373,管理亚马逊库存!A:R,18,0),"")</f>
        <v>0</v>
      </c>
      <c r="F1373">
        <f t="shared" si="43"/>
        <v>1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3961</v>
      </c>
      <c r="B1374">
        <f>IFERROR(VLOOKUP(A1374,管理亚马逊库存!A:K,11,0),"")</f>
        <v>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3963</v>
      </c>
      <c r="B1375">
        <f>IFERROR(VLOOKUP(A1375,管理亚马逊库存!A:K,11,0),"")</f>
        <v>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3965</v>
      </c>
      <c r="B1376">
        <f>IFERROR(VLOOKUP(A1376,管理亚马逊库存!A:K,11,0),"")</f>
        <v>0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3967</v>
      </c>
      <c r="B1377">
        <f>IFERROR(VLOOKUP(A1377,管理亚马逊库存!A:K,11,0),"")</f>
        <v>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3969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3971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3973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3975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3977</v>
      </c>
      <c r="B1382">
        <f>IFERROR(VLOOKUP(A1382,管理亚马逊库存!A:K,11,0),"")</f>
        <v>0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3981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3983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3986</v>
      </c>
      <c r="B1385">
        <f>IFERROR(VLOOKUP(A1385,管理亚马逊库存!A:K,11,0),"")</f>
        <v>0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3989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3992</v>
      </c>
      <c r="B1387">
        <f>IFERROR(VLOOKUP(A1387,管理亚马逊库存!A:K,11,0),"")</f>
        <v>0</v>
      </c>
      <c r="C1387">
        <f>IFERROR(VLOOKUP(A1387,管理亚马逊库存!A:L,12,0),"")</f>
        <v>0</v>
      </c>
      <c r="D1387">
        <f>IFERROR(VLOOKUP(A1387,管理亚马逊库存!A:Q,17,0),"")</f>
        <v>3</v>
      </c>
      <c r="E1387">
        <f>IFERROR(VLOOKUP(A1387,管理亚马逊库存!A:R,18,0),"")</f>
        <v>0</v>
      </c>
      <c r="F1387">
        <f t="shared" si="43"/>
        <v>3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3994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3</v>
      </c>
      <c r="E1388">
        <f>IFERROR(VLOOKUP(A1388,管理亚马逊库存!A:R,18,0),"")</f>
        <v>0</v>
      </c>
      <c r="F1388">
        <f t="shared" si="43"/>
        <v>3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3996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3998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11</v>
      </c>
      <c r="E1390">
        <f>IFERROR(VLOOKUP(A1390,管理亚马逊库存!A:R,18,0),"")</f>
        <v>0</v>
      </c>
      <c r="F1390">
        <f t="shared" si="43"/>
        <v>11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4000</v>
      </c>
      <c r="B1391">
        <f>IFERROR(VLOOKUP(A1391,管理亚马逊库存!A:K,11,0),"")</f>
        <v>0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4002</v>
      </c>
      <c r="B1392">
        <f>IFERROR(VLOOKUP(A1392,管理亚马逊库存!A:K,11,0),"")</f>
        <v>0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0</v>
      </c>
    </row>
    <row r="1393" spans="1:14">
      <c r="A1393" s="3" t="s">
        <v>4004</v>
      </c>
      <c r="B1393">
        <f>IFERROR(VLOOKUP(A1393,管理亚马逊库存!A:K,11,0),"")</f>
        <v>0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4007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4010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4012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0</v>
      </c>
    </row>
    <row r="1397" spans="1:14">
      <c r="A1397" s="3" t="s">
        <v>4014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4016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4018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4020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4022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4024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4026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4028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4030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4032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4034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4036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4038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4040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4042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4044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4046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4048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4052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4054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0</v>
      </c>
    </row>
    <row r="1417" spans="1:14">
      <c r="A1417" s="3" t="s">
        <v>4058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4060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4062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4064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4066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4068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0</v>
      </c>
    </row>
    <row r="1423" spans="1:14">
      <c r="A1423" s="3" t="s">
        <v>4070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4072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4076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4078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4082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4084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4086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4088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4090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4092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4095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4097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4099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4101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4103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4105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4107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4109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4111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4113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4115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4117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4119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4121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4125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4127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4129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4131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4135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4139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4141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4143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4145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4147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4149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4151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4155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4157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4159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4161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4163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4165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4167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4169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4171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4173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4175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4177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4179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4181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4183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20</v>
      </c>
      <c r="E1473">
        <f>IFERROR(VLOOKUP(A1473,管理亚马逊库存!A:R,18,0),"")</f>
        <v>0</v>
      </c>
      <c r="F1473">
        <f t="shared" si="45"/>
        <v>20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4185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4188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4191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4194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4197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4199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4203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4205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4207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4209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4211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4215</v>
      </c>
      <c r="B1485">
        <f>IFERROR(VLOOKUP(A1485,管理亚马逊库存!A:K,11,0),"")</f>
        <v>0</v>
      </c>
      <c r="C1485">
        <f>IFERROR(VLOOKUP(A1485,管理亚马逊库存!A:L,12,0),"")</f>
        <v>1</v>
      </c>
      <c r="D1485">
        <f>IFERROR(VLOOKUP(A1485,管理亚马逊库存!A:Q,17,0),"")</f>
        <v>12</v>
      </c>
      <c r="E1485">
        <f>IFERROR(VLOOKUP(A1485,管理亚马逊库存!A:R,18,0),"")</f>
        <v>0</v>
      </c>
      <c r="F1485">
        <f t="shared" si="47"/>
        <v>12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4219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15</v>
      </c>
      <c r="E1486">
        <f>IFERROR(VLOOKUP(A1486,管理亚马逊库存!A:R,18,0),"")</f>
        <v>0</v>
      </c>
      <c r="F1486">
        <f t="shared" si="47"/>
        <v>15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4222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4224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4226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4228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4230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4232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4234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4238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4242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4244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4246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4248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4250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4253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4255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4257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4259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4261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10</v>
      </c>
      <c r="E1504">
        <f>IFERROR(VLOOKUP(A1504,管理亚马逊库存!A:R,18,0),"")</f>
        <v>0</v>
      </c>
      <c r="F1504">
        <f t="shared" si="47"/>
        <v>10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4263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4265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4267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10</v>
      </c>
      <c r="E1507">
        <f>IFERROR(VLOOKUP(A1507,管理亚马逊库存!A:R,18,0),"")</f>
        <v>0</v>
      </c>
      <c r="F1507">
        <f t="shared" si="47"/>
        <v>10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4269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4273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4275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4278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5</v>
      </c>
      <c r="E1511">
        <f>IFERROR(VLOOKUP(A1511,管理亚马逊库存!A:R,18,0),"")</f>
        <v>0</v>
      </c>
      <c r="F1511">
        <f t="shared" si="47"/>
        <v>5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4280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10</v>
      </c>
      <c r="E1512">
        <f>IFERROR(VLOOKUP(A1512,管理亚马逊库存!A:R,18,0),"")</f>
        <v>0</v>
      </c>
      <c r="F1512">
        <f t="shared" si="47"/>
        <v>10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4282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4284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4286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4288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4290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4294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4296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4298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4300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4302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4304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4306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4308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4310</v>
      </c>
      <c r="B1526">
        <f>IFERROR(VLOOKUP(A1526,管理亚马逊库存!A:K,11,0),"")</f>
        <v>0</v>
      </c>
      <c r="C1526">
        <f>IFERROR(VLOOKUP(A1526,管理亚马逊库存!A:L,12,0),"")</f>
        <v>0</v>
      </c>
      <c r="D1526">
        <f>IFERROR(VLOOKUP(A1526,管理亚马逊库存!A:Q,17,0),"")</f>
        <v>10</v>
      </c>
      <c r="E1526">
        <f>IFERROR(VLOOKUP(A1526,管理亚马逊库存!A:R,18,0),"")</f>
        <v>0</v>
      </c>
      <c r="F1526">
        <f t="shared" si="47"/>
        <v>10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4313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4315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4317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4319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5</v>
      </c>
      <c r="E1530">
        <f>IFERROR(VLOOKUP(A1530,管理亚马逊库存!A:R,18,0),"")</f>
        <v>0</v>
      </c>
      <c r="F1530">
        <f t="shared" si="47"/>
        <v>5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4321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4325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4328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4330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30</v>
      </c>
      <c r="E1534">
        <f>IFERROR(VLOOKUP(A1534,管理亚马逊库存!A:R,18,0),"")</f>
        <v>0</v>
      </c>
      <c r="F1534">
        <f t="shared" si="47"/>
        <v>30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4332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19</v>
      </c>
      <c r="E1535">
        <f>IFERROR(VLOOKUP(A1535,管理亚马逊库存!A:R,18,0),"")</f>
        <v>0</v>
      </c>
      <c r="F1535">
        <f t="shared" si="47"/>
        <v>19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4334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4336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4338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4341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4343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4345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4347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4349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3</v>
      </c>
      <c r="E1543">
        <f>IFERROR(VLOOKUP(A1543,管理亚马逊库存!A:R,18,0),"")</f>
        <v>0</v>
      </c>
      <c r="F1543">
        <f t="shared" si="49"/>
        <v>3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4351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4353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4355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4358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4360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4362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4364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15</v>
      </c>
      <c r="E1550">
        <f>IFERROR(VLOOKUP(A1550,管理亚马逊库存!A:R,18,0),"")</f>
        <v>0</v>
      </c>
      <c r="F1550">
        <f t="shared" si="49"/>
        <v>15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4366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4368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4371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4374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4376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4378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4382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4384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4388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4392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4394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4398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4401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10</v>
      </c>
      <c r="E1563">
        <f>IFERROR(VLOOKUP(A1563,管理亚马逊库存!A:R,18,0),"")</f>
        <v>0</v>
      </c>
      <c r="F1563">
        <f t="shared" si="49"/>
        <v>10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4403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10</v>
      </c>
      <c r="E1564">
        <f>IFERROR(VLOOKUP(A1564,管理亚马逊库存!A:R,18,0),"")</f>
        <v>0</v>
      </c>
      <c r="F1564">
        <f t="shared" si="49"/>
        <v>10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4405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20</v>
      </c>
      <c r="E1565">
        <f>IFERROR(VLOOKUP(A1565,管理亚马逊库存!A:R,18,0),"")</f>
        <v>0</v>
      </c>
      <c r="F1565">
        <f t="shared" si="49"/>
        <v>20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4407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4409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4413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8</v>
      </c>
      <c r="E1568">
        <f>IFERROR(VLOOKUP(A1568,管理亚马逊库存!A:R,18,0),"")</f>
        <v>0</v>
      </c>
      <c r="F1568">
        <f t="shared" si="49"/>
        <v>8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4415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5</v>
      </c>
      <c r="E1569">
        <f>IFERROR(VLOOKUP(A1569,管理亚马逊库存!A:R,18,0),"")</f>
        <v>0</v>
      </c>
      <c r="F1569">
        <f t="shared" si="49"/>
        <v>5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4418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13</v>
      </c>
      <c r="E1570">
        <f>IFERROR(VLOOKUP(A1570,管理亚马逊库存!A:R,18,0),"")</f>
        <v>0</v>
      </c>
      <c r="F1570">
        <f t="shared" si="49"/>
        <v>13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4421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10</v>
      </c>
      <c r="E1571">
        <f>IFERROR(VLOOKUP(A1571,管理亚马逊库存!A:R,18,0),"")</f>
        <v>0</v>
      </c>
      <c r="F1571">
        <f t="shared" si="49"/>
        <v>10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4424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7</v>
      </c>
      <c r="E1572">
        <f>IFERROR(VLOOKUP(A1572,管理亚马逊库存!A:R,18,0),"")</f>
        <v>0</v>
      </c>
      <c r="F1572">
        <f t="shared" si="49"/>
        <v>7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4426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20</v>
      </c>
      <c r="E1573">
        <f>IFERROR(VLOOKUP(A1573,管理亚马逊库存!A:R,18,0),"")</f>
        <v>0</v>
      </c>
      <c r="F1573">
        <f t="shared" si="49"/>
        <v>20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4429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20</v>
      </c>
      <c r="E1574">
        <f>IFERROR(VLOOKUP(A1574,管理亚马逊库存!A:R,18,0),"")</f>
        <v>0</v>
      </c>
      <c r="F1574">
        <f t="shared" si="49"/>
        <v>20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4432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11</v>
      </c>
      <c r="E1575">
        <f>IFERROR(VLOOKUP(A1575,管理亚马逊库存!A:R,18,0),"")</f>
        <v>0</v>
      </c>
      <c r="F1575">
        <f t="shared" si="49"/>
        <v>11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4434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4436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20</v>
      </c>
      <c r="E1577">
        <f>IFERROR(VLOOKUP(A1577,管理亚马逊库存!A:R,18,0),"")</f>
        <v>0</v>
      </c>
      <c r="F1577">
        <f t="shared" si="49"/>
        <v>20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4440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17</v>
      </c>
      <c r="E1578">
        <f>IFERROR(VLOOKUP(A1578,管理亚马逊库存!A:R,18,0),"")</f>
        <v>0</v>
      </c>
      <c r="F1578">
        <f t="shared" si="49"/>
        <v>17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4442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4444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10</v>
      </c>
      <c r="E1580">
        <f>IFERROR(VLOOKUP(A1580,管理亚马逊库存!A:R,18,0),"")</f>
        <v>0</v>
      </c>
      <c r="F1580">
        <f t="shared" si="49"/>
        <v>10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4446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24</v>
      </c>
      <c r="E1581">
        <f>IFERROR(VLOOKUP(A1581,管理亚马逊库存!A:R,18,0),"")</f>
        <v>0</v>
      </c>
      <c r="F1581">
        <f t="shared" si="49"/>
        <v>24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4448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4451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4453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4455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4458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4461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10</v>
      </c>
      <c r="E1587">
        <f>IFERROR(VLOOKUP(A1587,管理亚马逊库存!A:R,18,0),"")</f>
        <v>0</v>
      </c>
      <c r="F1587">
        <f t="shared" si="49"/>
        <v>10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4463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4465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4467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4470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13</v>
      </c>
      <c r="E1591">
        <f>IFERROR(VLOOKUP(A1591,管理亚马逊库存!A:R,18,0),"")</f>
        <v>0</v>
      </c>
      <c r="F1591">
        <f t="shared" si="49"/>
        <v>13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4473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4475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4</v>
      </c>
      <c r="E1593">
        <f>IFERROR(VLOOKUP(A1593,管理亚马逊库存!A:R,18,0),"")</f>
        <v>0</v>
      </c>
      <c r="F1593">
        <f t="shared" si="49"/>
        <v>4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4477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4479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4481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4484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11</v>
      </c>
      <c r="E1597">
        <f>IFERROR(VLOOKUP(A1597,管理亚马逊库存!A:R,18,0),"")</f>
        <v>0</v>
      </c>
      <c r="F1597">
        <f t="shared" si="49"/>
        <v>11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4486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4488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4490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4492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4496</v>
      </c>
      <c r="B1602">
        <f>IFERROR(VLOOKUP(A1602,管理亚马逊库存!A:K,11,0),"")</f>
        <v>0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4498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4502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4506</v>
      </c>
      <c r="B1605">
        <f>IFERROR(VLOOKUP(A1605,管理亚马逊库存!A:K,11,0),"")</f>
        <v>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4510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4514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4518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4520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4522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4524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4526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4529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4531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4533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4535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4537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4540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4542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4544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4546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4548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4550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4552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4555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4557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4559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4561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4563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4565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4568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4570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4572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4574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4576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4579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4581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4583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4585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4588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4590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4592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4596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4600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4604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4608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4612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4615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4617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4619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4622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4624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4626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4628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4630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4632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4634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4637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4639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4641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4644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4647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4650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4652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4655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4657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4659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4661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4663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4665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4667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4670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4672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4674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4677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4679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4681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4684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4687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4690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4693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4696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4698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4700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4702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4704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4706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4708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4710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4711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4712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4713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4714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4715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4716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4717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4718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4719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4720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4721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4722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4724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4727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4730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4733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4736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4739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4742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4744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4747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4750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4753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4756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4759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4761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4763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4765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4768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4770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4772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4775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4778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4780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4782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4784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4786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4789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4791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4794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4796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4798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4801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4803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4806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4809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4811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4812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4813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4814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4815</v>
      </c>
      <c r="B1740">
        <f>IFERROR(VLOOKUP(A1740,管理亚马逊库存!A:K,11,0),"")</f>
        <v>20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4816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4817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4818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4820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4822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4823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4824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4825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4827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4830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4832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4834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4837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4840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4843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4845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4848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4851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4854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4857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4860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4863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4866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4868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4871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4874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4877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4878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4880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4881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4883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4885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4888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4889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4891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4893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4895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4896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4898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4900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4902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4904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4906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4908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4911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4914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4915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4916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4918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4919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4920</v>
      </c>
      <c r="B1791">
        <f>IFERROR(VLOOKUP(A1791,管理亚马逊库存!A:K,11,0),"")</f>
        <v>5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4921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4922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4923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4925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4927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4930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4933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4934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4935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4936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4937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4940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4944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4948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4952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4956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4960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4964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4968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4972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4976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4980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4984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5</v>
      </c>
      <c r="E1814">
        <f>IFERROR(VLOOKUP(A1814,管理亚马逊库存!A:R,18,0),"")</f>
        <v>0</v>
      </c>
      <c r="F1814">
        <f t="shared" si="57"/>
        <v>5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4988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5</v>
      </c>
      <c r="E1815">
        <f>IFERROR(VLOOKUP(A1815,管理亚马逊库存!A:R,18,0),"")</f>
        <v>0</v>
      </c>
      <c r="F1815">
        <f t="shared" si="57"/>
        <v>5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4992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4994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5</v>
      </c>
      <c r="E1817">
        <f>IFERROR(VLOOKUP(A1817,管理亚马逊库存!A:R,18,0),"")</f>
        <v>0</v>
      </c>
      <c r="F1817">
        <f t="shared" si="57"/>
        <v>5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4998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5001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5004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5006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5009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5012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5014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5016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5018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27</v>
      </c>
      <c r="E1826">
        <f>IFERROR(VLOOKUP(A1826,管理亚马逊库存!A:R,18,0),"")</f>
        <v>0</v>
      </c>
      <c r="F1826">
        <f t="shared" si="57"/>
        <v>27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5022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4</v>
      </c>
      <c r="E1827">
        <f>IFERROR(VLOOKUP(A1827,管理亚马逊库存!A:R,18,0),"")</f>
        <v>0</v>
      </c>
      <c r="F1827">
        <f t="shared" si="57"/>
        <v>4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5024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10</v>
      </c>
      <c r="E1828">
        <f>IFERROR(VLOOKUP(A1828,管理亚马逊库存!A:R,18,0),"")</f>
        <v>0</v>
      </c>
      <c r="F1828">
        <f t="shared" si="57"/>
        <v>10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5028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14</v>
      </c>
      <c r="E1829">
        <f>IFERROR(VLOOKUP(A1829,管理亚马逊库存!A:R,18,0),"")</f>
        <v>0</v>
      </c>
      <c r="F1829">
        <f t="shared" si="57"/>
        <v>14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5030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5</v>
      </c>
      <c r="E1830">
        <f>IFERROR(VLOOKUP(A1830,管理亚马逊库存!A:R,18,0),"")</f>
        <v>0</v>
      </c>
      <c r="F1830">
        <f t="shared" si="57"/>
        <v>5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5034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5036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5039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5041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5045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5047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5050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5053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5058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2</v>
      </c>
      <c r="E1839">
        <f>IFERROR(VLOOKUP(A1839,管理亚马逊库存!A:R,18,0),"")</f>
        <v>0</v>
      </c>
      <c r="F1839">
        <f t="shared" si="57"/>
        <v>2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5060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5062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5066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5068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5071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5075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10</v>
      </c>
      <c r="E1845">
        <f>IFERROR(VLOOKUP(A1845,管理亚马逊库存!A:R,18,0),"")</f>
        <v>0</v>
      </c>
      <c r="F1845">
        <f t="shared" si="57"/>
        <v>10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5079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5083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5087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5089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5091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5095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5097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5099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5101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5103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5107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5111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5115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5117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5119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5121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5123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18</v>
      </c>
      <c r="E1862">
        <f>IFERROR(VLOOKUP(A1862,管理亚马逊库存!A:R,18,0),"")</f>
        <v>0</v>
      </c>
      <c r="F1862">
        <f t="shared" si="59"/>
        <v>18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5125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5127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5</v>
      </c>
      <c r="E1864">
        <f>IFERROR(VLOOKUP(A1864,管理亚马逊库存!A:R,18,0),"")</f>
        <v>0</v>
      </c>
      <c r="F1864">
        <f t="shared" si="59"/>
        <v>5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5129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5</v>
      </c>
      <c r="E1865">
        <f>IFERROR(VLOOKUP(A1865,管理亚马逊库存!A:R,18,0),"")</f>
        <v>0</v>
      </c>
      <c r="F1865">
        <f t="shared" si="59"/>
        <v>5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5131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5132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5133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5134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5135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5136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5139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5141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5143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5144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5147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5148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5150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5153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5156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5159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5160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5161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5162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5163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5164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5165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5166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5167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5168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5169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5170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5171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5172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5173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5174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5175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5177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5179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5181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5183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5184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5185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5186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5188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5189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5190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5191</v>
      </c>
      <c r="B1908">
        <f>IFERROR(VLOOKUP(A1908,管理亚马逊库存!A:K,11,0),"")</f>
        <v>9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5192</v>
      </c>
      <c r="B1909">
        <f>IFERROR(VLOOKUP(A1909,管理亚马逊库存!A:K,11,0),"")</f>
        <v>28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5193</v>
      </c>
      <c r="B1910">
        <f>IFERROR(VLOOKUP(A1910,管理亚马逊库存!A:K,11,0),"")</f>
        <v>8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1</v>
      </c>
      <c r="F1910">
        <f t="shared" si="59"/>
        <v>1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5194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5195</v>
      </c>
      <c r="B1912">
        <f>IFERROR(VLOOKUP(A1912,管理亚马逊库存!A:K,11,0),"")</f>
        <v>3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5196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5197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2</v>
      </c>
      <c r="F1914">
        <f t="shared" si="59"/>
        <v>2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5198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5199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5200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5201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5202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5205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5207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5210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5213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5215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5218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5221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5224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5226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5228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5230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5232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5235</v>
      </c>
      <c r="B1932">
        <f>IFERROR(VLOOKUP(A1932,管理亚马逊库存!A:K,11,0),"")</f>
        <v>1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5236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5237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5238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5239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5240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5241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5242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5243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5244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5245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5246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5249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5250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5251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5252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5253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5254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5255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5256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5257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5258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5259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5260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5261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5262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5263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5264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5265</v>
      </c>
      <c r="B1960">
        <f>IFERROR(VLOOKUP(A1960,管理亚马逊库存!A:K,11,0),"")</f>
        <v>1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5266</v>
      </c>
      <c r="B1961">
        <f>IFERROR(VLOOKUP(A1961,管理亚马逊库存!A:K,11,0),"")</f>
        <v>3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5267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5268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5269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5270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5271</v>
      </c>
      <c r="B1966">
        <f>IFERROR(VLOOKUP(A1966,管理亚马逊库存!A:K,11,0),"")</f>
        <v>6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5272</v>
      </c>
      <c r="B1967">
        <f>IFERROR(VLOOKUP(A1967,管理亚马逊库存!A:K,11,0),"")</f>
        <v>1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5273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5274</v>
      </c>
      <c r="B1969">
        <f>IFERROR(VLOOKUP(A1969,管理亚马逊库存!A:K,11,0),"")</f>
        <v>10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5275</v>
      </c>
      <c r="B1970">
        <f>IFERROR(VLOOKUP(A1970,管理亚马逊库存!A:K,11,0),"")</f>
        <v>6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5276</v>
      </c>
      <c r="B1971">
        <f>IFERROR(VLOOKUP(A1971,管理亚马逊库存!A:K,11,0),"")</f>
        <v>1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5277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5278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5279</v>
      </c>
      <c r="B1974">
        <f>IFERROR(VLOOKUP(A1974,管理亚马逊库存!A:K,11,0),"")</f>
        <v>1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5280</v>
      </c>
      <c r="B1975">
        <f>IFERROR(VLOOKUP(A1975,管理亚马逊库存!A:K,11,0),"")</f>
        <v>2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5281</v>
      </c>
      <c r="B1976">
        <f>IFERROR(VLOOKUP(A1976,管理亚马逊库存!A:K,11,0),"")</f>
        <v>1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5282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5283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5284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5285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5286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5289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5291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5293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5295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5297</v>
      </c>
      <c r="B1986">
        <f>IFERROR(VLOOKUP(A1986,管理亚马逊库存!A:K,11,0),"")</f>
        <v>9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5298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5300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5302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5304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5305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5306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5307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5308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5309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5310</v>
      </c>
      <c r="B1996">
        <f>IFERROR(VLOOKUP(A1996,管理亚马逊库存!A:K,11,0),"")</f>
        <v>0</v>
      </c>
      <c r="C1996">
        <f>IFERROR(VLOOKUP(A1996,管理亚马逊库存!A:L,12,0),"")</f>
        <v>1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5311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5312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5313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5314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5315</v>
      </c>
      <c r="B2001">
        <f>IFERROR(VLOOKUP(A2001,管理亚马逊库存!A:K,11,0),"")</f>
        <v>2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5316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5318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5319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5320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5321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5322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5323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5324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5325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5326</v>
      </c>
      <c r="B2011">
        <f>IFERROR(VLOOKUP(A2011,管理亚马逊库存!A:K,11,0),"")</f>
        <v>0</v>
      </c>
      <c r="C2011">
        <f>IFERROR(VLOOKUP(A2011,管理亚马逊库存!A:L,12,0),"")</f>
        <v>1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5327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5328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5329</v>
      </c>
      <c r="B2014">
        <f>IFERROR(VLOOKUP(A2014,管理亚马逊库存!A:K,11,0),"")</f>
        <v>0</v>
      </c>
      <c r="C2014">
        <f>IFERROR(VLOOKUP(A2014,管理亚马逊库存!A:L,12,0),"")</f>
        <v>1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5330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5331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5332</v>
      </c>
      <c r="B2017">
        <f>IFERROR(VLOOKUP(A2017,管理亚马逊库存!A:K,11,0),"")</f>
        <v>1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5333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5334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5337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5338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5339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5340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5341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5343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5344</v>
      </c>
      <c r="B2026">
        <f>IFERROR(VLOOKUP(A2026,管理亚马逊库存!A:K,11,0),"")</f>
        <v>0</v>
      </c>
      <c r="C2026">
        <f>IFERROR(VLOOKUP(A2026,管理亚马逊库存!A:L,12,0),"")</f>
        <v>1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5345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5348</v>
      </c>
      <c r="B2028">
        <f>IFERROR(VLOOKUP(A2028,管理亚马逊库存!A:K,11,0),"")</f>
        <v>0</v>
      </c>
      <c r="C2028">
        <f>IFERROR(VLOOKUP(A2028,管理亚马逊库存!A:L,12,0),"")</f>
        <v>1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5349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5350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5353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5356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5359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5362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5365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5368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5371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5374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5377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5380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5383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5386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5389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5392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5395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5398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5401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5404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5407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5410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5413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5416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5419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5422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5426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5430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5434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5438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5442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5446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5449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5452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5456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5460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5464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5468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5472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5476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5480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5484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5488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5492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5496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5500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5504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5508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5512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5516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5520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5524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5528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5532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5536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5540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5544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5548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5552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5556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5560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5564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5568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5572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5576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5580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5583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5587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5591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5595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5599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5603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5607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5611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5614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5617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5620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5623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5626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5629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5633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5636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5639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5642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5646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5649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5652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5655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5659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5662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5665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5668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5671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5674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5677</v>
      </c>
      <c r="B2123">
        <f>IFERROR(VLOOKUP(A2123,管理亚马逊库存!A:K,11,0),"")</f>
        <v>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5680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5683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5686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5689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5692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5695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5698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5701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5704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5707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5710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5713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5716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5719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5722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5725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5728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5731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5734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5737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5740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5743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5746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5749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5752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5755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5758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5761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5764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5767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5770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5773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5776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5779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5782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5785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5788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5791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5794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5797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5800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5803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5806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5809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5812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5815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5818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5821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5824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5827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5830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5833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5836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5839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5842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5845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5848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5851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5854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5857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5860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5863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5866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5869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5872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5875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5878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5881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5884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5887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5890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5893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5896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5899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5902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5905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5909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5913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5916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5919</v>
      </c>
      <c r="B2203">
        <f>IFERROR(VLOOKUP(A2203,管理亚马逊库存!A:K,11,0),"")</f>
        <v>0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5922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5925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5928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5931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5935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5939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5943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5946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5950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5954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5958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5961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5964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5967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5970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5973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0</v>
      </c>
      <c r="F2219">
        <f t="shared" si="69"/>
        <v>0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5976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5979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5982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5985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5988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5991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5994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5997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6000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6003</v>
      </c>
      <c r="B2229">
        <f>IFERROR(VLOOKUP(A2229,管理亚马逊库存!A:K,11,0),"")</f>
        <v>0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6006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6009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0</v>
      </c>
      <c r="F2231">
        <f t="shared" si="69"/>
        <v>0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6013</v>
      </c>
      <c r="B2232">
        <f>IFERROR(VLOOKUP(A2232,管理亚马逊库存!A:K,11,0),"")</f>
        <v>0</v>
      </c>
      <c r="C2232">
        <f>IFERROR(VLOOKUP(A2232,管理亚马逊库存!A:L,12,0),"")</f>
        <v>0</v>
      </c>
      <c r="D2232">
        <f>IFERROR(VLOOKUP(A2232,管理亚马逊库存!A:Q,17,0),"")</f>
        <v>0</v>
      </c>
      <c r="E2232">
        <f>IFERROR(VLOOKUP(A2232,管理亚马逊库存!A:R,18,0),"")</f>
        <v>0</v>
      </c>
      <c r="F2232">
        <f t="shared" si="69"/>
        <v>0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6017</v>
      </c>
      <c r="B2233">
        <f>IFERROR(VLOOKUP(A2233,管理亚马逊库存!A:K,11,0),"")</f>
        <v>0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6021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6025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6029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6033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6036</v>
      </c>
      <c r="B2238">
        <f>IFERROR(VLOOKUP(A2238,管理亚马逊库存!A:K,11,0),"")</f>
        <v>0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6039</v>
      </c>
      <c r="B2239">
        <f>IFERROR(VLOOKUP(A2239,管理亚马逊库存!A:K,11,0),"")</f>
        <v>0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6042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6045</v>
      </c>
      <c r="B2241">
        <f>IFERROR(VLOOKUP(A2241,管理亚马逊库存!A:K,11,0),"")</f>
        <v>0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6048</v>
      </c>
      <c r="B2242">
        <f>IFERROR(VLOOKUP(A2242,管理亚马逊库存!A:K,11,0),"")</f>
        <v>0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6051</v>
      </c>
      <c r="B2243">
        <f>IFERROR(VLOOKUP(A2243,管理亚马逊库存!A:K,11,0),"")</f>
        <v>0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6054</v>
      </c>
      <c r="B2244">
        <f>IFERROR(VLOOKUP(A2244,管理亚马逊库存!A:K,11,0),"")</f>
        <v>0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6057</v>
      </c>
      <c r="B2245">
        <f>IFERROR(VLOOKUP(A2245,管理亚马逊库存!A:K,11,0),"")</f>
        <v>0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6061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6065</v>
      </c>
      <c r="B2247">
        <f>IFERROR(VLOOKUP(A2247,管理亚马逊库存!A:K,11,0),"")</f>
        <v>0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6068</v>
      </c>
      <c r="B2248">
        <f>IFERROR(VLOOKUP(A2248,管理亚马逊库存!A:K,11,0),"")</f>
        <v>0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6072</v>
      </c>
      <c r="B2249">
        <f>IFERROR(VLOOKUP(A2249,管理亚马逊库存!A:K,11,0),"")</f>
        <v>0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6076</v>
      </c>
      <c r="B2250">
        <f>IFERROR(VLOOKUP(A2250,管理亚马逊库存!A:K,11,0),"")</f>
        <v>0</v>
      </c>
      <c r="C2250">
        <f>IFERROR(VLOOKUP(A2250,管理亚马逊库存!A:L,12,0),"")</f>
        <v>0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6079</v>
      </c>
      <c r="B2251">
        <f>IFERROR(VLOOKUP(A2251,管理亚马逊库存!A:K,11,0),"")</f>
        <v>0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0</v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6082</v>
      </c>
      <c r="B2252">
        <f>IFERROR(VLOOKUP(A2252,管理亚马逊库存!A:K,11,0),"")</f>
        <v>0</v>
      </c>
      <c r="C2252">
        <f>IFERROR(VLOOKUP(A2252,管理亚马逊库存!A:L,12,0),"")</f>
        <v>0</v>
      </c>
      <c r="D2252">
        <f>IFERROR(VLOOKUP(A2252,管理亚马逊库存!A:Q,17,0),"")</f>
        <v>0</v>
      </c>
      <c r="E2252">
        <f>IFERROR(VLOOKUP(A2252,管理亚马逊库存!A:R,18,0),"")</f>
        <v>0</v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6085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6088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6091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6094</v>
      </c>
      <c r="B2256">
        <f>IFERROR(VLOOKUP(A2256,管理亚马逊库存!A:K,11,0),"")</f>
        <v>0</v>
      </c>
      <c r="C2256">
        <f>IFERROR(VLOOKUP(A2256,管理亚马逊库存!A:L,12,0),"")</f>
        <v>0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6097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6100</v>
      </c>
      <c r="B2258">
        <f>IFERROR(VLOOKUP(A2258,管理亚马逊库存!A:K,11,0),"")</f>
        <v>0</v>
      </c>
      <c r="C2258">
        <f>IFERROR(VLOOKUP(A2258,管理亚马逊库存!A:L,12,0),"")</f>
        <v>0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6104</v>
      </c>
      <c r="B2259">
        <f>IFERROR(VLOOKUP(A2259,管理亚马逊库存!A:K,11,0),"")</f>
        <v>0</v>
      </c>
      <c r="C2259">
        <f>IFERROR(VLOOKUP(A2259,管理亚马逊库存!A:L,12,0),"")</f>
        <v>0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6108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6111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6114</v>
      </c>
      <c r="B2262">
        <f>IFERROR(VLOOKUP(A2262,管理亚马逊库存!A:K,11,0),"")</f>
        <v>0</v>
      </c>
      <c r="C2262">
        <f>IFERROR(VLOOKUP(A2262,管理亚马逊库存!A:L,12,0),"")</f>
        <v>0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6117</v>
      </c>
      <c r="B2263">
        <f>IFERROR(VLOOKUP(A2263,管理亚马逊库存!A:K,11,0),"")</f>
        <v>0</v>
      </c>
      <c r="C2263">
        <f>IFERROR(VLOOKUP(A2263,管理亚马逊库存!A:L,12,0),"")</f>
        <v>0</v>
      </c>
      <c r="D2263">
        <f>IFERROR(VLOOKUP(A2263,管理亚马逊库存!A:Q,17,0),"")</f>
        <v>0</v>
      </c>
      <c r="E2263">
        <f>IFERROR(VLOOKUP(A2263,管理亚马逊库存!A:R,18,0),"")</f>
        <v>0</v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6120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6124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6127</v>
      </c>
      <c r="B2266">
        <f>IFERROR(VLOOKUP(A2266,管理亚马逊库存!A:K,11,0),"")</f>
        <v>0</v>
      </c>
      <c r="C2266">
        <f>IFERROR(VLOOKUP(A2266,管理亚马逊库存!A:L,12,0),"")</f>
        <v>0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6130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6133</v>
      </c>
      <c r="B2268">
        <f>IFERROR(VLOOKUP(A2268,管理亚马逊库存!A:K,11,0),"")</f>
        <v>0</v>
      </c>
      <c r="C2268">
        <f>IFERROR(VLOOKUP(A2268,管理亚马逊库存!A:L,12,0),"")</f>
        <v>0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6136</v>
      </c>
      <c r="B2269">
        <f>IFERROR(VLOOKUP(A2269,管理亚马逊库存!A:K,11,0),"")</f>
        <v>0</v>
      </c>
      <c r="C2269">
        <f>IFERROR(VLOOKUP(A2269,管理亚马逊库存!A:L,12,0),"")</f>
        <v>0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6139</v>
      </c>
      <c r="B2270">
        <f>IFERROR(VLOOKUP(A2270,管理亚马逊库存!A:K,11,0),"")</f>
        <v>0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6142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6145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6148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6151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6155</v>
      </c>
      <c r="B2275">
        <f>IFERROR(VLOOKUP(A2275,管理亚马逊库存!A:K,11,0),"")</f>
        <v>0</v>
      </c>
      <c r="C2275">
        <f>IFERROR(VLOOKUP(A2275,管理亚马逊库存!A:L,12,0),"")</f>
        <v>0</v>
      </c>
      <c r="D2275">
        <f>IFERROR(VLOOKUP(A2275,管理亚马逊库存!A:Q,17,0),"")</f>
        <v>0</v>
      </c>
      <c r="E2275">
        <f>IFERROR(VLOOKUP(A2275,管理亚马逊库存!A:R,18,0),"")</f>
        <v>0</v>
      </c>
      <c r="F2275">
        <f t="shared" si="7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6159</v>
      </c>
      <c r="B2276">
        <f>IFERROR(VLOOKUP(A2276,管理亚马逊库存!A:K,11,0),"")</f>
        <v>0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6163</v>
      </c>
      <c r="B2277">
        <f>IFERROR(VLOOKUP(A2277,管理亚马逊库存!A:K,11,0),"")</f>
        <v>0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6167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6171</v>
      </c>
      <c r="B2279">
        <f>IFERROR(VLOOKUP(A2279,管理亚马逊库存!A:K,11,0),"")</f>
        <v>0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0</v>
      </c>
      <c r="F2279">
        <f t="shared" si="7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6175</v>
      </c>
      <c r="B2280">
        <f>IFERROR(VLOOKUP(A2280,管理亚马逊库存!A:K,11,0),"")</f>
        <v>0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6179</v>
      </c>
      <c r="B2281">
        <f>IFERROR(VLOOKUP(A2281,管理亚马逊库存!A:K,11,0),"")</f>
        <v>0</v>
      </c>
      <c r="C2281">
        <f>IFERROR(VLOOKUP(A2281,管理亚马逊库存!A:L,12,0),"")</f>
        <v>0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6183</v>
      </c>
      <c r="B2282">
        <f>IFERROR(VLOOKUP(A2282,管理亚马逊库存!A:K,11,0),"")</f>
        <v>0</v>
      </c>
      <c r="C2282">
        <f>IFERROR(VLOOKUP(A2282,管理亚马逊库存!A:L,12,0),"")</f>
        <v>0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6187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6191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6195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6199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6203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6207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0</v>
      </c>
      <c r="F2288">
        <f t="shared" si="7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6211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0</v>
      </c>
      <c r="F2289">
        <f t="shared" si="7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6215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6219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6223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6227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6231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6235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6239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6243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6247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6251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0</v>
      </c>
      <c r="F2299">
        <f t="shared" si="7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6255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0</v>
      </c>
      <c r="F2300">
        <f t="shared" si="7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6259</v>
      </c>
      <c r="B2301">
        <f>IFERROR(VLOOKUP(A2301,管理亚马逊库存!A:K,11,0),"")</f>
        <v>0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6263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0</v>
      </c>
      <c r="F2302">
        <f t="shared" si="7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6267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6271</v>
      </c>
      <c r="B2304">
        <f>IFERROR(VLOOKUP(A2304,管理亚马逊库存!A:K,11,0),"")</f>
        <v>0</v>
      </c>
      <c r="C2304">
        <f>IFERROR(VLOOKUP(A2304,管理亚马逊库存!A:L,12,0),"")</f>
        <v>0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6275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0</v>
      </c>
      <c r="F2305">
        <f t="shared" si="7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6279</v>
      </c>
      <c r="B2306">
        <f>IFERROR(VLOOKUP(A2306,管理亚马逊库存!A:K,11,0),"")</f>
        <v>0</v>
      </c>
      <c r="C2306">
        <f>IFERROR(VLOOKUP(A2306,管理亚马逊库存!A:L,12,0),"")</f>
        <v>0</v>
      </c>
      <c r="D2306">
        <f>IFERROR(VLOOKUP(A2306,管理亚马逊库存!A:Q,17,0),"")</f>
        <v>0</v>
      </c>
      <c r="E2306">
        <f>IFERROR(VLOOKUP(A2306,管理亚马逊库存!A:R,18,0),"")</f>
        <v>0</v>
      </c>
      <c r="F2306">
        <f t="shared" si="7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6283</v>
      </c>
      <c r="B2307">
        <f>IFERROR(VLOOKUP(A2307,管理亚马逊库存!A:K,11,0),"")</f>
        <v>0</v>
      </c>
      <c r="C2307">
        <f>IFERROR(VLOOKUP(A2307,管理亚马逊库存!A:L,12,0),"")</f>
        <v>0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6287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6291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6295</v>
      </c>
      <c r="B2310">
        <f>IFERROR(VLOOKUP(A2310,管理亚马逊库存!A:K,11,0),"")</f>
        <v>0</v>
      </c>
      <c r="C2310">
        <f>IFERROR(VLOOKUP(A2310,管理亚马逊库存!A:L,12,0),"")</f>
        <v>0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6299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6303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6307</v>
      </c>
      <c r="B2313">
        <f>IFERROR(VLOOKUP(A2313,管理亚马逊库存!A:K,11,0),"")</f>
        <v>0</v>
      </c>
      <c r="C2313">
        <f>IFERROR(VLOOKUP(A2313,管理亚马逊库存!A:L,12,0),"")</f>
        <v>0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6311</v>
      </c>
      <c r="B2314">
        <f>IFERROR(VLOOKUP(A2314,管理亚马逊库存!A:K,11,0),"")</f>
        <v>0</v>
      </c>
      <c r="C2314">
        <f>IFERROR(VLOOKUP(A2314,管理亚马逊库存!A:L,12,0),"")</f>
        <v>0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6315</v>
      </c>
      <c r="B2315">
        <f>IFERROR(VLOOKUP(A2315,管理亚马逊库存!A:K,11,0),"")</f>
        <v>0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6319</v>
      </c>
      <c r="B2316">
        <f>IFERROR(VLOOKUP(A2316,管理亚马逊库存!A:K,11,0),"")</f>
        <v>0</v>
      </c>
      <c r="C2316">
        <f>IFERROR(VLOOKUP(A2316,管理亚马逊库存!A:L,12,0),"")</f>
        <v>0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6323</v>
      </c>
      <c r="B2317">
        <f>IFERROR(VLOOKUP(A2317,管理亚马逊库存!A:K,11,0),"")</f>
        <v>0</v>
      </c>
      <c r="C2317">
        <f>IFERROR(VLOOKUP(A2317,管理亚马逊库存!A:L,12,0),"")</f>
        <v>0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6327</v>
      </c>
      <c r="B2318">
        <f>IFERROR(VLOOKUP(A2318,管理亚马逊库存!A:K,11,0),"")</f>
        <v>0</v>
      </c>
      <c r="C2318">
        <f>IFERROR(VLOOKUP(A2318,管理亚马逊库存!A:L,12,0),"")</f>
        <v>0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6331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6334</v>
      </c>
      <c r="B2320">
        <f>IFERROR(VLOOKUP(A2320,管理亚马逊库存!A:K,11,0),"")</f>
        <v>0</v>
      </c>
      <c r="C2320">
        <f>IFERROR(VLOOKUP(A2320,管理亚马逊库存!A:L,12,0),"")</f>
        <v>0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6337</v>
      </c>
      <c r="B2321">
        <f>IFERROR(VLOOKUP(A2321,管理亚马逊库存!A:K,11,0),"")</f>
        <v>0</v>
      </c>
      <c r="C2321">
        <f>IFERROR(VLOOKUP(A2321,管理亚马逊库存!A:L,12,0),"")</f>
        <v>0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6340</v>
      </c>
      <c r="B2322">
        <f>IFERROR(VLOOKUP(A2322,管理亚马逊库存!A:K,11,0),"")</f>
        <v>0</v>
      </c>
      <c r="C2322">
        <f>IFERROR(VLOOKUP(A2322,管理亚马逊库存!A:L,12,0),"")</f>
        <v>0</v>
      </c>
      <c r="D2322">
        <f>IFERROR(VLOOKUP(A2322,管理亚马逊库存!A:Q,17,0),"")</f>
        <v>0</v>
      </c>
      <c r="E2322">
        <f>IFERROR(VLOOKUP(A2322,管理亚马逊库存!A:R,18,0),"")</f>
        <v>0</v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6343</v>
      </c>
      <c r="B2323">
        <f>IFERROR(VLOOKUP(A2323,管理亚马逊库存!A:K,11,0),"")</f>
        <v>0</v>
      </c>
      <c r="C2323">
        <f>IFERROR(VLOOKUP(A2323,管理亚马逊库存!A:L,12,0),"")</f>
        <v>0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6347</v>
      </c>
      <c r="B2324">
        <f>IFERROR(VLOOKUP(A2324,管理亚马逊库存!A:K,11,0),"")</f>
        <v>0</v>
      </c>
      <c r="C2324">
        <f>IFERROR(VLOOKUP(A2324,管理亚马逊库存!A:L,12,0),"")</f>
        <v>0</v>
      </c>
      <c r="D2324">
        <f>IFERROR(VLOOKUP(A2324,管理亚马逊库存!A:Q,17,0),"")</f>
        <v>0</v>
      </c>
      <c r="E2324">
        <f>IFERROR(VLOOKUP(A2324,管理亚马逊库存!A:R,18,0),"")</f>
        <v>0</v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6350</v>
      </c>
      <c r="B2325">
        <f>IFERROR(VLOOKUP(A2325,管理亚马逊库存!A:K,11,0),"")</f>
        <v>0</v>
      </c>
      <c r="C2325">
        <f>IFERROR(VLOOKUP(A2325,管理亚马逊库存!A:L,12,0),"")</f>
        <v>0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6353</v>
      </c>
      <c r="B2326">
        <f>IFERROR(VLOOKUP(A2326,管理亚马逊库存!A:K,11,0),"")</f>
        <v>0</v>
      </c>
      <c r="C2326">
        <f>IFERROR(VLOOKUP(A2326,管理亚马逊库存!A:L,12,0),"")</f>
        <v>0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6357</v>
      </c>
      <c r="B2327">
        <f>IFERROR(VLOOKUP(A2327,管理亚马逊库存!A:K,11,0),"")</f>
        <v>0</v>
      </c>
      <c r="C2327">
        <f>IFERROR(VLOOKUP(A2327,管理亚马逊库存!A:L,12,0),"")</f>
        <v>0</v>
      </c>
      <c r="D2327">
        <f>IFERROR(VLOOKUP(A2327,管理亚马逊库存!A:Q,17,0),"")</f>
        <v>0</v>
      </c>
      <c r="E2327">
        <f>IFERROR(VLOOKUP(A2327,管理亚马逊库存!A:R,18,0),"")</f>
        <v>0</v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6360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6363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6366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6369</v>
      </c>
      <c r="B2331">
        <f>IFERROR(VLOOKUP(A2331,管理亚马逊库存!A:K,11,0),"")</f>
        <v>0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6372</v>
      </c>
      <c r="B2332">
        <f>IFERROR(VLOOKUP(A2332,管理亚马逊库存!A:K,11,0),"")</f>
        <v>0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6375</v>
      </c>
      <c r="B2333">
        <f>IFERROR(VLOOKUP(A2333,管理亚马逊库存!A:K,11,0),"")</f>
        <v>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6378</v>
      </c>
      <c r="B2334">
        <f>IFERROR(VLOOKUP(A2334,管理亚马逊库存!A:K,11,0),"")</f>
        <v>0</v>
      </c>
      <c r="C2334">
        <f>IFERROR(VLOOKUP(A2334,管理亚马逊库存!A:L,12,0),"")</f>
        <v>0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6381</v>
      </c>
      <c r="B2335">
        <f>IFERROR(VLOOKUP(A2335,管理亚马逊库存!A:K,11,0),"")</f>
        <v>0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6384</v>
      </c>
      <c r="B2336">
        <f>IFERROR(VLOOKUP(A2336,管理亚马逊库存!A:K,11,0),"")</f>
        <v>0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6387</v>
      </c>
      <c r="B2337">
        <f>IFERROR(VLOOKUP(A2337,管理亚马逊库存!A:K,11,0),"")</f>
        <v>0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6390</v>
      </c>
      <c r="B2338">
        <f>IFERROR(VLOOKUP(A2338,管理亚马逊库存!A:K,11,0),"")</f>
        <v>0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6393</v>
      </c>
      <c r="B2339">
        <f>IFERROR(VLOOKUP(A2339,管理亚马逊库存!A:K,11,0),"")</f>
        <v>0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6396</v>
      </c>
      <c r="B2340">
        <f>IFERROR(VLOOKUP(A2340,管理亚马逊库存!A:K,11,0),"")</f>
        <v>0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6399</v>
      </c>
      <c r="B2341">
        <f>IFERROR(VLOOKUP(A2341,管理亚马逊库存!A:K,11,0),"")</f>
        <v>0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6402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6405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6408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6411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6414</v>
      </c>
      <c r="B2346">
        <f>IFERROR(VLOOKUP(A2346,管理亚马逊库存!A:K,11,0),"")</f>
        <v>0</v>
      </c>
      <c r="C2346">
        <f>IFERROR(VLOOKUP(A2346,管理亚马逊库存!A:L,12,0),"")</f>
        <v>0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6417</v>
      </c>
      <c r="B2347">
        <f>IFERROR(VLOOKUP(A2347,管理亚马逊库存!A:K,11,0),"")</f>
        <v>0</v>
      </c>
      <c r="C2347">
        <f>IFERROR(VLOOKUP(A2347,管理亚马逊库存!A:L,12,0),"")</f>
        <v>0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6420</v>
      </c>
      <c r="B2348">
        <f>IFERROR(VLOOKUP(A2348,管理亚马逊库存!A:K,11,0),"")</f>
        <v>0</v>
      </c>
      <c r="C2348">
        <f>IFERROR(VLOOKUP(A2348,管理亚马逊库存!A:L,12,0),"")</f>
        <v>0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6423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6426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6428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0</v>
      </c>
      <c r="F2351">
        <f t="shared" si="7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6429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6433</v>
      </c>
      <c r="B2353">
        <f>IFERROR(VLOOKUP(A2353,管理亚马逊库存!A:K,11,0),"")</f>
        <v>0</v>
      </c>
      <c r="C2353">
        <f>IFERROR(VLOOKUP(A2353,管理亚马逊库存!A:L,12,0),"")</f>
        <v>0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6437</v>
      </c>
      <c r="B2354">
        <f>IFERROR(VLOOKUP(A2354,管理亚马逊库存!A:K,11,0),"")</f>
        <v>0</v>
      </c>
      <c r="C2354">
        <f>IFERROR(VLOOKUP(A2354,管理亚马逊库存!A:L,12,0),"")</f>
        <v>0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6441</v>
      </c>
      <c r="B2355">
        <f>IFERROR(VLOOKUP(A2355,管理亚马逊库存!A:K,11,0),"")</f>
        <v>0</v>
      </c>
      <c r="C2355">
        <f>IFERROR(VLOOKUP(A2355,管理亚马逊库存!A:L,12,0),"")</f>
        <v>0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6445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6449</v>
      </c>
      <c r="B2357">
        <f>IFERROR(VLOOKUP(A2357,管理亚马逊库存!A:K,11,0),"")</f>
        <v>0</v>
      </c>
      <c r="C2357">
        <f>IFERROR(VLOOKUP(A2357,管理亚马逊库存!A:L,12,0),"")</f>
        <v>0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6453</v>
      </c>
      <c r="B2358">
        <f>IFERROR(VLOOKUP(A2358,管理亚马逊库存!A:K,11,0),"")</f>
        <v>0</v>
      </c>
      <c r="C2358">
        <f>IFERROR(VLOOKUP(A2358,管理亚马逊库存!A:L,12,0),"")</f>
        <v>0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6457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6461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6465</v>
      </c>
      <c r="B2361">
        <f>IFERROR(VLOOKUP(A2361,管理亚马逊库存!A:K,11,0),"")</f>
        <v>0</v>
      </c>
      <c r="C2361">
        <f>IFERROR(VLOOKUP(A2361,管理亚马逊库存!A:L,12,0),"")</f>
        <v>0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6469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6473</v>
      </c>
      <c r="B2363">
        <f>IFERROR(VLOOKUP(A2363,管理亚马逊库存!A:K,11,0),"")</f>
        <v>0</v>
      </c>
      <c r="C2363">
        <f>IFERROR(VLOOKUP(A2363,管理亚马逊库存!A:L,12,0),"")</f>
        <v>0</v>
      </c>
      <c r="D2363">
        <f>IFERROR(VLOOKUP(A2363,管理亚马逊库存!A:Q,17,0),"")</f>
        <v>0</v>
      </c>
      <c r="E2363">
        <f>IFERROR(VLOOKUP(A2363,管理亚马逊库存!A:R,18,0),"")</f>
        <v>0</v>
      </c>
      <c r="F2363">
        <f t="shared" si="7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6477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6481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6485</v>
      </c>
      <c r="B2366">
        <f>IFERROR(VLOOKUP(A2366,管理亚马逊库存!A:K,11,0),"")</f>
        <v>0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6489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6493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6497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45</v>
      </c>
      <c r="E2369">
        <f>IFERROR(VLOOKUP(A2369,管理亚马逊库存!A:R,18,0),"")</f>
        <v>0</v>
      </c>
      <c r="F2369">
        <f t="shared" si="73"/>
        <v>45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6501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6505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6507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6509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6511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6513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6517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6519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6521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25</v>
      </c>
      <c r="E2378">
        <f>IFERROR(VLOOKUP(A2378,管理亚马逊库存!A:R,18,0),"")</f>
        <v>0</v>
      </c>
      <c r="F2378">
        <f t="shared" si="75"/>
        <v>25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6525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30</v>
      </c>
      <c r="E2379">
        <f>IFERROR(VLOOKUP(A2379,管理亚马逊库存!A:R,18,0),"")</f>
        <v>0</v>
      </c>
      <c r="F2379">
        <f t="shared" si="75"/>
        <v>30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6527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40</v>
      </c>
      <c r="E2380">
        <f>IFERROR(VLOOKUP(A2380,管理亚马逊库存!A:R,18,0),"")</f>
        <v>0</v>
      </c>
      <c r="F2380">
        <f t="shared" si="75"/>
        <v>40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6529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20</v>
      </c>
      <c r="E2381">
        <f>IFERROR(VLOOKUP(A2381,管理亚马逊库存!A:R,18,0),"")</f>
        <v>0</v>
      </c>
      <c r="F2381">
        <f t="shared" si="75"/>
        <v>20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6533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6535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20</v>
      </c>
      <c r="E2383">
        <f>IFERROR(VLOOKUP(A2383,管理亚马逊库存!A:R,18,0),"")</f>
        <v>0</v>
      </c>
      <c r="F2383">
        <f t="shared" si="75"/>
        <v>20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6537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6539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6541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20</v>
      </c>
      <c r="E2386">
        <f>IFERROR(VLOOKUP(A2386,管理亚马逊库存!A:R,18,0),"")</f>
        <v>0</v>
      </c>
      <c r="F2386">
        <f t="shared" si="75"/>
        <v>20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6543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30</v>
      </c>
      <c r="E2387">
        <f>IFERROR(VLOOKUP(A2387,管理亚马逊库存!A:R,18,0),"")</f>
        <v>0</v>
      </c>
      <c r="F2387">
        <f t="shared" si="75"/>
        <v>30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6545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30</v>
      </c>
      <c r="E2388">
        <f>IFERROR(VLOOKUP(A2388,管理亚马逊库存!A:R,18,0),"")</f>
        <v>0</v>
      </c>
      <c r="F2388">
        <f t="shared" si="75"/>
        <v>30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6549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10</v>
      </c>
      <c r="E2389">
        <f>IFERROR(VLOOKUP(A2389,管理亚马逊库存!A:R,18,0),"")</f>
        <v>0</v>
      </c>
      <c r="F2389">
        <f t="shared" si="75"/>
        <v>10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6553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10</v>
      </c>
      <c r="E2390">
        <f>IFERROR(VLOOKUP(A2390,管理亚马逊库存!A:R,18,0),"")</f>
        <v>0</v>
      </c>
      <c r="F2390">
        <f t="shared" si="75"/>
        <v>10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6557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30</v>
      </c>
      <c r="E2391">
        <f>IFERROR(VLOOKUP(A2391,管理亚马逊库存!A:R,18,0),"")</f>
        <v>0</v>
      </c>
      <c r="F2391">
        <f t="shared" si="75"/>
        <v>30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6561</v>
      </c>
      <c r="B2392">
        <f>IFERROR(VLOOKUP(A2392,管理亚马逊库存!A:K,11,0),"")</f>
        <v>0</v>
      </c>
      <c r="C2392">
        <f>IFERROR(VLOOKUP(A2392,管理亚马逊库存!A:L,12,0),"")</f>
        <v>0</v>
      </c>
      <c r="D2392">
        <f>IFERROR(VLOOKUP(A2392,管理亚马逊库存!A:Q,17,0),"")</f>
        <v>20</v>
      </c>
      <c r="E2392">
        <f>IFERROR(VLOOKUP(A2392,管理亚马逊库存!A:R,18,0),"")</f>
        <v>0</v>
      </c>
      <c r="F2392">
        <f t="shared" si="75"/>
        <v>20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6565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20</v>
      </c>
      <c r="E2393">
        <f>IFERROR(VLOOKUP(A2393,管理亚马逊库存!A:R,18,0),"")</f>
        <v>0</v>
      </c>
      <c r="F2393">
        <f t="shared" si="75"/>
        <v>20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6567</v>
      </c>
      <c r="B2394">
        <f>IFERROR(VLOOKUP(A2394,管理亚马逊库存!A:K,11,0),"")</f>
        <v>0</v>
      </c>
      <c r="C2394">
        <f>IFERROR(VLOOKUP(A2394,管理亚马逊库存!A:L,12,0),"")</f>
        <v>0</v>
      </c>
      <c r="D2394">
        <f>IFERROR(VLOOKUP(A2394,管理亚马逊库存!A:Q,17,0),"")</f>
        <v>10</v>
      </c>
      <c r="E2394">
        <f>IFERROR(VLOOKUP(A2394,管理亚马逊库存!A:R,18,0),"")</f>
        <v>0</v>
      </c>
      <c r="F2394">
        <f t="shared" si="75"/>
        <v>10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6571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20</v>
      </c>
      <c r="E2395">
        <f>IFERROR(VLOOKUP(A2395,管理亚马逊库存!A:R,18,0),"")</f>
        <v>0</v>
      </c>
      <c r="F2395">
        <f t="shared" si="75"/>
        <v>20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6575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20</v>
      </c>
      <c r="E2396">
        <f>IFERROR(VLOOKUP(A2396,管理亚马逊库存!A:R,18,0),"")</f>
        <v>0</v>
      </c>
      <c r="F2396">
        <f t="shared" si="75"/>
        <v>20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6579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30</v>
      </c>
      <c r="E2397">
        <f>IFERROR(VLOOKUP(A2397,管理亚马逊库存!A:R,18,0),"")</f>
        <v>0</v>
      </c>
      <c r="F2397">
        <f t="shared" si="75"/>
        <v>30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6583</v>
      </c>
      <c r="B2398">
        <f>IFERROR(VLOOKUP(A2398,管理亚马逊库存!A:K,11,0),"")</f>
        <v>0</v>
      </c>
      <c r="C2398">
        <f>IFERROR(VLOOKUP(A2398,管理亚马逊库存!A:L,12,0),"")</f>
        <v>0</v>
      </c>
      <c r="D2398">
        <f>IFERROR(VLOOKUP(A2398,管理亚马逊库存!A:Q,17,0),"")</f>
        <v>20</v>
      </c>
      <c r="E2398">
        <f>IFERROR(VLOOKUP(A2398,管理亚马逊库存!A:R,18,0),"")</f>
        <v>0</v>
      </c>
      <c r="F2398">
        <f t="shared" si="75"/>
        <v>20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6585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30</v>
      </c>
      <c r="E2399">
        <f>IFERROR(VLOOKUP(A2399,管理亚马逊库存!A:R,18,0),"")</f>
        <v>0</v>
      </c>
      <c r="F2399">
        <f t="shared" si="75"/>
        <v>30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6589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30</v>
      </c>
      <c r="E2400">
        <f>IFERROR(VLOOKUP(A2400,管理亚马逊库存!A:R,18,0),"")</f>
        <v>0</v>
      </c>
      <c r="F2400">
        <f t="shared" si="75"/>
        <v>30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6593</v>
      </c>
      <c r="B2401">
        <f>IFERROR(VLOOKUP(A2401,管理亚马逊库存!A:K,11,0),"")</f>
        <v>0</v>
      </c>
      <c r="C2401">
        <f>IFERROR(VLOOKUP(A2401,管理亚马逊库存!A:L,12,0),"")</f>
        <v>0</v>
      </c>
      <c r="D2401">
        <f>IFERROR(VLOOKUP(A2401,管理亚马逊库存!A:Q,17,0),"")</f>
        <v>30</v>
      </c>
      <c r="E2401">
        <f>IFERROR(VLOOKUP(A2401,管理亚马逊库存!A:R,18,0),"")</f>
        <v>0</v>
      </c>
      <c r="F2401">
        <f t="shared" si="75"/>
        <v>30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6597</v>
      </c>
      <c r="B2402">
        <f>IFERROR(VLOOKUP(A2402,管理亚马逊库存!A:K,11,0),"")</f>
        <v>0</v>
      </c>
      <c r="C2402">
        <f>IFERROR(VLOOKUP(A2402,管理亚马逊库存!A:L,12,0),"")</f>
        <v>0</v>
      </c>
      <c r="D2402">
        <f>IFERROR(VLOOKUP(A2402,管理亚马逊库存!A:Q,17,0),"")</f>
        <v>30</v>
      </c>
      <c r="E2402">
        <f>IFERROR(VLOOKUP(A2402,管理亚马逊库存!A:R,18,0),"")</f>
        <v>0</v>
      </c>
      <c r="F2402">
        <f t="shared" si="75"/>
        <v>30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6599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30</v>
      </c>
      <c r="E2403">
        <f>IFERROR(VLOOKUP(A2403,管理亚马逊库存!A:R,18,0),"")</f>
        <v>0</v>
      </c>
      <c r="F2403">
        <f t="shared" si="75"/>
        <v>30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6601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30</v>
      </c>
      <c r="E2404">
        <f>IFERROR(VLOOKUP(A2404,管理亚马逊库存!A:R,18,0),"")</f>
        <v>0</v>
      </c>
      <c r="F2404">
        <f t="shared" si="75"/>
        <v>30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6605</v>
      </c>
      <c r="B2405">
        <f>IFERROR(VLOOKUP(A2405,管理亚马逊库存!A:K,11,0),"")</f>
        <v>0</v>
      </c>
      <c r="C2405">
        <f>IFERROR(VLOOKUP(A2405,管理亚马逊库存!A:L,12,0),"")</f>
        <v>0</v>
      </c>
      <c r="D2405">
        <f>IFERROR(VLOOKUP(A2405,管理亚马逊库存!A:Q,17,0),"")</f>
        <v>10</v>
      </c>
      <c r="E2405">
        <f>IFERROR(VLOOKUP(A2405,管理亚马逊库存!A:R,18,0),"")</f>
        <v>0</v>
      </c>
      <c r="F2405">
        <f t="shared" si="75"/>
        <v>10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6607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10</v>
      </c>
      <c r="E2406">
        <f>IFERROR(VLOOKUP(A2406,管理亚马逊库存!A:R,18,0),"")</f>
        <v>0</v>
      </c>
      <c r="F2406">
        <f t="shared" si="75"/>
        <v>10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6611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30</v>
      </c>
      <c r="E2407">
        <f>IFERROR(VLOOKUP(A2407,管理亚马逊库存!A:R,18,0),"")</f>
        <v>0</v>
      </c>
      <c r="F2407">
        <f t="shared" si="75"/>
        <v>30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6615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0</v>
      </c>
      <c r="F2408">
        <f t="shared" si="7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6619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6623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6627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6631</v>
      </c>
      <c r="B2412">
        <f>IFERROR(VLOOKUP(A2412,管理亚马逊库存!A:K,11,0),"")</f>
        <v>0</v>
      </c>
      <c r="C2412">
        <f>IFERROR(VLOOKUP(A2412,管理亚马逊库存!A:L,12,0),"")</f>
        <v>0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6632</v>
      </c>
      <c r="B2413">
        <f>IFERROR(VLOOKUP(A2413,管理亚马逊库存!A:K,11,0),"")</f>
        <v>0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0</v>
      </c>
      <c r="F2413">
        <f t="shared" si="7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6636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0</v>
      </c>
      <c r="F2414">
        <f t="shared" si="7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6638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6642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0</v>
      </c>
      <c r="F2416">
        <f t="shared" si="7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6644</v>
      </c>
      <c r="B2417">
        <f>IFERROR(VLOOKUP(A2417,管理亚马逊库存!A:K,11,0),"")</f>
        <v>0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6648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0</v>
      </c>
      <c r="F2418">
        <f t="shared" si="7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6652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6656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6660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6664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6666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6670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6672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6674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6676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6680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6682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6686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6690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6694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6697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6699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0</v>
      </c>
      <c r="F2434">
        <f t="shared" si="7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6701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0</v>
      </c>
      <c r="F2435">
        <f t="shared" ref="F2435:F2498" si="7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6703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0</v>
      </c>
      <c r="F2436">
        <f t="shared" si="7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6705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6707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6709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0</v>
      </c>
      <c r="F2439">
        <f t="shared" si="7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6711</v>
      </c>
      <c r="B2440">
        <f>IFERROR(VLOOKUP(A2440,管理亚马逊库存!A:K,11,0),"")</f>
        <v>0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6715</v>
      </c>
      <c r="B2441">
        <f>IFERROR(VLOOKUP(A2441,管理亚马逊库存!A:K,11,0),"")</f>
        <v>0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6717</v>
      </c>
      <c r="B2442">
        <f>IFERROR(VLOOKUP(A2442,管理亚马逊库存!A:K,11,0),"")</f>
        <v>0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6719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6723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6725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6727</v>
      </c>
      <c r="B2446">
        <f>IFERROR(VLOOKUP(A2446,管理亚马逊库存!A:K,11,0),"")</f>
        <v>0</v>
      </c>
      <c r="C2446">
        <f>IFERROR(VLOOKUP(A2446,管理亚马逊库存!A:L,12,0),"")</f>
        <v>0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6729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6731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6733</v>
      </c>
      <c r="B2449">
        <f>IFERROR(VLOOKUP(A2449,管理亚马逊库存!A:K,11,0),"")</f>
        <v>0</v>
      </c>
      <c r="C2449">
        <f>IFERROR(VLOOKUP(A2449,管理亚马逊库存!A:L,12,0),"")</f>
        <v>0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6735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6737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6739</v>
      </c>
      <c r="B2452">
        <f>IFERROR(VLOOKUP(A2452,管理亚马逊库存!A:K,11,0),"")</f>
        <v>0</v>
      </c>
      <c r="C2452">
        <f>IFERROR(VLOOKUP(A2452,管理亚马逊库存!A:L,12,0),"")</f>
        <v>0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6741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6743</v>
      </c>
      <c r="B2454">
        <f>IFERROR(VLOOKUP(A2454,管理亚马逊库存!A:K,11,0),"")</f>
        <v>0</v>
      </c>
      <c r="C2454">
        <f>IFERROR(VLOOKUP(A2454,管理亚马逊库存!A:L,12,0),"")</f>
        <v>0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6745</v>
      </c>
      <c r="B2455">
        <f>IFERROR(VLOOKUP(A2455,管理亚马逊库存!A:K,11,0),"")</f>
        <v>0</v>
      </c>
      <c r="C2455">
        <f>IFERROR(VLOOKUP(A2455,管理亚马逊库存!A:L,12,0),"")</f>
        <v>0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6747</v>
      </c>
      <c r="B2456">
        <f>IFERROR(VLOOKUP(A2456,管理亚马逊库存!A:K,11,0),"")</f>
        <v>0</v>
      </c>
      <c r="C2456">
        <f>IFERROR(VLOOKUP(A2456,管理亚马逊库存!A:L,12,0),"")</f>
        <v>0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6749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6753</v>
      </c>
      <c r="B2458">
        <f>IFERROR(VLOOKUP(A2458,管理亚马逊库存!A:K,11,0),"")</f>
        <v>0</v>
      </c>
      <c r="C2458">
        <f>IFERROR(VLOOKUP(A2458,管理亚马逊库存!A:L,12,0),"")</f>
        <v>0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6757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0</v>
      </c>
      <c r="F2459">
        <f t="shared" si="7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6761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6765</v>
      </c>
      <c r="B2461">
        <f>IFERROR(VLOOKUP(A2461,管理亚马逊库存!A:K,11,0),"")</f>
        <v>0</v>
      </c>
      <c r="C2461">
        <f>IFERROR(VLOOKUP(A2461,管理亚马逊库存!A:L,12,0),"")</f>
        <v>0</v>
      </c>
      <c r="D2461">
        <f>IFERROR(VLOOKUP(A2461,管理亚马逊库存!A:Q,17,0),"")</f>
        <v>0</v>
      </c>
      <c r="E2461">
        <f>IFERROR(VLOOKUP(A2461,管理亚马逊库存!A:R,18,0),"")</f>
        <v>0</v>
      </c>
      <c r="F2461">
        <f t="shared" si="7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6769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0</v>
      </c>
      <c r="E2462">
        <f>IFERROR(VLOOKUP(A2462,管理亚马逊库存!A:R,18,0),"")</f>
        <v>0</v>
      </c>
      <c r="F2462">
        <f t="shared" si="7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6773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0</v>
      </c>
      <c r="E2463">
        <f>IFERROR(VLOOKUP(A2463,管理亚马逊库存!A:R,18,0),"")</f>
        <v>0</v>
      </c>
      <c r="F2463">
        <f t="shared" si="7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6777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0</v>
      </c>
      <c r="E2464">
        <f>IFERROR(VLOOKUP(A2464,管理亚马逊库存!A:R,18,0),"")</f>
        <v>0</v>
      </c>
      <c r="F2464">
        <f t="shared" si="7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6779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0</v>
      </c>
      <c r="E2465">
        <f>IFERROR(VLOOKUP(A2465,管理亚马逊库存!A:R,18,0),"")</f>
        <v>0</v>
      </c>
      <c r="F2465">
        <f t="shared" si="7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6783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6785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6789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6791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6795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6799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6803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6807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6811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6815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6819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6823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6827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6829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6831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6835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6839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3</v>
      </c>
      <c r="E2482">
        <f>IFERROR(VLOOKUP(A2482,管理亚马逊库存!A:R,18,0),"")</f>
        <v>0</v>
      </c>
      <c r="F2482">
        <f t="shared" si="77"/>
        <v>3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6841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6843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5</v>
      </c>
      <c r="E2484">
        <f>IFERROR(VLOOKUP(A2484,管理亚马逊库存!A:R,18,0),"")</f>
        <v>0</v>
      </c>
      <c r="F2484">
        <f t="shared" si="77"/>
        <v>5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6845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5</v>
      </c>
      <c r="E2485">
        <f>IFERROR(VLOOKUP(A2485,管理亚马逊库存!A:R,18,0),"")</f>
        <v>0</v>
      </c>
      <c r="F2485">
        <f t="shared" si="77"/>
        <v>5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6847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13</v>
      </c>
      <c r="E2486">
        <f>IFERROR(VLOOKUP(A2486,管理亚马逊库存!A:R,18,0),"")</f>
        <v>0</v>
      </c>
      <c r="F2486">
        <f t="shared" si="77"/>
        <v>13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6849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5</v>
      </c>
      <c r="E2487">
        <f>IFERROR(VLOOKUP(A2487,管理亚马逊库存!A:R,18,0),"")</f>
        <v>0</v>
      </c>
      <c r="F2487">
        <f t="shared" si="77"/>
        <v>5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6851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6855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6859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2</v>
      </c>
      <c r="E2490">
        <f>IFERROR(VLOOKUP(A2490,管理亚马逊库存!A:R,18,0),"")</f>
        <v>0</v>
      </c>
      <c r="F2490">
        <f t="shared" si="77"/>
        <v>2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6861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6863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6865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6869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2</v>
      </c>
      <c r="E2494">
        <f>IFERROR(VLOOKUP(A2494,管理亚马逊库存!A:R,18,0),"")</f>
        <v>0</v>
      </c>
      <c r="F2494">
        <f t="shared" si="77"/>
        <v>2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6871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6873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36</v>
      </c>
      <c r="E2496">
        <f>IFERROR(VLOOKUP(A2496,管理亚马逊库存!A:R,18,0),"")</f>
        <v>0</v>
      </c>
      <c r="F2496">
        <f t="shared" si="77"/>
        <v>36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6875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25</v>
      </c>
      <c r="E2497">
        <f>IFERROR(VLOOKUP(A2497,管理亚马逊库存!A:R,18,0),"")</f>
        <v>0</v>
      </c>
      <c r="F2497">
        <f t="shared" si="77"/>
        <v>25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6877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36</v>
      </c>
      <c r="E2498">
        <f>IFERROR(VLOOKUP(A2498,管理亚马逊库存!A:R,18,0),"")</f>
        <v>0</v>
      </c>
      <c r="F2498">
        <f t="shared" si="77"/>
        <v>36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6879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35</v>
      </c>
      <c r="E2499">
        <f>IFERROR(VLOOKUP(A2499,管理亚马逊库存!A:R,18,0),"")</f>
        <v>0</v>
      </c>
      <c r="F2499">
        <f t="shared" ref="F2499:F2562" si="79">SUM(D2499:E2499)</f>
        <v>35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6881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18</v>
      </c>
      <c r="E2500">
        <f>IFERROR(VLOOKUP(A2500,管理亚马逊库存!A:R,18,0),"")</f>
        <v>0</v>
      </c>
      <c r="F2500">
        <f t="shared" si="79"/>
        <v>18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6883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29</v>
      </c>
      <c r="E2501">
        <f>IFERROR(VLOOKUP(A2501,管理亚马逊库存!A:R,18,0),"")</f>
        <v>0</v>
      </c>
      <c r="F2501">
        <f t="shared" si="79"/>
        <v>29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6885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41</v>
      </c>
      <c r="E2502">
        <f>IFERROR(VLOOKUP(A2502,管理亚马逊库存!A:R,18,0),"")</f>
        <v>0</v>
      </c>
      <c r="F2502">
        <f t="shared" si="79"/>
        <v>41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6887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14</v>
      </c>
      <c r="E2503">
        <f>IFERROR(VLOOKUP(A2503,管理亚马逊库存!A:R,18,0),"")</f>
        <v>0</v>
      </c>
      <c r="F2503">
        <f t="shared" si="79"/>
        <v>14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6889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39</v>
      </c>
      <c r="E2504">
        <f>IFERROR(VLOOKUP(A2504,管理亚马逊库存!A:R,18,0),"")</f>
        <v>0</v>
      </c>
      <c r="F2504">
        <f t="shared" si="79"/>
        <v>39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6891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6</v>
      </c>
      <c r="E2505">
        <f>IFERROR(VLOOKUP(A2505,管理亚马逊库存!A:R,18,0),"")</f>
        <v>0</v>
      </c>
      <c r="F2505">
        <f t="shared" si="79"/>
        <v>6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6893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10</v>
      </c>
      <c r="E2506">
        <f>IFERROR(VLOOKUP(A2506,管理亚马逊库存!A:R,18,0),"")</f>
        <v>0</v>
      </c>
      <c r="F2506">
        <f t="shared" si="79"/>
        <v>10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6895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20</v>
      </c>
      <c r="E2507">
        <f>IFERROR(VLOOKUP(A2507,管理亚马逊库存!A:R,18,0),"")</f>
        <v>0</v>
      </c>
      <c r="F2507">
        <f t="shared" si="79"/>
        <v>20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6897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14</v>
      </c>
      <c r="E2508">
        <f>IFERROR(VLOOKUP(A2508,管理亚马逊库存!A:R,18,0),"")</f>
        <v>0</v>
      </c>
      <c r="F2508">
        <f t="shared" si="79"/>
        <v>14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6899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18</v>
      </c>
      <c r="E2509">
        <f>IFERROR(VLOOKUP(A2509,管理亚马逊库存!A:R,18,0),"")</f>
        <v>0</v>
      </c>
      <c r="F2509">
        <f t="shared" si="79"/>
        <v>18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6901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17</v>
      </c>
      <c r="E2510">
        <f>IFERROR(VLOOKUP(A2510,管理亚马逊库存!A:R,18,0),"")</f>
        <v>0</v>
      </c>
      <c r="F2510">
        <f t="shared" si="79"/>
        <v>17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6903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29</v>
      </c>
      <c r="E2511">
        <f>IFERROR(VLOOKUP(A2511,管理亚马逊库存!A:R,18,0),"")</f>
        <v>0</v>
      </c>
      <c r="F2511">
        <f t="shared" si="79"/>
        <v>29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6905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30</v>
      </c>
      <c r="E2512">
        <f>IFERROR(VLOOKUP(A2512,管理亚马逊库存!A:R,18,0),"")</f>
        <v>0</v>
      </c>
      <c r="F2512">
        <f t="shared" si="79"/>
        <v>30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6907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16</v>
      </c>
      <c r="E2513">
        <f>IFERROR(VLOOKUP(A2513,管理亚马逊库存!A:R,18,0),"")</f>
        <v>0</v>
      </c>
      <c r="F2513">
        <f t="shared" si="79"/>
        <v>16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6909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6913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6917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6921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6925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6928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6931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6934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6937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6940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6943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6946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6949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6952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6955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6958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6961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6964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6967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6970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6973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6976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6979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6982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6985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6988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6991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6994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6997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7000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7003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7006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7009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7012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7015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7018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7021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7024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7027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7030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7033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7036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7039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7042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7045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7048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7051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7054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7057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7060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7063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7066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7069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7072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7075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7078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7081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7084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7087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7090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7093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7096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7099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7102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7105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7108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7111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7114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7117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7120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7123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7126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7129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7132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7135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7138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7141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7144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7147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7150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7153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7156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7159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7162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7165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7168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7171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7174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7177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7180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7183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7186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7189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7192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7195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7198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7201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7205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7209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7213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7217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7221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7225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7229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7233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7237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7241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7245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7249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7253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7257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7261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7265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7268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7271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7273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7275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7278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7281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7284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7285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7288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7289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7292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7295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7296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7297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7298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7300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7302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7305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7308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7311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7314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7315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7316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7317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7318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7321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7324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7327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7330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7333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7334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7335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7336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7337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7338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7339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7340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7341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7342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7343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7344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7345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7346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7347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7348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7349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7350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7351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7352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7353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7354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7355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7356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7357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7358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7359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7360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7361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7362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7363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7364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7365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7366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7367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7368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7369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7371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7373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7376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7379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7382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7385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7388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7391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7394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7395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7396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7397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7398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7399</v>
      </c>
      <c r="B2706">
        <f>IFERROR(VLOOKUP(A2706,管理亚马逊库存!A:K,11,0),"")</f>
        <v>0</v>
      </c>
      <c r="C2706">
        <f>IFERROR(VLOOKUP(A2706,管理亚马逊库存!A:L,12,0),"")</f>
        <v>0</v>
      </c>
      <c r="D2706">
        <f>IFERROR(VLOOKUP(A2706,管理亚马逊库存!A:Q,17,0),"")</f>
        <v>0</v>
      </c>
      <c r="E2706">
        <f>IFERROR(VLOOKUP(A2706,管理亚马逊库存!A:R,18,0),"")</f>
        <v>0</v>
      </c>
      <c r="F2706">
        <f t="shared" si="85"/>
        <v>0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7400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0</v>
      </c>
      <c r="E2707">
        <f>IFERROR(VLOOKUP(A2707,管理亚马逊库存!A:R,18,0),"")</f>
        <v>0</v>
      </c>
      <c r="F2707">
        <f t="shared" si="85"/>
        <v>0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7403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0</v>
      </c>
      <c r="E2708">
        <f>IFERROR(VLOOKUP(A2708,管理亚马逊库存!A:R,18,0),"")</f>
        <v>0</v>
      </c>
      <c r="F2708">
        <f t="shared" si="85"/>
        <v>0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7404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7405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7406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7407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0</v>
      </c>
      <c r="E2712">
        <f>IFERROR(VLOOKUP(A2712,管理亚马逊库存!A:R,18,0),"")</f>
        <v>0</v>
      </c>
      <c r="F2712">
        <f t="shared" si="85"/>
        <v>0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7408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0</v>
      </c>
      <c r="E2713">
        <f>IFERROR(VLOOKUP(A2713,管理亚马逊库存!A:R,18,0),"")</f>
        <v>0</v>
      </c>
      <c r="F2713">
        <f t="shared" si="85"/>
        <v>0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7409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0</v>
      </c>
      <c r="E2714">
        <f>IFERROR(VLOOKUP(A2714,管理亚马逊库存!A:R,18,0),"")</f>
        <v>0</v>
      </c>
      <c r="F2714">
        <f t="shared" si="85"/>
        <v>0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7410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7411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7412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41</v>
      </c>
      <c r="E2717">
        <f>IFERROR(VLOOKUP(A2717,管理亚马逊库存!A:R,18,0),"")</f>
        <v>0</v>
      </c>
      <c r="F2717">
        <f t="shared" si="85"/>
        <v>41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7414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23</v>
      </c>
      <c r="E2718">
        <f>IFERROR(VLOOKUP(A2718,管理亚马逊库存!A:R,18,0),"")</f>
        <v>0</v>
      </c>
      <c r="F2718">
        <f t="shared" si="85"/>
        <v>23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7416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39</v>
      </c>
      <c r="E2719">
        <f>IFERROR(VLOOKUP(A2719,管理亚马逊库存!A:R,18,0),"")</f>
        <v>0</v>
      </c>
      <c r="F2719">
        <f t="shared" si="85"/>
        <v>39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7418</v>
      </c>
      <c r="B2720">
        <f>IFERROR(VLOOKUP(A2720,管理亚马逊库存!A:K,11,0),"")</f>
        <v>0</v>
      </c>
      <c r="C2720">
        <f>IFERROR(VLOOKUP(A2720,管理亚马逊库存!A:L,12,0),"")</f>
        <v>0</v>
      </c>
      <c r="D2720">
        <f>IFERROR(VLOOKUP(A2720,管理亚马逊库存!A:Q,17,0),"")</f>
        <v>0</v>
      </c>
      <c r="E2720">
        <f>IFERROR(VLOOKUP(A2720,管理亚马逊库存!A:R,18,0),"")</f>
        <v>0</v>
      </c>
      <c r="F2720">
        <f t="shared" si="85"/>
        <v>0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7420</v>
      </c>
      <c r="B2721">
        <f>IFERROR(VLOOKUP(A2721,管理亚马逊库存!A:K,11,0),"")</f>
        <v>0</v>
      </c>
      <c r="C2721">
        <f>IFERROR(VLOOKUP(A2721,管理亚马逊库存!A:L,12,0),"")</f>
        <v>0</v>
      </c>
      <c r="D2721">
        <f>IFERROR(VLOOKUP(A2721,管理亚马逊库存!A:Q,17,0),"")</f>
        <v>0</v>
      </c>
      <c r="E2721">
        <f>IFERROR(VLOOKUP(A2721,管理亚马逊库存!A:R,18,0),"")</f>
        <v>0</v>
      </c>
      <c r="F2721">
        <f t="shared" si="85"/>
        <v>0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7422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0</v>
      </c>
      <c r="E2722">
        <f>IFERROR(VLOOKUP(A2722,管理亚马逊库存!A:R,18,0),"")</f>
        <v>0</v>
      </c>
      <c r="F2722">
        <f t="shared" si="85"/>
        <v>0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7424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20</v>
      </c>
      <c r="E2723">
        <f>IFERROR(VLOOKUP(A2723,管理亚马逊库存!A:R,18,0),"")</f>
        <v>0</v>
      </c>
      <c r="F2723">
        <f t="shared" si="85"/>
        <v>20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7426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32</v>
      </c>
      <c r="E2724">
        <f>IFERROR(VLOOKUP(A2724,管理亚马逊库存!A:R,18,0),"")</f>
        <v>0</v>
      </c>
      <c r="F2724">
        <f t="shared" si="85"/>
        <v>32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7428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24</v>
      </c>
      <c r="E2725">
        <f>IFERROR(VLOOKUP(A2725,管理亚马逊库存!A:R,18,0),"")</f>
        <v>0</v>
      </c>
      <c r="F2725">
        <f t="shared" si="85"/>
        <v>24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7430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0</v>
      </c>
      <c r="E2726">
        <f>IFERROR(VLOOKUP(A2726,管理亚马逊库存!A:R,18,0),"")</f>
        <v>0</v>
      </c>
      <c r="F2726">
        <f t="shared" si="85"/>
        <v>0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7432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7434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7436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23</v>
      </c>
      <c r="E2729">
        <f>IFERROR(VLOOKUP(A2729,管理亚马逊库存!A:R,18,0),"")</f>
        <v>0</v>
      </c>
      <c r="F2729">
        <f t="shared" si="85"/>
        <v>23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7438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15</v>
      </c>
      <c r="E2730">
        <f>IFERROR(VLOOKUP(A2730,管理亚马逊库存!A:R,18,0),"")</f>
        <v>0</v>
      </c>
      <c r="F2730">
        <f t="shared" si="85"/>
        <v>15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7440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32</v>
      </c>
      <c r="E2731">
        <f>IFERROR(VLOOKUP(A2731,管理亚马逊库存!A:R,18,0),"")</f>
        <v>0</v>
      </c>
      <c r="F2731">
        <f t="shared" si="85"/>
        <v>32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7442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25</v>
      </c>
      <c r="E2732">
        <f>IFERROR(VLOOKUP(A2732,管理亚马逊库存!A:R,18,0),"")</f>
        <v>0</v>
      </c>
      <c r="F2732">
        <f t="shared" si="85"/>
        <v>25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7444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17</v>
      </c>
      <c r="E2733">
        <f>IFERROR(VLOOKUP(A2733,管理亚马逊库存!A:R,18,0),"")</f>
        <v>0</v>
      </c>
      <c r="F2733">
        <f t="shared" si="85"/>
        <v>17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7446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30</v>
      </c>
      <c r="E2734">
        <f>IFERROR(VLOOKUP(A2734,管理亚马逊库存!A:R,18,0),"")</f>
        <v>0</v>
      </c>
      <c r="F2734">
        <f t="shared" si="85"/>
        <v>30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7448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16</v>
      </c>
      <c r="E2735">
        <f>IFERROR(VLOOKUP(A2735,管理亚马逊库存!A:R,18,0),"")</f>
        <v>0</v>
      </c>
      <c r="F2735">
        <f t="shared" si="85"/>
        <v>16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7450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17</v>
      </c>
      <c r="E2736">
        <f>IFERROR(VLOOKUP(A2736,管理亚马逊库存!A:R,18,0),"")</f>
        <v>0</v>
      </c>
      <c r="F2736">
        <f t="shared" si="85"/>
        <v>17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7452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16</v>
      </c>
      <c r="E2737">
        <f>IFERROR(VLOOKUP(A2737,管理亚马逊库存!A:R,18,0),"")</f>
        <v>0</v>
      </c>
      <c r="F2737">
        <f t="shared" si="85"/>
        <v>16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7454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7457</v>
      </c>
      <c r="B2739">
        <f>IFERROR(VLOOKUP(A2739,管理亚马逊库存!A:K,11,0),"")</f>
        <v>0</v>
      </c>
      <c r="C2739">
        <f>IFERROR(VLOOKUP(A2739,管理亚马逊库存!A:L,12,0),"")</f>
        <v>0</v>
      </c>
      <c r="D2739">
        <f>IFERROR(VLOOKUP(A2739,管理亚马逊库存!A:Q,17,0),"")</f>
        <v>0</v>
      </c>
      <c r="E2739">
        <f>IFERROR(VLOOKUP(A2739,管理亚马逊库存!A:R,18,0),"")</f>
        <v>0</v>
      </c>
      <c r="F2739">
        <f t="shared" si="85"/>
        <v>0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7460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7462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7466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32</v>
      </c>
      <c r="E2742">
        <f>IFERROR(VLOOKUP(A2742,管理亚马逊库存!A:R,18,0),"")</f>
        <v>0</v>
      </c>
      <c r="F2742">
        <f t="shared" si="85"/>
        <v>32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7468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28</v>
      </c>
      <c r="E2743">
        <f>IFERROR(VLOOKUP(A2743,管理亚马逊库存!A:R,18,0),"")</f>
        <v>0</v>
      </c>
      <c r="F2743">
        <f t="shared" si="85"/>
        <v>28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7470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15</v>
      </c>
      <c r="E2744">
        <f>IFERROR(VLOOKUP(A2744,管理亚马逊库存!A:R,18,0),"")</f>
        <v>0</v>
      </c>
      <c r="F2744">
        <f t="shared" si="85"/>
        <v>15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7472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37</v>
      </c>
      <c r="E2745">
        <f>IFERROR(VLOOKUP(A2745,管理亚马逊库存!A:R,18,0),"")</f>
        <v>0</v>
      </c>
      <c r="F2745">
        <f t="shared" si="85"/>
        <v>37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7474</v>
      </c>
      <c r="B2746">
        <f>IFERROR(VLOOKUP(A2746,管理亚马逊库存!A:K,11,0),"")</f>
        <v>0</v>
      </c>
      <c r="C2746">
        <f>IFERROR(VLOOKUP(A2746,管理亚马逊库存!A:L,12,0),"")</f>
        <v>0</v>
      </c>
      <c r="D2746">
        <f>IFERROR(VLOOKUP(A2746,管理亚马逊库存!A:Q,17,0),"")</f>
        <v>32</v>
      </c>
      <c r="E2746">
        <f>IFERROR(VLOOKUP(A2746,管理亚马逊库存!A:R,18,0),"")</f>
        <v>0</v>
      </c>
      <c r="F2746">
        <f t="shared" si="85"/>
        <v>32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7476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48</v>
      </c>
      <c r="E2747">
        <f>IFERROR(VLOOKUP(A2747,管理亚马逊库存!A:R,18,0),"")</f>
        <v>0</v>
      </c>
      <c r="F2747">
        <f t="shared" si="85"/>
        <v>48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7478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10</v>
      </c>
      <c r="E2748">
        <f>IFERROR(VLOOKUP(A2748,管理亚马逊库存!A:R,18,0),"")</f>
        <v>0</v>
      </c>
      <c r="F2748">
        <f t="shared" si="85"/>
        <v>10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7480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42</v>
      </c>
      <c r="E2749">
        <f>IFERROR(VLOOKUP(A2749,管理亚马逊库存!A:R,18,0),"")</f>
        <v>0</v>
      </c>
      <c r="F2749">
        <f t="shared" si="85"/>
        <v>42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7482</v>
      </c>
      <c r="B2750">
        <f>IFERROR(VLOOKUP(A2750,管理亚马逊库存!A:K,11,0),"")</f>
        <v>0</v>
      </c>
      <c r="C2750">
        <f>IFERROR(VLOOKUP(A2750,管理亚马逊库存!A:L,12,0),"")</f>
        <v>0</v>
      </c>
      <c r="D2750">
        <f>IFERROR(VLOOKUP(A2750,管理亚马逊库存!A:Q,17,0),"")</f>
        <v>40</v>
      </c>
      <c r="E2750">
        <f>IFERROR(VLOOKUP(A2750,管理亚马逊库存!A:R,18,0),"")</f>
        <v>0</v>
      </c>
      <c r="F2750">
        <f t="shared" si="85"/>
        <v>40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7484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7486</v>
      </c>
      <c r="B2752">
        <f>IFERROR(VLOOKUP(A2752,管理亚马逊库存!A:K,11,0),"")</f>
        <v>0</v>
      </c>
      <c r="C2752">
        <f>IFERROR(VLOOKUP(A2752,管理亚马逊库存!A:L,12,0),"")</f>
        <v>0</v>
      </c>
      <c r="D2752">
        <f>IFERROR(VLOOKUP(A2752,管理亚马逊库存!A:Q,17,0),"")</f>
        <v>20</v>
      </c>
      <c r="E2752">
        <f>IFERROR(VLOOKUP(A2752,管理亚马逊库存!A:R,18,0),"")</f>
        <v>0</v>
      </c>
      <c r="F2752">
        <f t="shared" si="85"/>
        <v>20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7488</v>
      </c>
      <c r="B2753">
        <f>IFERROR(VLOOKUP(A2753,管理亚马逊库存!A:K,11,0),"")</f>
        <v>0</v>
      </c>
      <c r="C2753">
        <f>IFERROR(VLOOKUP(A2753,管理亚马逊库存!A:L,12,0),"")</f>
        <v>0</v>
      </c>
      <c r="D2753">
        <f>IFERROR(VLOOKUP(A2753,管理亚马逊库存!A:Q,17,0),"")</f>
        <v>10</v>
      </c>
      <c r="E2753">
        <f>IFERROR(VLOOKUP(A2753,管理亚马逊库存!A:R,18,0),"")</f>
        <v>0</v>
      </c>
      <c r="F2753">
        <f t="shared" si="85"/>
        <v>10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7490</v>
      </c>
      <c r="B2754">
        <f>IFERROR(VLOOKUP(A2754,管理亚马逊库存!A:K,11,0),"")</f>
        <v>0</v>
      </c>
      <c r="C2754">
        <f>IFERROR(VLOOKUP(A2754,管理亚马逊库存!A:L,12,0),"")</f>
        <v>0</v>
      </c>
      <c r="D2754">
        <f>IFERROR(VLOOKUP(A2754,管理亚马逊库存!A:Q,17,0),"")</f>
        <v>32</v>
      </c>
      <c r="E2754">
        <f>IFERROR(VLOOKUP(A2754,管理亚马逊库存!A:R,18,0),"")</f>
        <v>0</v>
      </c>
      <c r="F2754">
        <f t="shared" si="85"/>
        <v>32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7492</v>
      </c>
      <c r="B2755">
        <f>IFERROR(VLOOKUP(A2755,管理亚马逊库存!A:K,11,0),"")</f>
        <v>0</v>
      </c>
      <c r="C2755">
        <f>IFERROR(VLOOKUP(A2755,管理亚马逊库存!A:L,12,0),"")</f>
        <v>0</v>
      </c>
      <c r="D2755">
        <f>IFERROR(VLOOKUP(A2755,管理亚马逊库存!A:Q,17,0),"")</f>
        <v>32</v>
      </c>
      <c r="E2755">
        <f>IFERROR(VLOOKUP(A2755,管理亚马逊库存!A:R,18,0),"")</f>
        <v>0</v>
      </c>
      <c r="F2755">
        <f t="shared" ref="F2755:F2818" si="87">SUM(D2755:E2755)</f>
        <v>32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7494</v>
      </c>
      <c r="B2756">
        <f>IFERROR(VLOOKUP(A2756,管理亚马逊库存!A:K,11,0),"")</f>
        <v>0</v>
      </c>
      <c r="C2756">
        <f>IFERROR(VLOOKUP(A2756,管理亚马逊库存!A:L,12,0),"")</f>
        <v>0</v>
      </c>
      <c r="D2756">
        <f>IFERROR(VLOOKUP(A2756,管理亚马逊库存!A:Q,17,0),"")</f>
        <v>13</v>
      </c>
      <c r="E2756">
        <f>IFERROR(VLOOKUP(A2756,管理亚马逊库存!A:R,18,0),"")</f>
        <v>0</v>
      </c>
      <c r="F2756">
        <f t="shared" si="87"/>
        <v>13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7496</v>
      </c>
      <c r="B2757">
        <f>IFERROR(VLOOKUP(A2757,管理亚马逊库存!A:K,11,0),"")</f>
        <v>0</v>
      </c>
      <c r="C2757">
        <f>IFERROR(VLOOKUP(A2757,管理亚马逊库存!A:L,12,0),"")</f>
        <v>0</v>
      </c>
      <c r="D2757">
        <f>IFERROR(VLOOKUP(A2757,管理亚马逊库存!A:Q,17,0),"")</f>
        <v>32</v>
      </c>
      <c r="E2757">
        <f>IFERROR(VLOOKUP(A2757,管理亚马逊库存!A:R,18,0),"")</f>
        <v>0</v>
      </c>
      <c r="F2757">
        <f t="shared" si="87"/>
        <v>32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7498</v>
      </c>
      <c r="B2758">
        <f>IFERROR(VLOOKUP(A2758,管理亚马逊库存!A:K,11,0),"")</f>
        <v>0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0</v>
      </c>
      <c r="F2758">
        <f t="shared" si="87"/>
        <v>0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7500</v>
      </c>
      <c r="B2759">
        <f>IFERROR(VLOOKUP(A2759,管理亚马逊库存!A:K,11,0),"")</f>
        <v>0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7502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6</v>
      </c>
      <c r="E2760">
        <f>IFERROR(VLOOKUP(A2760,管理亚马逊库存!A:R,18,0),"")</f>
        <v>0</v>
      </c>
      <c r="F2760">
        <f t="shared" si="87"/>
        <v>6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7504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0</v>
      </c>
      <c r="E2761">
        <f>IFERROR(VLOOKUP(A2761,管理亚马逊库存!A:R,18,0),"")</f>
        <v>0</v>
      </c>
      <c r="F2761">
        <f t="shared" si="87"/>
        <v>0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7506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40</v>
      </c>
      <c r="E2762">
        <f>IFERROR(VLOOKUP(A2762,管理亚马逊库存!A:R,18,0),"")</f>
        <v>0</v>
      </c>
      <c r="F2762">
        <f t="shared" si="87"/>
        <v>40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7508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45</v>
      </c>
      <c r="E2763">
        <f>IFERROR(VLOOKUP(A2763,管理亚马逊库存!A:R,18,0),"")</f>
        <v>0</v>
      </c>
      <c r="F2763">
        <f t="shared" si="87"/>
        <v>45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7510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11</v>
      </c>
      <c r="E2764">
        <f>IFERROR(VLOOKUP(A2764,管理亚马逊库存!A:R,18,0),"")</f>
        <v>0</v>
      </c>
      <c r="F2764">
        <f t="shared" si="87"/>
        <v>11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7512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10</v>
      </c>
      <c r="E2765">
        <f>IFERROR(VLOOKUP(A2765,管理亚马逊库存!A:R,18,0),"")</f>
        <v>0</v>
      </c>
      <c r="F2765">
        <f t="shared" si="87"/>
        <v>10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7514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33</v>
      </c>
      <c r="E2766">
        <f>IFERROR(VLOOKUP(A2766,管理亚马逊库存!A:R,18,0),"")</f>
        <v>0</v>
      </c>
      <c r="F2766">
        <f t="shared" si="87"/>
        <v>33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7516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14</v>
      </c>
      <c r="E2767">
        <f>IFERROR(VLOOKUP(A2767,管理亚马逊库存!A:R,18,0),"")</f>
        <v>0</v>
      </c>
      <c r="F2767">
        <f t="shared" si="87"/>
        <v>14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7518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10</v>
      </c>
      <c r="E2768">
        <f>IFERROR(VLOOKUP(A2768,管理亚马逊库存!A:R,18,0),"")</f>
        <v>0</v>
      </c>
      <c r="F2768">
        <f t="shared" si="87"/>
        <v>10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7520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23</v>
      </c>
      <c r="E2769">
        <f>IFERROR(VLOOKUP(A2769,管理亚马逊库存!A:R,18,0),"")</f>
        <v>0</v>
      </c>
      <c r="F2769">
        <f t="shared" si="87"/>
        <v>23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7522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41</v>
      </c>
      <c r="E2770">
        <f>IFERROR(VLOOKUP(A2770,管理亚马逊库存!A:R,18,0),"")</f>
        <v>0</v>
      </c>
      <c r="F2770">
        <f t="shared" si="87"/>
        <v>41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7524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8</v>
      </c>
      <c r="E2771">
        <f>IFERROR(VLOOKUP(A2771,管理亚马逊库存!A:R,18,0),"")</f>
        <v>0</v>
      </c>
      <c r="F2771">
        <f t="shared" si="87"/>
        <v>8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7526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7528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0</v>
      </c>
      <c r="E2773">
        <f>IFERROR(VLOOKUP(A2773,管理亚马逊库存!A:R,18,0),"")</f>
        <v>0</v>
      </c>
      <c r="F2773">
        <f t="shared" si="87"/>
        <v>0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7530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0</v>
      </c>
      <c r="E2774">
        <f>IFERROR(VLOOKUP(A2774,管理亚马逊库存!A:R,18,0),"")</f>
        <v>0</v>
      </c>
      <c r="F2774">
        <f t="shared" si="87"/>
        <v>0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7532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0</v>
      </c>
      <c r="E2775">
        <f>IFERROR(VLOOKUP(A2775,管理亚马逊库存!A:R,18,0),"")</f>
        <v>0</v>
      </c>
      <c r="F2775">
        <f t="shared" si="87"/>
        <v>0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7534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28</v>
      </c>
      <c r="E2776">
        <f>IFERROR(VLOOKUP(A2776,管理亚马逊库存!A:R,18,0),"")</f>
        <v>0</v>
      </c>
      <c r="F2776">
        <f t="shared" si="87"/>
        <v>28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7536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43</v>
      </c>
      <c r="E2777">
        <f>IFERROR(VLOOKUP(A2777,管理亚马逊库存!A:R,18,0),"")</f>
        <v>0</v>
      </c>
      <c r="F2777">
        <f t="shared" si="87"/>
        <v>43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7538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34</v>
      </c>
      <c r="E2778">
        <f>IFERROR(VLOOKUP(A2778,管理亚马逊库存!A:R,18,0),"")</f>
        <v>0</v>
      </c>
      <c r="F2778">
        <f t="shared" si="87"/>
        <v>34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7540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43</v>
      </c>
      <c r="E2779">
        <f>IFERROR(VLOOKUP(A2779,管理亚马逊库存!A:R,18,0),"")</f>
        <v>0</v>
      </c>
      <c r="F2779">
        <f t="shared" si="87"/>
        <v>43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7542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35</v>
      </c>
      <c r="E2780">
        <f>IFERROR(VLOOKUP(A2780,管理亚马逊库存!A:R,18,0),"")</f>
        <v>0</v>
      </c>
      <c r="F2780">
        <f t="shared" si="87"/>
        <v>35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7544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9</v>
      </c>
      <c r="E2781">
        <f>IFERROR(VLOOKUP(A2781,管理亚马逊库存!A:R,18,0),"")</f>
        <v>0</v>
      </c>
      <c r="F2781">
        <f t="shared" si="87"/>
        <v>9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7546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25</v>
      </c>
      <c r="E2782">
        <f>IFERROR(VLOOKUP(A2782,管理亚马逊库存!A:R,18,0),"")</f>
        <v>0</v>
      </c>
      <c r="F2782">
        <f t="shared" si="87"/>
        <v>25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7548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0</v>
      </c>
      <c r="E2783">
        <f>IFERROR(VLOOKUP(A2783,管理亚马逊库存!A:R,18,0),"")</f>
        <v>0</v>
      </c>
      <c r="F2783">
        <f t="shared" si="87"/>
        <v>0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7550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0</v>
      </c>
      <c r="E2784">
        <f>IFERROR(VLOOKUP(A2784,管理亚马逊库存!A:R,18,0),"")</f>
        <v>0</v>
      </c>
      <c r="F2784">
        <f t="shared" si="87"/>
        <v>0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7552</v>
      </c>
      <c r="B2785">
        <f>IFERROR(VLOOKUP(A2785,管理亚马逊库存!A:K,11,0),"")</f>
        <v>0</v>
      </c>
      <c r="C2785">
        <f>IFERROR(VLOOKUP(A2785,管理亚马逊库存!A:L,12,0),"")</f>
        <v>0</v>
      </c>
      <c r="D2785">
        <f>IFERROR(VLOOKUP(A2785,管理亚马逊库存!A:Q,17,0),"")</f>
        <v>0</v>
      </c>
      <c r="E2785">
        <f>IFERROR(VLOOKUP(A2785,管理亚马逊库存!A:R,18,0),"")</f>
        <v>0</v>
      </c>
      <c r="F2785">
        <f t="shared" si="87"/>
        <v>0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7554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0</v>
      </c>
      <c r="F2786">
        <f t="shared" si="87"/>
        <v>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7556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0</v>
      </c>
      <c r="F2787">
        <f t="shared" si="87"/>
        <v>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7558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0</v>
      </c>
      <c r="F2788">
        <f t="shared" si="87"/>
        <v>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7560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0</v>
      </c>
      <c r="F2789">
        <f t="shared" si="87"/>
        <v>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7562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0</v>
      </c>
      <c r="F2790">
        <f t="shared" si="87"/>
        <v>0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7564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0</v>
      </c>
      <c r="F2791">
        <f t="shared" si="87"/>
        <v>0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7566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0</v>
      </c>
      <c r="F2792">
        <f t="shared" si="87"/>
        <v>0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7568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0</v>
      </c>
      <c r="F2793">
        <f t="shared" si="87"/>
        <v>0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7570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0</v>
      </c>
      <c r="F2794">
        <f t="shared" si="87"/>
        <v>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7572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0</v>
      </c>
      <c r="F2795">
        <f t="shared" si="87"/>
        <v>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7574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0</v>
      </c>
      <c r="F2796">
        <f t="shared" si="87"/>
        <v>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7576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0</v>
      </c>
      <c r="F2797">
        <f t="shared" si="87"/>
        <v>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7578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0</v>
      </c>
      <c r="F2798">
        <f t="shared" si="87"/>
        <v>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7580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0</v>
      </c>
      <c r="E2799">
        <f>IFERROR(VLOOKUP(A2799,管理亚马逊库存!A:R,18,0),"")</f>
        <v>0</v>
      </c>
      <c r="F2799">
        <f t="shared" si="87"/>
        <v>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7583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0</v>
      </c>
      <c r="F2800">
        <f t="shared" si="87"/>
        <v>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7586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0</v>
      </c>
      <c r="F2801">
        <f t="shared" si="87"/>
        <v>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7589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0</v>
      </c>
      <c r="F2802">
        <f t="shared" si="87"/>
        <v>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7592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0</v>
      </c>
      <c r="E2803">
        <f>IFERROR(VLOOKUP(A2803,管理亚马逊库存!A:R,18,0),"")</f>
        <v>0</v>
      </c>
      <c r="F2803">
        <f t="shared" si="87"/>
        <v>0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7595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0</v>
      </c>
      <c r="E2804">
        <f>IFERROR(VLOOKUP(A2804,管理亚马逊库存!A:R,18,0),"")</f>
        <v>0</v>
      </c>
      <c r="F2804">
        <f t="shared" si="87"/>
        <v>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7598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0</v>
      </c>
      <c r="E2805">
        <f>IFERROR(VLOOKUP(A2805,管理亚马逊库存!A:R,18,0),"")</f>
        <v>0</v>
      </c>
      <c r="F2805">
        <f t="shared" si="87"/>
        <v>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7601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7604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7607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7610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7613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7616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7619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7622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7625</v>
      </c>
      <c r="B2814">
        <f>IFERROR(VLOOKUP(A2814,管理亚马逊库存!A:K,11,0),"")</f>
        <v>0</v>
      </c>
      <c r="C2814">
        <f>IFERROR(VLOOKUP(A2814,管理亚马逊库存!A:L,12,0),"")</f>
        <v>0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7628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7631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7634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7637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7640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7643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7646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7649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7652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7655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7658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7661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7664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7667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7670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7673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7677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7680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7683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7686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7689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7692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7695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7698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7701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7704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7707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7710</v>
      </c>
      <c r="B2842">
        <f>IFERROR(VLOOKUP(A2842,管理亚马逊库存!A:K,11,0),"")</f>
        <v>0</v>
      </c>
      <c r="C2842">
        <f>IFERROR(VLOOKUP(A2842,管理亚马逊库存!A:L,12,0),"")</f>
        <v>0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7713</v>
      </c>
      <c r="B2843">
        <f>IFERROR(VLOOKUP(A2843,管理亚马逊库存!A:K,11,0),"")</f>
        <v>0</v>
      </c>
      <c r="C2843">
        <f>IFERROR(VLOOKUP(A2843,管理亚马逊库存!A:L,12,0),"")</f>
        <v>0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7716</v>
      </c>
      <c r="B2844">
        <f>IFERROR(VLOOKUP(A2844,管理亚马逊库存!A:K,11,0),"")</f>
        <v>0</v>
      </c>
      <c r="C2844">
        <f>IFERROR(VLOOKUP(A2844,管理亚马逊库存!A:L,12,0),"")</f>
        <v>0</v>
      </c>
      <c r="D2844">
        <f>IFERROR(VLOOKUP(A2844,管理亚马逊库存!A:Q,17,0),"")</f>
        <v>0</v>
      </c>
      <c r="E2844">
        <f>IFERROR(VLOOKUP(A2844,管理亚马逊库存!A:R,18,0),"")</f>
        <v>0</v>
      </c>
      <c r="F2844">
        <f t="shared" si="89"/>
        <v>0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7719</v>
      </c>
      <c r="B2845">
        <f>IFERROR(VLOOKUP(A2845,管理亚马逊库存!A:K,11,0),"")</f>
        <v>0</v>
      </c>
      <c r="C2845">
        <f>IFERROR(VLOOKUP(A2845,管理亚马逊库存!A:L,12,0),"")</f>
        <v>0</v>
      </c>
      <c r="D2845">
        <f>IFERROR(VLOOKUP(A2845,管理亚马逊库存!A:Q,17,0),"")</f>
        <v>0</v>
      </c>
      <c r="E2845">
        <f>IFERROR(VLOOKUP(A2845,管理亚马逊库存!A:R,18,0),"")</f>
        <v>0</v>
      </c>
      <c r="F2845">
        <f t="shared" si="89"/>
        <v>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7722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0</v>
      </c>
      <c r="F2846">
        <f t="shared" si="89"/>
        <v>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7725</v>
      </c>
      <c r="B2847">
        <f>IFERROR(VLOOKUP(A2847,管理亚马逊库存!A:K,11,0),"")</f>
        <v>0</v>
      </c>
      <c r="C2847">
        <f>IFERROR(VLOOKUP(A2847,管理亚马逊库存!A:L,12,0),"")</f>
        <v>0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7728</v>
      </c>
      <c r="B2848">
        <f>IFERROR(VLOOKUP(A2848,管理亚马逊库存!A:K,11,0),"")</f>
        <v>0</v>
      </c>
      <c r="C2848">
        <f>IFERROR(VLOOKUP(A2848,管理亚马逊库存!A:L,12,0),"")</f>
        <v>0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7731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0</v>
      </c>
      <c r="F2849">
        <f t="shared" si="89"/>
        <v>0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7734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0</v>
      </c>
      <c r="F2850">
        <f t="shared" si="89"/>
        <v>0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7737</v>
      </c>
      <c r="B2851">
        <f>IFERROR(VLOOKUP(A2851,管理亚马逊库存!A:K,11,0),"")</f>
        <v>0</v>
      </c>
      <c r="C2851">
        <f>IFERROR(VLOOKUP(A2851,管理亚马逊库存!A:L,12,0),"")</f>
        <v>0</v>
      </c>
      <c r="D2851">
        <f>IFERROR(VLOOKUP(A2851,管理亚马逊库存!A:Q,17,0),"")</f>
        <v>0</v>
      </c>
      <c r="E2851">
        <f>IFERROR(VLOOKUP(A2851,管理亚马逊库存!A:R,18,0),"")</f>
        <v>0</v>
      </c>
      <c r="F2851">
        <f t="shared" si="89"/>
        <v>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7741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7745</v>
      </c>
      <c r="B2853">
        <f>IFERROR(VLOOKUP(A2853,管理亚马逊库存!A:K,11,0),"")</f>
        <v>0</v>
      </c>
      <c r="C2853">
        <f>IFERROR(VLOOKUP(A2853,管理亚马逊库存!A:L,12,0),"")</f>
        <v>0</v>
      </c>
      <c r="D2853">
        <f>IFERROR(VLOOKUP(A2853,管理亚马逊库存!A:Q,17,0),"")</f>
        <v>0</v>
      </c>
      <c r="E2853">
        <f>IFERROR(VLOOKUP(A2853,管理亚马逊库存!A:R,18,0),"")</f>
        <v>0</v>
      </c>
      <c r="F2853">
        <f t="shared" si="89"/>
        <v>0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7749</v>
      </c>
      <c r="B2854">
        <f>IFERROR(VLOOKUP(A2854,管理亚马逊库存!A:K,11,0),"")</f>
        <v>29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0</v>
      </c>
      <c r="F2854">
        <f t="shared" si="89"/>
        <v>0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7750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0</v>
      </c>
      <c r="E2855">
        <f>IFERROR(VLOOKUP(A2855,管理亚马逊库存!A:R,18,0),"")</f>
        <v>0</v>
      </c>
      <c r="F2855">
        <f t="shared" si="89"/>
        <v>0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7751</v>
      </c>
      <c r="B2856">
        <f>IFERROR(VLOOKUP(A2856,管理亚马逊库存!A:K,11,0),"")</f>
        <v>0</v>
      </c>
      <c r="C2856">
        <f>IFERROR(VLOOKUP(A2856,管理亚马逊库存!A:L,12,0),"")</f>
        <v>0</v>
      </c>
      <c r="D2856">
        <f>IFERROR(VLOOKUP(A2856,管理亚马逊库存!A:Q,17,0),"")</f>
        <v>0</v>
      </c>
      <c r="E2856">
        <f>IFERROR(VLOOKUP(A2856,管理亚马逊库存!A:R,18,0),"")</f>
        <v>0</v>
      </c>
      <c r="F2856">
        <f t="shared" si="89"/>
        <v>0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7752</v>
      </c>
      <c r="B2857">
        <f>IFERROR(VLOOKUP(A2857,管理亚马逊库存!A:K,11,0),"")</f>
        <v>22</v>
      </c>
      <c r="C2857">
        <f>IFERROR(VLOOKUP(A2857,管理亚马逊库存!A:L,12,0),"")</f>
        <v>0</v>
      </c>
      <c r="D2857">
        <f>IFERROR(VLOOKUP(A2857,管理亚马逊库存!A:Q,17,0),"")</f>
        <v>0</v>
      </c>
      <c r="E2857">
        <f>IFERROR(VLOOKUP(A2857,管理亚马逊库存!A:R,18,0),"")</f>
        <v>0</v>
      </c>
      <c r="F2857">
        <f t="shared" si="89"/>
        <v>0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7753</v>
      </c>
      <c r="B2858">
        <f>IFERROR(VLOOKUP(A2858,管理亚马逊库存!A:K,11,0),"")</f>
        <v>3</v>
      </c>
      <c r="C2858">
        <f>IFERROR(VLOOKUP(A2858,管理亚马逊库存!A:L,12,0),"")</f>
        <v>0</v>
      </c>
      <c r="D2858">
        <f>IFERROR(VLOOKUP(A2858,管理亚马逊库存!A:Q,17,0),"")</f>
        <v>0</v>
      </c>
      <c r="E2858">
        <f>IFERROR(VLOOKUP(A2858,管理亚马逊库存!A:R,18,0),"")</f>
        <v>0</v>
      </c>
      <c r="F2858">
        <f t="shared" si="89"/>
        <v>0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7754</v>
      </c>
      <c r="B2859">
        <f>IFERROR(VLOOKUP(A2859,管理亚马逊库存!A:K,11,0),"")</f>
        <v>14</v>
      </c>
      <c r="C2859">
        <f>IFERROR(VLOOKUP(A2859,管理亚马逊库存!A:L,12,0),"")</f>
        <v>0</v>
      </c>
      <c r="D2859">
        <f>IFERROR(VLOOKUP(A2859,管理亚马逊库存!A:Q,17,0),"")</f>
        <v>0</v>
      </c>
      <c r="E2859">
        <f>IFERROR(VLOOKUP(A2859,管理亚马逊库存!A:R,18,0),"")</f>
        <v>0</v>
      </c>
      <c r="F2859">
        <f t="shared" si="89"/>
        <v>0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7755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0</v>
      </c>
      <c r="E2860">
        <f>IFERROR(VLOOKUP(A2860,管理亚马逊库存!A:R,18,0),"")</f>
        <v>0</v>
      </c>
      <c r="F2860">
        <f t="shared" si="89"/>
        <v>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7757</v>
      </c>
      <c r="B2861">
        <f>IFERROR(VLOOKUP(A2861,管理亚马逊库存!A:K,11,0),"")</f>
        <v>4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7758</v>
      </c>
      <c r="B2862">
        <f>IFERROR(VLOOKUP(A2862,管理亚马逊库存!A:K,11,0),"")</f>
        <v>3</v>
      </c>
      <c r="C2862">
        <f>IFERROR(VLOOKUP(A2862,管理亚马逊库存!A:L,12,0),"")</f>
        <v>0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7759</v>
      </c>
      <c r="B2863">
        <f>IFERROR(VLOOKUP(A2863,管理亚马逊库存!A:K,11,0),"")</f>
        <v>5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7760</v>
      </c>
      <c r="B2864">
        <f>IFERROR(VLOOKUP(A2864,管理亚马逊库存!A:K,11,0),"")</f>
        <v>12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7761</v>
      </c>
      <c r="B2865">
        <f>IFERROR(VLOOKUP(A2865,管理亚马逊库存!A:K,11,0),"")</f>
        <v>13</v>
      </c>
      <c r="C2865">
        <f>IFERROR(VLOOKUP(A2865,管理亚马逊库存!A:L,12,0),"")</f>
        <v>0</v>
      </c>
      <c r="D2865">
        <f>IFERROR(VLOOKUP(A2865,管理亚马逊库存!A:Q,17,0),"")</f>
        <v>0</v>
      </c>
      <c r="E2865">
        <f>IFERROR(VLOOKUP(A2865,管理亚马逊库存!A:R,18,0),"")</f>
        <v>0</v>
      </c>
      <c r="F2865">
        <f t="shared" si="89"/>
        <v>0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7762</v>
      </c>
      <c r="B2866">
        <f>IFERROR(VLOOKUP(A2866,管理亚马逊库存!A:K,11,0),"")</f>
        <v>7</v>
      </c>
      <c r="C2866">
        <f>IFERROR(VLOOKUP(A2866,管理亚马逊库存!A:L,12,0),"")</f>
        <v>0</v>
      </c>
      <c r="D2866">
        <f>IFERROR(VLOOKUP(A2866,管理亚马逊库存!A:Q,17,0),"")</f>
        <v>0</v>
      </c>
      <c r="E2866">
        <f>IFERROR(VLOOKUP(A2866,管理亚马逊库存!A:R,18,0),"")</f>
        <v>0</v>
      </c>
      <c r="F2866">
        <f t="shared" si="89"/>
        <v>0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7763</v>
      </c>
      <c r="B2867">
        <f>IFERROR(VLOOKUP(A2867,管理亚马逊库存!A:K,11,0),"")</f>
        <v>3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7764</v>
      </c>
      <c r="B2868">
        <f>IFERROR(VLOOKUP(A2868,管理亚马逊库存!A:K,11,0),"")</f>
        <v>21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7765</v>
      </c>
      <c r="B2869">
        <f>IFERROR(VLOOKUP(A2869,管理亚马逊库存!A:K,11,0),"")</f>
        <v>0</v>
      </c>
      <c r="C2869">
        <f>IFERROR(VLOOKUP(A2869,管理亚马逊库存!A:L,12,0),"")</f>
        <v>1</v>
      </c>
      <c r="D2869">
        <f>IFERROR(VLOOKUP(A2869,管理亚马逊库存!A:Q,17,0),"")</f>
        <v>0</v>
      </c>
      <c r="E2869">
        <f>IFERROR(VLOOKUP(A2869,管理亚马逊库存!A:R,18,0),"")</f>
        <v>0</v>
      </c>
      <c r="F2869">
        <f t="shared" si="89"/>
        <v>0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7768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0</v>
      </c>
      <c r="E2870">
        <f>IFERROR(VLOOKUP(A2870,管理亚马逊库存!A:R,18,0),"")</f>
        <v>0</v>
      </c>
      <c r="F2870">
        <f t="shared" si="89"/>
        <v>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7770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0</v>
      </c>
      <c r="E2871">
        <f>IFERROR(VLOOKUP(A2871,管理亚马逊库存!A:R,18,0),"")</f>
        <v>0</v>
      </c>
      <c r="F2871">
        <f t="shared" si="89"/>
        <v>0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7773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0</v>
      </c>
      <c r="E2872">
        <f>IFERROR(VLOOKUP(A2872,管理亚马逊库存!A:R,18,0),"")</f>
        <v>0</v>
      </c>
      <c r="F2872">
        <f t="shared" si="89"/>
        <v>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7775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0</v>
      </c>
      <c r="E2873">
        <f>IFERROR(VLOOKUP(A2873,管理亚马逊库存!A:R,18,0),"")</f>
        <v>0</v>
      </c>
      <c r="F2873">
        <f t="shared" si="89"/>
        <v>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7778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7780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7783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7785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0</v>
      </c>
      <c r="E2877">
        <f>IFERROR(VLOOKUP(A2877,管理亚马逊库存!A:R,18,0),"")</f>
        <v>0</v>
      </c>
      <c r="F2877">
        <f t="shared" si="89"/>
        <v>0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7787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0</v>
      </c>
      <c r="E2878">
        <f>IFERROR(VLOOKUP(A2878,管理亚马逊库存!A:R,18,0),"")</f>
        <v>0</v>
      </c>
      <c r="F2878">
        <f t="shared" si="89"/>
        <v>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7789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7791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0</v>
      </c>
      <c r="E2880">
        <f>IFERROR(VLOOKUP(A2880,管理亚马逊库存!A:R,18,0),"")</f>
        <v>0</v>
      </c>
      <c r="F2880">
        <f t="shared" si="89"/>
        <v>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7793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7795</v>
      </c>
      <c r="B2882">
        <f>IFERROR(VLOOKUP(A2882,管理亚马逊库存!A:K,11,0),"")</f>
        <v>0</v>
      </c>
      <c r="C2882">
        <f>IFERROR(VLOOKUP(A2882,管理亚马逊库存!A:L,12,0),"")</f>
        <v>0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7797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2</v>
      </c>
      <c r="E2883">
        <f>IFERROR(VLOOKUP(A2883,管理亚马逊库存!A:R,18,0),"")</f>
        <v>0</v>
      </c>
      <c r="F2883">
        <f t="shared" ref="F2883:F2946" si="91">SUM(D2883:E2883)</f>
        <v>2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7799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7801</v>
      </c>
      <c r="B2885">
        <f>IFERROR(VLOOKUP(A2885,管理亚马逊库存!A:K,11,0),"")</f>
        <v>0</v>
      </c>
      <c r="C2885">
        <f>IFERROR(VLOOKUP(A2885,管理亚马逊库存!A:L,12,0),"")</f>
        <v>0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7803</v>
      </c>
      <c r="B2886">
        <f>IFERROR(VLOOKUP(A2886,管理亚马逊库存!A:K,11,0),"")</f>
        <v>0</v>
      </c>
      <c r="C2886">
        <f>IFERROR(VLOOKUP(A2886,管理亚马逊库存!A:L,12,0),"")</f>
        <v>0</v>
      </c>
      <c r="D2886">
        <f>IFERROR(VLOOKUP(A2886,管理亚马逊库存!A:Q,17,0),"")</f>
        <v>0</v>
      </c>
      <c r="E2886">
        <f>IFERROR(VLOOKUP(A2886,管理亚马逊库存!A:R,18,0),"")</f>
        <v>0</v>
      </c>
      <c r="F2886">
        <f t="shared" si="91"/>
        <v>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7805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0</v>
      </c>
      <c r="E2887">
        <f>IFERROR(VLOOKUP(A2887,管理亚马逊库存!A:R,18,0),"")</f>
        <v>0</v>
      </c>
      <c r="F2887">
        <f t="shared" si="91"/>
        <v>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7807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7809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0</v>
      </c>
      <c r="E2889">
        <f>IFERROR(VLOOKUP(A2889,管理亚马逊库存!A:R,18,0),"")</f>
        <v>0</v>
      </c>
      <c r="F2889">
        <f t="shared" si="91"/>
        <v>0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7811</v>
      </c>
      <c r="B2890">
        <f>IFERROR(VLOOKUP(A2890,管理亚马逊库存!A:K,11,0),"")</f>
        <v>0</v>
      </c>
      <c r="C2890">
        <f>IFERROR(VLOOKUP(A2890,管理亚马逊库存!A:L,12,0),"")</f>
        <v>0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7813</v>
      </c>
      <c r="B2891">
        <f>IFERROR(VLOOKUP(A2891,管理亚马逊库存!A:K,11,0),"")</f>
        <v>0</v>
      </c>
      <c r="C2891">
        <f>IFERROR(VLOOKUP(A2891,管理亚马逊库存!A:L,12,0),"")</f>
        <v>0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7816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7819</v>
      </c>
      <c r="B2893">
        <f>IFERROR(VLOOKUP(A2893,管理亚马逊库存!A:K,11,0),"")</f>
        <v>0</v>
      </c>
      <c r="C2893">
        <f>IFERROR(VLOOKUP(A2893,管理亚马逊库存!A:L,12,0),"")</f>
        <v>0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7822</v>
      </c>
      <c r="B2894">
        <f>IFERROR(VLOOKUP(A2894,管理亚马逊库存!A:K,11,0),"")</f>
        <v>0</v>
      </c>
      <c r="C2894">
        <f>IFERROR(VLOOKUP(A2894,管理亚马逊库存!A:L,12,0),"")</f>
        <v>0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7825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7828</v>
      </c>
      <c r="B2896">
        <f>IFERROR(VLOOKUP(A2896,管理亚马逊库存!A:K,11,0),"")</f>
        <v>0</v>
      </c>
      <c r="C2896">
        <f>IFERROR(VLOOKUP(A2896,管理亚马逊库存!A:L,12,0),"")</f>
        <v>0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7831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7834</v>
      </c>
      <c r="B2898">
        <f>IFERROR(VLOOKUP(A2898,管理亚马逊库存!A:K,11,0),"")</f>
        <v>26</v>
      </c>
      <c r="C2898">
        <f>IFERROR(VLOOKUP(A2898,管理亚马逊库存!A:L,12,0),"")</f>
        <v>0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7835</v>
      </c>
      <c r="B2899">
        <f>IFERROR(VLOOKUP(A2899,管理亚马逊库存!A:K,11,0),"")</f>
        <v>0</v>
      </c>
      <c r="C2899">
        <f>IFERROR(VLOOKUP(A2899,管理亚马逊库存!A:L,12,0),"")</f>
        <v>0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7836</v>
      </c>
      <c r="B2900">
        <f>IFERROR(VLOOKUP(A2900,管理亚马逊库存!A:K,11,0),"")</f>
        <v>0</v>
      </c>
      <c r="C2900">
        <f>IFERROR(VLOOKUP(A2900,管理亚马逊库存!A:L,12,0),"")</f>
        <v>0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7837</v>
      </c>
      <c r="B2901">
        <f>IFERROR(VLOOKUP(A2901,管理亚马逊库存!A:K,11,0),"")</f>
        <v>1</v>
      </c>
      <c r="C2901">
        <f>IFERROR(VLOOKUP(A2901,管理亚马逊库存!A:L,12,0),"")</f>
        <v>0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7838</v>
      </c>
      <c r="B2902">
        <f>IFERROR(VLOOKUP(A2902,管理亚马逊库存!A:K,11,0),"")</f>
        <v>16</v>
      </c>
      <c r="C2902">
        <f>IFERROR(VLOOKUP(A2902,管理亚马逊库存!A:L,12,0),"")</f>
        <v>0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7839</v>
      </c>
      <c r="B2903">
        <f>IFERROR(VLOOKUP(A2903,管理亚马逊库存!A:K,11,0),"")</f>
        <v>2</v>
      </c>
      <c r="C2903">
        <f>IFERROR(VLOOKUP(A2903,管理亚马逊库存!A:L,12,0),"")</f>
        <v>0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7840</v>
      </c>
      <c r="B2904">
        <f>IFERROR(VLOOKUP(A2904,管理亚马逊库存!A:K,11,0),"")</f>
        <v>0</v>
      </c>
      <c r="C2904">
        <f>IFERROR(VLOOKUP(A2904,管理亚马逊库存!A:L,12,0),"")</f>
        <v>0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7841</v>
      </c>
      <c r="B2905">
        <f>IFERROR(VLOOKUP(A2905,管理亚马逊库存!A:K,11,0),"")</f>
        <v>3</v>
      </c>
      <c r="C2905">
        <f>IFERROR(VLOOKUP(A2905,管理亚马逊库存!A:L,12,0),"")</f>
        <v>0</v>
      </c>
      <c r="D2905">
        <f>IFERROR(VLOOKUP(A2905,管理亚马逊库存!A:Q,17,0),"")</f>
        <v>0</v>
      </c>
      <c r="E2905">
        <f>IFERROR(VLOOKUP(A2905,管理亚马逊库存!A:R,18,0),"")</f>
        <v>0</v>
      </c>
      <c r="F2905">
        <f t="shared" si="91"/>
        <v>0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7842</v>
      </c>
      <c r="B2906">
        <f>IFERROR(VLOOKUP(A2906,管理亚马逊库存!A:K,11,0),"")</f>
        <v>20</v>
      </c>
      <c r="C2906">
        <f>IFERROR(VLOOKUP(A2906,管理亚马逊库存!A:L,12,0),"")</f>
        <v>0</v>
      </c>
      <c r="D2906">
        <f>IFERROR(VLOOKUP(A2906,管理亚马逊库存!A:Q,17,0),"")</f>
        <v>0</v>
      </c>
      <c r="E2906">
        <f>IFERROR(VLOOKUP(A2906,管理亚马逊库存!A:R,18,0),"")</f>
        <v>0</v>
      </c>
      <c r="F2906">
        <f t="shared" si="91"/>
        <v>0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7843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7844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7845</v>
      </c>
      <c r="B2909">
        <f>IFERROR(VLOOKUP(A2909,管理亚马逊库存!A:K,11,0),"")</f>
        <v>17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7846</v>
      </c>
      <c r="B2910">
        <f>IFERROR(VLOOKUP(A2910,管理亚马逊库存!A:K,11,0),"")</f>
        <v>7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7847</v>
      </c>
      <c r="B2911">
        <f>IFERROR(VLOOKUP(A2911,管理亚马逊库存!A:K,11,0),"")</f>
        <v>16</v>
      </c>
      <c r="C2911">
        <f>IFERROR(VLOOKUP(A2911,管理亚马逊库存!A:L,12,0),"")</f>
        <v>0</v>
      </c>
      <c r="D2911">
        <f>IFERROR(VLOOKUP(A2911,管理亚马逊库存!A:Q,17,0),"")</f>
        <v>0</v>
      </c>
      <c r="E2911">
        <f>IFERROR(VLOOKUP(A2911,管理亚马逊库存!A:R,18,0),"")</f>
        <v>0</v>
      </c>
      <c r="F2911">
        <f t="shared" si="91"/>
        <v>0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7848</v>
      </c>
      <c r="B2912">
        <f>IFERROR(VLOOKUP(A2912,管理亚马逊库存!A:K,11,0),"")</f>
        <v>2</v>
      </c>
      <c r="C2912">
        <f>IFERROR(VLOOKUP(A2912,管理亚马逊库存!A:L,12,0),"")</f>
        <v>0</v>
      </c>
      <c r="D2912">
        <f>IFERROR(VLOOKUP(A2912,管理亚马逊库存!A:Q,17,0),"")</f>
        <v>0</v>
      </c>
      <c r="E2912">
        <f>IFERROR(VLOOKUP(A2912,管理亚马逊库存!A:R,18,0),"")</f>
        <v>0</v>
      </c>
      <c r="F2912">
        <f t="shared" si="91"/>
        <v>0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7849</v>
      </c>
      <c r="B2913">
        <f>IFERROR(VLOOKUP(A2913,管理亚马逊库存!A:K,11,0),"")</f>
        <v>7</v>
      </c>
      <c r="C2913">
        <f>IFERROR(VLOOKUP(A2913,管理亚马逊库存!A:L,12,0),"")</f>
        <v>0</v>
      </c>
      <c r="D2913">
        <f>IFERROR(VLOOKUP(A2913,管理亚马逊库存!A:Q,17,0),"")</f>
        <v>0</v>
      </c>
      <c r="E2913">
        <f>IFERROR(VLOOKUP(A2913,管理亚马逊库存!A:R,18,0),"")</f>
        <v>0</v>
      </c>
      <c r="F2913">
        <f t="shared" si="91"/>
        <v>0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7850</v>
      </c>
      <c r="B2914">
        <f>IFERROR(VLOOKUP(A2914,管理亚马逊库存!A:K,11,0),"")</f>
        <v>4</v>
      </c>
      <c r="C2914">
        <f>IFERROR(VLOOKUP(A2914,管理亚马逊库存!A:L,12,0),"")</f>
        <v>0</v>
      </c>
      <c r="D2914">
        <f>IFERROR(VLOOKUP(A2914,管理亚马逊库存!A:Q,17,0),"")</f>
        <v>0</v>
      </c>
      <c r="E2914">
        <f>IFERROR(VLOOKUP(A2914,管理亚马逊库存!A:R,18,0),"")</f>
        <v>0</v>
      </c>
      <c r="F2914">
        <f t="shared" si="91"/>
        <v>0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7851</v>
      </c>
      <c r="B2915">
        <f>IFERROR(VLOOKUP(A2915,管理亚马逊库存!A:K,11,0),"")</f>
        <v>13</v>
      </c>
      <c r="C2915">
        <f>IFERROR(VLOOKUP(A2915,管理亚马逊库存!A:L,12,0),"")</f>
        <v>0</v>
      </c>
      <c r="D2915">
        <f>IFERROR(VLOOKUP(A2915,管理亚马逊库存!A:Q,17,0),"")</f>
        <v>0</v>
      </c>
      <c r="E2915">
        <f>IFERROR(VLOOKUP(A2915,管理亚马逊库存!A:R,18,0),"")</f>
        <v>0</v>
      </c>
      <c r="F2915">
        <f t="shared" si="91"/>
        <v>0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7852</v>
      </c>
      <c r="B2916">
        <f>IFERROR(VLOOKUP(A2916,管理亚马逊库存!A:K,11,0),"")</f>
        <v>1</v>
      </c>
      <c r="C2916">
        <f>IFERROR(VLOOKUP(A2916,管理亚马逊库存!A:L,12,0),"")</f>
        <v>0</v>
      </c>
      <c r="D2916">
        <f>IFERROR(VLOOKUP(A2916,管理亚马逊库存!A:Q,17,0),"")</f>
        <v>0</v>
      </c>
      <c r="E2916">
        <f>IFERROR(VLOOKUP(A2916,管理亚马逊库存!A:R,18,0),"")</f>
        <v>0</v>
      </c>
      <c r="F2916">
        <f t="shared" si="91"/>
        <v>0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7853</v>
      </c>
      <c r="B2917">
        <f>IFERROR(VLOOKUP(A2917,管理亚马逊库存!A:K,11,0),"")</f>
        <v>13</v>
      </c>
      <c r="C2917">
        <f>IFERROR(VLOOKUP(A2917,管理亚马逊库存!A:L,12,0),"")</f>
        <v>0</v>
      </c>
      <c r="D2917">
        <f>IFERROR(VLOOKUP(A2917,管理亚马逊库存!A:Q,17,0),"")</f>
        <v>0</v>
      </c>
      <c r="E2917">
        <f>IFERROR(VLOOKUP(A2917,管理亚马逊库存!A:R,18,0),"")</f>
        <v>0</v>
      </c>
      <c r="F2917">
        <f t="shared" si="91"/>
        <v>0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7854</v>
      </c>
      <c r="B2918">
        <f>IFERROR(VLOOKUP(A2918,管理亚马逊库存!A:K,11,0),"")</f>
        <v>21</v>
      </c>
      <c r="C2918">
        <f>IFERROR(VLOOKUP(A2918,管理亚马逊库存!A:L,12,0),"")</f>
        <v>0</v>
      </c>
      <c r="D2918">
        <f>IFERROR(VLOOKUP(A2918,管理亚马逊库存!A:Q,17,0),"")</f>
        <v>0</v>
      </c>
      <c r="E2918">
        <f>IFERROR(VLOOKUP(A2918,管理亚马逊库存!A:R,18,0),"")</f>
        <v>0</v>
      </c>
      <c r="F2918">
        <f t="shared" si="91"/>
        <v>0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7855</v>
      </c>
      <c r="B2919">
        <f>IFERROR(VLOOKUP(A2919,管理亚马逊库存!A:K,11,0),"")</f>
        <v>11</v>
      </c>
      <c r="C2919">
        <f>IFERROR(VLOOKUP(A2919,管理亚马逊库存!A:L,12,0),"")</f>
        <v>0</v>
      </c>
      <c r="D2919">
        <f>IFERROR(VLOOKUP(A2919,管理亚马逊库存!A:Q,17,0),"")</f>
        <v>0</v>
      </c>
      <c r="E2919">
        <f>IFERROR(VLOOKUP(A2919,管理亚马逊库存!A:R,18,0),"")</f>
        <v>0</v>
      </c>
      <c r="F2919">
        <f t="shared" si="91"/>
        <v>0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7856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0</v>
      </c>
      <c r="E2920">
        <f>IFERROR(VLOOKUP(A2920,管理亚马逊库存!A:R,18,0),"")</f>
        <v>0</v>
      </c>
      <c r="F2920">
        <f t="shared" si="91"/>
        <v>0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7857</v>
      </c>
      <c r="B2921">
        <f>IFERROR(VLOOKUP(A2921,管理亚马逊库存!A:K,11,0),"")</f>
        <v>11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7858</v>
      </c>
      <c r="B2922">
        <f>IFERROR(VLOOKUP(A2922,管理亚马逊库存!A:K,11,0),"")</f>
        <v>9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7859</v>
      </c>
      <c r="B2923">
        <f>IFERROR(VLOOKUP(A2923,管理亚马逊库存!A:K,11,0),"")</f>
        <v>1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7860</v>
      </c>
      <c r="B2924">
        <f>IFERROR(VLOOKUP(A2924,管理亚马逊库存!A:K,11,0),"")</f>
        <v>6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7861</v>
      </c>
      <c r="B2925">
        <f>IFERROR(VLOOKUP(A2925,管理亚马逊库存!A:K,11,0),"")</f>
        <v>0</v>
      </c>
      <c r="C2925">
        <f>IFERROR(VLOOKUP(A2925,管理亚马逊库存!A:L,12,0),"")</f>
        <v>0</v>
      </c>
      <c r="D2925">
        <f>IFERROR(VLOOKUP(A2925,管理亚马逊库存!A:Q,17,0),"")</f>
        <v>0</v>
      </c>
      <c r="E2925">
        <f>IFERROR(VLOOKUP(A2925,管理亚马逊库存!A:R,18,0),"")</f>
        <v>0</v>
      </c>
      <c r="F2925">
        <f t="shared" si="91"/>
        <v>0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7863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7864</v>
      </c>
      <c r="B2927">
        <f>IFERROR(VLOOKUP(A2927,管理亚马逊库存!A:K,11,0),"")</f>
        <v>0</v>
      </c>
      <c r="C2927">
        <f>IFERROR(VLOOKUP(A2927,管理亚马逊库存!A:L,12,0),"")</f>
        <v>0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7866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0</v>
      </c>
      <c r="E2928">
        <f>IFERROR(VLOOKUP(A2928,管理亚马逊库存!A:R,18,0),"")</f>
        <v>0</v>
      </c>
      <c r="F2928">
        <f t="shared" si="91"/>
        <v>0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7869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0</v>
      </c>
      <c r="F2929">
        <f t="shared" si="91"/>
        <v>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7870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0</v>
      </c>
      <c r="E2930">
        <f>IFERROR(VLOOKUP(A2930,管理亚马逊库存!A:R,18,0),"")</f>
        <v>0</v>
      </c>
      <c r="F2930">
        <f t="shared" si="91"/>
        <v>0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7871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0</v>
      </c>
      <c r="E2931">
        <f>IFERROR(VLOOKUP(A2931,管理亚马逊库存!A:R,18,0),"")</f>
        <v>0</v>
      </c>
      <c r="F2931">
        <f t="shared" si="91"/>
        <v>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7875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0</v>
      </c>
      <c r="F2932">
        <f t="shared" si="91"/>
        <v>0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7879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0</v>
      </c>
      <c r="E2933">
        <f>IFERROR(VLOOKUP(A2933,管理亚马逊库存!A:R,18,0),"")</f>
        <v>0</v>
      </c>
      <c r="F2933">
        <f t="shared" si="91"/>
        <v>0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7883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0</v>
      </c>
      <c r="F2934">
        <f t="shared" si="91"/>
        <v>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7887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0</v>
      </c>
      <c r="E2935">
        <f>IFERROR(VLOOKUP(A2935,管理亚马逊库存!A:R,18,0),"")</f>
        <v>0</v>
      </c>
      <c r="F2935">
        <f t="shared" si="91"/>
        <v>0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7891</v>
      </c>
      <c r="B2936">
        <f>IFERROR(VLOOKUP(A2936,管理亚马逊库存!A:K,11,0),"")</f>
        <v>0</v>
      </c>
      <c r="C2936">
        <f>IFERROR(VLOOKUP(A2936,管理亚马逊库存!A:L,12,0),"")</f>
        <v>0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7895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7899</v>
      </c>
      <c r="B2938">
        <f>IFERROR(VLOOKUP(A2938,管理亚马逊库存!A:K,11,0),"")</f>
        <v>0</v>
      </c>
      <c r="C2938">
        <f>IFERROR(VLOOKUP(A2938,管理亚马逊库存!A:L,12,0),"")</f>
        <v>0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7903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7906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7909</v>
      </c>
      <c r="B2941">
        <f>IFERROR(VLOOKUP(A2941,管理亚马逊库存!A:K,11,0),"")</f>
        <v>0</v>
      </c>
      <c r="C2941">
        <f>IFERROR(VLOOKUP(A2941,管理亚马逊库存!A:L,12,0),"")</f>
        <v>0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7912</v>
      </c>
      <c r="B2942">
        <f>IFERROR(VLOOKUP(A2942,管理亚马逊库存!A:K,11,0),"")</f>
        <v>0</v>
      </c>
      <c r="C2942">
        <f>IFERROR(VLOOKUP(A2942,管理亚马逊库存!A:L,12,0),"")</f>
        <v>0</v>
      </c>
      <c r="D2942">
        <f>IFERROR(VLOOKUP(A2942,管理亚马逊库存!A:Q,17,0),"")</f>
        <v>0</v>
      </c>
      <c r="E2942">
        <f>IFERROR(VLOOKUP(A2942,管理亚马逊库存!A:R,18,0),"")</f>
        <v>0</v>
      </c>
      <c r="F2942">
        <f t="shared" si="91"/>
        <v>0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7915</v>
      </c>
      <c r="B2943">
        <f>IFERROR(VLOOKUP(A2943,管理亚马逊库存!A:K,11,0),"")</f>
        <v>0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7918</v>
      </c>
      <c r="B2944">
        <f>IFERROR(VLOOKUP(A2944,管理亚马逊库存!A:K,11,0),"")</f>
        <v>0</v>
      </c>
      <c r="C2944">
        <f>IFERROR(VLOOKUP(A2944,管理亚马逊库存!A:L,12,0),"")</f>
        <v>0</v>
      </c>
      <c r="D2944">
        <f>IFERROR(VLOOKUP(A2944,管理亚马逊库存!A:Q,17,0),"")</f>
        <v>0</v>
      </c>
      <c r="E2944">
        <f>IFERROR(VLOOKUP(A2944,管理亚马逊库存!A:R,18,0),"")</f>
        <v>0</v>
      </c>
      <c r="F2944">
        <f t="shared" si="91"/>
        <v>0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7921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0</v>
      </c>
      <c r="E2945">
        <f>IFERROR(VLOOKUP(A2945,管理亚马逊库存!A:R,18,0),"")</f>
        <v>0</v>
      </c>
      <c r="F2945">
        <f t="shared" si="91"/>
        <v>0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7924</v>
      </c>
      <c r="B2946">
        <f>IFERROR(VLOOKUP(A2946,管理亚马逊库存!A:K,11,0),"")</f>
        <v>0</v>
      </c>
      <c r="C2946">
        <f>IFERROR(VLOOKUP(A2946,管理亚马逊库存!A:L,12,0),"")</f>
        <v>0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7927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03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03" si="94">SUM(J2947:M2947)</f>
        <v>0</v>
      </c>
    </row>
    <row r="2948" spans="1:14">
      <c r="A2948" s="3" t="s">
        <v>7930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7933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7936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7939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7942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7945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7948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7951</v>
      </c>
      <c r="B2955">
        <f>IFERROR(VLOOKUP(A2955,管理亚马逊库存!A:K,11,0),"")</f>
        <v>0</v>
      </c>
      <c r="C2955">
        <f>IFERROR(VLOOKUP(A2955,管理亚马逊库存!A:L,12,0),"")</f>
        <v>0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7954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7957</v>
      </c>
      <c r="B2957">
        <f>IFERROR(VLOOKUP(A2957,管理亚马逊库存!A:K,11,0),"")</f>
        <v>0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7960</v>
      </c>
      <c r="B2958">
        <f>IFERROR(VLOOKUP(A2958,管理亚马逊库存!A:K,11,0),"")</f>
        <v>0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7962</v>
      </c>
      <c r="B2959">
        <f>IFERROR(VLOOKUP(A2959,管理亚马逊库存!A:K,11,0),"")</f>
        <v>0</v>
      </c>
      <c r="C2959">
        <f>IFERROR(VLOOKUP(A2959,管理亚马逊库存!A:L,12,0),"")</f>
        <v>0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7964</v>
      </c>
      <c r="B2960">
        <f>IFERROR(VLOOKUP(A2960,管理亚马逊库存!A:K,11,0),"")</f>
        <v>0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7966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7968</v>
      </c>
      <c r="B2962">
        <f>IFERROR(VLOOKUP(A2962,管理亚马逊库存!A:K,11,0),"")</f>
        <v>0</v>
      </c>
      <c r="C2962">
        <f>IFERROR(VLOOKUP(A2962,管理亚马逊库存!A:L,12,0),"")</f>
        <v>0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7970</v>
      </c>
      <c r="B2963">
        <f>IFERROR(VLOOKUP(A2963,管理亚马逊库存!A:K,11,0),"")</f>
        <v>0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7972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7974</v>
      </c>
      <c r="B2965">
        <f>IFERROR(VLOOKUP(A2965,管理亚马逊库存!A:K,11,0),"")</f>
        <v>0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0</v>
      </c>
      <c r="F2965">
        <f t="shared" si="93"/>
        <v>0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7976</v>
      </c>
      <c r="B2966">
        <f>IFERROR(VLOOKUP(A2966,管理亚马逊库存!A:K,11,0),"")</f>
        <v>0</v>
      </c>
      <c r="C2966">
        <f>IFERROR(VLOOKUP(A2966,管理亚马逊库存!A:L,12,0),"")</f>
        <v>0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7978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7980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7982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7984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7986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7988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7990</v>
      </c>
      <c r="B2973">
        <f>IFERROR(VLOOKUP(A2973,管理亚马逊库存!A:K,11,0),"")</f>
        <v>0</v>
      </c>
      <c r="C2973">
        <f>IFERROR(VLOOKUP(A2973,管理亚马逊库存!A:L,12,0),"")</f>
        <v>0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7992</v>
      </c>
      <c r="B2974">
        <f>IFERROR(VLOOKUP(A2974,管理亚马逊库存!A:K,11,0),"")</f>
        <v>0</v>
      </c>
      <c r="C2974">
        <f>IFERROR(VLOOKUP(A2974,管理亚马逊库存!A:L,12,0),"")</f>
        <v>0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7995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7998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8001</v>
      </c>
      <c r="B2977">
        <f>IFERROR(VLOOKUP(A2977,管理亚马逊库存!A:K,11,0),"")</f>
        <v>0</v>
      </c>
      <c r="C2977">
        <f>IFERROR(VLOOKUP(A2977,管理亚马逊库存!A:L,12,0),"")</f>
        <v>0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8004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8007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8010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8013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8016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8019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8022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8025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8028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8031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8034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8037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8040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8043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8046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8049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8052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8056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8060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8064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8067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8071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8074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8077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8080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8083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2:14">
      <c r="B3004" t="str">
        <f>IFERROR(VLOOKUP(A3004,管理亚马逊库存!A:K,11,0),"")</f>
        <v/>
      </c>
      <c r="C3004" t="str">
        <f>IFERROR(VLOOKUP(A3004,管理亚马逊库存!A:L,12,0),"")</f>
        <v/>
      </c>
      <c r="D3004" t="str">
        <f>IFERROR(VLOOKUP(A3004,管理亚马逊库存!A:Q,17,0),"")</f>
        <v/>
      </c>
      <c r="E3004" t="str">
        <f>IFERROR(VLOOKUP(A3004,管理亚马逊库存!A:R,18,0),"")</f>
        <v/>
      </c>
      <c r="F3004">
        <f>SUM(D3004:E3004)</f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>SUM(J3004:M3004)</f>
        <v>0</v>
      </c>
    </row>
    <row r="3005" spans="2:14">
      <c r="B3005" t="str">
        <f>IFERROR(VLOOKUP(A3005,管理亚马逊库存!A:K,11,0),"")</f>
        <v/>
      </c>
      <c r="C3005" t="str">
        <f>IFERROR(VLOOKUP(A3005,管理亚马逊库存!A:L,12,0),"")</f>
        <v/>
      </c>
      <c r="D3005" t="str">
        <f>IFERROR(VLOOKUP(A3005,管理亚马逊库存!A:Q,17,0),"")</f>
        <v/>
      </c>
      <c r="E3005" t="str">
        <f>IFERROR(VLOOKUP(A3005,管理亚马逊库存!A:R,18,0),"")</f>
        <v/>
      </c>
      <c r="F3005">
        <f>SUM(D3005:E3005)</f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>SUM(J3005:M3005)</f>
        <v>0</v>
      </c>
    </row>
    <row r="3006" spans="2:14">
      <c r="B3006" t="str">
        <f>IFERROR(VLOOKUP(A3006,管理亚马逊库存!A:K,11,0),"")</f>
        <v/>
      </c>
      <c r="C3006" t="str">
        <f>IFERROR(VLOOKUP(A3006,管理亚马逊库存!A:L,12,0),"")</f>
        <v/>
      </c>
      <c r="D3006" t="str">
        <f>IFERROR(VLOOKUP(A3006,管理亚马逊库存!A:Q,17,0),"")</f>
        <v/>
      </c>
      <c r="E3006" t="str">
        <f>IFERROR(VLOOKUP(A3006,管理亚马逊库存!A:R,18,0),"")</f>
        <v/>
      </c>
      <c r="F3006">
        <f>SUM(D3006:E3006)</f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>SUM(J3006:M3006)</f>
        <v>0</v>
      </c>
    </row>
    <row r="3007" spans="2:14">
      <c r="B3007" t="str">
        <f>IFERROR(VLOOKUP(A3007,管理亚马逊库存!A:K,11,0),"")</f>
        <v/>
      </c>
      <c r="C3007" t="str">
        <f>IFERROR(VLOOKUP(A3007,管理亚马逊库存!A:L,12,0),"")</f>
        <v/>
      </c>
      <c r="D3007" t="str">
        <f>IFERROR(VLOOKUP(A3007,管理亚马逊库存!A:Q,17,0),"")</f>
        <v/>
      </c>
      <c r="E3007" t="str">
        <f>IFERROR(VLOOKUP(A3007,管理亚马逊库存!A:R,18,0),"")</f>
        <v/>
      </c>
      <c r="F3007">
        <f>SUM(D3007:E3007)</f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>SUM(J3007:M3007)</f>
        <v>0</v>
      </c>
    </row>
    <row r="3008" spans="2:14">
      <c r="B3008" t="str">
        <f>IFERROR(VLOOKUP(A3008,管理亚马逊库存!A:K,11,0),"")</f>
        <v/>
      </c>
      <c r="C3008" t="str">
        <f>IFERROR(VLOOKUP(A3008,管理亚马逊库存!A:L,12,0),"")</f>
        <v/>
      </c>
      <c r="D3008" t="str">
        <f>IFERROR(VLOOKUP(A3008,管理亚马逊库存!A:Q,17,0),"")</f>
        <v/>
      </c>
      <c r="E3008" t="str">
        <f>IFERROR(VLOOKUP(A3008,管理亚马逊库存!A:R,18,0),"")</f>
        <v/>
      </c>
      <c r="F3008">
        <f>SUM(D3008:E3008)</f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>SUM(J3008:M3008)</f>
        <v>0</v>
      </c>
    </row>
    <row r="3009" spans="2:14">
      <c r="B3009" t="str">
        <f>IFERROR(VLOOKUP(A3009,管理亚马逊库存!A:K,11,0),"")</f>
        <v/>
      </c>
      <c r="C3009" t="str">
        <f>IFERROR(VLOOKUP(A3009,管理亚马逊库存!A:L,12,0),"")</f>
        <v/>
      </c>
      <c r="D3009" t="str">
        <f>IFERROR(VLOOKUP(A3009,管理亚马逊库存!A:Q,17,0),"")</f>
        <v/>
      </c>
      <c r="E3009" t="str">
        <f>IFERROR(VLOOKUP(A3009,管理亚马逊库存!A:R,18,0),"")</f>
        <v/>
      </c>
      <c r="F3009">
        <f>SUM(D3009:E3009)</f>
        <v>0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>SUM(J3009:M3009)</f>
        <v>0</v>
      </c>
    </row>
    <row r="3010" spans="2:14">
      <c r="B3010" t="str">
        <f>IFERROR(VLOOKUP(A3010,管理亚马逊库存!A:K,11,0),"")</f>
        <v/>
      </c>
      <c r="C3010" t="str">
        <f>IFERROR(VLOOKUP(A3010,管理亚马逊库存!A:L,12,0),"")</f>
        <v/>
      </c>
      <c r="D3010" t="str">
        <f>IFERROR(VLOOKUP(A3010,管理亚马逊库存!A:Q,17,0),"")</f>
        <v/>
      </c>
      <c r="E3010" t="str">
        <f>IFERROR(VLOOKUP(A3010,管理亚马逊库存!A:R,18,0),"")</f>
        <v/>
      </c>
      <c r="F3010">
        <f>SUM(D3010:E3010)</f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>SUM(J3010:M3010)</f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2</xdr:row>
                <xdr:rowOff>0</xdr:rowOff>
              </from>
              <to>
                <xdr:col>16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2018-08-28T08:46:33Z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